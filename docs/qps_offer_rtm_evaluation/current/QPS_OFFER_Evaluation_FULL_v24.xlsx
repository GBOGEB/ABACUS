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tables/table3.xml" ContentType="application/vnd.openxmlformats-officedocument.spreadsheetml.table+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comments/comment1.xml" ContentType="application/vnd.openxmlformats-officedocument.spreadsheetml.comments+xml"/>
  <Override PartName="/xl/tables/table6.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ables/table7.xml" ContentType="application/vnd.openxmlformats-officedocument.spreadsheetml.table+xml"/>
  <Override PartName="/xl/worksheets/sheet19.xml" ContentType="application/vnd.openxmlformats-officedocument.spreadsheetml.worksheet+xml"/>
  <Override PartName="/xl/tables/table8.xml" ContentType="application/vnd.openxmlformats-officedocument.spreadsheetml.table+xml"/>
  <Override PartName="/xl/worksheets/sheet20.xml" ContentType="application/vnd.openxmlformats-officedocument.spreadsheetml.worksheet+xml"/>
  <Override PartName="/xl/tables/table9.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tables/table10.xml" ContentType="application/vnd.openxmlformats-officedocument.spreadsheetml.table+xml"/>
  <Override PartName="/xl/worksheets/sheet23.xml" ContentType="application/vnd.openxmlformats-officedocument.spreadsheetml.worksheet+xml"/>
  <Override PartName="/xl/tables/table11.xml" ContentType="application/vnd.openxmlformats-officedocument.spreadsheetml.table+xml"/>
  <Override PartName="/xl/worksheets/sheet24.xml" ContentType="application/vnd.openxmlformats-officedocument.spreadsheetml.worksheet+xml"/>
  <Override PartName="/xl/tables/table12.xml" ContentType="application/vnd.openxmlformats-officedocument.spreadsheetml.table+xml"/>
  <Override PartName="/xl/worksheets/sheet25.xml" ContentType="application/vnd.openxmlformats-officedocument.spreadsheetml.worksheet+xml"/>
  <Override PartName="/xl/tables/table13.xml" ContentType="application/vnd.openxmlformats-officedocument.spreadsheetml.table+xml"/>
  <Override PartName="/xl/worksheets/sheet26.xml" ContentType="application/vnd.openxmlformats-officedocument.spreadsheetml.worksheet+xml"/>
  <Override PartName="/xl/tables/table14.xml" ContentType="application/vnd.openxmlformats-officedocument.spreadsheetml.table+xml"/>
  <Override PartName="/xl/worksheets/sheet27.xml" ContentType="application/vnd.openxmlformats-officedocument.spreadsheetml.worksheet+xml"/>
  <Override PartName="/xl/tables/table15.xml" ContentType="application/vnd.openxmlformats-officedocument.spreadsheetml.table+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6200" tabRatio="600" firstSheet="0" activeTab="0" autoFilterDateGrouping="1"/>
  </bookViews>
  <sheets>
    <sheet xmlns:r="http://schemas.openxmlformats.org/officeDocument/2006/relationships" name="README" sheetId="1" state="visible" r:id="rId1"/>
    <sheet xmlns:r="http://schemas.openxmlformats.org/officeDocument/2006/relationships" name="CHANGELOG" sheetId="2" state="visible" r:id="rId2"/>
    <sheet xmlns:r="http://schemas.openxmlformats.org/officeDocument/2006/relationships" name="START_HERE" sheetId="3" state="visible" r:id="rId3"/>
    <sheet xmlns:r="http://schemas.openxmlformats.org/officeDocument/2006/relationships" name="DASHBOARD" sheetId="4" state="visible" r:id="rId4"/>
    <sheet xmlns:r="http://schemas.openxmlformats.org/officeDocument/2006/relationships" name="DASHBOARD_2" sheetId="5" state="visible" r:id="rId5"/>
    <sheet xmlns:r="http://schemas.openxmlformats.org/officeDocument/2006/relationships" name="RTM_LOOKUP" sheetId="6" state="visible" r:id="rId6"/>
    <sheet xmlns:r="http://schemas.openxmlformats.org/officeDocument/2006/relationships" name="COMPLIANCE_LEGEND" sheetId="7" state="visible" r:id="rId7"/>
    <sheet xmlns:r="http://schemas.openxmlformats.org/officeDocument/2006/relationships" name="EVALUATION_WORKSPACE" sheetId="8" state="visible" r:id="rId8"/>
    <sheet xmlns:r="http://schemas.openxmlformats.org/officeDocument/2006/relationships" name="OFFER_CANONICAL" sheetId="9" state="visible" r:id="rId9"/>
    <sheet xmlns:r="http://schemas.openxmlformats.org/officeDocument/2006/relationships" name="RTM_CROSSWALK" sheetId="10" state="visible" r:id="rId10"/>
    <sheet xmlns:r="http://schemas.openxmlformats.org/officeDocument/2006/relationships" name="OFFER_RANKING" sheetId="11" state="visible" r:id="rId11"/>
    <sheet xmlns:r="http://schemas.openxmlformats.org/officeDocument/2006/relationships" name="RTM_RANKING" sheetId="12" state="visible" r:id="rId12"/>
    <sheet xmlns:r="http://schemas.openxmlformats.org/officeDocument/2006/relationships" name="PCA_ANALYSIS" sheetId="13" state="visible" r:id="rId13"/>
    <sheet xmlns:r="http://schemas.openxmlformats.org/officeDocument/2006/relationships" name="CLUSTERS" sheetId="14" state="visible" r:id="rId14"/>
    <sheet xmlns:r="http://schemas.openxmlformats.org/officeDocument/2006/relationships" name="TAXONOMY" sheetId="15" state="visible" r:id="rId15"/>
    <sheet xmlns:r="http://schemas.openxmlformats.org/officeDocument/2006/relationships" name="DOMAIN_SUMMARY" sheetId="16" state="visible" r:id="rId16"/>
    <sheet xmlns:r="http://schemas.openxmlformats.org/officeDocument/2006/relationships" name="RTM_REVIEW_QUEUE" sheetId="17" state="visible" r:id="rId17"/>
    <sheet xmlns:r="http://schemas.openxmlformats.org/officeDocument/2006/relationships" name="STANDARDS" sheetId="18" state="visible" r:id="rId18"/>
    <sheet xmlns:r="http://schemas.openxmlformats.org/officeDocument/2006/relationships" name="DELIVERABLES" sheetId="19" state="visible" r:id="rId19"/>
    <sheet xmlns:r="http://schemas.openxmlformats.org/officeDocument/2006/relationships" name="QUALITY_CHECKS" sheetId="20" state="visible" r:id="rId20"/>
    <sheet xmlns:r="http://schemas.openxmlformats.org/officeDocument/2006/relationships" name="AUDIT_NOTES" sheetId="21" state="visible" r:id="rId21"/>
    <sheet xmlns:r="http://schemas.openxmlformats.org/officeDocument/2006/relationships" name="DMAIC_AUDIT" sheetId="22" state="visible" r:id="rId22"/>
    <sheet xmlns:r="http://schemas.openxmlformats.org/officeDocument/2006/relationships" name="EVALUATION_INPUT" sheetId="23" state="visible" r:id="rId23"/>
    <sheet xmlns:r="http://schemas.openxmlformats.org/officeDocument/2006/relationships" name="NAVIGATION_MAP" sheetId="24" state="visible" r:id="rId24"/>
    <sheet xmlns:r="http://schemas.openxmlformats.org/officeDocument/2006/relationships" name="LISTS" sheetId="25" state="visible" r:id="rId25"/>
    <sheet xmlns:r="http://schemas.openxmlformats.org/officeDocument/2006/relationships" name="NEGOTIATION_AGENDA" sheetId="26" state="visible" r:id="rId26"/>
    <sheet xmlns:r="http://schemas.openxmlformats.org/officeDocument/2006/relationships" name="CODING_HANDOVER" sheetId="27" state="visible" r:id="rId27"/>
    <sheet xmlns:r="http://schemas.openxmlformats.org/officeDocument/2006/relationships" name="WEIGHTS_METHOD" sheetId="28" state="visible" r:id="rId28"/>
    <sheet xmlns:r="http://schemas.openxmlformats.org/officeDocument/2006/relationships" name="CATEGORY_FOCUS" sheetId="29" state="visible" r:id="rId29"/>
    <sheet xmlns:r="http://schemas.openxmlformats.org/officeDocument/2006/relationships" name="REVIEW_FOCUS" sheetId="30" state="visible" r:id="rId30"/>
    <sheet xmlns:r="http://schemas.openxmlformats.org/officeDocument/2006/relationships" name="RTM_PHASE_EXPANSION" sheetId="31" state="visible" r:id="rId31"/>
    <sheet xmlns:r="http://schemas.openxmlformats.org/officeDocument/2006/relationships" name="DELIVERABLES_DOSSIER" sheetId="32" state="visible" r:id="rId32"/>
    <sheet xmlns:r="http://schemas.openxmlformats.org/officeDocument/2006/relationships" name="CONFLICT_CANDIDATES" sheetId="33" state="visible" r:id="rId33"/>
    <sheet xmlns:r="http://schemas.openxmlformats.org/officeDocument/2006/relationships" name="RECOMPUTE_LOG" sheetId="34" state="visible" r:id="rId34"/>
  </sheets>
  <definedNames>
    <definedName name="_xlnm._FilterDatabase" localSheetId="9" hidden="1">'RTM_CROSSWALK'!$A$4:$L$381</definedName>
    <definedName name="_xlnm._FilterDatabase" localSheetId="11" hidden="1">'RTM_RANKING'!$A$5:$AF$727</definedName>
    <definedName name="_xlnm._FilterDatabase" localSheetId="15" hidden="1">'DOMAIN_SUMMARY'!$A$5:$L$41</definedName>
    <definedName name="_xlnm._FilterDatabase" localSheetId="16" hidden="1">'RTM_REVIEW_QUEUE'!$A$5:$W$294</definedName>
    <definedName name="_xlnm._FilterDatabase" localSheetId="30" hidden="1">'RTM_PHASE_EXPANSION'!$A$5:$H$2174</definedName>
    <definedName name="_xlnm._FilterDatabase" localSheetId="31" hidden="1">'DELIVERABLES_DOSSIER'!$A$5:$F$37</definedName>
    <definedName name="_xlnm._FilterDatabase" localSheetId="32" hidden="1">'CONFLICT_CANDIDATES'!$A$5:$G$70</definedName>
  </definedNames>
  <calcPr calcId="191029" fullCalcOnLoad="1" iterateDelta="0.0001"/>
</workbook>
</file>

<file path=xl/styles.xml><?xml version="1.0" encoding="utf-8"?>
<styleSheet xmlns="http://schemas.openxmlformats.org/spreadsheetml/2006/main">
  <numFmts count="2">
    <numFmt numFmtId="164" formatCode="0.0"/>
    <numFmt numFmtId="165" formatCode="0.0%"/>
  </numFmts>
  <fonts count="69">
    <font>
      <name val="Carlito"/>
      <sz val="11"/>
    </font>
    <font>
      <name val="Carlito"/>
      <b val="1"/>
      <color rgb="FFFFFFFF"/>
      <sz val="18"/>
    </font>
    <font>
      <name val="Carlito"/>
      <i val="1"/>
      <color rgb="FF203040"/>
      <sz val="11"/>
    </font>
    <font>
      <name val="Carlito"/>
      <b val="1"/>
      <color rgb="FFFFFFFF"/>
      <sz val="11"/>
    </font>
    <font>
      <name val="Carlito"/>
      <b val="1"/>
      <sz val="12"/>
    </font>
    <font>
      <name val="Carlito"/>
      <b val="1"/>
      <color rgb="FF17365D"/>
      <sz val="11"/>
    </font>
    <font>
      <name val="Carlito"/>
      <b val="1"/>
      <sz val="11"/>
    </font>
    <font>
      <name val="Carlito"/>
      <b val="1"/>
      <color rgb="00FFFFFF"/>
      <sz val="11"/>
    </font>
    <font>
      <name val="Carlito"/>
      <color rgb="00333333"/>
      <sz val="11"/>
    </font>
    <font>
      <name val="Carlito"/>
      <b val="1"/>
      <color rgb="00FFFFFF"/>
      <sz val="18"/>
    </font>
    <font>
      <name val="Carlito"/>
      <color rgb="00203040"/>
      <sz val="11"/>
    </font>
    <font>
      <name val="Carlito"/>
      <b val="1"/>
    </font>
    <font>
      <name val="Carlito"/>
      <color rgb="00222222"/>
      <sz val="11"/>
    </font>
    <font>
      <name val="Carlito"/>
      <b val="1"/>
      <color rgb="0017365D"/>
      <sz val="13"/>
    </font>
    <font>
      <name val="Carlito"/>
      <i val="1"/>
      <color rgb="00555555"/>
      <sz val="10"/>
    </font>
    <font>
      <name val="Carlito"/>
      <i val="1"/>
      <color rgb="009A9AA5"/>
    </font>
    <font>
      <name val="Carlito"/>
      <i val="1"/>
      <color rgb="007A5B00"/>
      <sz val="9"/>
    </font>
    <font>
      <name val="Carlito"/>
      <b val="1"/>
      <color rgb="007A5B00"/>
      <sz val="14"/>
    </font>
    <font>
      <i val="1"/>
      <color rgb="009A9AA5"/>
      <sz val="9"/>
    </font>
    <font>
      <name val="Carlito"/>
      <b val="1"/>
      <color rgb="0017365D"/>
      <sz val="14"/>
    </font>
    <font>
      <name val="Carlito"/>
      <b val="1"/>
      <sz val="13"/>
    </font>
    <font>
      <i val="1"/>
      <color rgb="007A5B00"/>
      <sz val="9"/>
    </font>
    <font>
      <name val="Carlito"/>
      <b val="1"/>
      <color rgb="0017365D"/>
      <sz val="12"/>
    </font>
    <font>
      <name val="Carlito"/>
    </font>
    <font>
      <name val="Carlito"/>
      <i val="1"/>
      <color rgb="00B7791F"/>
    </font>
    <font>
      <name val="Carlito"/>
      <b val="1"/>
      <i val="1"/>
      <color rgb="005B7FA6"/>
    </font>
    <font>
      <name val="Carlito"/>
      <i val="1"/>
      <color rgb="005B7FA6"/>
    </font>
    <font>
      <name val="Carlito"/>
      <i val="1"/>
      <color rgb="00444444"/>
      <sz val="11"/>
    </font>
    <font>
      <name val="Carlito"/>
      <i val="1"/>
      <color rgb="00444444"/>
      <sz val="10.5"/>
    </font>
    <font>
      <name val="Carlito"/>
      <b val="1"/>
      <color rgb="00FFFFFF"/>
    </font>
    <font>
      <name val="Carlito"/>
      <b val="1"/>
      <sz val="10.5"/>
    </font>
    <font>
      <name val="Carlito"/>
      <i val="1"/>
      <color rgb="00444444"/>
      <sz val="9.5"/>
    </font>
    <font>
      <name val="Carlito"/>
      <b val="1"/>
      <color rgb="0017365D"/>
      <sz val="11"/>
    </font>
    <font>
      <name val="Carlito"/>
      <sz val="10.5"/>
    </font>
    <font>
      <name val="Carlito"/>
      <b val="1"/>
      <color rgb="002E7D32"/>
    </font>
    <font>
      <name val="Carlito"/>
      <b val="1"/>
      <color rgb="00A30000"/>
    </font>
    <font>
      <name val="Carlito"/>
      <color rgb="007A1F42"/>
      <sz val="11"/>
    </font>
    <font>
      <name val="Carlito"/>
      <b val="1"/>
      <color rgb="001F4E78"/>
      <sz val="13"/>
    </font>
    <font>
      <name val="Carlito"/>
      <b val="1"/>
      <color rgb="001A1A1A"/>
    </font>
    <font>
      <name val="Carlito"/>
      <b val="1"/>
      <color rgb="007A4E00"/>
    </font>
    <font>
      <name val="Carlito"/>
      <i val="1"/>
      <color rgb="00999999"/>
      <sz val="9"/>
    </font>
    <font>
      <name val="Carlito"/>
      <b val="1"/>
      <color rgb="00999999"/>
      <sz val="9"/>
    </font>
    <font>
      <name val="Carlito"/>
      <color rgb="00999999"/>
      <sz val="9"/>
    </font>
    <font>
      <color rgb="00999999"/>
      <sz val="9"/>
    </font>
    <font>
      <name val="Carlito"/>
      <b val="1"/>
      <color rgb="00FFFFFF"/>
      <sz val="16"/>
    </font>
    <font>
      <name val="Carlito"/>
      <i val="1"/>
      <color rgb="00444444"/>
    </font>
    <font>
      <name val="Carlito"/>
      <b val="1"/>
      <color rgb="001F4E78"/>
    </font>
    <font>
      <name val="Carlito"/>
      <b val="1"/>
      <color rgb="00562873"/>
    </font>
    <font>
      <name val="Carlito"/>
      <b val="1"/>
      <color rgb="00C99A00"/>
    </font>
    <font>
      <name val="Carlito"/>
      <b val="1"/>
      <color rgb="001FA7A0"/>
    </font>
    <font>
      <name val="Carlito"/>
      <b val="1"/>
      <color rgb="000B5FA5"/>
    </font>
    <font>
      <name val="Carlito"/>
      <b val="1"/>
      <color rgb="00A64CA6"/>
    </font>
    <font>
      <name val="Carlito"/>
      <i val="1"/>
      <color rgb="00666666"/>
      <sz val="10"/>
    </font>
    <font>
      <name val="Carlito"/>
      <i val="1"/>
      <color rgb="00888888"/>
      <sz val="9.5"/>
    </font>
    <font>
      <name val="Carlito"/>
      <color rgb="007A1F42"/>
      <sz val="10.5"/>
    </font>
    <font>
      <name val="Carlito"/>
      <i val="1"/>
      <color rgb="00666666"/>
      <sz val="9.5"/>
    </font>
    <font>
      <name val="Carlito"/>
      <i val="1"/>
      <color rgb="00441F63"/>
      <sz val="10"/>
    </font>
    <font>
      <name val="Carlito"/>
      <b val="1"/>
      <color rgb="00FFFFFF"/>
      <sz val="13"/>
    </font>
    <font>
      <name val="Carlito"/>
      <color rgb="00FFFFFF"/>
      <sz val="10.5"/>
    </font>
    <font>
      <name val="Carlito"/>
      <b val="1"/>
      <color rgb="007A3E00"/>
    </font>
    <font>
      <name val="Carlito"/>
      <b val="1"/>
      <color rgb="007A5B00"/>
    </font>
    <font>
      <name val="Carlito"/>
      <b val="1"/>
      <color rgb="0017365D"/>
    </font>
    <font>
      <name val="Carlito"/>
      <b val="1"/>
      <color rgb="001E5E1E"/>
    </font>
    <font>
      <name val="Carlito"/>
      <color rgb="00444444"/>
    </font>
    <font>
      <name val="Carlito"/>
      <b val="1"/>
      <sz val="10"/>
    </font>
    <font>
      <name val="Carlito"/>
      <sz val="10"/>
    </font>
    <font>
      <name val="Carlito"/>
      <b val="1"/>
      <color rgb="001F3864"/>
      <sz val="13"/>
    </font>
    <font>
      <name val="Carlito"/>
      <i val="1"/>
      <color rgb="00595959"/>
      <sz val="9"/>
    </font>
    <font>
      <name val="Carlito"/>
      <b val="1"/>
      <color rgb="00FFFFFF"/>
      <sz val="10"/>
    </font>
  </fonts>
  <fills count="69">
    <fill>
      <patternFill/>
    </fill>
    <fill>
      <patternFill patternType="gray125"/>
    </fill>
    <fill>
      <patternFill patternType="solid">
        <fgColor rgb="FF17365D"/>
      </patternFill>
    </fill>
    <fill>
      <patternFill patternType="solid">
        <fgColor rgb="FFD9EAF7"/>
      </patternFill>
    </fill>
    <fill>
      <patternFill patternType="solid">
        <fgColor rgb="FF0F6B78"/>
      </patternFill>
    </fill>
    <fill>
      <patternFill patternType="solid">
        <fgColor rgb="FF1F4E78"/>
      </patternFill>
    </fill>
    <fill>
      <patternFill patternType="solid">
        <fgColor rgb="FFE2F0D9"/>
      </patternFill>
    </fill>
    <fill>
      <patternFill patternType="solid">
        <fgColor rgb="FFF4F7FA"/>
      </patternFill>
    </fill>
    <fill>
      <patternFill patternType="solid">
        <fgColor rgb="FFD9E1F2"/>
      </patternFill>
    </fill>
    <fill>
      <patternFill patternType="solid">
        <fgColor rgb="FF54D35B"/>
      </patternFill>
    </fill>
    <fill>
      <patternFill patternType="solid">
        <fgColor rgb="FFA7E486"/>
      </patternFill>
    </fill>
    <fill>
      <patternFill patternType="solid">
        <fgColor rgb="FFF58AC0"/>
      </patternFill>
    </fill>
    <fill>
      <patternFill patternType="solid">
        <fgColor rgb="FFFCE4D6"/>
      </patternFill>
    </fill>
    <fill>
      <patternFill patternType="solid">
        <fgColor rgb="FFB7E1A1"/>
      </patternFill>
    </fill>
    <fill>
      <patternFill patternType="solid">
        <fgColor rgb="FFFFC000"/>
      </patternFill>
    </fill>
    <fill>
      <patternFill patternType="solid">
        <fgColor rgb="FFE6B8E7"/>
      </patternFill>
    </fill>
    <fill>
      <patternFill patternType="solid">
        <fgColor rgb="FFFFF200"/>
      </patternFill>
    </fill>
    <fill>
      <patternFill patternType="solid">
        <fgColor rgb="FF17365D"/>
      </patternFill>
    </fill>
    <fill>
      <patternFill patternType="solid">
        <fgColor rgb="FFD9EAF7"/>
      </patternFill>
    </fill>
    <fill>
      <patternFill patternType="solid">
        <fgColor rgb="FF0F6B78"/>
      </patternFill>
    </fill>
    <fill>
      <patternFill patternType="solid">
        <fgColor rgb="FF1F4E78"/>
      </patternFill>
    </fill>
    <fill>
      <patternFill patternType="solid">
        <fgColor rgb="FFE2F0D9"/>
      </patternFill>
    </fill>
    <fill>
      <patternFill patternType="solid">
        <fgColor rgb="FFFFF2CC"/>
      </patternFill>
    </fill>
    <fill>
      <patternFill patternType="solid">
        <fgColor rgb="000F6B78"/>
      </patternFill>
    </fill>
    <fill>
      <patternFill patternType="solid">
        <fgColor rgb="0017365D"/>
      </patternFill>
    </fill>
    <fill>
      <patternFill patternType="solid">
        <fgColor rgb="00D9EAF7"/>
      </patternFill>
    </fill>
    <fill>
      <patternFill patternType="solid">
        <fgColor rgb="001F4E78"/>
      </patternFill>
    </fill>
    <fill>
      <patternFill patternType="solid">
        <fgColor rgb="00F2F6FA"/>
      </patternFill>
    </fill>
    <fill>
      <patternFill patternType="solid">
        <fgColor rgb="00FFF6C9"/>
      </patternFill>
    </fill>
    <fill>
      <patternFill patternType="solid">
        <fgColor rgb="00D6E9F8"/>
      </patternFill>
    </fill>
    <fill>
      <patternFill patternType="solid">
        <fgColor rgb="00D6F0EA"/>
      </patternFill>
    </fill>
    <fill>
      <patternFill patternType="solid">
        <fgColor rgb="00E2E6ED"/>
      </patternFill>
    </fill>
    <fill>
      <patternFill patternType="solid">
        <fgColor rgb="00E6DFF6"/>
      </patternFill>
    </fill>
    <fill>
      <patternFill patternType="solid">
        <fgColor rgb="00F0E0EE"/>
      </patternFill>
    </fill>
    <fill>
      <patternFill patternType="solid">
        <fgColor rgb="00DCEAE6"/>
      </patternFill>
    </fill>
    <fill>
      <patternFill patternType="solid">
        <fgColor rgb="00D9E4F0"/>
      </patternFill>
    </fill>
    <fill>
      <patternFill patternType="solid">
        <fgColor rgb="00EDE6DC"/>
      </patternFill>
    </fill>
    <fill>
      <patternFill patternType="solid">
        <fgColor rgb="00FFFCF0"/>
      </patternFill>
    </fill>
    <fill>
      <patternFill patternType="solid">
        <fgColor rgb="00EAF1F8"/>
      </patternFill>
    </fill>
    <fill>
      <patternFill patternType="solid">
        <fgColor rgb="00562873"/>
      </patternFill>
    </fill>
    <fill>
      <patternFill patternType="solid">
        <fgColor rgb="00C99A00"/>
      </patternFill>
    </fill>
    <fill>
      <patternFill patternType="solid">
        <fgColor rgb="001FA7A0"/>
      </patternFill>
    </fill>
    <fill>
      <patternFill patternType="solid">
        <fgColor rgb="000B5FA5"/>
      </patternFill>
    </fill>
    <fill>
      <patternFill patternType="solid">
        <fgColor rgb="00A64CA6"/>
      </patternFill>
    </fill>
    <fill>
      <patternFill patternType="solid">
        <fgColor rgb="00D9EAD3"/>
      </patternFill>
    </fill>
    <fill>
      <patternFill patternType="solid">
        <fgColor rgb="00F4CCCC"/>
      </patternFill>
    </fill>
    <fill>
      <patternFill patternType="solid">
        <fgColor rgb="00FCE0EC"/>
      </patternFill>
    </fill>
    <fill>
      <patternFill patternType="solid">
        <fgColor rgb="00FCE5CD"/>
      </patternFill>
    </fill>
    <fill>
      <patternFill patternType="solid">
        <fgColor rgb="00D9D2E9"/>
      </patternFill>
    </fill>
    <fill>
      <patternFill patternType="solid">
        <fgColor rgb="00FFF2CC"/>
      </patternFill>
    </fill>
    <fill>
      <patternFill patternType="solid">
        <fgColor rgb="00E2F0D9"/>
      </patternFill>
    </fill>
    <fill>
      <patternFill patternType="solid">
        <fgColor rgb="001E8449"/>
      </patternFill>
    </fill>
    <fill>
      <patternFill patternType="solid">
        <fgColor rgb="002874A6"/>
      </patternFill>
    </fill>
    <fill>
      <patternFill patternType="solid">
        <fgColor rgb="00B7791F"/>
      </patternFill>
    </fill>
    <fill>
      <patternFill patternType="solid">
        <fgColor rgb="007F8C8D"/>
      </patternFill>
    </fill>
    <fill>
      <patternFill patternType="solid">
        <fgColor rgb="00EFE5F5"/>
      </patternFill>
    </fill>
    <fill>
      <patternFill patternType="solid">
        <fgColor rgb="00FFDDA6"/>
      </patternFill>
    </fill>
    <fill>
      <patternFill patternType="solid">
        <fgColor rgb="00FFF3C4"/>
      </patternFill>
    </fill>
    <fill>
      <patternFill patternType="solid">
        <fgColor rgb="00FCE4D6"/>
      </patternFill>
    </fill>
    <fill>
      <patternFill patternType="solid">
        <fgColor rgb="00E8E8F5"/>
      </patternFill>
    </fill>
    <fill>
      <patternFill patternType="solid">
        <fgColor rgb="00DCEAF5"/>
      </patternFill>
    </fill>
    <fill>
      <patternFill patternType="solid">
        <fgColor rgb="00FCF0D6"/>
      </patternFill>
    </fill>
    <fill>
      <patternFill patternType="solid">
        <fgColor rgb="00F8D6E0"/>
      </patternFill>
    </fill>
    <fill>
      <patternFill patternType="solid">
        <fgColor rgb="00D5F5E3"/>
      </patternFill>
    </fill>
    <fill>
      <patternFill patternType="solid">
        <fgColor rgb="00EAECEE"/>
      </patternFill>
    </fill>
    <fill>
      <patternFill patternType="solid">
        <fgColor rgb="00FDEBD0"/>
      </patternFill>
    </fill>
    <fill>
      <patternFill patternType="solid">
        <fgColor rgb="00FFFBE6"/>
      </patternFill>
    </fill>
    <fill>
      <patternFill patternType="solid">
        <fgColor rgb="00F0E6F8"/>
        <bgColor rgb="00F0E6F8"/>
      </patternFill>
    </fill>
    <fill>
      <patternFill patternType="solid">
        <fgColor rgb="001F3864"/>
        <bgColor rgb="001F3864"/>
      </patternFill>
    </fill>
  </fills>
  <borders count="13">
    <border>
      <left/>
      <right/>
      <top/>
      <bottom/>
      <diagonal/>
    </border>
    <border>
      <left style="thin">
        <color rgb="00C9D6E3"/>
      </left>
      <right style="thin">
        <color rgb="00C9D6E3"/>
      </right>
      <top style="thin">
        <color rgb="00C9D6E3"/>
      </top>
      <bottom style="thin">
        <color rgb="00C9D6E3"/>
      </bottom>
    </border>
    <border>
      <left/>
      <right/>
      <top style="thin">
        <color rgb="00C9D6E3"/>
      </top>
      <bottom/>
      <diagonal/>
    </border>
    <border>
      <left/>
      <right style="thin">
        <color rgb="00C9D6E3"/>
      </right>
      <top style="thin">
        <color rgb="00C9D6E3"/>
      </top>
      <bottom/>
      <diagonal/>
    </border>
    <border>
      <left/>
      <right/>
      <top style="thin">
        <color rgb="00C9D6E3"/>
      </top>
      <bottom style="thin">
        <color rgb="00C9D6E3"/>
      </bottom>
      <diagonal/>
    </border>
    <border>
      <left/>
      <right style="thin">
        <color rgb="00C9D6E3"/>
      </right>
      <top style="thin">
        <color rgb="00C9D6E3"/>
      </top>
      <bottom style="thin">
        <color rgb="00C9D6E3"/>
      </bottom>
      <diagonal/>
    </border>
    <border>
      <left style="thin">
        <color rgb="00B7B7B7"/>
      </left>
      <right style="thin">
        <color rgb="00B7B7B7"/>
      </right>
      <top style="thin">
        <color rgb="00B7B7B7"/>
      </top>
      <bottom style="thin">
        <color rgb="00B7B7B7"/>
      </bottom>
    </border>
    <border>
      <left style="medium">
        <color rgb="005FB8C4"/>
      </left>
      <right style="medium">
        <color rgb="00073F47"/>
      </right>
      <top style="medium">
        <color rgb="005FB8C4"/>
      </top>
      <bottom style="medium">
        <color rgb="00073F47"/>
      </bottom>
    </border>
    <border>
      <left/>
      <right/>
      <top style="thin">
        <color rgb="00B7B7B7"/>
      </top>
      <bottom/>
      <diagonal/>
    </border>
    <border>
      <left/>
      <right style="thin">
        <color rgb="00B7B7B7"/>
      </right>
      <top style="thin">
        <color rgb="00B7B7B7"/>
      </top>
      <bottom/>
      <diagonal/>
    </border>
    <border>
      <left/>
      <right/>
      <top style="thin">
        <color rgb="00B7B7B7"/>
      </top>
      <bottom style="thin">
        <color rgb="00B7B7B7"/>
      </bottom>
      <diagonal/>
    </border>
    <border>
      <left/>
      <right style="thin">
        <color rgb="00B7B7B7"/>
      </right>
      <top style="thin">
        <color rgb="00B7B7B7"/>
      </top>
      <bottom style="thin">
        <color rgb="00B7B7B7"/>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5">
    <xf numFmtId="0" fontId="0" fillId="0" borderId="0" pivotButton="0" quotePrefix="0" xfId="0"/>
    <xf numFmtId="0" fontId="3" fillId="4" borderId="0" applyAlignment="1" pivotButton="0" quotePrefix="0" xfId="0">
      <alignment horizontal="center"/>
    </xf>
    <xf numFmtId="0" fontId="3" fillId="5" borderId="0" applyAlignment="1" pivotButton="0" quotePrefix="0" xfId="0">
      <alignment wrapText="1"/>
    </xf>
    <xf numFmtId="0" fontId="3" fillId="5" borderId="0" applyAlignment="1" pivotButton="0" quotePrefix="0" xfId="0">
      <alignment horizontal="center" vertical="center" wrapText="1"/>
    </xf>
    <xf numFmtId="0" fontId="0" fillId="0" borderId="0" applyAlignment="1" pivotButton="0" quotePrefix="0" xfId="0">
      <alignment wrapText="1"/>
    </xf>
    <xf numFmtId="0" fontId="5" fillId="8" borderId="0" pivotButton="0" quotePrefix="0" xfId="0"/>
    <xf numFmtId="0" fontId="0" fillId="0" borderId="0" applyAlignment="1" pivotButton="0" quotePrefix="0" xfId="0">
      <alignment vertical="top" wrapText="1"/>
    </xf>
    <xf numFmtId="0" fontId="0" fillId="9" borderId="0" applyAlignment="1" pivotButton="0" quotePrefix="0" xfId="0">
      <alignment vertical="top" wrapText="1"/>
    </xf>
    <xf numFmtId="0" fontId="6" fillId="9" borderId="0" applyAlignment="1" pivotButton="0" quotePrefix="0" xfId="0">
      <alignment vertical="top" wrapText="1"/>
    </xf>
    <xf numFmtId="0" fontId="0" fillId="10" borderId="0" applyAlignment="1" pivotButton="0" quotePrefix="0" xfId="0">
      <alignment vertical="top" wrapText="1"/>
    </xf>
    <xf numFmtId="0" fontId="6" fillId="10" borderId="0" applyAlignment="1" pivotButton="0" quotePrefix="0" xfId="0">
      <alignment vertical="top" wrapText="1"/>
    </xf>
    <xf numFmtId="0" fontId="0" fillId="11" borderId="0" applyAlignment="1" pivotButton="0" quotePrefix="0" xfId="0">
      <alignment vertical="top" wrapText="1"/>
    </xf>
    <xf numFmtId="0" fontId="6" fillId="11" borderId="0" applyAlignment="1" pivotButton="0" quotePrefix="0" xfId="0">
      <alignment vertical="top" wrapText="1"/>
    </xf>
    <xf numFmtId="0" fontId="0" fillId="12" borderId="0" applyAlignment="1" pivotButton="0" quotePrefix="0" xfId="0">
      <alignment vertical="top" wrapText="1"/>
    </xf>
    <xf numFmtId="0" fontId="6" fillId="12" borderId="0" applyAlignment="1" pivotButton="0" quotePrefix="0" xfId="0">
      <alignment vertical="top" wrapText="1"/>
    </xf>
    <xf numFmtId="0" fontId="0" fillId="13" borderId="0" applyAlignment="1" pivotButton="0" quotePrefix="0" xfId="0">
      <alignment vertical="top" wrapText="1"/>
    </xf>
    <xf numFmtId="0" fontId="6" fillId="13" borderId="0" applyAlignment="1" pivotButton="0" quotePrefix="0" xfId="0">
      <alignment vertical="top" wrapText="1"/>
    </xf>
    <xf numFmtId="0" fontId="0" fillId="14" borderId="0" applyAlignment="1" pivotButton="0" quotePrefix="0" xfId="0">
      <alignment vertical="top" wrapText="1"/>
    </xf>
    <xf numFmtId="0" fontId="6" fillId="14" borderId="0" applyAlignment="1" pivotButton="0" quotePrefix="0" xfId="0">
      <alignment vertical="top" wrapText="1"/>
    </xf>
    <xf numFmtId="0" fontId="0" fillId="15" borderId="0" applyAlignment="1" pivotButton="0" quotePrefix="0" xfId="0">
      <alignment vertical="top" wrapText="1"/>
    </xf>
    <xf numFmtId="0" fontId="6" fillId="15" borderId="0" applyAlignment="1" pivotButton="0" quotePrefix="0" xfId="0">
      <alignment vertical="top" wrapText="1"/>
    </xf>
    <xf numFmtId="0" fontId="0" fillId="16" borderId="0" applyAlignment="1" pivotButton="0" quotePrefix="0" xfId="0">
      <alignment vertical="top" wrapText="1"/>
    </xf>
    <xf numFmtId="0" fontId="6" fillId="16" borderId="0" applyAlignment="1" pivotButton="0" quotePrefix="0" xfId="0">
      <alignment vertical="top" wrapText="1"/>
    </xf>
    <xf numFmtId="9" fontId="0" fillId="0" borderId="0" applyAlignment="1" pivotButton="0" quotePrefix="0" xfId="0">
      <alignment wrapText="1"/>
    </xf>
    <xf numFmtId="0" fontId="3" fillId="19" borderId="0" applyAlignment="1" pivotButton="0" quotePrefix="0" xfId="0">
      <alignment horizontal="center"/>
    </xf>
    <xf numFmtId="0" fontId="3" fillId="20" borderId="0" applyAlignment="1" pivotButton="0" quotePrefix="0" xfId="0">
      <alignment horizontal="center" vertical="center" wrapText="1"/>
    </xf>
    <xf numFmtId="0" fontId="3" fillId="5" borderId="0" applyAlignment="1" pivotButton="0" quotePrefix="0" xfId="0">
      <alignment horizontal="center" vertical="top" wrapText="1"/>
    </xf>
    <xf numFmtId="164" fontId="0" fillId="0" borderId="0" applyAlignment="1" pivotButton="0" quotePrefix="0" xfId="0">
      <alignment vertical="top" wrapText="1"/>
    </xf>
    <xf numFmtId="0" fontId="1" fillId="17" borderId="0" applyAlignment="1" pivotButton="0" quotePrefix="0" xfId="0">
      <alignment vertical="center"/>
    </xf>
    <xf numFmtId="0" fontId="2" fillId="18" borderId="0" applyAlignment="1" pivotButton="0" quotePrefix="0" xfId="0">
      <alignment vertical="center" wrapText="1"/>
    </xf>
    <xf numFmtId="0" fontId="4" fillId="6" borderId="0" applyAlignment="1" pivotButton="0" quotePrefix="0" xfId="0">
      <alignment vertical="top" wrapText="1"/>
    </xf>
    <xf numFmtId="0" fontId="4" fillId="6" borderId="0" applyAlignment="1" pivotButton="0" quotePrefix="0" xfId="0">
      <alignment vertical="center" wrapText="1"/>
    </xf>
    <xf numFmtId="0" fontId="4" fillId="21" borderId="0" applyAlignment="1" pivotButton="0" quotePrefix="0" xfId="0">
      <alignment vertical="center" wrapText="1"/>
    </xf>
    <xf numFmtId="0" fontId="6" fillId="22" borderId="0" applyAlignment="1" pivotButton="0" quotePrefix="0" xfId="0">
      <alignment vertical="center" wrapText="1"/>
    </xf>
    <xf numFmtId="0" fontId="0" fillId="6" borderId="0" applyAlignment="1" pivotButton="0" quotePrefix="0" xfId="0">
      <alignment vertical="center" wrapText="1"/>
    </xf>
    <xf numFmtId="0" fontId="1" fillId="2" borderId="0" pivotButton="0" quotePrefix="0" xfId="0"/>
    <xf numFmtId="0" fontId="2" fillId="3" borderId="0" applyAlignment="1" pivotButton="0" quotePrefix="0" xfId="0">
      <alignment wrapText="1"/>
    </xf>
    <xf numFmtId="0" fontId="5" fillId="7" borderId="0" applyAlignment="1" pivotButton="0" quotePrefix="0" xfId="0">
      <alignment horizontal="center" vertical="center" wrapText="1"/>
    </xf>
    <xf numFmtId="0" fontId="6" fillId="21" borderId="0" applyAlignment="1" pivotButton="0" quotePrefix="0" xfId="0">
      <alignment vertical="center" wrapText="1"/>
    </xf>
    <xf numFmtId="0" fontId="7" fillId="23" borderId="0" applyAlignment="1" pivotButton="0" quotePrefix="0" xfId="0">
      <alignment horizontal="center"/>
    </xf>
    <xf numFmtId="0" fontId="8" fillId="0" borderId="0" applyAlignment="1" pivotButton="0" quotePrefix="0" xfId="0">
      <alignment vertical="top" wrapText="1"/>
    </xf>
    <xf numFmtId="0" fontId="1" fillId="17" borderId="0" pivotButton="0" quotePrefix="0" xfId="0"/>
    <xf numFmtId="0" fontId="2" fillId="18" borderId="0" applyAlignment="1" pivotButton="0" quotePrefix="0" xfId="0">
      <alignment wrapText="1"/>
    </xf>
    <xf numFmtId="0" fontId="8" fillId="0" borderId="0" pivotButton="0" quotePrefix="0" xfId="0"/>
    <xf numFmtId="0" fontId="9" fillId="24" borderId="0" pivotButton="0" quotePrefix="0" xfId="0"/>
    <xf numFmtId="0" fontId="10" fillId="25" borderId="0" pivotButton="0" quotePrefix="0" xfId="0"/>
    <xf numFmtId="0" fontId="7" fillId="26" borderId="1" applyAlignment="1" pivotButton="0" quotePrefix="0" xfId="0">
      <alignment horizontal="center" vertical="center" wrapText="1"/>
    </xf>
    <xf numFmtId="0" fontId="11" fillId="27" borderId="1" pivotButton="0" quotePrefix="0" xfId="0"/>
    <xf numFmtId="0" fontId="12" fillId="27" borderId="1" pivotButton="0" quotePrefix="0" xfId="0"/>
    <xf numFmtId="0" fontId="12" fillId="27" borderId="1" applyAlignment="1" pivotButton="0" quotePrefix="0" xfId="0">
      <alignment vertical="top" wrapText="1"/>
    </xf>
    <xf numFmtId="0" fontId="0" fillId="27" borderId="1" pivotButton="0" quotePrefix="0" xfId="0"/>
    <xf numFmtId="0" fontId="11" fillId="0" borderId="1" pivotButton="0" quotePrefix="0" xfId="0"/>
    <xf numFmtId="0" fontId="12" fillId="0" borderId="1" pivotButton="0" quotePrefix="0" xfId="0"/>
    <xf numFmtId="0" fontId="12" fillId="0" borderId="1" applyAlignment="1" pivotButton="0" quotePrefix="0" xfId="0">
      <alignment vertical="top" wrapText="1"/>
    </xf>
    <xf numFmtId="0" fontId="0" fillId="0" borderId="1" pivotButton="0" quotePrefix="0" xfId="0"/>
    <xf numFmtId="0" fontId="13" fillId="0" borderId="0" pivotButton="0" quotePrefix="0" xfId="0"/>
    <xf numFmtId="0" fontId="14" fillId="0"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15" fillId="0" borderId="0" applyAlignment="1" pivotButton="0" quotePrefix="0" xfId="0">
      <alignment vertical="top" wrapText="1"/>
    </xf>
    <xf numFmtId="0" fontId="12" fillId="27" borderId="1" applyAlignment="1" pivotButton="0" quotePrefix="0" xfId="0">
      <alignment vertical="top"/>
    </xf>
    <xf numFmtId="0" fontId="11" fillId="27" borderId="1" applyAlignment="1" pivotButton="0" quotePrefix="0" xfId="0">
      <alignment vertical="top"/>
    </xf>
    <xf numFmtId="0" fontId="12" fillId="0" borderId="1" applyAlignment="1" pivotButton="0" quotePrefix="0" xfId="0">
      <alignment vertical="top"/>
    </xf>
    <xf numFmtId="0" fontId="11" fillId="0" borderId="1" applyAlignment="1" pivotButton="0" quotePrefix="0" xfId="0">
      <alignment vertical="top"/>
    </xf>
    <xf numFmtId="0" fontId="16" fillId="0" borderId="0" pivotButton="0" quotePrefix="0" xfId="0"/>
    <xf numFmtId="0" fontId="7" fillId="26" borderId="0" applyAlignment="1" pivotButton="0" quotePrefix="0" xfId="0">
      <alignment horizontal="center" vertical="center" wrapText="1"/>
    </xf>
    <xf numFmtId="0" fontId="11" fillId="0" borderId="0" pivotButton="0" quotePrefix="0" xfId="0"/>
    <xf numFmtId="0" fontId="17" fillId="28" borderId="0" pivotButton="0" quotePrefix="0" xfId="0"/>
    <xf numFmtId="0" fontId="18" fillId="0" borderId="0" pivotButton="0" quotePrefix="0" xfId="0"/>
    <xf numFmtId="0" fontId="19" fillId="0" borderId="1" pivotButton="0" quotePrefix="0" xfId="0"/>
    <xf numFmtId="0" fontId="20" fillId="0" borderId="0" pivotButton="0" quotePrefix="0" xfId="0"/>
    <xf numFmtId="0" fontId="21" fillId="0" borderId="0" pivotButton="0" quotePrefix="0" xfId="0"/>
    <xf numFmtId="0" fontId="0" fillId="27" borderId="0" pivotButton="0" quotePrefix="0" xfId="0"/>
    <xf numFmtId="0" fontId="22" fillId="0" borderId="0" pivotButton="0" quotePrefix="0" xfId="0"/>
    <xf numFmtId="0" fontId="23" fillId="0" borderId="0" applyAlignment="1" pivotButton="0" quotePrefix="0" xfId="0">
      <alignment wrapText="1"/>
    </xf>
    <xf numFmtId="0" fontId="23" fillId="0" borderId="0" applyAlignment="1" pivotButton="0" quotePrefix="0" xfId="0">
      <alignment vertical="top" wrapText="1"/>
    </xf>
    <xf numFmtId="0" fontId="23" fillId="20" borderId="0" applyAlignment="1" pivotButton="0" quotePrefix="0" xfId="0">
      <alignment horizontal="center" vertical="center" wrapText="1"/>
    </xf>
    <xf numFmtId="0" fontId="23" fillId="20" borderId="0" applyAlignment="1" pivotButton="0" quotePrefix="0" xfId="0">
      <alignment vertical="top" wrapText="1"/>
    </xf>
    <xf numFmtId="0" fontId="23" fillId="0" borderId="0" pivotButton="0" quotePrefix="0" xfId="0"/>
    <xf numFmtId="0" fontId="0" fillId="0" borderId="4" pivotButton="0" quotePrefix="0" xfId="0"/>
    <xf numFmtId="0" fontId="0" fillId="0" borderId="5" pivotButton="0" quotePrefix="0" xfId="0"/>
    <xf numFmtId="0" fontId="24" fillId="0" borderId="0" applyAlignment="1" pivotButton="0" quotePrefix="0" xfId="0">
      <alignment vertical="top" wrapText="1"/>
    </xf>
    <xf numFmtId="0" fontId="25" fillId="0" borderId="0" applyAlignment="1" pivotButton="0" quotePrefix="0" xfId="0">
      <alignment vertical="top" wrapText="1"/>
    </xf>
    <xf numFmtId="0" fontId="26" fillId="0" borderId="0" applyAlignment="1" pivotButton="0" quotePrefix="0" xfId="0">
      <alignment vertical="top" wrapText="1"/>
    </xf>
    <xf numFmtId="0" fontId="27" fillId="0" borderId="0" applyAlignment="1" pivotButton="0" quotePrefix="0" xfId="0">
      <alignment vertical="top" wrapText="1"/>
    </xf>
    <xf numFmtId="0" fontId="24" fillId="27" borderId="1" applyAlignment="1" pivotButton="0" quotePrefix="0" xfId="0">
      <alignment vertical="top"/>
    </xf>
    <xf numFmtId="0" fontId="25" fillId="0" borderId="1" applyAlignment="1" pivotButton="0" quotePrefix="0" xfId="0">
      <alignment vertical="top"/>
    </xf>
    <xf numFmtId="0" fontId="26" fillId="0" borderId="1" applyAlignment="1" pivotButton="0" quotePrefix="0" xfId="0">
      <alignment vertical="top"/>
    </xf>
    <xf numFmtId="0" fontId="15" fillId="0" borderId="1" applyAlignment="1" pivotButton="0" quotePrefix="0" xfId="0">
      <alignment vertical="top"/>
    </xf>
    <xf numFmtId="0" fontId="25" fillId="27" borderId="1" applyAlignment="1" pivotButton="0" quotePrefix="0" xfId="0">
      <alignment vertical="top"/>
    </xf>
    <xf numFmtId="0" fontId="26" fillId="27" borderId="1" applyAlignment="1" pivotButton="0" quotePrefix="0" xfId="0">
      <alignment vertical="top"/>
    </xf>
    <xf numFmtId="0" fontId="15" fillId="27" borderId="1" applyAlignment="1" pivotButton="0" quotePrefix="0" xfId="0">
      <alignment vertical="top"/>
    </xf>
    <xf numFmtId="0" fontId="24" fillId="0" borderId="1" applyAlignment="1" pivotButton="0" quotePrefix="0" xfId="0">
      <alignment vertical="top"/>
    </xf>
    <xf numFmtId="0" fontId="29" fillId="26" borderId="0" pivotButton="0" quotePrefix="0" xfId="0"/>
    <xf numFmtId="0" fontId="28" fillId="0" borderId="0" applyAlignment="1" pivotButton="0" quotePrefix="0" xfId="0">
      <alignment vertical="top" wrapText="1"/>
    </xf>
    <xf numFmtId="0" fontId="30" fillId="0" borderId="0" applyAlignment="1" pivotButton="0" quotePrefix="0" xfId="0">
      <alignment vertical="top" wrapText="1"/>
    </xf>
    <xf numFmtId="0" fontId="31" fillId="0" borderId="0" applyAlignment="1" pivotButton="0" quotePrefix="0" xfId="0">
      <alignment vertical="top" wrapText="1"/>
    </xf>
    <xf numFmtId="0" fontId="0" fillId="37" borderId="0" applyAlignment="1" pivotButton="0" quotePrefix="0" xfId="0">
      <alignment vertical="top" wrapText="1"/>
    </xf>
    <xf numFmtId="0" fontId="11" fillId="29" borderId="1" pivotButton="0" quotePrefix="0" xfId="0"/>
    <xf numFmtId="0" fontId="12" fillId="29" borderId="1" pivotButton="0" quotePrefix="0" xfId="0"/>
    <xf numFmtId="0" fontId="12" fillId="29" borderId="1" applyAlignment="1" pivotButton="0" quotePrefix="0" xfId="0">
      <alignment vertical="top" wrapText="1"/>
    </xf>
    <xf numFmtId="0" fontId="11" fillId="30" borderId="1" pivotButton="0" quotePrefix="0" xfId="0"/>
    <xf numFmtId="0" fontId="12" fillId="30" borderId="1" pivotButton="0" quotePrefix="0" xfId="0"/>
    <xf numFmtId="0" fontId="12" fillId="30" borderId="1" applyAlignment="1" pivotButton="0" quotePrefix="0" xfId="0">
      <alignment vertical="top" wrapText="1"/>
    </xf>
    <xf numFmtId="0" fontId="11" fillId="31" borderId="1" pivotButton="0" quotePrefix="0" xfId="0"/>
    <xf numFmtId="0" fontId="12" fillId="31" borderId="1" pivotButton="0" quotePrefix="0" xfId="0"/>
    <xf numFmtId="0" fontId="12" fillId="31" borderId="1" applyAlignment="1" pivotButton="0" quotePrefix="0" xfId="0">
      <alignment vertical="top" wrapText="1"/>
    </xf>
    <xf numFmtId="0" fontId="11" fillId="32" borderId="1" pivotButton="0" quotePrefix="0" xfId="0"/>
    <xf numFmtId="0" fontId="12" fillId="32" borderId="1" pivotButton="0" quotePrefix="0" xfId="0"/>
    <xf numFmtId="0" fontId="12" fillId="32" borderId="1" applyAlignment="1" pivotButton="0" quotePrefix="0" xfId="0">
      <alignment vertical="top" wrapText="1"/>
    </xf>
    <xf numFmtId="0" fontId="11" fillId="33" borderId="1" pivotButton="0" quotePrefix="0" xfId="0"/>
    <xf numFmtId="0" fontId="12" fillId="33" borderId="1" pivotButton="0" quotePrefix="0" xfId="0"/>
    <xf numFmtId="0" fontId="12" fillId="33" borderId="1" applyAlignment="1" pivotButton="0" quotePrefix="0" xfId="0">
      <alignment vertical="top" wrapText="1"/>
    </xf>
    <xf numFmtId="0" fontId="11" fillId="34" borderId="1" pivotButton="0" quotePrefix="0" xfId="0"/>
    <xf numFmtId="0" fontId="12" fillId="34" borderId="1" pivotButton="0" quotePrefix="0" xfId="0"/>
    <xf numFmtId="0" fontId="12" fillId="34" borderId="1" applyAlignment="1" pivotButton="0" quotePrefix="0" xfId="0">
      <alignment vertical="top" wrapText="1"/>
    </xf>
    <xf numFmtId="0" fontId="11" fillId="35" borderId="1" pivotButton="0" quotePrefix="0" xfId="0"/>
    <xf numFmtId="0" fontId="12" fillId="35" borderId="1" pivotButton="0" quotePrefix="0" xfId="0"/>
    <xf numFmtId="0" fontId="12" fillId="35" borderId="1" applyAlignment="1" pivotButton="0" quotePrefix="0" xfId="0">
      <alignment vertical="top" wrapText="1"/>
    </xf>
    <xf numFmtId="0" fontId="11" fillId="36" borderId="1" pivotButton="0" quotePrefix="0" xfId="0"/>
    <xf numFmtId="0" fontId="12" fillId="36" borderId="1" pivotButton="0" quotePrefix="0" xfId="0"/>
    <xf numFmtId="0" fontId="12" fillId="36" borderId="1" applyAlignment="1" pivotButton="0" quotePrefix="0" xfId="0">
      <alignment vertical="top" wrapText="1"/>
    </xf>
    <xf numFmtId="0" fontId="32" fillId="0" borderId="0" pivotButton="0" quotePrefix="0" xfId="0"/>
    <xf numFmtId="0" fontId="29" fillId="26" borderId="0" applyAlignment="1" pivotButton="0" quotePrefix="0" xfId="0">
      <alignment vertical="center" wrapText="1"/>
    </xf>
    <xf numFmtId="0" fontId="23" fillId="0" borderId="0" applyAlignment="1" pivotButton="0" quotePrefix="0" xfId="0">
      <alignment horizontal="center" vertical="center" wrapText="1"/>
    </xf>
    <xf numFmtId="0" fontId="0" fillId="38" borderId="0" applyAlignment="1" pivotButton="0" quotePrefix="0" xfId="0">
      <alignment vertical="top" wrapText="1"/>
    </xf>
    <xf numFmtId="0" fontId="26" fillId="38" borderId="0" applyAlignment="1" pivotButton="0" quotePrefix="0" xfId="0">
      <alignment vertical="top" wrapText="1"/>
    </xf>
    <xf numFmtId="0" fontId="29" fillId="26" borderId="0" applyAlignment="1" pivotButton="0" quotePrefix="0" xfId="0">
      <alignment horizontal="center" vertical="center"/>
    </xf>
    <xf numFmtId="0" fontId="29" fillId="39" borderId="0" applyAlignment="1" pivotButton="0" quotePrefix="0" xfId="0">
      <alignment horizontal="center" vertical="center"/>
    </xf>
    <xf numFmtId="0" fontId="29" fillId="40" borderId="0" applyAlignment="1" pivotButton="0" quotePrefix="0" xfId="0">
      <alignment horizontal="center" vertical="center"/>
    </xf>
    <xf numFmtId="0" fontId="29" fillId="41" borderId="0" applyAlignment="1" pivotButton="0" quotePrefix="0" xfId="0">
      <alignment horizontal="center" vertical="center"/>
    </xf>
    <xf numFmtId="0" fontId="29" fillId="42" borderId="0" applyAlignment="1" pivotButton="0" quotePrefix="0" xfId="0">
      <alignment horizontal="center" vertical="center"/>
    </xf>
    <xf numFmtId="0" fontId="29" fillId="43" borderId="0" applyAlignment="1" pivotButton="0" quotePrefix="0" xfId="0">
      <alignment horizontal="center" vertical="center"/>
    </xf>
    <xf numFmtId="0" fontId="0" fillId="26" borderId="0" pivotButton="0" quotePrefix="0" xfId="0"/>
    <xf numFmtId="0" fontId="33" fillId="0" borderId="0" pivotButton="0" quotePrefix="0" xfId="0"/>
    <xf numFmtId="0" fontId="0" fillId="39" borderId="0" pivotButton="0" quotePrefix="0" xfId="0"/>
    <xf numFmtId="0" fontId="0" fillId="40" borderId="0" pivotButton="0" quotePrefix="0" xfId="0"/>
    <xf numFmtId="0" fontId="0" fillId="41" borderId="0" pivotButton="0" quotePrefix="0" xfId="0"/>
    <xf numFmtId="0" fontId="0" fillId="42" borderId="0" pivotButton="0" quotePrefix="0" xfId="0"/>
    <xf numFmtId="0" fontId="0" fillId="43" borderId="0" pivotButton="0" quotePrefix="0" xfId="0"/>
    <xf numFmtId="0" fontId="34" fillId="44" borderId="0" pivotButton="0" quotePrefix="0" xfId="0"/>
    <xf numFmtId="0" fontId="35" fillId="45" borderId="0" pivotButton="0" quotePrefix="0" xfId="0"/>
    <xf numFmtId="0" fontId="36" fillId="46" borderId="0" applyAlignment="1" pivotButton="0" quotePrefix="0" xfId="0">
      <alignment vertical="center" wrapText="1"/>
    </xf>
    <xf numFmtId="0" fontId="44" fillId="26" borderId="0" pivotButton="0" quotePrefix="0" xfId="0"/>
    <xf numFmtId="0" fontId="45" fillId="0" borderId="0" pivotButton="0" quotePrefix="0" xfId="0"/>
    <xf numFmtId="0" fontId="46" fillId="0" borderId="0" applyAlignment="1" pivotButton="0" quotePrefix="0" xfId="0">
      <alignment vertical="top"/>
    </xf>
    <xf numFmtId="0" fontId="29" fillId="39" borderId="0" pivotButton="0" quotePrefix="0" xfId="0"/>
    <xf numFmtId="0" fontId="47" fillId="0" borderId="0" applyAlignment="1" pivotButton="0" quotePrefix="0" xfId="0">
      <alignment vertical="top"/>
    </xf>
    <xf numFmtId="0" fontId="29" fillId="40" borderId="0" pivotButton="0" quotePrefix="0" xfId="0"/>
    <xf numFmtId="0" fontId="48" fillId="0" borderId="0" applyAlignment="1" pivotButton="0" quotePrefix="0" xfId="0">
      <alignment vertical="top"/>
    </xf>
    <xf numFmtId="0" fontId="29" fillId="41" borderId="0" pivotButton="0" quotePrefix="0" xfId="0"/>
    <xf numFmtId="0" fontId="49" fillId="0" borderId="0" applyAlignment="1" pivotButton="0" quotePrefix="0" xfId="0">
      <alignment vertical="top"/>
    </xf>
    <xf numFmtId="0" fontId="29" fillId="42" borderId="0" pivotButton="0" quotePrefix="0" xfId="0"/>
    <xf numFmtId="0" fontId="50" fillId="0" borderId="0" applyAlignment="1" pivotButton="0" quotePrefix="0" xfId="0">
      <alignment vertical="top"/>
    </xf>
    <xf numFmtId="0" fontId="29" fillId="43" borderId="0" pivotButton="0" quotePrefix="0" xfId="0"/>
    <xf numFmtId="0" fontId="51" fillId="0" borderId="0" applyAlignment="1" pivotButton="0" quotePrefix="0" xfId="0">
      <alignment vertical="top"/>
    </xf>
    <xf numFmtId="0" fontId="46" fillId="0" borderId="0" pivotButton="0" quotePrefix="0" xfId="0"/>
    <xf numFmtId="0" fontId="38" fillId="45" borderId="0" applyAlignment="1" pivotButton="0" quotePrefix="0" xfId="0">
      <alignment horizontal="center" vertical="center" wrapText="1"/>
    </xf>
    <xf numFmtId="0" fontId="38" fillId="44" borderId="0" applyAlignment="1" pivotButton="0" quotePrefix="0" xfId="0">
      <alignment horizontal="center" vertical="center" wrapText="1"/>
    </xf>
    <xf numFmtId="0" fontId="38" fillId="29" borderId="0" applyAlignment="1" pivotButton="0" quotePrefix="0" xfId="0">
      <alignment horizontal="center" vertical="center" wrapText="1"/>
    </xf>
    <xf numFmtId="0" fontId="38" fillId="32" borderId="0" applyAlignment="1" pivotButton="0" quotePrefix="0" xfId="0">
      <alignment horizontal="center" vertical="center" wrapText="1"/>
    </xf>
    <xf numFmtId="0" fontId="38" fillId="47" borderId="0" applyAlignment="1" pivotButton="0" quotePrefix="0" xfId="0">
      <alignment horizontal="center" vertical="center" wrapText="1"/>
    </xf>
    <xf numFmtId="0" fontId="38" fillId="48" borderId="0" applyAlignment="1" pivotButton="0" quotePrefix="0" xfId="0">
      <alignment horizontal="center" vertical="center" wrapText="1"/>
    </xf>
    <xf numFmtId="0" fontId="38" fillId="49" borderId="0" applyAlignment="1" pivotButton="0" quotePrefix="0" xfId="0">
      <alignment horizontal="center" vertical="center" wrapText="1"/>
    </xf>
    <xf numFmtId="0" fontId="37" fillId="0" borderId="0" pivotButton="0" quotePrefix="0" xfId="0"/>
    <xf numFmtId="9" fontId="0" fillId="0" borderId="0" pivotButton="0" quotePrefix="0" xfId="0"/>
    <xf numFmtId="0" fontId="0" fillId="45" borderId="0" pivotButton="0" quotePrefix="0" xfId="0"/>
    <xf numFmtId="0" fontId="0" fillId="44" borderId="0" pivotButton="0" quotePrefix="0" xfId="0"/>
    <xf numFmtId="0" fontId="0" fillId="29" borderId="0" pivotButton="0" quotePrefix="0" xfId="0"/>
    <xf numFmtId="0" fontId="0" fillId="32" borderId="0" pivotButton="0" quotePrefix="0" xfId="0"/>
    <xf numFmtId="0" fontId="0" fillId="47" borderId="0" pivotButton="0" quotePrefix="0" xfId="0"/>
    <xf numFmtId="0" fontId="0" fillId="48" borderId="0" pivotButton="0" quotePrefix="0" xfId="0"/>
    <xf numFmtId="0" fontId="0" fillId="49" borderId="0" pivotButton="0" quotePrefix="0" xfId="0"/>
    <xf numFmtId="0" fontId="28" fillId="0" borderId="0" pivotButton="0" quotePrefix="0" xfId="0"/>
    <xf numFmtId="0" fontId="39" fillId="49" borderId="0" pivotButton="0" quotePrefix="0" xfId="0"/>
    <xf numFmtId="0" fontId="40" fillId="0" borderId="0" pivotButton="0" quotePrefix="0" xfId="0"/>
    <xf numFmtId="0" fontId="42" fillId="0" borderId="0" pivotButton="0" quotePrefix="0" xfId="0"/>
    <xf numFmtId="0" fontId="41" fillId="0" borderId="0" pivotButton="0" quotePrefix="0" xfId="0"/>
    <xf numFmtId="2" fontId="43" fillId="0" borderId="0" pivotButton="0" quotePrefix="0" xfId="0"/>
    <xf numFmtId="2" fontId="0" fillId="0" borderId="0" pivotButton="0" quotePrefix="0" xfId="0"/>
    <xf numFmtId="0" fontId="52" fillId="0" borderId="0" pivotButton="0" quotePrefix="0" xfId="0"/>
    <xf numFmtId="0" fontId="0" fillId="50" borderId="0" applyAlignment="1" pivotButton="0" quotePrefix="0" xfId="0">
      <alignment vertical="top"/>
    </xf>
    <xf numFmtId="0" fontId="11" fillId="0" borderId="0" applyAlignment="1" pivotButton="0" quotePrefix="0" xfId="0">
      <alignment vertical="top"/>
    </xf>
    <xf numFmtId="0" fontId="0" fillId="49" borderId="0" applyAlignment="1" pivotButton="0" quotePrefix="0" xfId="0">
      <alignment vertical="top"/>
    </xf>
    <xf numFmtId="0" fontId="0" fillId="25" borderId="0" applyAlignment="1" pivotButton="0" quotePrefix="0" xfId="0">
      <alignment vertical="top"/>
    </xf>
    <xf numFmtId="0" fontId="53" fillId="0" borderId="0" applyAlignment="1" pivotButton="0" quotePrefix="0" xfId="0">
      <alignment vertical="top" wrapText="1"/>
    </xf>
    <xf numFmtId="0" fontId="3" fillId="19" borderId="7" applyAlignment="1" pivotButton="0" quotePrefix="0" xfId="0">
      <alignment horizontal="center"/>
    </xf>
    <xf numFmtId="0" fontId="7" fillId="23" borderId="7" applyAlignment="1" pivotButton="0" quotePrefix="0" xfId="0">
      <alignment horizontal="center"/>
    </xf>
    <xf numFmtId="0" fontId="3" fillId="4" borderId="7" applyAlignment="1" pivotButton="0" quotePrefix="0" xfId="0">
      <alignment horizontal="center"/>
    </xf>
    <xf numFmtId="0" fontId="13" fillId="0" borderId="0" applyAlignment="1" pivotButton="0" quotePrefix="0" xfId="0">
      <alignment vertical="top" wrapText="1"/>
    </xf>
    <xf numFmtId="0" fontId="53" fillId="0" borderId="0" pivotButton="0" quotePrefix="0" xfId="0"/>
    <xf numFmtId="0" fontId="54" fillId="46" borderId="0" applyAlignment="1" pivotButton="0" quotePrefix="0" xfId="0">
      <alignment vertical="top" wrapText="1"/>
    </xf>
    <xf numFmtId="0" fontId="1" fillId="24" borderId="0" pivotButton="0" quotePrefix="0" xfId="0"/>
    <xf numFmtId="0" fontId="0" fillId="24" borderId="0" pivotButton="0" quotePrefix="0" xfId="0"/>
    <xf numFmtId="0" fontId="2" fillId="25" borderId="0" applyAlignment="1" pivotButton="0" quotePrefix="0" xfId="0">
      <alignment wrapText="1"/>
    </xf>
    <xf numFmtId="0" fontId="0" fillId="25" borderId="0" pivotButton="0" quotePrefix="0" xfId="0"/>
    <xf numFmtId="0" fontId="29" fillId="26" borderId="6" pivotButton="0" quotePrefix="0" xfId="0"/>
    <xf numFmtId="0" fontId="11" fillId="0" borderId="6" pivotButton="0" quotePrefix="0" xfId="0"/>
    <xf numFmtId="0" fontId="0" fillId="0" borderId="6" applyAlignment="1" pivotButton="0" quotePrefix="0" xfId="0">
      <alignment vertical="top" wrapText="1"/>
    </xf>
    <xf numFmtId="0" fontId="0" fillId="0" borderId="6" pivotButton="0" quotePrefix="0" xfId="0"/>
    <xf numFmtId="0" fontId="3" fillId="20" borderId="6" applyAlignment="1" pivotButton="0" quotePrefix="0" xfId="0">
      <alignment horizontal="center" vertical="center" wrapText="1"/>
    </xf>
    <xf numFmtId="0" fontId="56" fillId="55" borderId="0" applyAlignment="1" pivotButton="0" quotePrefix="0" xfId="0">
      <alignment vertical="top" wrapText="1"/>
    </xf>
    <xf numFmtId="0" fontId="0" fillId="55" borderId="0" pivotButton="0" quotePrefix="0" xfId="0"/>
    <xf numFmtId="0" fontId="55" fillId="0" borderId="0" applyAlignment="1" pivotButton="0" quotePrefix="0" xfId="0">
      <alignment vertical="top" wrapText="1"/>
    </xf>
    <xf numFmtId="0" fontId="29" fillId="26" borderId="6" applyAlignment="1" pivotButton="0" quotePrefix="0" xfId="0">
      <alignment vertical="center" wrapText="1"/>
    </xf>
    <xf numFmtId="0" fontId="0" fillId="0" borderId="10" pivotButton="0" quotePrefix="0" xfId="0"/>
    <xf numFmtId="0" fontId="0" fillId="0" borderId="11" pivotButton="0" quotePrefix="0" xfId="0"/>
    <xf numFmtId="0" fontId="29" fillId="51" borderId="6" pivotButton="0" quotePrefix="0" xfId="0"/>
    <xf numFmtId="0" fontId="0" fillId="27" borderId="6" pivotButton="0" quotePrefix="0" xfId="0"/>
    <xf numFmtId="0" fontId="0" fillId="27" borderId="6" applyAlignment="1" pivotButton="0" quotePrefix="0" xfId="0">
      <alignment vertical="top" wrapText="1"/>
    </xf>
    <xf numFmtId="0" fontId="29" fillId="52" borderId="6" pivotButton="0" quotePrefix="0" xfId="0"/>
    <xf numFmtId="0" fontId="29" fillId="53" borderId="6" pivotButton="0" quotePrefix="0" xfId="0"/>
    <xf numFmtId="0" fontId="29" fillId="54" borderId="6" pivotButton="0" quotePrefix="0" xfId="0"/>
    <xf numFmtId="0" fontId="12" fillId="66" borderId="1" applyAlignment="1" pivotButton="0" quotePrefix="0" xfId="0">
      <alignment vertical="top" wrapText="1"/>
    </xf>
    <xf numFmtId="0" fontId="0" fillId="66" borderId="6" applyAlignment="1" pivotButton="0" quotePrefix="0" xfId="0">
      <alignment vertical="top" wrapText="1"/>
    </xf>
    <xf numFmtId="0" fontId="0" fillId="66" borderId="0" applyAlignment="1" pivotButton="0" quotePrefix="0" xfId="0">
      <alignment vertical="top" wrapText="1"/>
    </xf>
    <xf numFmtId="0" fontId="57" fillId="24" borderId="0" pivotButton="0" quotePrefix="0" xfId="0"/>
    <xf numFmtId="0" fontId="58" fillId="26" borderId="0" applyAlignment="1" pivotButton="0" quotePrefix="0" xfId="0">
      <alignment vertical="center" wrapText="1"/>
    </xf>
    <xf numFmtId="0" fontId="59" fillId="56" borderId="6" pivotButton="0" quotePrefix="0" xfId="0"/>
    <xf numFmtId="0" fontId="60" fillId="57" borderId="6" pivotButton="0" quotePrefix="0" xfId="0"/>
    <xf numFmtId="0" fontId="0" fillId="58" borderId="6" pivotButton="0" quotePrefix="0" xfId="0"/>
    <xf numFmtId="0" fontId="0" fillId="59" borderId="6" pivotButton="0" quotePrefix="0" xfId="0"/>
    <xf numFmtId="0" fontId="0" fillId="60" borderId="6" pivotButton="0" quotePrefix="0" xfId="0"/>
    <xf numFmtId="0" fontId="0" fillId="30" borderId="6" pivotButton="0" quotePrefix="0" xfId="0"/>
    <xf numFmtId="0" fontId="0" fillId="61" borderId="6" pivotButton="0" quotePrefix="0" xfId="0"/>
    <xf numFmtId="0" fontId="0" fillId="62" borderId="6" pivotButton="0" quotePrefix="0" xfId="0"/>
    <xf numFmtId="0" fontId="0" fillId="32" borderId="6" pivotButton="0" quotePrefix="0" xfId="0"/>
    <xf numFmtId="0" fontId="0" fillId="63" borderId="6" pivotButton="0" quotePrefix="0" xfId="0"/>
    <xf numFmtId="0" fontId="0" fillId="64" borderId="6" pivotButton="0" quotePrefix="0" xfId="0"/>
    <xf numFmtId="0" fontId="0" fillId="65" borderId="6" pivotButton="0" quotePrefix="0" xfId="0"/>
    <xf numFmtId="0" fontId="61" fillId="60" borderId="6" pivotButton="0" quotePrefix="0" xfId="0"/>
    <xf numFmtId="0" fontId="62" fillId="27" borderId="6" pivotButton="0" quotePrefix="0" xfId="0"/>
    <xf numFmtId="0" fontId="63" fillId="0" borderId="6" pivotButton="0" quotePrefix="0" xfId="0"/>
    <xf numFmtId="0" fontId="63" fillId="27" borderId="6" pivotButton="0" quotePrefix="0" xfId="0"/>
    <xf numFmtId="0" fontId="62" fillId="0" borderId="6" pivotButton="0" quotePrefix="0" xfId="0"/>
    <xf numFmtId="0" fontId="64" fillId="67" borderId="0" pivotButton="0" quotePrefix="0" xfId="0"/>
    <xf numFmtId="0" fontId="65" fillId="67" borderId="0" pivotButton="0" quotePrefix="0" xfId="0"/>
    <xf numFmtId="0" fontId="66" fillId="0" borderId="0" pivotButton="0" quotePrefix="0" xfId="0"/>
    <xf numFmtId="0" fontId="67" fillId="0" borderId="0" applyAlignment="1" pivotButton="0" quotePrefix="0" xfId="0">
      <alignment wrapText="1"/>
    </xf>
    <xf numFmtId="0" fontId="64" fillId="0" borderId="0" pivotButton="0" quotePrefix="0" xfId="0"/>
    <xf numFmtId="0" fontId="68" fillId="68" borderId="12" pivotButton="0" quotePrefix="0" xfId="0"/>
    <xf numFmtId="0" fontId="65" fillId="0" borderId="12" pivotButton="0" quotePrefix="0" xfId="0"/>
    <xf numFmtId="165" fontId="65" fillId="0" borderId="12" pivotButton="0" quotePrefix="0" xfId="0"/>
    <xf numFmtId="0" fontId="67" fillId="0" borderId="0" applyAlignment="1" pivotButton="0" quotePrefix="0" xfId="0">
      <alignment vertical="top" wrapText="1"/>
    </xf>
    <xf numFmtId="10" fontId="65" fillId="0" borderId="12" pivotButton="0" quotePrefix="0" xfId="0"/>
  </cellXfs>
  <cellStyles count="1">
    <cellStyle name="Normal" xfId="0" builtinId="0"/>
  </cellStyles>
  <dxfs count="97">
    <dxf>
      <font>
        <b val="1"/>
      </font>
      <fill>
        <patternFill>
          <bgColor rgb="FFFFF200"/>
        </patternFill>
      </fill>
    </dxf>
    <dxf>
      <font>
        <b val="1"/>
      </font>
      <fill>
        <patternFill>
          <bgColor rgb="FFE6B8E7"/>
        </patternFill>
      </fill>
    </dxf>
    <dxf>
      <font>
        <b val="1"/>
      </font>
      <fill>
        <patternFill>
          <bgColor rgb="FFFFC000"/>
        </patternFill>
      </fill>
    </dxf>
    <dxf>
      <font>
        <b val="1"/>
      </font>
      <fill>
        <patternFill>
          <bgColor rgb="FFB7E1A1"/>
        </patternFill>
      </fill>
    </dxf>
    <dxf>
      <font>
        <b val="1"/>
      </font>
      <fill>
        <patternFill>
          <bgColor rgb="FFFCE4D6"/>
        </patternFill>
      </fill>
    </dxf>
    <dxf>
      <font>
        <b val="1"/>
      </font>
      <fill>
        <patternFill>
          <bgColor rgb="FFF58AC0"/>
        </patternFill>
      </fill>
    </dxf>
    <dxf>
      <font>
        <b val="1"/>
      </font>
      <fill>
        <patternFill>
          <bgColor rgb="FFA7E486"/>
        </patternFill>
      </fill>
    </dxf>
    <dxf>
      <font>
        <b val="1"/>
      </font>
      <fill>
        <patternFill>
          <bgColor rgb="FF54D35B"/>
        </patternFill>
      </fill>
    </dxf>
    <dxf>
      <font>
        <b val="1"/>
      </font>
      <fill>
        <patternFill>
          <bgColor rgb="FFD9EAD3"/>
        </patternFill>
      </fill>
    </dxf>
    <dxf>
      <font>
        <b val="1"/>
      </font>
      <fill>
        <patternFill>
          <bgColor rgb="FFFFF2CC"/>
        </patternFill>
      </fill>
    </dxf>
    <dxf>
      <font>
        <b val="1"/>
      </font>
      <fill>
        <patternFill>
          <bgColor rgb="FFFCE5CD"/>
        </patternFill>
      </fill>
    </dxf>
    <dxf>
      <font>
        <b val="1"/>
      </font>
      <fill>
        <patternFill>
          <bgColor rgb="FFF4CCCC"/>
        </patternFill>
      </fill>
    </dxf>
    <dxf>
      <font>
        <b val="1"/>
      </font>
      <fill>
        <patternFill>
          <bgColor rgb="FFFFF2CC"/>
        </patternFill>
      </fill>
    </dxf>
    <dxf>
      <font>
        <b val="1"/>
      </font>
      <fill>
        <patternFill>
          <bgColor rgb="FFFFF200"/>
        </patternFill>
      </fill>
    </dxf>
    <dxf>
      <font>
        <b val="1"/>
      </font>
      <fill>
        <patternFill>
          <bgColor rgb="FFE6B8E7"/>
        </patternFill>
      </fill>
    </dxf>
    <dxf>
      <font>
        <b val="1"/>
      </font>
      <fill>
        <patternFill>
          <bgColor rgb="FFFFC000"/>
        </patternFill>
      </fill>
    </dxf>
    <dxf>
      <font>
        <b val="1"/>
      </font>
      <fill>
        <patternFill>
          <bgColor rgb="FFB7E1A1"/>
        </patternFill>
      </fill>
    </dxf>
    <dxf>
      <font>
        <b val="1"/>
      </font>
      <fill>
        <patternFill>
          <bgColor rgb="FFFCE4D6"/>
        </patternFill>
      </fill>
    </dxf>
    <dxf>
      <font>
        <b val="1"/>
      </font>
      <fill>
        <patternFill>
          <bgColor rgb="FFF58AC0"/>
        </patternFill>
      </fill>
    </dxf>
    <dxf>
      <font>
        <b val="1"/>
      </font>
      <fill>
        <patternFill>
          <bgColor rgb="FFA7E486"/>
        </patternFill>
      </fill>
    </dxf>
    <dxf>
      <font>
        <b val="1"/>
      </font>
      <fill>
        <patternFill>
          <bgColor rgb="FF54D35B"/>
        </patternFill>
      </fill>
    </dxf>
    <dxf>
      <font>
        <b val="1"/>
      </font>
      <fill>
        <patternFill>
          <bgColor rgb="FFFFF2CC"/>
        </patternFill>
      </fill>
    </dxf>
    <dxf>
      <font>
        <b val="1"/>
      </font>
      <fill>
        <patternFill>
          <bgColor rgb="FFFFF200"/>
        </patternFill>
      </fill>
    </dxf>
    <dxf>
      <font>
        <b val="1"/>
      </font>
      <fill>
        <patternFill>
          <bgColor rgb="FFE6B8E7"/>
        </patternFill>
      </fill>
    </dxf>
    <dxf>
      <font>
        <b val="1"/>
      </font>
      <fill>
        <patternFill>
          <bgColor rgb="FFFFC000"/>
        </patternFill>
      </fill>
    </dxf>
    <dxf>
      <font>
        <b val="1"/>
      </font>
      <fill>
        <patternFill>
          <bgColor rgb="FFB7E1A1"/>
        </patternFill>
      </fill>
    </dxf>
    <dxf>
      <font>
        <b val="1"/>
      </font>
      <fill>
        <patternFill>
          <bgColor rgb="FFFCE4D6"/>
        </patternFill>
      </fill>
    </dxf>
    <dxf>
      <font>
        <b val="1"/>
      </font>
      <fill>
        <patternFill>
          <bgColor rgb="FFF58AC0"/>
        </patternFill>
      </fill>
    </dxf>
    <dxf>
      <font>
        <b val="1"/>
      </font>
      <fill>
        <patternFill>
          <bgColor rgb="FFA7E486"/>
        </patternFill>
      </fill>
    </dxf>
    <dxf>
      <font>
        <b val="1"/>
      </font>
      <fill>
        <patternFill>
          <bgColor rgb="FF54D35B"/>
        </patternFill>
      </fill>
    </dxf>
    <dxf>
      <font>
        <b val="1"/>
      </font>
      <fill>
        <patternFill>
          <bgColor rgb="FFD9EAD3"/>
        </patternFill>
      </fill>
    </dxf>
    <dxf>
      <font>
        <b val="1"/>
      </font>
      <fill>
        <patternFill>
          <bgColor rgb="FFFFF2CC"/>
        </patternFill>
      </fill>
    </dxf>
    <dxf>
      <font>
        <b val="1"/>
      </font>
      <fill>
        <patternFill>
          <bgColor rgb="FFFCE5CD"/>
        </patternFill>
      </fill>
    </dxf>
    <dxf>
      <font>
        <b val="1"/>
      </font>
      <fill>
        <patternFill>
          <bgColor rgb="FFF4CCCC"/>
        </patternFill>
      </fill>
    </dxf>
    <dxf>
      <font>
        <b val="1"/>
      </font>
      <fill>
        <patternFill>
          <bgColor rgb="FFFFF200"/>
        </patternFill>
      </fill>
    </dxf>
    <dxf>
      <font>
        <b val="1"/>
      </font>
      <fill>
        <patternFill>
          <bgColor rgb="FFE6B8E7"/>
        </patternFill>
      </fill>
    </dxf>
    <dxf>
      <font>
        <b val="1"/>
      </font>
      <fill>
        <patternFill>
          <bgColor rgb="FFFFC000"/>
        </patternFill>
      </fill>
    </dxf>
    <dxf>
      <font>
        <b val="1"/>
      </font>
      <fill>
        <patternFill>
          <bgColor rgb="FFB7E1A1"/>
        </patternFill>
      </fill>
    </dxf>
    <dxf>
      <font>
        <b val="1"/>
      </font>
      <fill>
        <patternFill>
          <bgColor rgb="FFFCE4D6"/>
        </patternFill>
      </fill>
    </dxf>
    <dxf>
      <font>
        <b val="1"/>
      </font>
      <fill>
        <patternFill>
          <bgColor rgb="FFF58AC0"/>
        </patternFill>
      </fill>
    </dxf>
    <dxf>
      <font>
        <b val="1"/>
      </font>
      <fill>
        <patternFill>
          <bgColor rgb="FFA7E486"/>
        </patternFill>
      </fill>
    </dxf>
    <dxf>
      <font>
        <b val="1"/>
      </font>
      <fill>
        <patternFill>
          <bgColor rgb="FF54D35B"/>
        </patternFill>
      </fill>
    </dxf>
    <dxf>
      <font>
        <b val="1"/>
      </font>
      <fill>
        <patternFill>
          <bgColor rgb="FFD9EAD3"/>
        </patternFill>
      </fill>
    </dxf>
    <dxf>
      <font>
        <b val="1"/>
      </font>
      <fill>
        <patternFill>
          <bgColor rgb="FFFFF2CC"/>
        </patternFill>
      </fill>
    </dxf>
    <dxf>
      <font>
        <b val="1"/>
      </font>
      <fill>
        <patternFill>
          <bgColor rgb="FFFCE5CD"/>
        </patternFill>
      </fill>
    </dxf>
    <dxf>
      <font>
        <b val="1"/>
      </font>
      <fill>
        <patternFill>
          <bgColor rgb="FFF4CCCC"/>
        </patternFill>
      </fill>
    </dxf>
    <dxf>
      <font>
        <b val="1"/>
      </font>
      <fill>
        <patternFill>
          <bgColor rgb="FFFFF200"/>
        </patternFill>
      </fill>
    </dxf>
    <dxf>
      <font>
        <b val="1"/>
      </font>
      <fill>
        <patternFill>
          <bgColor rgb="FFE6B8E7"/>
        </patternFill>
      </fill>
    </dxf>
    <dxf>
      <font>
        <b val="1"/>
      </font>
      <fill>
        <patternFill>
          <bgColor rgb="FFFFC000"/>
        </patternFill>
      </fill>
    </dxf>
    <dxf>
      <font>
        <b val="1"/>
      </font>
      <fill>
        <patternFill>
          <bgColor rgb="FFB7E1A1"/>
        </patternFill>
      </fill>
    </dxf>
    <dxf>
      <font>
        <b val="1"/>
      </font>
      <fill>
        <patternFill>
          <bgColor rgb="FFFCE4D6"/>
        </patternFill>
      </fill>
    </dxf>
    <dxf>
      <font>
        <b val="1"/>
      </font>
      <fill>
        <patternFill>
          <bgColor rgb="FFF58AC0"/>
        </patternFill>
      </fill>
    </dxf>
    <dxf>
      <font>
        <b val="1"/>
      </font>
      <fill>
        <patternFill>
          <bgColor rgb="FFA7E486"/>
        </patternFill>
      </fill>
    </dxf>
    <dxf>
      <font>
        <b val="1"/>
      </font>
      <fill>
        <patternFill>
          <bgColor rgb="FF54D35B"/>
        </patternFill>
      </fill>
    </dxf>
    <dxf>
      <font>
        <b val="1"/>
      </font>
      <fill>
        <patternFill>
          <bgColor rgb="FFFFF200"/>
        </patternFill>
      </fill>
    </dxf>
    <dxf>
      <font>
        <b val="1"/>
      </font>
      <fill>
        <patternFill>
          <bgColor rgb="FFE6B8E7"/>
        </patternFill>
      </fill>
    </dxf>
    <dxf>
      <font>
        <b val="1"/>
      </font>
      <fill>
        <patternFill>
          <bgColor rgb="FFFFC000"/>
        </patternFill>
      </fill>
    </dxf>
    <dxf>
      <font>
        <b val="1"/>
      </font>
      <fill>
        <patternFill>
          <bgColor rgb="FFB7E1A1"/>
        </patternFill>
      </fill>
    </dxf>
    <dxf>
      <font>
        <b val="1"/>
      </font>
      <fill>
        <patternFill>
          <bgColor rgb="FFFCE4D6"/>
        </patternFill>
      </fill>
    </dxf>
    <dxf>
      <font>
        <b val="1"/>
      </font>
      <fill>
        <patternFill>
          <bgColor rgb="FFF58AC0"/>
        </patternFill>
      </fill>
    </dxf>
    <dxf>
      <font>
        <b val="1"/>
      </font>
      <fill>
        <patternFill>
          <bgColor rgb="FFA7E486"/>
        </patternFill>
      </fill>
    </dxf>
    <dxf>
      <font>
        <b val="1"/>
      </font>
      <fill>
        <patternFill>
          <bgColor rgb="FF54D35B"/>
        </patternFill>
      </fill>
    </dxf>
    <dxf>
      <font>
        <b val="1"/>
      </font>
      <fill>
        <patternFill>
          <bgColor rgb="FFD9EAD3"/>
        </patternFill>
      </fill>
    </dxf>
    <dxf>
      <font>
        <b val="1"/>
      </font>
      <fill>
        <patternFill>
          <bgColor rgb="FFFFF2CC"/>
        </patternFill>
      </fill>
    </dxf>
    <dxf>
      <font>
        <b val="1"/>
      </font>
      <fill>
        <patternFill>
          <bgColor rgb="FFFCE5CD"/>
        </patternFill>
      </fill>
    </dxf>
    <dxf>
      <font>
        <b val="1"/>
      </font>
      <fill>
        <patternFill>
          <bgColor rgb="FFF4CCCC"/>
        </patternFill>
      </fill>
    </dxf>
    <dxf>
      <font>
        <b val="1"/>
      </font>
      <fill>
        <patternFill patternType="solid">
          <bgColor rgb="FFF4CCCC"/>
        </patternFill>
      </fill>
    </dxf>
    <dxf>
      <font>
        <b val="1"/>
      </font>
      <fill>
        <patternFill patternType="solid">
          <bgColor rgb="FFFCE5CD"/>
        </patternFill>
      </fill>
    </dxf>
    <dxf>
      <font>
        <b val="1"/>
      </font>
      <fill>
        <patternFill patternType="solid">
          <bgColor rgb="FFFFF2CC"/>
        </patternFill>
      </fill>
    </dxf>
    <dxf>
      <font>
        <b val="1"/>
      </font>
      <fill>
        <patternFill patternType="solid">
          <bgColor rgb="FFD9EAD3"/>
        </patternFill>
      </fill>
    </dxf>
    <dxf>
      <fill>
        <patternFill patternType="solid">
          <fgColor rgb="00D6E9F8"/>
        </patternFill>
      </fill>
    </dxf>
    <dxf>
      <fill>
        <patternFill patternType="solid">
          <fgColor rgb="00D6F0EA"/>
        </patternFill>
      </fill>
    </dxf>
    <dxf>
      <fill>
        <patternFill patternType="solid">
          <fgColor rgb="00E2E6ED"/>
        </patternFill>
      </fill>
    </dxf>
    <dxf>
      <fill>
        <patternFill patternType="solid">
          <fgColor rgb="00E6DFF6"/>
        </patternFill>
      </fill>
    </dxf>
    <dxf>
      <fill>
        <patternFill patternType="solid">
          <fgColor rgb="00F0E0EE"/>
        </patternFill>
      </fill>
    </dxf>
    <dxf>
      <fill>
        <patternFill patternType="solid">
          <fgColor rgb="00DCEAE6"/>
        </patternFill>
      </fill>
    </dxf>
    <dxf>
      <fill>
        <patternFill patternType="solid">
          <fgColor rgb="00D9E4F0"/>
        </patternFill>
      </fill>
    </dxf>
    <dxf>
      <fill>
        <patternFill patternType="solid">
          <fgColor rgb="00EDE6DC"/>
        </patternFill>
      </fill>
    </dxf>
    <dxf>
      <font>
        <name val="Carlito"/>
        <b val="1"/>
        <color rgb="00FFFFFF"/>
      </font>
      <fill>
        <patternFill patternType="solid">
          <fgColor rgb="001E8449"/>
        </patternFill>
      </fill>
    </dxf>
    <dxf>
      <font>
        <name val="Carlito"/>
        <b val="1"/>
        <color rgb="00FFFFFF"/>
      </font>
      <fill>
        <patternFill patternType="solid">
          <fgColor rgb="002874A6"/>
        </patternFill>
      </fill>
    </dxf>
    <dxf>
      <font>
        <name val="Carlito"/>
        <b val="1"/>
        <color rgb="00FFFFFF"/>
      </font>
      <fill>
        <patternFill patternType="solid">
          <fgColor rgb="00B7791F"/>
        </patternFill>
      </fill>
    </dxf>
    <dxf>
      <font>
        <name val="Carlito"/>
        <b val="1"/>
        <color rgb="00FFFFFF"/>
      </font>
      <fill>
        <patternFill patternType="solid">
          <fgColor rgb="007F8C8D"/>
        </patternFill>
      </fill>
    </dxf>
    <dxf>
      <font>
        <name val="Carlito"/>
        <b val="1"/>
        <color rgb="007A1F42"/>
      </font>
      <fill>
        <patternFill patternType="solid">
          <fgColor rgb="00F9D5E5"/>
        </patternFill>
      </fill>
    </dxf>
    <dxf>
      <font>
        <name val="Carlito"/>
        <b val="1"/>
        <color rgb="007A4E00"/>
      </font>
      <fill>
        <patternFill patternType="solid">
          <fgColor rgb="00FCE0B8"/>
        </patternFill>
      </fill>
    </dxf>
    <dxf>
      <font>
        <name val="Carlito"/>
        <b val="1"/>
        <color rgb="001F5C2E"/>
      </font>
      <fill>
        <patternFill patternType="solid">
          <fgColor rgb="00D9F0D3"/>
        </patternFill>
      </fill>
    </dxf>
    <dxf>
      <font>
        <name val="Carlito"/>
        <b val="1"/>
        <color rgb="00A30000"/>
      </font>
      <fill>
        <patternFill patternType="solid">
          <fgColor rgb="00F4CCCC"/>
        </patternFill>
      </fill>
    </dxf>
    <dxf>
      <font>
        <name val="Carlito"/>
        <color rgb="00666666"/>
      </font>
      <fill>
        <patternFill patternType="solid">
          <fgColor rgb="00F2F2F2"/>
        </patternFill>
      </fill>
    </dxf>
    <dxf>
      <font>
        <b val="1"/>
        <color rgb="002E7D32"/>
      </font>
      <fill>
        <patternFill patternType="solid">
          <fgColor rgb="00D9EAD3"/>
        </patternFill>
      </fill>
    </dxf>
    <dxf>
      <font>
        <b val="1"/>
        <color rgb="00A30000"/>
      </font>
      <fill>
        <patternFill patternType="solid">
          <fgColor rgb="00F4CCCC"/>
        </patternFill>
      </fill>
    </dxf>
    <dxf>
      <font>
        <name val="Carlito"/>
        <b val="1"/>
        <color rgb="001E8449"/>
      </font>
    </dxf>
    <dxf>
      <font>
        <name val="Carlito"/>
        <b val="1"/>
        <color rgb="002874A6"/>
      </font>
    </dxf>
    <dxf>
      <font>
        <name val="Carlito"/>
        <b val="1"/>
        <color rgb="00B7791F"/>
      </font>
    </dxf>
    <dxf>
      <font>
        <name val="Carlito"/>
        <b val="1"/>
        <color rgb="007F8C8D"/>
      </font>
    </dxf>
    <dxf>
      <font>
        <name val="Carlito"/>
        <b val="1"/>
        <color rgb="005C3A00"/>
      </font>
      <fill>
        <patternFill patternType="solid">
          <fgColor rgb="00FFC000"/>
        </patternFill>
      </fill>
    </dxf>
    <dxf>
      <font>
        <name val="Carlito"/>
        <b val="1"/>
        <color rgb="001E5E1E"/>
      </font>
      <fill>
        <patternFill patternType="solid">
          <fgColor rgb="00C6E8C6"/>
        </patternFill>
      </fill>
    </dxf>
    <dxf>
      <font>
        <name val="Carlito"/>
        <color rgb="007A5B00"/>
      </font>
      <fill>
        <patternFill patternType="solid">
          <fgColor rgb="00FFF3C4"/>
        </patternFill>
      </fill>
    </dxf>
    <dxf>
      <font>
        <name val="Carlito"/>
        <color rgb="007A3E00"/>
      </font>
      <fill>
        <patternFill patternType="solid">
          <fgColor rgb="00FFDDA6"/>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lang="en-US"/>
              <a:t>Top 15 ranked OFFER items — Weighted S</a:t>
            </a:r>
          </a:p>
        </rich>
      </tx>
      <overlay val="0"/>
    </title>
    <plotArea>
      <layout/>
      <barChart>
        <barDir val="bar"/>
        <grouping val="clustered"/>
        <varyColors val="0"/>
        <ser>
          <idx val="0"/>
          <order val="0"/>
          <tx>
            <v>Top 15 ranked OFFER items — Weighted S</v>
          </tx>
          <spPr>
            <a:ln xmlns:a="http://schemas.openxmlformats.org/drawingml/2006/main">
              <a:prstDash val="solid"/>
            </a:ln>
          </spPr>
          <invertIfNegative val="1"/>
          <cat>
            <strRef>
              <f>DASHBOARD!$N$4:$N$18</f>
              <strCache>
                <ptCount val="15"/>
                <pt idx="0">
                  <v>OFFER-02</v>
                </pt>
                <pt idx="1">
                  <v>OFFER-48</v>
                </pt>
                <pt idx="2">
                  <v>OFFER-01</v>
                </pt>
                <pt idx="3">
                  <v>OFFER-03</v>
                </pt>
                <pt idx="4">
                  <v>OFFER-47</v>
                </pt>
                <pt idx="5">
                  <v>OFFER-49</v>
                </pt>
                <pt idx="6">
                  <v>OFFER-09</v>
                </pt>
                <pt idx="7">
                  <v>OFFER-42</v>
                </pt>
                <pt idx="8">
                  <v>OFFER-20</v>
                </pt>
                <pt idx="9">
                  <v>OFFER-34</v>
                </pt>
                <pt idx="10">
                  <v>OFFER-29</v>
                </pt>
                <pt idx="11">
                  <v>OFFER-04</v>
                </pt>
                <pt idx="12">
                  <v>OFFER-05</v>
                </pt>
                <pt idx="13">
                  <v>OFFER-27</v>
                </pt>
                <pt idx="14">
                  <v>OFFER-33</v>
                </pt>
              </strCache>
            </strRef>
          </cat>
          <val>
            <numRef>
              <f>DASHBOARD!$O$4:$O$18</f>
              <numCache>
                <formatCode>General</formatCode>
                <ptCount val="15"/>
                <pt idx="0">
                  <v>54</v>
                </pt>
                <pt idx="1">
                  <v>42.667</v>
                </pt>
                <pt idx="2">
                  <v>32</v>
                </pt>
                <pt idx="3">
                  <v>32</v>
                </pt>
                <pt idx="4">
                  <v>32</v>
                </pt>
                <pt idx="5">
                  <v>32</v>
                </pt>
                <pt idx="6">
                  <v>55.667</v>
                </pt>
                <pt idx="7">
                  <v>46.333</v>
                </pt>
                <pt idx="8">
                  <v>46</v>
                </pt>
                <pt idx="9">
                  <v>46</v>
                </pt>
                <pt idx="10">
                  <v>45</v>
                </pt>
                <pt idx="11">
                  <v>44</v>
                </pt>
                <pt idx="12">
                  <v>44</v>
                </pt>
                <pt idx="13">
                  <v>41.333</v>
                </pt>
                <pt idx="14">
                  <v>38.667</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72768"/>
        <crosses val="autoZero"/>
        <auto val="1"/>
        <lblAlgn val="ctr"/>
        <lblOffset val="100"/>
        <noMultiLvlLbl val="0"/>
      </catAx>
      <valAx>
        <axId val="48672768"/>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plotVisOnly val="1"/>
    <dispBlanksAs val="zero"/>
  </chart>
  <spPr>
    <a:ln xmlns:a="http://schemas.openxmlformats.org/drawingml/2006/main" w="9525">
      <a:solidFill>
        <a:srgbClr val="D9D9D9"/>
      </a:solid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lang="en-US"/>
              <a:t>Tier distribution</a:t>
            </a:r>
          </a:p>
        </rich>
      </tx>
      <overlay val="0"/>
    </title>
    <plotArea>
      <layout/>
      <pieChart>
        <varyColors val="1"/>
        <ser>
          <idx val="0"/>
          <order val="0"/>
          <tx>
            <v>Tier distribution</v>
          </tx>
          <spPr>
            <a:ln xmlns:a="http://schemas.openxmlformats.org/drawingml/2006/main">
              <a:prstDash val="solid"/>
            </a:ln>
          </spPr>
          <cat>
            <strRef>
              <f>DASHBOARD!$Q$4:$Q$7</f>
              <strCache>
                <ptCount val="4"/>
                <pt idx="0">
                  <v>T0 Gate</v>
                </pt>
                <pt idx="1">
                  <v>T1 Primary</v>
                </pt>
                <pt idx="2">
                  <v>T2 Secondary</v>
                </pt>
                <pt idx="3">
                  <v>T3 Contextual</v>
                </pt>
              </strCache>
            </strRef>
          </cat>
          <val>
            <numRef>
              <f>DASHBOARD!$R$4:$R$7</f>
              <numCache>
                <formatCode>General</formatCode>
                <ptCount val="4"/>
                <pt idx="0">
                  <v>6</v>
                </pt>
                <pt idx="1">
                  <v>10</v>
                </pt>
                <pt idx="2">
                  <v>16</v>
                </pt>
                <pt idx="3">
                  <v>18</v>
                </pt>
              </numCache>
            </numRef>
          </val>
        </ser>
        <dLbls>
          <showLegendKey val="0"/>
          <showVal val="0"/>
          <showCatName val="0"/>
          <showSerName val="0"/>
          <showPercent val="0"/>
          <showBubbleSize val="0"/>
          <showLeaderLines val="0"/>
        </dLbls>
        <firstSliceAng val="0"/>
      </pieChart>
    </plotArea>
    <legend>
      <legendPos val="b"/>
      <overlay val="0"/>
    </legend>
    <plotVisOnly val="1"/>
    <dispBlanksAs val="zero"/>
  </chart>
  <spPr>
    <a:ln xmlns:a="http://schemas.openxmlformats.org/drawingml/2006/main" w="9525">
      <a:solidFill>
        <a:srgbClr val="D9D9D9"/>
      </a:solidFill>
      <a:prstDash val="solid"/>
    </a:ln>
  </spPr>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lang="en-US"/>
              <a:t>Average Weighted S by category</a:t>
            </a:r>
          </a:p>
        </rich>
      </tx>
      <overlay val="0"/>
    </title>
    <plotArea>
      <layout/>
      <barChart>
        <barDir val="bar"/>
        <grouping val="clustered"/>
        <varyColors val="0"/>
        <ser>
          <idx val="0"/>
          <order val="0"/>
          <tx>
            <v>Average Weighted S by category</v>
          </tx>
          <spPr>
            <a:ln xmlns:a="http://schemas.openxmlformats.org/drawingml/2006/main">
              <a:prstDash val="solid"/>
            </a:ln>
          </spPr>
          <invertIfNegative val="1"/>
          <cat>
            <strRef>
              <f>DASHBOARD!$T$4:$T$8</f>
              <strCache>
                <ptCount val="5"/>
                <pt idx="0">
                  <v>Compliance / Quality</v>
                </pt>
                <pt idx="1">
                  <v>Reliability / RAM / Service</v>
                </pt>
                <pt idx="2">
                  <v>Controls / Software / Management</v>
                </pt>
                <pt idx="3">
                  <v>Performance / Process / Utilities</v>
                </pt>
                <pt idx="4">
                  <v>Configuration / Layout / Support</v>
                </pt>
              </strCache>
            </strRef>
          </cat>
          <val>
            <numRef>
              <f>DASHBOARD!$V$4:$V$8</f>
              <numCache>
                <formatCode>General</formatCode>
                <ptCount val="5"/>
                <pt idx="0">
                  <v>37.444</v>
                </pt>
                <pt idx="1">
                  <v>33.833</v>
                </pt>
                <pt idx="2">
                  <v>30.067</v>
                </pt>
                <pt idx="3">
                  <v>27.933</v>
                </pt>
                <pt idx="4">
                  <v>20.848</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72768"/>
        <crosses val="autoZero"/>
        <auto val="1"/>
        <lblAlgn val="ctr"/>
        <lblOffset val="100"/>
        <noMultiLvlLbl val="0"/>
      </catAx>
      <valAx>
        <axId val="48672768"/>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plotVisOnly val="1"/>
    <dispBlanksAs val="zero"/>
  </chart>
  <spPr>
    <a:ln xmlns:a="http://schemas.openxmlformats.org/drawingml/2006/main" w="9525">
      <a:solidFill>
        <a:srgbClr val="D9D9D9"/>
      </a:solidFill>
      <a:prstDash val="solid"/>
    </a:ln>
  </spPr>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lang="en-US"/>
              <a:t xml:space="preserve">Rank profile: Weighted S vs BT </a:t>
            </a:r>
            <a:r>
              <a:rPr lang="el-GR"/>
              <a:t>λ</a:t>
            </a:r>
          </a:p>
        </rich>
      </tx>
      <overlay val="0"/>
    </title>
    <plotArea>
      <layout/>
      <lineChart>
        <grouping val="standard"/>
        <varyColors val="0"/>
        <ser>
          <idx val="0"/>
          <order val="0"/>
          <tx>
            <v>Weighted S</v>
          </tx>
          <spPr>
            <a:ln xmlns:a="http://schemas.openxmlformats.org/drawingml/2006/main">
              <a:prstDash val="solid"/>
            </a:ln>
          </spPr>
          <marker>
            <symbol val="none"/>
            <spPr>
              <a:ln xmlns:a="http://schemas.openxmlformats.org/drawingml/2006/main">
                <a:prstDash val="solid"/>
              </a:ln>
            </spPr>
          </marker>
          <cat>
            <numRef>
              <f>DASHBOARD!$X$4:$X$53</f>
              <numCache>
                <formatCode>General</formatCode>
                <ptCount val="50"/>
                <pt idx="0">
                  <v>1</v>
                </pt>
                <pt idx="1">
                  <v>2</v>
                </pt>
                <pt idx="2">
                  <v>3</v>
                </pt>
                <pt idx="3">
                  <v>4</v>
                </pt>
                <pt idx="4">
                  <v>5</v>
                </pt>
                <pt idx="5">
                  <v>6</v>
                </pt>
                <pt idx="6">
                  <v>7</v>
                </pt>
                <pt idx="7">
                  <v>8</v>
                </pt>
                <pt idx="8">
                  <v>9</v>
                </pt>
                <pt idx="9">
                  <v>10</v>
                </pt>
                <pt idx="10">
                  <v>11</v>
                </pt>
                <pt idx="11">
                  <v>12</v>
                </pt>
                <pt idx="12">
                  <v>13</v>
                </pt>
                <pt idx="13">
                  <v>14</v>
                </pt>
                <pt idx="14">
                  <v>15</v>
                </pt>
                <pt idx="15">
                  <v>16</v>
                </pt>
                <pt idx="16">
                  <v>17</v>
                </pt>
                <pt idx="17">
                  <v>18</v>
                </pt>
                <pt idx="18">
                  <v>19</v>
                </pt>
                <pt idx="19">
                  <v>20</v>
                </pt>
                <pt idx="20">
                  <v>21</v>
                </pt>
                <pt idx="21">
                  <v>22</v>
                </pt>
                <pt idx="22">
                  <v>23</v>
                </pt>
                <pt idx="23">
                  <v>24</v>
                </pt>
                <pt idx="24">
                  <v>25</v>
                </pt>
                <pt idx="25">
                  <v>26</v>
                </pt>
                <pt idx="26">
                  <v>27</v>
                </pt>
                <pt idx="27">
                  <v>28</v>
                </pt>
                <pt idx="28">
                  <v>29</v>
                </pt>
                <pt idx="29">
                  <v>30</v>
                </pt>
                <pt idx="30">
                  <v>31</v>
                </pt>
                <pt idx="31">
                  <v>32</v>
                </pt>
                <pt idx="32">
                  <v>33</v>
                </pt>
                <pt idx="33">
                  <v>34</v>
                </pt>
                <pt idx="34">
                  <v>35</v>
                </pt>
                <pt idx="35">
                  <v>36</v>
                </pt>
                <pt idx="36">
                  <v>37</v>
                </pt>
                <pt idx="37">
                  <v>38</v>
                </pt>
                <pt idx="38">
                  <v>39</v>
                </pt>
                <pt idx="39">
                  <v>40</v>
                </pt>
                <pt idx="40">
                  <v>41</v>
                </pt>
                <pt idx="41">
                  <v>42</v>
                </pt>
                <pt idx="42">
                  <v>43</v>
                </pt>
                <pt idx="43">
                  <v>44</v>
                </pt>
                <pt idx="44">
                  <v>45</v>
                </pt>
                <pt idx="45">
                  <v>46</v>
                </pt>
                <pt idx="46">
                  <v>47</v>
                </pt>
                <pt idx="47">
                  <v>48</v>
                </pt>
                <pt idx="48">
                  <v>49</v>
                </pt>
                <pt idx="49">
                  <v>50</v>
                </pt>
              </numCache>
            </numRef>
          </cat>
          <val>
            <numRef>
              <f>DASHBOARD!$Y$4:$Y$53</f>
              <numCache>
                <formatCode>General</formatCode>
                <ptCount val="50"/>
                <pt idx="0">
                  <v>54</v>
                </pt>
                <pt idx="1">
                  <v>42.667</v>
                </pt>
                <pt idx="2">
                  <v>32</v>
                </pt>
                <pt idx="3">
                  <v>32</v>
                </pt>
                <pt idx="4">
                  <v>32</v>
                </pt>
                <pt idx="5">
                  <v>32</v>
                </pt>
                <pt idx="6">
                  <v>55.667</v>
                </pt>
                <pt idx="7">
                  <v>46.333</v>
                </pt>
                <pt idx="8">
                  <v>46</v>
                </pt>
                <pt idx="9">
                  <v>46</v>
                </pt>
                <pt idx="10">
                  <v>45</v>
                </pt>
                <pt idx="11">
                  <v>44</v>
                </pt>
                <pt idx="12">
                  <v>44</v>
                </pt>
                <pt idx="13">
                  <v>41.333</v>
                </pt>
                <pt idx="14">
                  <v>38.667</v>
                </pt>
                <pt idx="15">
                  <v>38.667</v>
                </pt>
                <pt idx="16">
                  <v>36</v>
                </pt>
                <pt idx="17">
                  <v>36</v>
                </pt>
                <pt idx="18">
                  <v>35.667</v>
                </pt>
                <pt idx="19">
                  <v>32.667</v>
                </pt>
                <pt idx="20">
                  <v>32.667</v>
                </pt>
                <pt idx="21">
                  <v>32</v>
                </pt>
                <pt idx="22">
                  <v>32</v>
                </pt>
                <pt idx="23">
                  <v>31.667</v>
                </pt>
                <pt idx="24">
                  <v>29.333</v>
                </pt>
                <pt idx="25">
                  <v>26.667</v>
                </pt>
                <pt idx="26">
                  <v>24</v>
                </pt>
                <pt idx="27">
                  <v>24</v>
                </pt>
                <pt idx="28">
                  <v>24</v>
                </pt>
                <pt idx="29">
                  <v>24</v>
                </pt>
                <pt idx="30">
                  <v>24</v>
                </pt>
                <pt idx="31">
                  <v>24</v>
                </pt>
                <pt idx="32">
                  <v>23.333</v>
                </pt>
                <pt idx="33">
                  <v>22.667</v>
                </pt>
                <pt idx="34">
                  <v>20</v>
                </pt>
                <pt idx="35">
                  <v>20</v>
                </pt>
                <pt idx="36">
                  <v>20</v>
                </pt>
                <pt idx="37">
                  <v>20</v>
                </pt>
                <pt idx="38">
                  <v>18.667</v>
                </pt>
                <pt idx="39">
                  <v>18.667</v>
                </pt>
                <pt idx="40">
                  <v>17.333</v>
                </pt>
                <pt idx="41">
                  <v>17.333</v>
                </pt>
                <pt idx="42">
                  <v>16</v>
                </pt>
                <pt idx="43">
                  <v>16</v>
                </pt>
                <pt idx="44">
                  <v>16</v>
                </pt>
                <pt idx="45">
                  <v>16</v>
                </pt>
                <pt idx="46">
                  <v>14.333</v>
                </pt>
                <pt idx="47">
                  <v>12</v>
                </pt>
                <pt idx="48">
                  <v>10.667</v>
                </pt>
                <pt idx="49">
                  <v>6.333</v>
                </pt>
              </numCache>
            </numRef>
          </val>
          <smooth val="0"/>
        </ser>
        <ser>
          <idx val="1"/>
          <order val="1"/>
          <tx>
            <v>BT λ</v>
          </tx>
          <spPr>
            <a:ln xmlns:a="http://schemas.openxmlformats.org/drawingml/2006/main">
              <a:prstDash val="solid"/>
            </a:ln>
          </spPr>
          <marker>
            <symbol val="none"/>
            <spPr>
              <a:ln xmlns:a="http://schemas.openxmlformats.org/drawingml/2006/main">
                <a:prstDash val="solid"/>
              </a:ln>
            </spPr>
          </marker>
          <cat>
            <numRef>
              <f>DASHBOARD!$X$4:$X$53</f>
              <numCache>
                <formatCode>General</formatCode>
                <ptCount val="50"/>
                <pt idx="0">
                  <v>1</v>
                </pt>
                <pt idx="1">
                  <v>2</v>
                </pt>
                <pt idx="2">
                  <v>3</v>
                </pt>
                <pt idx="3">
                  <v>4</v>
                </pt>
                <pt idx="4">
                  <v>5</v>
                </pt>
                <pt idx="5">
                  <v>6</v>
                </pt>
                <pt idx="6">
                  <v>7</v>
                </pt>
                <pt idx="7">
                  <v>8</v>
                </pt>
                <pt idx="8">
                  <v>9</v>
                </pt>
                <pt idx="9">
                  <v>10</v>
                </pt>
                <pt idx="10">
                  <v>11</v>
                </pt>
                <pt idx="11">
                  <v>12</v>
                </pt>
                <pt idx="12">
                  <v>13</v>
                </pt>
                <pt idx="13">
                  <v>14</v>
                </pt>
                <pt idx="14">
                  <v>15</v>
                </pt>
                <pt idx="15">
                  <v>16</v>
                </pt>
                <pt idx="16">
                  <v>17</v>
                </pt>
                <pt idx="17">
                  <v>18</v>
                </pt>
                <pt idx="18">
                  <v>19</v>
                </pt>
                <pt idx="19">
                  <v>20</v>
                </pt>
                <pt idx="20">
                  <v>21</v>
                </pt>
                <pt idx="21">
                  <v>22</v>
                </pt>
                <pt idx="22">
                  <v>23</v>
                </pt>
                <pt idx="23">
                  <v>24</v>
                </pt>
                <pt idx="24">
                  <v>25</v>
                </pt>
                <pt idx="25">
                  <v>26</v>
                </pt>
                <pt idx="26">
                  <v>27</v>
                </pt>
                <pt idx="27">
                  <v>28</v>
                </pt>
                <pt idx="28">
                  <v>29</v>
                </pt>
                <pt idx="29">
                  <v>30</v>
                </pt>
                <pt idx="30">
                  <v>31</v>
                </pt>
                <pt idx="31">
                  <v>32</v>
                </pt>
                <pt idx="32">
                  <v>33</v>
                </pt>
                <pt idx="33">
                  <v>34</v>
                </pt>
                <pt idx="34">
                  <v>35</v>
                </pt>
                <pt idx="35">
                  <v>36</v>
                </pt>
                <pt idx="36">
                  <v>37</v>
                </pt>
                <pt idx="37">
                  <v>38</v>
                </pt>
                <pt idx="38">
                  <v>39</v>
                </pt>
                <pt idx="39">
                  <v>40</v>
                </pt>
                <pt idx="40">
                  <v>41</v>
                </pt>
                <pt idx="41">
                  <v>42</v>
                </pt>
                <pt idx="42">
                  <v>43</v>
                </pt>
                <pt idx="43">
                  <v>44</v>
                </pt>
                <pt idx="44">
                  <v>45</v>
                </pt>
                <pt idx="45">
                  <v>46</v>
                </pt>
                <pt idx="46">
                  <v>47</v>
                </pt>
                <pt idx="47">
                  <v>48</v>
                </pt>
                <pt idx="48">
                  <v>49</v>
                </pt>
                <pt idx="49">
                  <v>50</v>
                </pt>
              </numCache>
            </numRef>
          </cat>
          <val>
            <numRef>
              <f>DASHBOARD!$Z$4:$Z$53</f>
              <numCache>
                <formatCode>General</formatCode>
                <ptCount val="50"/>
                <pt idx="0">
                  <v>100</v>
                </pt>
                <pt idx="1">
                  <v>79.437</v>
                </pt>
                <pt idx="2">
                  <v>48.911</v>
                </pt>
                <pt idx="3">
                  <v>48.911</v>
                </pt>
                <pt idx="4">
                  <v>48.911</v>
                </pt>
                <pt idx="5">
                  <v>48.911</v>
                </pt>
                <pt idx="6">
                  <v>32.555</v>
                </pt>
                <pt idx="7">
                  <v>28.053</v>
                </pt>
                <pt idx="8">
                  <v>22.688</v>
                </pt>
                <pt idx="9">
                  <v>22.688</v>
                </pt>
                <pt idx="10">
                  <v>18.544</v>
                </pt>
                <pt idx="11">
                  <v>15.285</v>
                </pt>
                <pt idx="12">
                  <v>15.285</v>
                </pt>
                <pt idx="13">
                  <v>12.684</v>
                </pt>
                <pt idx="14">
                  <v>10.584</v>
                </pt>
                <pt idx="15">
                  <v>10.584</v>
                </pt>
                <pt idx="16">
                  <v>8.369</v>
                </pt>
                <pt idx="17">
                  <v>8.369</v>
                </pt>
                <pt idx="18">
                  <v>7.046</v>
                </pt>
                <pt idx="19">
                  <v>5.946</v>
                </pt>
                <pt idx="20">
                  <v>5.946</v>
                </pt>
                <pt idx="21">
                  <v>4.756</v>
                </pt>
                <pt idx="22">
                  <v>4.756</v>
                </pt>
                <pt idx="23">
                  <v>4.028</v>
                </pt>
                <pt idx="24">
                  <v>3.607</v>
                </pt>
                <pt idx="25">
                  <v>3.23</v>
                </pt>
                <pt idx="26">
                  <v>2.193</v>
                </pt>
                <pt idx="27">
                  <v>2.193</v>
                </pt>
                <pt idx="28">
                  <v>2.193</v>
                </pt>
                <pt idx="29">
                  <v>2.193</v>
                </pt>
                <pt idx="30">
                  <v>2.193</v>
                </pt>
                <pt idx="31">
                  <v>2.193</v>
                </pt>
                <pt idx="32">
                  <v>1.477</v>
                </pt>
                <pt idx="33">
                  <v>1.316</v>
                </pt>
                <pt idx="34">
                  <v>0.978</v>
                </pt>
                <pt idx="35">
                  <v>0.978</v>
                </pt>
                <pt idx="36">
                  <v>0.978</v>
                </pt>
                <pt idx="37">
                  <v>0.978</v>
                </pt>
                <pt idx="38">
                  <v>0.673</v>
                </pt>
                <pt idx="39">
                  <v>0.673</v>
                </pt>
                <pt idx="40">
                  <v>0.515</v>
                </pt>
                <pt idx="41">
                  <v>0.515</v>
                </pt>
                <pt idx="42">
                  <v>0.333</v>
                </pt>
                <pt idx="43">
                  <v>0.333</v>
                </pt>
                <pt idx="44">
                  <v>0.333</v>
                </pt>
                <pt idx="45">
                  <v>0.333</v>
                </pt>
                <pt idx="46">
                  <v>0.219</v>
                </pt>
                <pt idx="47">
                  <v>0.181</v>
                </pt>
                <pt idx="48">
                  <v>0.147</v>
                </pt>
                <pt idx="49">
                  <v>0.117</v>
                </pt>
              </numCache>
            </numRef>
          </val>
          <smooth val="0"/>
        </ser>
        <dLbls>
          <showLegendKey val="0"/>
          <showVal val="0"/>
          <showCatName val="0"/>
          <showSerName val="0"/>
          <showPercent val="0"/>
          <showBubbleSize val="0"/>
        </dLbls>
        <marker val="1"/>
        <smooth val="0"/>
        <axId val="48650112"/>
        <axId val="48672768"/>
      </line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72768"/>
        <crosses val="autoZero"/>
        <auto val="1"/>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legend>
      <legendPos val="b"/>
      <overlay val="0"/>
    </legend>
    <plotVisOnly val="1"/>
    <dispBlanksAs val="zero"/>
  </chart>
  <spPr>
    <a:ln xmlns:a="http://schemas.openxmlformats.org/drawingml/2006/main" w="9525">
      <a:solidFill>
        <a:srgbClr val="D9D9D9"/>
      </a:solidFill>
      <a:prstDash val="solid"/>
    </a:ln>
  </spPr>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Top 15 ranked RTMs — Weighted S</a:t>
            </a:r>
          </a:p>
        </rich>
      </tx>
    </title>
    <plotArea>
      <barChart>
        <barDir val="col"/>
        <grouping val="clustered"/>
        <ser>
          <idx val="0"/>
          <order val="0"/>
          <tx>
            <strRef>
              <f>'RTM_RANKING'!V5</f>
            </strRef>
          </tx>
          <spPr>
            <a:ln xmlns:a="http://schemas.openxmlformats.org/drawingml/2006/main">
              <a:prstDash val="solid"/>
            </a:ln>
          </spPr>
          <cat>
            <numRef>
              <f>'RTM_RANKING'!$B$6:$B$20</f>
            </numRef>
          </cat>
          <val>
            <numRef>
              <f>'RTM_RANKING'!$V$6:$V$20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Weighted S</a:t>
                </a:r>
              </a:p>
            </rich>
          </tx>
        </title>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RTM Tier distribution</a:t>
            </a:r>
          </a:p>
        </rich>
      </tx>
    </title>
    <plotArea>
      <barChart>
        <barDir val="col"/>
        <grouping val="clustered"/>
        <ser>
          <idx val="0"/>
          <order val="0"/>
          <tx>
            <strRef>
              <f>'DASHBOARD_2'!B18</f>
            </strRef>
          </tx>
          <spPr>
            <a:ln xmlns:a="http://schemas.openxmlformats.org/drawingml/2006/main">
              <a:prstDash val="solid"/>
            </a:ln>
          </spPr>
          <cat>
            <numRef>
              <f>'DASHBOARD_2'!$A$19:$A$22</f>
            </numRef>
          </cat>
          <val>
            <numRef>
              <f>'DASHBOARD_2'!$B$19:$B$22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RTM count</a:t>
                </a:r>
              </a:p>
            </rich>
          </tx>
        </title>
        <majorTickMark val="none"/>
        <minorTickMark val="none"/>
        <crossAx val="10"/>
      </valAx>
    </plotArea>
    <legend>
      <legendPos val="r"/>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RTM rank profile: Weighted S vs rank position</a:t>
            </a:r>
          </a:p>
        </rich>
      </tx>
    </title>
    <plotArea>
      <lineChart>
        <grouping val="standard"/>
        <ser>
          <idx val="0"/>
          <order val="0"/>
          <tx>
            <strRef>
              <f>'RTM_RANKING'!V5</f>
            </strRef>
          </tx>
          <spPr>
            <a:ln xmlns:a="http://schemas.openxmlformats.org/drawingml/2006/main">
              <a:prstDash val="solid"/>
            </a:ln>
          </spPr>
          <marker>
            <symbol val="none"/>
            <spPr>
              <a:ln xmlns:a="http://schemas.openxmlformats.org/drawingml/2006/main">
                <a:prstDash val="solid"/>
              </a:ln>
            </spPr>
          </marker>
          <val>
            <numRef>
              <f>'RTM_RANKING'!$V$6:$V$727</f>
            </numRef>
          </val>
        </ser>
        <axId val="10"/>
        <axId val="100"/>
      </lineChart>
      <catAx>
        <axId val="10"/>
        <scaling>
          <orientation val="minMax"/>
        </scaling>
        <axPos val="l"/>
        <title>
          <tx>
            <rich>
              <a:bodyPr xmlns:a="http://schemas.openxmlformats.org/drawingml/2006/main"/>
              <a:p xmlns:a="http://schemas.openxmlformats.org/drawingml/2006/main">
                <a:pPr>
                  <a:defRPr/>
                </a:pPr>
                <a:r>
                  <a:t>Rank position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Weighted S</a:t>
                </a:r>
              </a:p>
            </rich>
          </tx>
        </title>
        <majorTickMark val="none"/>
        <minorTickMark val="none"/>
        <crossAx val="10"/>
      </valAx>
    </plotArea>
    <legend>
      <legendPos val="r"/>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RTM ↔ OFFER crosswalk coverage by Tier</a:t>
            </a:r>
          </a:p>
        </rich>
      </tx>
    </title>
    <plotArea>
      <barChart>
        <barDir val="col"/>
        <grouping val="stacked"/>
        <ser>
          <idx val="0"/>
          <order val="0"/>
          <tx>
            <strRef>
              <f>'DASHBOARD_2'!E22</f>
            </strRef>
          </tx>
          <spPr>
            <a:ln xmlns:a="http://schemas.openxmlformats.org/drawingml/2006/main">
              <a:prstDash val="solid"/>
            </a:ln>
          </spPr>
          <cat>
            <numRef>
              <f>'DASHBOARD_2'!$D$23:$D$26</f>
            </numRef>
          </cat>
          <val>
            <numRef>
              <f>'DASHBOARD_2'!$E$23:$E$26</f>
            </numRef>
          </val>
        </ser>
        <ser>
          <idx val="1"/>
          <order val="1"/>
          <tx>
            <strRef>
              <f>'DASHBOARD_2'!F22</f>
            </strRef>
          </tx>
          <spPr>
            <a:ln xmlns:a="http://schemas.openxmlformats.org/drawingml/2006/main">
              <a:prstDash val="solid"/>
            </a:ln>
          </spPr>
          <cat>
            <numRef>
              <f>'DASHBOARD_2'!$D$23:$D$26</f>
            </numRef>
          </cat>
          <val>
            <numRef>
              <f>'DASHBOARD_2'!$F$23:$F$26</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RTM count</a:t>
                </a:r>
              </a:p>
            </rich>
          </tx>
        </title>
        <majorTickMark val="none"/>
        <minorTickMark val="none"/>
        <crossAx val="10"/>
      </valAx>
    </plotArea>
    <legend>
      <legendPos val="r"/>
    </legend>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Average Weighted S by Domain</a:t>
            </a:r>
          </a:p>
        </rich>
      </tx>
    </title>
    <plotArea>
      <barChart>
        <barDir val="bar"/>
        <grouping val="clustered"/>
        <ser>
          <idx val="0"/>
          <order val="0"/>
          <tx>
            <strRef>
              <f>'DOMAIN_SUMMARY'!G5</f>
            </strRef>
          </tx>
          <spPr>
            <a:ln xmlns:a="http://schemas.openxmlformats.org/drawingml/2006/main">
              <a:prstDash val="solid"/>
            </a:ln>
          </spPr>
          <cat>
            <numRef>
              <f>'DOMAIN_SUMMARY'!$A$6:$A$27</f>
            </numRef>
          </cat>
          <val>
            <numRef>
              <f>'DOMAIN_SUMMARY'!$G$6:$G$27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Domain</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Workbook</author>
  </authors>
  <commentList>
    <comment ref="H5" authorId="0" shapeId="0">
      <text>
        <t>Safety / Legal — frozen weight 20% of Weighted S. See WEIGHTS_METHOD for the full legend and construction formula.</t>
      </text>
    </comment>
    <comment ref="I5" authorId="0" shapeId="0">
      <text>
        <t>Reliability — frozen weight 22% of Weighted S. See WEIGHTS_METHOD for the full legend and construction formula.</t>
      </text>
    </comment>
    <comment ref="J5" authorId="0" shapeId="0">
      <text>
        <t>Performance — frozen weight 20% of Weighted S. See WEIGHTS_METHOD for the full legend and construction formula.</t>
      </text>
    </comment>
    <comment ref="K5" authorId="0" shapeId="0">
      <text>
        <t>Functional — frozen weight 16% of Weighted S. See WEIGHTS_METHOD for the full legend and construction formula.</t>
      </text>
    </comment>
    <comment ref="L5" authorId="0" shapeId="0">
      <text>
        <t>Quality / Verifiability — frozen weight 12% of Weighted S. See WEIGHTS_METHOD for the full legend and construction formula.</t>
      </text>
    </comment>
    <comment ref="M5" authorId="0" shapeId="0">
      <text>
        <t>Lifecycle — frozen weight 7% of Weighted S. See WEIGHTS_METHOD for the full legend and construction formula.</t>
      </text>
    </comment>
    <comment ref="N5" authorId="0" shapeId="0">
      <text>
        <t>Cost — frozen weight 3% of Weighted S. See WEIGHTS_METHOD for the full legend and construction formula.</t>
      </text>
    </comment>
  </commentList>
</comments>
</file>

<file path=xl/comments/comment2.xml><?xml version="1.0" encoding="utf-8"?>
<comments xmlns="http://schemas.openxmlformats.org/spreadsheetml/2006/main">
  <authors>
    <author>Workbook</author>
  </authors>
  <commentList>
    <comment ref="O5" authorId="0" shapeId="0">
      <text>
        <t>Safety / Legal — frozen weight 20% of Weighted S. See WEIGHTS_METHOD for the full legend and construction formula.</t>
      </text>
    </comment>
    <comment ref="P5" authorId="0" shapeId="0">
      <text>
        <t>Reliability — frozen weight 22% of Weighted S. See WEIGHTS_METHOD for the full legend and construction formula.</t>
      </text>
    </comment>
    <comment ref="Q5" authorId="0" shapeId="0">
      <text>
        <t>Performance — frozen weight 20% of Weighted S. See WEIGHTS_METHOD for the full legend and construction formula.</t>
      </text>
    </comment>
    <comment ref="R5" authorId="0" shapeId="0">
      <text>
        <t>Functional — frozen weight 16% of Weighted S. See WEIGHTS_METHOD for the full legend and construction formula.</t>
      </text>
    </comment>
    <comment ref="S5" authorId="0" shapeId="0">
      <text>
        <t>Quality / Verifiability — frozen weight 12% of Weighted S. See WEIGHTS_METHOD for the full legend and construction formula.</t>
      </text>
    </comment>
    <comment ref="T5" authorId="0" shapeId="0">
      <text>
        <t>Lifecycle — frozen weight 7% of Weighted S. See WEIGHTS_METHOD for the full legend and construction formula.</t>
      </text>
    </comment>
    <comment ref="U5" authorId="0" shapeId="0">
      <text>
        <t>Cost — frozen weight 3% of Weighted S. See WEIGHTS_METHOD for the full legend and construction formula.</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 Type="http://schemas.openxmlformats.org/officeDocument/2006/relationships/chart" Target="/xl/charts/chart6.xml" Id="rId2"/><Relationship Type="http://schemas.openxmlformats.org/officeDocument/2006/relationships/chart" Target="/xl/charts/chart7.xml" Id="rId3"/><Relationship Type="http://schemas.openxmlformats.org/officeDocument/2006/relationships/chart" Target="/xl/charts/chart8.xml" Id="rId4"/><Relationship Type="http://schemas.openxmlformats.org/officeDocument/2006/relationships/chart" Target="/xl/charts/chart9.xml" Id="rId5"/></Relationships>
</file>

<file path=xl/drawings/drawing1.xml><?xml version="1.0" encoding="utf-8"?>
<wsDr xmlns="http://schemas.openxmlformats.org/drawingml/2006/spreadsheetDrawing">
  <twoCellAnchor>
    <from>
      <col>0</col>
      <colOff>0</colOff>
      <row>10</row>
      <rowOff>0</rowOff>
    </from>
    <to>
      <col>6</col>
      <colOff>0</colOff>
      <row>29</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6</col>
      <colOff>0</colOff>
      <row>10</row>
      <rowOff>0</rowOff>
    </from>
    <to>
      <col>12</col>
      <colOff>0</colOff>
      <row>29</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0</colOff>
      <row>30</row>
      <rowOff>0</rowOff>
    </from>
    <to>
      <col>6</col>
      <colOff>0</colOff>
      <row>49</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6</col>
      <colOff>0</colOff>
      <row>30</row>
      <rowOff>0</rowOff>
    </from>
    <to>
      <col>12</col>
      <colOff>0</colOff>
      <row>49</row>
      <rowOff>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drawings/drawing2.xml><?xml version="1.0" encoding="utf-8"?>
<wsDr xmlns="http://schemas.openxmlformats.org/drawingml/2006/spreadsheetDrawing">
  <oneCellAnchor>
    <from>
      <col>0</col>
      <colOff>0</colOff>
      <row>33</row>
      <rowOff>0</rowOff>
    </from>
    <ext cx="54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33</row>
      <rowOff>0</rowOff>
    </from>
    <ext cx="540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8</col>
      <colOff>0</colOff>
      <row>51</row>
      <rowOff>0</rowOff>
    </from>
    <ext cx="540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69</row>
      <rowOff>0</rowOff>
    </from>
    <ext cx="540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51</row>
      <rowOff>0</rowOff>
    </from>
    <ext cx="5400000" cy="504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ables/table1.xml><?xml version="1.0" encoding="utf-8"?>
<table xmlns="http://schemas.openxmlformats.org/spreadsheetml/2006/main" id="1" name="StartHereSteps" displayName="StartHereSteps" ref="A5:D13" headerRowCount="1">
  <tableColumns count="4">
    <tableColumn id="1" name="Step"/>
    <tableColumn id="2" name="Sheet"/>
    <tableColumn id="3" name="Purpose"/>
    <tableColumn id="4" name="Action"/>
  </tableColumns>
  <tableStyleInfo name="TableStyleMedium2" showFirstColumn="0" showLastColumn="0" showRowStripes="1" showColumnStripes="0"/>
</table>
</file>

<file path=xl/tables/table2.xml><?xml version="1.0" encoding="utf-8"?>
<table xmlns="http://schemas.openxmlformats.org/spreadsheetml/2006/main" id="2" name="ComplianceLegendTable" displayName="ComplianceLegendTable" ref="A5:F13" headerRowCount="1">
  <tableColumns count="6">
    <tableColumn id="1" name="Status"/>
    <tableColumn id="2" name="Definition"/>
    <tableColumn id="3" name="Example"/>
    <tableColumn id="4" name="Deviation"/>
    <tableColumn id="5" name="Next steps"/>
    <tableColumn id="6" name="Who resolves"/>
  </tableColumns>
  <tableStyleInfo name="TableStyleMedium2" showFirstColumn="0" showLastColumn="0" showRowStripes="1" showColumnStripes="0"/>
</table>
</file>

<file path=xl/tables/table3.xml><?xml version="1.0" encoding="utf-8"?>
<table xmlns="http://schemas.openxmlformats.org/spreadsheetml/2006/main" id="3" name="EvaluationWorkspaceTable" displayName="EvaluationWorkspaceTable" ref="A5:AE55" headerRowCount="1">
  <tableColumns count="31">
    <tableColumn id="1" name="Rank"/>
    <tableColumn id="2" name="Tier"/>
    <tableColumn id="3" name="OFFER ID"/>
    <tableColumn id="4" name="Title"/>
    <tableColumn id="5" name="Section"/>
    <tableColumn id="6" name="Category"/>
    <tableColumn id="7" name="Primary Dim"/>
    <tableColumn id="8" name="Weighted S"/>
    <tableColumn id="9" name="BT Win %"/>
    <tableColumn id="10" name="Gate"/>
    <tableColumn id="11" name="Evidence / measurability"/>
    <tableColumn id="12" name="Explicit deliverable / proof"/>
    <tableColumn id="13" name="Applicable phase(s)"/>
    <tableColumn id="14" name="Primary RTMs"/>
    <tableColumn id="15" name="Supporting RTMs"/>
    <tableColumn id="16" name="Review flag"/>
    <tableColumn id="17" name="A_STATUS"/>
    <tableColumn id="18" name="A_Technical Depth"/>
    <tableColumn id="19" name="A_Source / Location"/>
    <tableColumn id="20" name="A_Negotiation"/>
    <tableColumn id="21" name="A_Reviewer Comment"/>
    <tableColumn id="22" name="A_Review Index"/>
    <tableColumn id="23" name="B_STATUS"/>
    <tableColumn id="24" name="B_Technical Depth"/>
    <tableColumn id="25" name="B_Source / Location"/>
    <tableColumn id="26" name="B_Negotiation"/>
    <tableColumn id="27" name="B_Reviewer Comment"/>
    <tableColumn id="28" name="B_Review Index"/>
    <tableColumn id="29" name="Board / Negotiation Topic"/>
    <tableColumn id="30" name="Owner"/>
    <tableColumn id="31" name="Closure / Decision Note"/>
  </tableColumns>
  <tableStyleInfo name="TableStyleMedium2" showFirstColumn="0" showLastColumn="0" showRowStripes="1" showColumnStripes="0"/>
</table>
</file>

<file path=xl/tables/table4.xml><?xml version="1.0" encoding="utf-8"?>
<table xmlns="http://schemas.openxmlformats.org/spreadsheetml/2006/main" id="4" name="OfferCanonicalTable" displayName="OfferCanonicalTable" ref="A5:V55" headerRowCount="1">
  <tableColumns count="22">
    <tableColumn id="1" name="offer_id"/>
    <tableColumn id="2" name="title"/>
    <tableColumn id="3" name="page_start_pdf"/>
    <tableColumn id="4" name="section_number"/>
    <tableColumn id="5" name="section_title"/>
    <tableColumn id="6" name="Applicant_DocList_Item"/>
    <tableColumn id="7" name="EPIC"/>
    <tableColumn id="8" name="Category"/>
    <tableColumn id="9" name="offer_statement_verbatim"/>
    <tableColumn id="10" name="full_verbatim_offer"/>
    <tableColumn id="11" name="primary_rtm_ids"/>
    <tableColumn id="12" name="supporting_context_rtm_ids"/>
    <tableColumn id="13" name="total_link_count"/>
    <tableColumn id="14" name="link_basis_summary"/>
    <tableColumn id="15" name="review_flag"/>
    <tableColumn id="16" name="canonical_source"/>
    <tableColumn id="17" name="Reference Code / Standard"/>
    <tableColumn id="18" name="Actual Explicit Code / Standard"/>
    <tableColumn id="19" name="Fulfilment / Evidence / Measurability"/>
    <tableColumn id="20" name="Explicit Deliverable / Proof"/>
    <tableColumn id="21" name="Applicable Phase(s)"/>
    <tableColumn id="22" name="Evidence Basis / Review"/>
  </tableColumns>
  <tableStyleInfo name="TableStyleMedium2" showFirstColumn="0" showLastColumn="0" showRowStripes="1" showColumnStripes="0"/>
</table>
</file>

<file path=xl/tables/table5.xml><?xml version="1.0" encoding="utf-8"?>
<table xmlns="http://schemas.openxmlformats.org/spreadsheetml/2006/main" id="5" name="OfferRTMCrosswalkTable" displayName="OfferRTMCrosswalkTable" ref="A5:N381" headerRowCount="1">
  <tableColumns count="14">
    <tableColumn id="1" name="OFFER-01"/>
    <tableColumn id="2" name="Tender Compliance Confirmation"/>
    <tableColumn id="3" name="24"/>
    <tableColumn id="4" name="4.1"/>
    <tableColumn id="5" name="RTM-001"/>
    <tableColumn id="6" name="242"/>
    <tableColumn id="7" name="4.13"/>
    <tableColumn id="8" name="General Requirements"/>
    <tableColumn id="9" name="The Contractor shall be fully responsible for ensuring that the Deliverables and Services provided fully meet the specified requirements for the Contract."/>
    <tableColumn id="10" name="Direct — primary evidence anchor"/>
    <tableColumn id="11" name="Partial evidence: OFFER response supports evaluation; it does not replace full RTM compliance."/>
    <tableColumn id="12" name="Subject-specific primary allocation within the canonical section."/>
    <tableColumn id="13" name="OK"/>
    <tableColumn id="14" name="Canonical PDF/DOCX."/>
  </tableColumns>
  <tableStyleInfo name="TableStyleMedium2" showFirstColumn="0" showLastColumn="0" showRowStripes="1" showColumnStripes="0"/>
</table>
</file>

<file path=xl/tables/table6.xml><?xml version="1.0" encoding="utf-8"?>
<table xmlns="http://schemas.openxmlformats.org/spreadsheetml/2006/main" id="6" name="OfferRankingTable" displayName="OfferRankingTable" ref="A5:AA55" headerRowCount="1">
  <tableColumns count="27">
    <tableColumn id="1" name="Rank"/>
    <tableColumn id="2" name="OFFER ID"/>
    <tableColumn id="3" name="Title"/>
    <tableColumn id="4" name="Gate"/>
    <tableColumn id="5" name="Tier"/>
    <tableColumn id="6" name="Category"/>
    <tableColumn id="7" name="Section"/>
    <tableColumn id="8" name="L"/>
    <tableColumn id="9" name="R"/>
    <tableColumn id="10" name="P"/>
    <tableColumn id="11" name="F"/>
    <tableColumn id="12" name="Q"/>
    <tableColumn id="13" name="LC"/>
    <tableColumn id="14" name="C"/>
    <tableColumn id="15" name="Weighted S"/>
    <tableColumn id="16" name="BT Win %"/>
    <tableColumn id="17" name="BT λ index"/>
    <tableColumn id="18" name="Primary dimension"/>
    <tableColumn id="19" name="Interpretation"/>
    <tableColumn id="20" name="Actual explicit code / standard"/>
    <tableColumn id="21" name="Reference code / standard"/>
    <tableColumn id="22" name="Evidence / measurability"/>
    <tableColumn id="23" name="Explicit deliverable / proof"/>
    <tableColumn id="24" name="Applicable phase(s)"/>
    <tableColumn id="25" name="Primary RTMs"/>
    <tableColumn id="26" name="Supporting RTMs"/>
    <tableColumn id="27" name="Review flag"/>
  </tableColumns>
  <tableStyleInfo name="TableStyleMedium2" showFirstColumn="0" showLastColumn="0" showRowStripes="1" showColumnStripes="0"/>
</table>
</file>

<file path=xl/tables/table7.xml><?xml version="1.0" encoding="utf-8"?>
<table xmlns="http://schemas.openxmlformats.org/spreadsheetml/2006/main" id="7" name="OfferStandardsTable" displayName="OfferStandardsTable" ref="A5:G49" headerRowCount="1">
  <tableColumns count="7">
    <tableColumn id="1" name="Reference / Code / Standard"/>
    <tableColumn id="2" name="Scope / Description"/>
    <tableColumn id="3" name="Explicit RTM IDs"/>
    <tableColumn id="4" name="Related OFFER IDs"/>
    <tableColumn id="5" name="Section(s)"/>
    <tableColumn id="6" name="RTM Count"/>
    <tableColumn id="7" name="OFFER Count"/>
  </tableColumns>
  <tableStyleInfo name="TableStyleMedium2" showFirstColumn="0" showLastColumn="0" showRowStripes="1" showColumnStripes="0"/>
</table>
</file>

<file path=xl/tables/table8.xml><?xml version="1.0" encoding="utf-8"?>
<table xmlns="http://schemas.openxmlformats.org/spreadsheetml/2006/main" id="8" name="OfferDeliverablesTable" displayName="OfferDeliverablesTable" ref="A5:J55" headerRowCount="1">
  <tableColumns count="10">
    <tableColumn id="1" name="Type"/>
    <tableColumn id="2" name="ID"/>
    <tableColumn id="3" name="Section"/>
    <tableColumn id="4" name="Title / Requirement"/>
    <tableColumn id="5" name="Explicit Deliverable / Proof"/>
    <tableColumn id="6" name="Fulfilment / Evidence / Measurability"/>
    <tableColumn id="7" name="Applicable Phase(s)"/>
    <tableColumn id="8" name="Actual Explicit Code / Standard"/>
    <tableColumn id="9" name="Reference Code / Standard"/>
    <tableColumn id="10" name="Basis / Linkage"/>
  </tableColumns>
  <tableStyleInfo name="TableStyleMedium2" showFirstColumn="0" showLastColumn="0" showRowStripes="1" showColumnStripes="0"/>
</table>
</file>

<file path=xl/tables/table9.xml><?xml version="1.0" encoding="utf-8"?>
<table xmlns="http://schemas.openxmlformats.org/spreadsheetml/2006/main" id="9" name="QualityChecksTable" displayName="QualityChecksTable" ref="A5:D17" headerRowCount="1">
  <tableColumns count="4">
    <tableColumn id="1" name="Check"/>
    <tableColumn id="2" name="Rule / expectation"/>
    <tableColumn id="3" name="Result"/>
    <tableColumn id="4" name="Status"/>
  </tableColumns>
  <tableStyleInfo name="TableStyleMedium2" showFirstColumn="0" showLastColumn="0" showRowStripes="1" showColumnStripes="0"/>
</table>
</file>

<file path=xl/tables/table10.xml><?xml version="1.0" encoding="utf-8"?>
<table xmlns="http://schemas.openxmlformats.org/spreadsheetml/2006/main" id="10" name="DMAICOfferTable" displayName="DMAICOfferTable" ref="A5:D15" headerRowCount="1">
  <tableColumns count="4">
    <tableColumn id="1" name="DMAIC"/>
    <tableColumn id="2" name="Item"/>
    <tableColumn id="3" name="Finding / decision"/>
    <tableColumn id="4" name="Control / change made"/>
  </tableColumns>
  <tableStyleInfo name="TableStyleMedium2" showFirstColumn="0" showLastColumn="0" showRowStripes="1" showColumnStripes="0"/>
</table>
</file>

<file path=xl/tables/table11.xml><?xml version="1.0" encoding="utf-8"?>
<table xmlns="http://schemas.openxmlformats.org/spreadsheetml/2006/main" id="11" name="EvaluationInputTable" displayName="EvaluationInputTable" ref="A5:Q55" headerRowCount="1">
  <tableColumns count="17">
    <tableColumn id="1" name="Rank"/>
    <tableColumn id="2" name="Tier"/>
    <tableColumn id="3" name="OFFER ID"/>
    <tableColumn id="4" name="Title"/>
    <tableColumn id="5" name="Section"/>
    <tableColumn id="6" name="Category"/>
    <tableColumn id="7" name="Weighted S"/>
    <tableColumn id="8" name="BT Win %"/>
    <tableColumn id="9" name="A_STATUS"/>
    <tableColumn id="10" name="A_Technical Depth"/>
    <tableColumn id="11" name="A_Source / Location"/>
    <tableColumn id="12" name="A_Negotiation"/>
    <tableColumn id="13" name="B_STATUS"/>
    <tableColumn id="14" name="B_Technical Depth"/>
    <tableColumn id="15" name="B_Source / Location"/>
    <tableColumn id="16" name="B_Negotiation"/>
    <tableColumn id="17" name="Reviewer Comment"/>
  </tableColumns>
  <tableStyleInfo name="TableStyleMedium2" showFirstColumn="0" showLastColumn="0" showRowStripes="1" showColumnStripes="0"/>
</table>
</file>

<file path=xl/tables/table12.xml><?xml version="1.0" encoding="utf-8"?>
<table xmlns="http://schemas.openxmlformats.org/spreadsheetml/2006/main" id="12" name="NavigationMapTable" displayName="NavigationMapTable" ref="A5:D19" headerRowCount="1">
  <tableColumns count="4">
    <tableColumn id="1" name="Sheet"/>
    <tableColumn id="2" name="Purpose"/>
    <tableColumn id="3" name="Primary user action"/>
    <tableColumn id="4" name="Owner / reviewer role"/>
  </tableColumns>
  <tableStyleInfo name="TableStyleMedium2" showFirstColumn="0" showLastColumn="0" showRowStripes="1" showColumnStripes="0"/>
</table>
</file>

<file path=xl/tables/table13.xml><?xml version="1.0" encoding="utf-8"?>
<table xmlns="http://schemas.openxmlformats.org/spreadsheetml/2006/main" id="13" name="ControlledListsTable" displayName="ControlledListsTable" ref="A5:C13" headerRowCount="1">
  <tableColumns count="3">
    <tableColumn id="1" name="STATUS"/>
    <tableColumn id="2" name="Technical Depth"/>
    <tableColumn id="3" name="Negotiation flag"/>
  </tableColumns>
  <tableStyleInfo name="TableStyleMedium2" showFirstColumn="0" showLastColumn="0" showRowStripes="1" showColumnStripes="0"/>
</table>
</file>

<file path=xl/tables/table14.xml><?xml version="1.0" encoding="utf-8"?>
<table xmlns="http://schemas.openxmlformats.org/spreadsheetml/2006/main" id="14" name="NegotiationAgendaTable" displayName="NegotiationAgendaTable" ref="A5:M105" headerRowCount="1">
  <tableColumns count="13">
    <tableColumn id="1" name="Bidder"/>
    <tableColumn id="2" name="Rank"/>
    <tableColumn id="3" name="Tier"/>
    <tableColumn id="4" name="OFFER ID"/>
    <tableColumn id="5" name="Title"/>
    <tableColumn id="6" name="Status"/>
    <tableColumn id="7" name="Technical Depth"/>
    <tableColumn id="8" name="Source / Location"/>
    <tableColumn id="9" name="Negotiation Flag"/>
    <tableColumn id="10" name="Reviewer Comment"/>
    <tableColumn id="11" name="Review Index"/>
    <tableColumn id="12" name="Proposed Action"/>
    <tableColumn id="13" name="Closure Note"/>
  </tableColumns>
  <tableStyleInfo name="TableStyleMedium2" showFirstColumn="0" showLastColumn="0" showRowStripes="1" showColumnStripes="0"/>
</table>
</file>

<file path=xl/tables/table15.xml><?xml version="1.0" encoding="utf-8"?>
<table xmlns="http://schemas.openxmlformats.org/spreadsheetml/2006/main" id="15" name="CodingHandoverTable" displayName="CodingHandoverTable" ref="A5:B13" headerRowCount="1">
  <tableColumns count="2">
    <tableColumn id="1" name="Topic"/>
    <tableColumn id="2" name="Instruc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table" Target="/xl/tables/table2.xml" Id="rId1"/></Relationships>
</file>

<file path=xl/worksheets/_rels/sheet8.xml.rels><Relationships xmlns="http://schemas.openxmlformats.org/package/2006/relationships"><Relationship Type="http://schemas.openxmlformats.org/officeDocument/2006/relationships/table" Target="/xl/tables/table3.xml" Id="rId1"/></Relationships>
</file>

<file path=xl/worksheets/_rels/sheet9.xml.rels><Relationships xmlns="http://schemas.openxmlformats.org/package/2006/relationships"><Relationship Type="http://schemas.openxmlformats.org/officeDocument/2006/relationships/table" Target="/xl/tables/table4.xml" Id="rId1"/></Relationships>
</file>

<file path=xl/worksheets/_rels/sheet10.xml.rels><Relationships xmlns="http://schemas.openxmlformats.org/package/2006/relationships"><Relationship Type="http://schemas.openxmlformats.org/officeDocument/2006/relationships/table" Target="/xl/tables/table5.xml" Id="rId1"/></Relationships>
</file>

<file path=xl/worksheets/_rels/sheet11.xml.rels><Relationships xmlns="http://schemas.openxmlformats.org/package/2006/relationships"><Relationship Type="http://schemas.openxmlformats.org/officeDocument/2006/relationships/table" Target="/xl/tables/table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8.xml.rels><Relationships xmlns="http://schemas.openxmlformats.org/package/2006/relationships"><Relationship Type="http://schemas.openxmlformats.org/officeDocument/2006/relationships/table" Target="/xl/tables/table7.xml" Id="rId1"/></Relationships>
</file>

<file path=xl/worksheets/_rels/sheet19.xml.rels><Relationships xmlns="http://schemas.openxmlformats.org/package/2006/relationships"><Relationship Type="http://schemas.openxmlformats.org/officeDocument/2006/relationships/table" Target="/xl/tables/table8.xml" Id="rId1"/></Relationships>
</file>

<file path=xl/worksheets/_rels/sheet20.xml.rels><Relationships xmlns="http://schemas.openxmlformats.org/package/2006/relationships"><Relationship Type="http://schemas.openxmlformats.org/officeDocument/2006/relationships/table" Target="/xl/tables/table9.xml" Id="rId1"/></Relationships>
</file>

<file path=xl/worksheets/_rels/sheet22.xml.rels><Relationships xmlns="http://schemas.openxmlformats.org/package/2006/relationships"><Relationship Type="http://schemas.openxmlformats.org/officeDocument/2006/relationships/table" Target="/xl/tables/table10.xml" Id="rId1"/></Relationships>
</file>

<file path=xl/worksheets/_rels/sheet23.xml.rels><Relationships xmlns="http://schemas.openxmlformats.org/package/2006/relationships"><Relationship Type="http://schemas.openxmlformats.org/officeDocument/2006/relationships/table" Target="/xl/tables/table11.xml" Id="rId1"/></Relationships>
</file>

<file path=xl/worksheets/_rels/sheet24.xml.rels><Relationships xmlns="http://schemas.openxmlformats.org/package/2006/relationships"><Relationship Type="http://schemas.openxmlformats.org/officeDocument/2006/relationships/table" Target="/xl/tables/table12.xml" Id="rId1"/></Relationships>
</file>

<file path=xl/worksheets/_rels/sheet25.xml.rels><Relationships xmlns="http://schemas.openxmlformats.org/package/2006/relationships"><Relationship Type="http://schemas.openxmlformats.org/officeDocument/2006/relationships/table" Target="/xl/tables/table13.xml" Id="rId1"/></Relationships>
</file>

<file path=xl/worksheets/_rels/sheet26.xml.rels><Relationships xmlns="http://schemas.openxmlformats.org/package/2006/relationships"><Relationship Type="http://schemas.openxmlformats.org/officeDocument/2006/relationships/table" Target="/xl/tables/table14.xml" Id="rId1"/></Relationships>
</file>

<file path=xl/worksheets/_rels/sheet27.xml.rels><Relationships xmlns="http://schemas.openxmlformats.org/package/2006/relationships"><Relationship Type="http://schemas.openxmlformats.org/officeDocument/2006/relationships/table" Target="/xl/tables/table15.xml" Id="rId1"/></Relationships>
</file>

<file path=xl/worksheets/sheet1.xml><?xml version="1.0" encoding="utf-8"?>
<worksheet xmlns="http://schemas.openxmlformats.org/spreadsheetml/2006/main">
  <sheetPr>
    <tabColor rgb="001F4E78"/>
    <outlinePr summaryBelow="1" summaryRight="1"/>
    <pageSetUpPr/>
  </sheetPr>
  <dimension ref="A1:C40"/>
  <sheetViews>
    <sheetView showGridLines="0" workbookViewId="0">
      <selection activeCell="A1" sqref="A1"/>
    </sheetView>
  </sheetViews>
  <sheetFormatPr baseColWidth="8" defaultRowHeight="15"/>
  <cols>
    <col width="26" customWidth="1" min="1" max="1"/>
    <col width="70" customWidth="1" min="2" max="2"/>
    <col width="12" customWidth="1" min="3" max="3"/>
  </cols>
  <sheetData>
    <row r="1" ht="26" customHeight="1">
      <c r="A1" s="143" t="inlineStr">
        <is>
          <t>README — how this workbook is organised</t>
        </is>
      </c>
    </row>
    <row r="3" ht="30" customHeight="1">
      <c r="A3" s="144" t="inlineStr">
        <is>
          <t>25 sheets, grouped into 6 colour-coded families (tab colour = group). Start with START_HERE, then NAVIGATION_MAP for the full clickable index. This page is the one-stop explanation of what every sheet is and why it's coloured the way it is -- see CHANGELOG for what changed and when.</t>
        </is>
      </c>
    </row>
    <row r="5">
      <c r="A5" s="93" t="inlineStr">
        <is>
          <t>Navigate</t>
        </is>
      </c>
    </row>
    <row r="6" ht="20" customHeight="1">
      <c r="A6" s="145">
        <f>HYPERLINK("#START_HERE!A1","START_HERE")</f>
        <v/>
      </c>
      <c r="B6" s="6" t="inlineStr">
        <is>
          <t>Landing page: what this workbook is, where to start.</t>
        </is>
      </c>
    </row>
    <row r="7" ht="34" customHeight="1">
      <c r="A7" s="145">
        <f>HYPERLINK("#NAVIGATION_MAP!A1","NAVIGATION_MAP")</f>
        <v/>
      </c>
      <c r="B7" s="6" t="inlineStr">
        <is>
          <t>Full sheet index with hyperlinks, one row per sheet, coloured by group.</t>
        </is>
      </c>
    </row>
    <row r="8" ht="34" customHeight="1">
      <c r="A8" s="145">
        <f>HYPERLINK("#LISTS!A1","LISTS")</f>
        <v/>
      </c>
      <c r="B8" s="6" t="inlineStr">
        <is>
          <t>Raw dropdown/reference lists used by data validation elsewhere.</t>
        </is>
      </c>
    </row>
    <row r="10">
      <c r="A10" s="146" t="inlineStr">
        <is>
          <t>Overview</t>
        </is>
      </c>
    </row>
    <row r="11" ht="48" customHeight="1">
      <c r="A11" s="147">
        <f>HYPERLINK("#DASHBOARD!A1","DASHBOARD")</f>
        <v/>
      </c>
      <c r="B11" s="6" t="inlineStr">
        <is>
          <t>Top-line charts: Top-15 OFFER by S, Tier split, Category averages, full 50-item rank profile (with the item-7 spike explainer).</t>
        </is>
      </c>
    </row>
    <row r="12" ht="20" customHeight="1">
      <c r="A12" s="147">
        <f>HYPERLINK("#DASHBOARD_2!A1","DASHBOARD_2")</f>
        <v/>
      </c>
      <c r="B12" s="6" t="inlineStr">
        <is>
          <t>Secondary dashboard views.</t>
        </is>
      </c>
    </row>
    <row r="14">
      <c r="A14" s="148" t="inlineStr">
        <is>
          <t>Live review / input</t>
        </is>
      </c>
    </row>
    <row r="15" ht="34" customHeight="1">
      <c r="A15" s="149">
        <f>HYPERLINK("#EVALUATION_WORKSPACE!A1","EVALUATION_WORKSPACE")</f>
        <v/>
      </c>
      <c r="B15" s="6" t="inlineStr">
        <is>
          <t>Main interaction sheet -- static rank read-only, reviewer input starts at STATUS columns.</t>
        </is>
      </c>
    </row>
    <row r="16" ht="20" customHeight="1">
      <c r="A16" s="149">
        <f>HYPERLINK("#EVALUATION_INPUT!A1","EVALUATION_INPUT")</f>
        <v/>
      </c>
      <c r="B16" s="6" t="inlineStr">
        <is>
          <t>Raw bidder input capture, feeds EVALUATION_WORKSPACE.</t>
        </is>
      </c>
    </row>
    <row r="17" ht="34" customHeight="1">
      <c r="A17" s="149">
        <f>HYPERLINK("#NEGOTIATION_AGENDA!A1","NEGOTIATION_AGENDA")</f>
        <v/>
      </c>
      <c r="B17" s="6" t="inlineStr">
        <is>
          <t>Talking points generated from low-status / high-S items, for negotiation prep.</t>
        </is>
      </c>
    </row>
    <row r="19">
      <c r="A19" s="150" t="inlineStr">
        <is>
          <t>Rankings &amp; trace</t>
        </is>
      </c>
    </row>
    <row r="20" ht="34" customHeight="1">
      <c r="A20" s="151">
        <f>HYPERLINK("#OFFER_RANKING!A1","OFFER_RANKING")</f>
        <v/>
      </c>
      <c r="B20" s="6" t="inlineStr">
        <is>
          <t>Static BT ranking of all 50 OFFER items -- the SSOT for OFFER importance.</t>
        </is>
      </c>
    </row>
    <row r="21" ht="34" customHeight="1">
      <c r="A21" s="151">
        <f>HYPERLINK("#RTM_RANKING!A1","RTM_RANKING")</f>
        <v/>
      </c>
      <c r="B21" s="6" t="inlineStr">
        <is>
          <t>Static BT ranking of all 722 RTM requirements -- the SSOT for RTM importance.</t>
        </is>
      </c>
    </row>
    <row r="22" ht="48" customHeight="1">
      <c r="A22" s="151">
        <f>HYPERLINK("#RTM_CROSSWALK!A1","RTM_CROSSWALK")</f>
        <v/>
      </c>
      <c r="B22" s="6" t="inlineStr">
        <is>
          <t>One row per OFFER&lt;-&gt;RTM relationship (up to 66 per item) -- the full link detail behind OFFER_RANKING's condensed 'Primary RTMs' summary.</t>
        </is>
      </c>
    </row>
    <row r="23" ht="34" customHeight="1">
      <c r="A23" s="151">
        <f>HYPERLINK("#RTM_REVIEW_QUEUE!A1","RTM_REVIEW_QUEUE")</f>
        <v/>
      </c>
      <c r="B23" s="6" t="inlineStr">
        <is>
          <t>RTM rows flagged for reviewer attention, ordered by priority.</t>
        </is>
      </c>
    </row>
    <row r="24" ht="20" customHeight="1">
      <c r="A24" s="151">
        <f>HYPERLINK("#RTM_LOOKUP!A1","RTM_LOOKUP")</f>
        <v/>
      </c>
      <c r="B24" s="6" t="inlineStr">
        <is>
          <t>Pick one RTM, see everything about it on one screen.</t>
        </is>
      </c>
    </row>
    <row r="25" ht="20" customHeight="1">
      <c r="A25" s="151">
        <f>HYPERLINK("#DOMAIN_SUMMARY!A1","DOMAIN_SUMMARY")</f>
        <v/>
      </c>
      <c r="B25" s="6" t="inlineStr">
        <is>
          <t>RTM counts/tiers/avg S rolled up by Domain (22 domains).</t>
        </is>
      </c>
    </row>
    <row r="26" ht="34" customHeight="1">
      <c r="A26" s="151">
        <f>HYPERLINK("#CLUSTERS!A1","CLUSTERS")</f>
        <v/>
      </c>
      <c r="B26" s="6" t="inlineStr">
        <is>
          <t>The 8 classification clusters (C1-C8) and their member OFFER items.</t>
        </is>
      </c>
    </row>
    <row r="28">
      <c r="A28" s="152" t="inlineStr">
        <is>
          <t>Reference / canonical</t>
        </is>
      </c>
    </row>
    <row r="29" ht="34" customHeight="1">
      <c r="A29" s="153">
        <f>HYPERLINK("#OFFER_CANONICAL!A1","OFFER_CANONICAL")</f>
        <v/>
      </c>
      <c r="B29" s="6" t="inlineStr">
        <is>
          <t>Original hand-curated source data for all 50 OFFER items -- read-only upstream of OFFER_RANKING.</t>
        </is>
      </c>
    </row>
    <row r="30" ht="34" customHeight="1">
      <c r="A30" s="153">
        <f>HYPERLINK("#STANDARDS!A1","STANDARDS")</f>
        <v/>
      </c>
      <c r="B30" s="6" t="inlineStr">
        <is>
          <t>Codes/standards register -- which RTM/OFFER items cite which external standard.</t>
        </is>
      </c>
    </row>
    <row r="31" ht="20" customHeight="1">
      <c r="A31" s="153">
        <f>HYPERLINK("#DELIVERABLES!A1","DELIVERABLES")</f>
        <v/>
      </c>
      <c r="B31" s="6" t="inlineStr">
        <is>
          <t>Per-OFFER-item evidence/fulfilment expectations.</t>
        </is>
      </c>
    </row>
    <row r="32" ht="48" customHeight="1">
      <c r="A32" s="153">
        <f>HYPERLINK("#TAXONOMY!A1","TAXONOMY")</f>
        <v/>
      </c>
      <c r="B32" s="6" t="inlineStr">
        <is>
          <t>Controlled vocabularies used throughout (Requirement Type, EPIC evidence-types, disposition, etc.) -- the single place these are DEFINED, reused elsewhere.</t>
        </is>
      </c>
    </row>
    <row r="33" ht="20" customHeight="1">
      <c r="A33" s="153">
        <f>HYPERLINK("#COMPLIANCE_LEGEND!A1","COMPLIANCE_LEGEND")</f>
        <v/>
      </c>
      <c r="B33" s="6" t="inlineStr">
        <is>
          <t>STATUS colour/label legend used on EVALUATION_WORKSPACE.</t>
        </is>
      </c>
    </row>
    <row r="34" ht="48" customHeight="1">
      <c r="A34" s="153">
        <f>HYPERLINK("#WEIGHTS_METHOD!A1","WEIGHTS_METHOD")</f>
        <v/>
      </c>
      <c r="B34" s="6" t="inlineStr">
        <is>
          <t>The 7 frozen BT weights (L/R/P/F/Q/LC/C), how Weighted S/BT Win %/BT λ are built, and the weight-sensitivity scenarios (static + live toggle).</t>
        </is>
      </c>
    </row>
    <row r="36">
      <c r="A36" s="154" t="inlineStr">
        <is>
          <t>Governance / QC</t>
        </is>
      </c>
    </row>
    <row r="37" ht="34" customHeight="1">
      <c r="A37" s="155">
        <f>HYPERLINK("#QUALITY_CHECKS!A1","QUALITY_CHECKS")</f>
        <v/>
      </c>
      <c r="B37" s="6" t="inlineStr">
        <is>
          <t>Automated formula-integrity and cross-reference checks over the whole workbook.</t>
        </is>
      </c>
    </row>
    <row r="38" ht="34" customHeight="1">
      <c r="A38" s="155">
        <f>HYPERLINK("#AUDIT_NOTES!A1","AUDIT_NOTES")</f>
        <v/>
      </c>
      <c r="B38" s="6" t="inlineStr">
        <is>
          <t>Free-text audit trail of judgement calls made during data curation.</t>
        </is>
      </c>
    </row>
    <row r="39" ht="20" customHeight="1">
      <c r="A39" s="155">
        <f>HYPERLINK("#DMAIC_AUDIT!A1","DMAIC_AUDIT")</f>
        <v/>
      </c>
      <c r="B39" s="6" t="inlineStr">
        <is>
          <t>DMAIC-cycle traceability for this evaluation process itself.</t>
        </is>
      </c>
    </row>
    <row r="40" ht="34" customHeight="1">
      <c r="A40" s="155">
        <f>HYPERLINK("#CODING_HANDOVER!A1","CODING_HANDOVER")</f>
        <v/>
      </c>
      <c r="B40" s="6" t="inlineStr">
        <is>
          <t>Technical handover notes for whoever maintains this workbook next.</t>
        </is>
      </c>
    </row>
  </sheetData>
  <mergeCells count="8">
    <mergeCell ref="A10:C10"/>
    <mergeCell ref="A28:C28"/>
    <mergeCell ref="A19:C19"/>
    <mergeCell ref="A36:C36"/>
    <mergeCell ref="A1:C1"/>
    <mergeCell ref="A5:C5"/>
    <mergeCell ref="A14:C14"/>
    <mergeCell ref="A3:C3"/>
  </mergeCells>
  <pageMargins left="0.75" right="0.75" top="1" bottom="1" header="0.5" footer="0.5"/>
</worksheet>
</file>

<file path=xl/worksheets/sheet2.xml><?xml version="1.0" encoding="utf-8"?>
<worksheet xmlns="http://schemas.openxmlformats.org/spreadsheetml/2006/main">
  <sheetPr>
    <tabColor rgb="001F4E78"/>
    <outlinePr summaryBelow="1" summaryRight="1"/>
    <pageSetUpPr/>
  </sheetPr>
  <dimension ref="A1:B13"/>
  <sheetViews>
    <sheetView showGridLines="0" workbookViewId="0">
      <selection activeCell="A1" sqref="A1"/>
    </sheetView>
  </sheetViews>
  <sheetFormatPr baseColWidth="8" defaultRowHeight="15"/>
  <cols>
    <col width="10" customWidth="1" min="1" max="1"/>
    <col width="90" customWidth="1" min="2" max="2"/>
  </cols>
  <sheetData>
    <row r="1" ht="26" customHeight="1">
      <c r="A1" s="143" t="inlineStr">
        <is>
          <t>CHANGELOG</t>
        </is>
      </c>
    </row>
    <row r="3">
      <c r="A3" s="93" t="inlineStr">
        <is>
          <t>Version</t>
        </is>
      </c>
      <c r="B3" s="93" t="inlineStr">
        <is>
          <t>Major changes</t>
        </is>
      </c>
    </row>
    <row r="4" ht="34" customHeight="1">
      <c r="A4" s="156" t="inlineStr">
        <is>
          <t>v8</t>
        </is>
      </c>
      <c r="B4" s="6" t="inlineStr">
        <is>
          <t>DELIVERABLES!F evidence text rewritten from generic boilerplate to per-item RTM cross-reference + EPIC-keyed evidence type.</t>
        </is>
      </c>
    </row>
    <row r="5" ht="34" customHeight="1">
      <c r="A5" s="156" t="inlineStr">
        <is>
          <t>v9</t>
        </is>
      </c>
      <c r="B5" s="6" t="inlineStr">
        <is>
          <t>Full 722 RTM / 50 OFFER value-weighted Pareto and Focus Score analysis added to the HTML Navigator (Domain/Category/Cluster, for both RTM and OFFER).</t>
        </is>
      </c>
    </row>
    <row r="6" ht="34" customHeight="1">
      <c r="A6" s="156" t="inlineStr">
        <is>
          <t>v10</t>
        </is>
      </c>
      <c r="B6" s="6" t="inlineStr">
        <is>
          <t>RTM_CROSSWALK: added a real header row (row 4 was blank), fixed a misleading dark-navy fill on row 5 that looked like a header, added AutoFilter/frozen panes, and colour-coded relation types (Direct/Supporting/Broad/Contextual).</t>
        </is>
      </c>
    </row>
    <row r="7" ht="34" customHeight="1">
      <c r="A7" s="156" t="inlineStr">
        <is>
          <t>v11</t>
        </is>
      </c>
      <c r="B7" s="6" t="inlineStr">
        <is>
          <t>RTM_CROSSWALK: added headers for columns M/N (QC check, Source basis); rewrote 233 of 377 rows (62%) of column L from generic boilerplate to genuinely per-row text.</t>
        </is>
      </c>
    </row>
    <row r="8" ht="34" customHeight="1">
      <c r="A8" s="156" t="inlineStr">
        <is>
          <t>v12</t>
        </is>
      </c>
      <c r="B8" s="6" t="inlineStr">
        <is>
          <t>Excel window/zoom defaults set for 16:9 full-screen opening; per-sheet autozoom by column-count.</t>
        </is>
      </c>
    </row>
    <row r="9" ht="34" customHeight="1">
      <c r="A9" s="156" t="inlineStr">
        <is>
          <t>v13</t>
        </is>
      </c>
      <c r="B9" s="6" t="inlineStr">
        <is>
          <t>Tab-colour taxonomy: all 25 sheets assigned to 6 named groups; NAVIGATION_MAP extended with a colour-swatch legend column.</t>
        </is>
      </c>
    </row>
    <row r="10" ht="34" customHeight="1">
      <c r="A10" s="156" t="inlineStr">
        <is>
          <t>v14</t>
        </is>
      </c>
      <c r="B10" s="6" t="inlineStr">
        <is>
          <t>Nav-row column-clipping fixed across multiple sheets; Cost=70% weight-sensitivity scenario (static table) added to WEIGHTS_METHOD.</t>
        </is>
      </c>
    </row>
    <row r="11" ht="34" customHeight="1">
      <c r="A11" s="156" t="inlineStr">
        <is>
          <t>v15</t>
        </is>
      </c>
      <c r="B11" s="6" t="inlineStr">
        <is>
          <t>Technical Depth (EVALUATION_WORKSPACE R/X) colour-coded (soft pink/orange/green), deliberately paler than STATUS.</t>
        </is>
      </c>
    </row>
    <row r="12" ht="34" customHeight="1">
      <c r="A12" s="156" t="inlineStr">
        <is>
          <t>v16</t>
        </is>
      </c>
      <c r="B12" s="6" t="inlineStr">
        <is>
          <t>Gate column (Yes/No) recoloured to reuse the exact T0 Gate red across EVALUATION_WORKSPACE/OFFER_RANKING/RTM_RANKING; DASHBOARD's rank-profile chart got a callout explaining the item-7 spike (OFFER-09's S=55.67 entering rank 7, right after the 6 gate-precedence items).</t>
        </is>
      </c>
    </row>
    <row r="13" ht="34" customHeight="1">
      <c r="A13" s="156" t="inlineStr">
        <is>
          <t>v17</t>
        </is>
      </c>
      <c r="B13" s="6" t="inlineStr">
        <is>
          <t>STANDARDS!B lazy-boilerplate fixed (26 of 44 rows, grounded in linked RTM data); weight-dimension (L/R/P/F/Q/LC/C) colour legend + header comments added to OFFER_RANKING/RTM_RANKING/WEIGHTS_METHOD; all 7 raw dimension columns given a uniform 0-3 heatmap (previously only 3 of 7 had any colour) on both ranking sheets; live Cost-weight scenario toggle added (dropdown + formula-driven re-rank, no macro); new CATEGORY_FOCUS sheet (per-category top-ranked 'hidden champions' + Category x Cluster density heat maps, RTM and OFFER); README + this CHANGELOG sheet added.</t>
        </is>
      </c>
    </row>
  </sheetData>
  <mergeCells count="1">
    <mergeCell ref="A1:B1"/>
  </mergeCells>
  <pageMargins left="0.75" right="0.75" top="1" bottom="1" header="0.5" footer="0.5"/>
</worksheet>
</file>

<file path=xl/worksheets/sheet3.xml><?xml version="1.0" encoding="utf-8"?>
<worksheet xmlns="http://schemas.openxmlformats.org/spreadsheetml/2006/main">
  <sheetPr>
    <tabColor rgb="001F4E78"/>
    <outlinePr summaryBelow="1" summaryRight="1"/>
    <pageSetUpPr/>
  </sheetPr>
  <dimension ref="A1:N46"/>
  <sheetViews>
    <sheetView tabSelected="1" topLeftCell="A1" zoomScale="90" zoomScaleNormal="90" workbookViewId="0">
      <selection activeCell="A1" sqref="A1"/>
    </sheetView>
  </sheetViews>
  <sheetFormatPr baseColWidth="8" defaultRowHeight="14.25"/>
  <cols>
    <col width="24" customWidth="1" min="1" max="1"/>
    <col width="74" customWidth="1" min="2" max="2"/>
    <col width="60" customWidth="1" min="3" max="3"/>
    <col width="54" customWidth="1" min="4" max="4"/>
    <col width="13" customWidth="1" min="5" max="5"/>
    <col width="13" customWidth="1" min="6" max="6"/>
    <col width="13" customWidth="1" min="7" max="7"/>
    <col width="13" customWidth="1" min="8" max="8"/>
  </cols>
  <sheetData>
    <row r="1" ht="32.1" customHeight="1">
      <c r="A1" s="28" t="inlineStr">
        <is>
          <t>QPS OFFER evaluation workbook — v18 DMAIC-ready</t>
        </is>
      </c>
    </row>
    <row r="2" ht="33.95" customHeight="1">
      <c r="A2" s="29" t="inlineStr">
        <is>
          <t>Use this workbook to rank fixed OFFER requirements, enter bidder evidence, and produce negotiation topics without mixing static importance with live review status.</t>
        </is>
      </c>
    </row>
    <row r="3" ht="21.95" customHeight="1">
      <c r="A3" s="186">
        <f>HYPERLINK("#START_HERE!A1","Start")</f>
        <v/>
      </c>
      <c r="B3" s="186">
        <f>HYPERLINK("#DASHBOARD!A1","Dashboard")</f>
        <v/>
      </c>
      <c r="C3" s="186">
        <f>HYPERLINK("#EVALUATION_WORKSPACE!A1","Workspace")</f>
        <v/>
      </c>
      <c r="D3" s="186">
        <f>HYPERLINK("#NEGOTIATION_AGENDA!A1","Agenda")</f>
        <v/>
      </c>
      <c r="E3" s="186">
        <f>HYPERLINK("#OFFER_RANKING!A1","Ranking")</f>
        <v/>
      </c>
      <c r="F3" s="186">
        <f>HYPERLINK("#RTM_CROSSWALK!A1","Crosswalk")</f>
        <v/>
      </c>
      <c r="G3" s="186">
        <f>HYPERLINK("#QUALITY_CHECKS!A1","Quality")</f>
        <v/>
      </c>
      <c r="H3" s="186">
        <f>HYPERLINK("#DMAIC_AUDIT!A1","DMAIC")</f>
        <v/>
      </c>
      <c r="I3" s="186">
        <f>HYPERLINK("#CODING_HANDOVER!A1","Handover")</f>
        <v/>
      </c>
      <c r="J3" s="187">
        <f>HYPERLINK("#RTM_RANKING!A1","RTM Rank")</f>
        <v/>
      </c>
      <c r="K3" s="187">
        <f>HYPERLINK("#RTM_LOOKUP!A1","RTM Lookup")</f>
        <v/>
      </c>
      <c r="L3" s="187">
        <f>HYPERLINK("#DASHBOARD_2!A1","Filter view")</f>
        <v/>
      </c>
      <c r="M3" s="187">
        <f>HYPERLINK("#CLUSTERS!A1","Clusters")</f>
        <v/>
      </c>
      <c r="N3" s="187">
        <f>HYPERLINK("#TAXONOMY!A1","Taxonomy")</f>
        <v/>
      </c>
    </row>
    <row r="5" ht="33.95" customHeight="1">
      <c r="A5" s="25" t="inlineStr">
        <is>
          <t>Step</t>
        </is>
      </c>
      <c r="B5" s="25" t="inlineStr">
        <is>
          <t>Sheet</t>
        </is>
      </c>
      <c r="C5" s="25" t="inlineStr">
        <is>
          <t>Purpose</t>
        </is>
      </c>
      <c r="D5" s="25" t="inlineStr">
        <is>
          <t>Action</t>
        </is>
      </c>
    </row>
    <row r="6" ht="38.1" customHeight="1">
      <c r="A6" s="6" t="inlineStr">
        <is>
          <t>1</t>
        </is>
      </c>
      <c r="B6" s="6">
        <f>HYPERLINK("#DASHBOARD!A1","DASHBOARD")</f>
        <v/>
      </c>
      <c r="C6" s="6" t="inlineStr">
        <is>
          <t>Read ranking shape and visual summary.</t>
        </is>
      </c>
      <c r="D6" s="6" t="inlineStr">
        <is>
          <t>No editing. Use for review meetings.</t>
        </is>
      </c>
    </row>
    <row r="7" ht="38.1" customHeight="1">
      <c r="A7" s="6" t="inlineStr">
        <is>
          <t>2</t>
        </is>
      </c>
      <c r="B7" s="6">
        <f>HYPERLINK("#EVALUATION_WORKSPACE!A1","EVALUATION_WORKSPACE")</f>
        <v/>
      </c>
      <c r="C7" s="6" t="inlineStr">
        <is>
          <t>Main reviewer workspace for Bidder A/B.</t>
        </is>
      </c>
      <c r="D7" s="6" t="inlineStr">
        <is>
          <t>Enter STATUS, Technical Depth, Source/Location, negotiation flag and comments.</t>
        </is>
      </c>
    </row>
    <row r="8" ht="38.1" customHeight="1">
      <c r="A8" s="6" t="inlineStr">
        <is>
          <t>3</t>
        </is>
      </c>
      <c r="B8" s="6">
        <f>HYPERLINK("#NEGOTIATION_AGENDA!A1","NEGOTIATION_AGENDA")</f>
        <v/>
      </c>
      <c r="C8" s="6" t="inlineStr">
        <is>
          <t>Filter the automatically mirrored A/B rows.</t>
        </is>
      </c>
      <c r="D8" s="6" t="inlineStr">
        <is>
          <t>Focus on RFI / missing / negotiation / not available rows.</t>
        </is>
      </c>
    </row>
    <row r="9" ht="38.1" customHeight="1">
      <c r="A9" s="6" t="inlineStr">
        <is>
          <t>4</t>
        </is>
      </c>
      <c r="B9" s="6">
        <f>HYPERLINK("#OFFER_RANKING!A1","OFFER_RANKING")</f>
        <v/>
      </c>
      <c r="C9" s="6" t="inlineStr">
        <is>
          <t>Audit static BT importance.</t>
        </is>
      </c>
      <c r="D9" s="6" t="inlineStr">
        <is>
          <t>Filter by tier, category, dimension, phase, standard or RTM.</t>
        </is>
      </c>
    </row>
    <row r="10" ht="38.1" customHeight="1">
      <c r="A10" s="6" t="inlineStr">
        <is>
          <t>5</t>
        </is>
      </c>
      <c r="B10" s="6">
        <f>HYPERLINK("#RTM_CROSSWALK!A1","RTM_CROSSWALK")</f>
        <v/>
      </c>
      <c r="C10" s="6" t="inlineStr">
        <is>
          <t>Check OFFER↔RTM linkage.</t>
        </is>
      </c>
      <c r="D10" s="6" t="inlineStr">
        <is>
          <t>Use relation type to separate direct evidence from broad context.</t>
        </is>
      </c>
    </row>
    <row r="11" ht="38.1" customHeight="1">
      <c r="A11" s="6" t="inlineStr">
        <is>
          <t>6</t>
        </is>
      </c>
      <c r="B11" s="6">
        <f>HYPERLINK("#QUALITY_CHECKS!A1","QUALITY_CHECKS")</f>
        <v/>
      </c>
      <c r="C11" s="6" t="inlineStr">
        <is>
          <t>Monitor workbook health.</t>
        </is>
      </c>
      <c r="D11" s="6" t="inlineStr">
        <is>
          <t>Check counts, TBDs, missing sources and flags before sharing.</t>
        </is>
      </c>
    </row>
    <row r="12" ht="38.1" customHeight="1">
      <c r="A12" s="6" t="inlineStr">
        <is>
          <t>7</t>
        </is>
      </c>
      <c r="B12" s="6">
        <f>HYPERLINK("#DMAIC_AUDIT!A1","DMAIC_AUDIT")</f>
        <v/>
      </c>
      <c r="C12" s="6" t="inlineStr">
        <is>
          <t>See what changed and why.</t>
        </is>
      </c>
      <c r="D12" s="6" t="inlineStr">
        <is>
          <t>Use as change log and governance record.</t>
        </is>
      </c>
    </row>
    <row r="13" ht="38.1" customHeight="1">
      <c r="A13" s="26" t="inlineStr">
        <is>
          <t>8</t>
        </is>
      </c>
      <c r="B13" s="26">
        <f>HYPERLINK("#CODING_HANDOVER!A1","CODING_HANDOVER")</f>
        <v/>
      </c>
      <c r="C13" s="26" t="inlineStr">
        <is>
          <t>Reproduction instructions.</t>
        </is>
      </c>
      <c r="D13" s="6" t="inlineStr">
        <is>
          <t>Copy to coding agent for deterministic rebuild.</t>
        </is>
      </c>
    </row>
    <row r="14" ht="51.95" customHeight="1">
      <c r="A14" s="40" t="inlineStr">
        <is>
          <t>9</t>
        </is>
      </c>
      <c r="B14" s="40">
        <f>HYPERLINK("#RTM_RANKING!A1","RTM_RANKING")</f>
        <v/>
      </c>
      <c r="C14" s="40" t="inlineStr">
        <is>
          <t>Audit RTM-only static importance (722 requirements, identical weights, no OFFER data).</t>
        </is>
      </c>
      <c r="D14" s="40" t="inlineStr">
        <is>
          <t>Cross-check against OFFER_RANKING and RTM_CROSSWALK for consistency.</t>
        </is>
      </c>
    </row>
    <row r="15" ht="51.95" customHeight="1">
      <c r="A15" s="74" t="inlineStr">
        <is>
          <t>10</t>
        </is>
      </c>
      <c r="B15" s="74">
        <f>HYPERLINK("#RTM_LOOKUP!A1","RTM_LOOKUP")</f>
        <v/>
      </c>
      <c r="C15" s="75" t="inlineStr">
        <is>
          <t>Look up any single RTM by ID and see every field for it in one place, incl. its OFFER cross-links and (if in the priority queue) its disposition.</t>
        </is>
      </c>
      <c r="D15" s="75" t="inlineStr">
        <is>
          <t>Fastest way to answer 'what does RTM-### actually require and what counts as evidence?' during a review meeting.</t>
        </is>
      </c>
    </row>
    <row r="16" ht="51.95" customHeight="1">
      <c r="A16" s="74" t="inlineStr">
        <is>
          <t>11</t>
        </is>
      </c>
      <c r="B16" s="74">
        <f>HYPERLINK("#DASHBOARD_2!A1","DASHBOARD_2")</f>
        <v/>
      </c>
      <c r="C16" s="75" t="inlineStr">
        <is>
          <t>Pick a Domain and/or Cluster and see live counts (total, by tier, average Weighted S) for that slice.</t>
        </is>
      </c>
      <c r="D16" s="75" t="inlineStr">
        <is>
          <t>Use before assigning review workload -- see which slice is biggest before diving into row-level detail.</t>
        </is>
      </c>
    </row>
    <row r="17" ht="33.95" customHeight="1">
      <c r="A17" s="76" t="inlineStr">
        <is>
          <t>12</t>
        </is>
      </c>
      <c r="B17" s="76">
        <f>HYPERLINK("#CLUSTERS!A1","CLUSTERS")</f>
        <v/>
      </c>
      <c r="C17" s="77" t="inlineStr">
        <is>
          <t>Reference: which of the 50 OFFER items sit in each of the 8 thematic clusters (C1-C8). Filter aid only -- not a ranking.</t>
        </is>
      </c>
      <c r="D17" s="75" t="inlineStr">
        <is>
          <t>Cross-check with DASHBOARD_2's Cluster picker.</t>
        </is>
      </c>
    </row>
    <row r="18" ht="48" customHeight="1">
      <c r="A18" s="75" t="inlineStr">
        <is>
          <t>13</t>
        </is>
      </c>
      <c r="B18" s="75">
        <f>HYPERLINK("#TAXONOMY!A1","TAXONOMY")</f>
        <v/>
      </c>
      <c r="C18" s="75" t="inlineStr">
        <is>
          <t>Reference: Requirement Type (SYSTEM/PROJECT/SAFETY) definitions, lifecycle supergroups, and the OFFER disposition vocabulary.</t>
        </is>
      </c>
      <c r="D18" s="75" t="inlineStr">
        <is>
          <t>Read once before using the Type/Category columns or the Disposition column.</t>
        </is>
      </c>
    </row>
    <row r="19" ht="48" customHeight="1">
      <c r="A19" s="30" t="inlineStr">
        <is>
          <t>BT win %
Human-readable head-to-head reading of the same ranking: 100 × (wins + 0.5 × ties) / (N − 1) against every other item on the list -- same order as Weighted S, just expressed as a win rate instead of a 0-100 score. Use win % when briefing a non-technical audience; use Weighted S when you need to defend a specific number.</t>
        </is>
      </c>
    </row>
    <row r="20" ht="48" customHeight="1"/>
    <row r="21" ht="48" customHeight="1"/>
    <row r="22" ht="48" customHeight="1"/>
    <row r="23" ht="48" customHeight="1">
      <c r="A23" s="6" t="inlineStr">
        <is>
          <t>Negotiation flag</t>
        </is>
      </c>
      <c r="B23" s="6" t="inlineStr">
        <is>
          <t>Per-bidder issue marker: negotiation, RFI, not available, clarification.</t>
        </is>
      </c>
      <c r="C23" s="6" t="inlineStr">
        <is>
          <t>Drives agenda and follow-up.</t>
        </is>
      </c>
    </row>
    <row r="26">
      <c r="A26" s="32" t="inlineStr">
        <is>
          <t>Control principle: OFFER ranking is static/cold and bidder-independent. Evaluation status, depth, source location and negotiation flags are live review inputs. Do not change the weighting or 0–3 classifications during a live evaluation round unless the panel formally approves a controlled rerun.</t>
        </is>
      </c>
    </row>
    <row r="27"/>
    <row r="28"/>
    <row r="29"/>
    <row r="30"/>
    <row r="31"/>
    <row r="33">
      <c r="A33" s="33" t="inlineStr">
        <is>
          <t>Note: EVALUATION_INPUT is retained as the previous interaction sheet for traceability. Use EVALUATION_WORKSPACE as the current main interaction sheet because it adds per-bidder comments, review indices, board topics and closure notes.</t>
        </is>
      </c>
    </row>
    <row r="34"/>
    <row r="35"/>
    <row r="36"/>
    <row r="37"/>
    <row r="39">
      <c r="A39" s="55" t="inlineStr">
        <is>
          <t>How to read the colour on this page (and where the other legends live)</t>
        </is>
      </c>
    </row>
    <row r="40" ht="20" customHeight="1">
      <c r="A40" s="181" t="inlineStr"/>
      <c r="B40" s="182" t="inlineStr">
        <is>
          <t>Pale green box</t>
        </is>
      </c>
      <c r="C40" s="6" t="inlineStr">
        <is>
          <t>Supporting definition / explanation -- background you don't need to act on, just understand.</t>
        </is>
      </c>
    </row>
    <row r="41" ht="20" customHeight="1">
      <c r="A41" s="183" t="inlineStr"/>
      <c r="B41" s="182" t="inlineStr">
        <is>
          <t>Pale yellow box</t>
        </is>
      </c>
      <c r="C41" s="6" t="inlineStr">
        <is>
          <t>Operational note or caution -- something to actually do or watch for (e.g. which sheet to use).</t>
        </is>
      </c>
    </row>
    <row r="42" ht="20" customHeight="1">
      <c r="A42" s="184" t="inlineStr"/>
      <c r="B42" s="182" t="inlineStr">
        <is>
          <t>Pale blue box</t>
        </is>
      </c>
      <c r="C42" s="6" t="inlineStr">
        <is>
          <t>Cross-reference / pointer to another sheet.</t>
        </is>
      </c>
    </row>
    <row r="44" ht="24" customHeight="1">
      <c r="A44" s="56" t="inlineStr">
        <is>
          <t>This page's colours are the ONLY workbook-wide, decorative kind. Everywhere else, colour carries specific meaning and has its own dedicated legend, not repeated here: STATUS colours (pink/orange/green review flags) -&gt; COMPLIANCE_LEGEND. Weight-dimension colours (L/R/P/F/Q/LC/C headers + row heatmaps) -&gt; WEIGHTS_METHOD. Sheet-tab colours (which of the 6 groups a tab belongs to) -&gt; NAVIGATION_MAP or README. Cluster colours (C1-C8) -&gt; CLUSTERS. RTM_CROSSWALK relation-type colours (Direct/Supporting/Broad/Contextual) -&gt; the note on that sheet itself.</t>
        </is>
      </c>
    </row>
    <row r="45" ht="24" customHeight="1"/>
    <row r="46" ht="24" customHeight="1"/>
  </sheetData>
  <mergeCells count="10">
    <mergeCell ref="C41:L41"/>
    <mergeCell ref="A2:L2"/>
    <mergeCell ref="A33:L37"/>
    <mergeCell ref="C40:L40"/>
    <mergeCell ref="A1:L1"/>
    <mergeCell ref="A19:L22"/>
    <mergeCell ref="A44:L46"/>
    <mergeCell ref="C42:L42"/>
    <mergeCell ref="A39:L39"/>
    <mergeCell ref="A26:L31"/>
  </mergeCell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00562873"/>
    <outlinePr summaryBelow="1" summaryRight="1"/>
    <pageSetUpPr/>
  </sheetPr>
  <dimension ref="A1:Z59"/>
  <sheetViews>
    <sheetView topLeftCell="A1" zoomScale="70" zoomScaleNormal="70" workbookViewId="0">
      <selection activeCell="A1" sqref="A1"/>
    </sheetView>
  </sheetViews>
  <sheetFormatPr baseColWidth="8" defaultRowHeight="14.25"/>
  <cols>
    <col width="13" customWidth="1" min="1" max="1"/>
    <col width="13" customWidth="1" min="2" max="2"/>
    <col width="13" customWidth="1" min="3" max="3"/>
    <col width="13" customWidth="1" min="4" max="4"/>
    <col width="13" customWidth="1" min="5" max="5"/>
    <col width="13" customWidth="1" min="6" max="6"/>
    <col width="13" customWidth="1" min="7" max="7"/>
  </cols>
  <sheetData>
    <row r="1" ht="32.1" customHeight="1">
      <c r="A1" s="35" t="inlineStr">
        <is>
          <t>OFFER BT dashboard</t>
        </is>
      </c>
      <c r="N1" s="5" t="inlineStr">
        <is>
          <t>Auditable chart source data</t>
        </is>
      </c>
      <c r="O1" s="5" t="n"/>
      <c r="P1" s="5" t="n"/>
      <c r="Q1" s="5" t="n"/>
      <c r="R1" s="5" t="n"/>
      <c r="S1" s="5" t="n"/>
      <c r="T1" s="5" t="n"/>
      <c r="U1" s="5" t="n"/>
      <c r="V1" s="5" t="n"/>
      <c r="W1" s="5" t="n"/>
      <c r="X1" s="5" t="n"/>
      <c r="Y1" s="5" t="n"/>
      <c r="Z1" s="5" t="n"/>
    </row>
    <row r="2" ht="30" customHeight="1">
      <c r="A2" s="36" t="inlineStr">
        <is>
          <t>Embedded plots are linked to auditable source data at the right.</t>
        </is>
      </c>
    </row>
    <row r="3" ht="21.95" customHeight="1">
      <c r="A3" s="188">
        <f>HYPERLINK("#START_HERE!A1","Start")</f>
        <v/>
      </c>
      <c r="B3" s="188">
        <f>HYPERLINK("#DASHBOARD!A1","Dashboard")</f>
        <v/>
      </c>
      <c r="C3" s="188">
        <f>HYPERLINK("#OFFER_RANKING!A1","Ranking")</f>
        <v/>
      </c>
      <c r="D3" s="188">
        <f>HYPERLINK("#EVALUATION_INPUT!A1","Evaluate")</f>
        <v/>
      </c>
      <c r="E3" s="188">
        <f>HYPERLINK("#OFFER_CANONICAL!A1","Canonical")</f>
        <v/>
      </c>
      <c r="F3" s="188">
        <f>HYPERLINK("#RTM_CROSSWALK!A1","Crosswalk")</f>
        <v/>
      </c>
      <c r="G3" s="188">
        <f>HYPERLINK("#WEIGHTS_METHOD!A1","Method")</f>
        <v/>
      </c>
      <c r="H3" s="1" t="n"/>
      <c r="I3" s="1" t="n"/>
      <c r="J3" s="1" t="n"/>
      <c r="K3" s="1" t="n"/>
      <c r="L3" s="1" t="n"/>
      <c r="N3" t="inlineStr">
        <is>
          <t>Offer</t>
        </is>
      </c>
      <c r="O3" t="inlineStr">
        <is>
          <t>Weighted S</t>
        </is>
      </c>
      <c r="Q3" t="inlineStr">
        <is>
          <t>Tier</t>
        </is>
      </c>
      <c r="R3" t="inlineStr">
        <is>
          <t>Count</t>
        </is>
      </c>
      <c r="T3" t="inlineStr">
        <is>
          <t>Category</t>
        </is>
      </c>
      <c r="U3" t="inlineStr">
        <is>
          <t>Count</t>
        </is>
      </c>
      <c r="V3" t="inlineStr">
        <is>
          <t>Average S</t>
        </is>
      </c>
      <c r="X3" t="inlineStr">
        <is>
          <t>Rank</t>
        </is>
      </c>
      <c r="Y3" t="inlineStr">
        <is>
          <t>Weighted S</t>
        </is>
      </c>
      <c r="Z3" t="inlineStr">
        <is>
          <t>BT λ</t>
        </is>
      </c>
    </row>
    <row r="4">
      <c r="N4" t="inlineStr">
        <is>
          <t>OFFER-02</t>
        </is>
      </c>
      <c r="O4" t="n">
        <v>54</v>
      </c>
      <c r="Q4" t="inlineStr">
        <is>
          <t>T0 Gate</t>
        </is>
      </c>
      <c r="R4" t="n">
        <v>6</v>
      </c>
      <c r="T4" t="inlineStr">
        <is>
          <t>Compliance / Quality</t>
        </is>
      </c>
      <c r="U4" t="n">
        <v>6</v>
      </c>
      <c r="V4" t="n">
        <v>37.444</v>
      </c>
      <c r="X4" t="n">
        <v>1</v>
      </c>
      <c r="Y4" t="n">
        <v>54</v>
      </c>
      <c r="Z4" t="n">
        <v>100</v>
      </c>
    </row>
    <row r="5">
      <c r="A5" s="37" t="inlineStr">
        <is>
          <t>OFFER items
50
Canonical OFFER-01…50</t>
        </is>
      </c>
      <c r="D5" s="37" t="inlineStr">
        <is>
          <t>Gate items
6
Admissibility precedence</t>
        </is>
      </c>
      <c r="G5" s="37" t="inlineStr">
        <is>
          <t>Primary items
10
Top non-gate band</t>
        </is>
      </c>
      <c r="J5" s="37" t="inlineStr">
        <is>
          <t>Mean Weighted S
28.9
Frozen composite</t>
        </is>
      </c>
      <c r="N5" t="inlineStr">
        <is>
          <t>OFFER-48</t>
        </is>
      </c>
      <c r="O5" t="n">
        <v>42.667</v>
      </c>
      <c r="Q5" t="inlineStr">
        <is>
          <t>T1 Primary</t>
        </is>
      </c>
      <c r="R5" t="n">
        <v>10</v>
      </c>
      <c r="T5" t="inlineStr">
        <is>
          <t>Reliability / RAM / Service</t>
        </is>
      </c>
      <c r="U5" t="n">
        <v>8</v>
      </c>
      <c r="V5" t="n">
        <v>33.833</v>
      </c>
      <c r="X5" t="n">
        <v>2</v>
      </c>
      <c r="Y5" t="n">
        <v>42.667</v>
      </c>
      <c r="Z5" t="n">
        <v>79.437</v>
      </c>
    </row>
    <row r="6">
      <c r="N6" t="inlineStr">
        <is>
          <t>OFFER-01</t>
        </is>
      </c>
      <c r="O6" t="n">
        <v>32</v>
      </c>
      <c r="Q6" t="inlineStr">
        <is>
          <t>T2 Secondary</t>
        </is>
      </c>
      <c r="R6" t="n">
        <v>16</v>
      </c>
      <c r="T6" t="inlineStr">
        <is>
          <t>Controls / Software / Management</t>
        </is>
      </c>
      <c r="U6" t="n">
        <v>10</v>
      </c>
      <c r="V6" t="n">
        <v>30.067</v>
      </c>
      <c r="X6" t="n">
        <v>3</v>
      </c>
      <c r="Y6" t="n">
        <v>32</v>
      </c>
      <c r="Z6" t="n">
        <v>48.911</v>
      </c>
    </row>
    <row r="7">
      <c r="N7" t="inlineStr">
        <is>
          <t>OFFER-03</t>
        </is>
      </c>
      <c r="O7" t="n">
        <v>32</v>
      </c>
      <c r="Q7" t="inlineStr">
        <is>
          <t>T3 Contextual</t>
        </is>
      </c>
      <c r="R7" t="n">
        <v>18</v>
      </c>
      <c r="T7" t="inlineStr">
        <is>
          <t>Performance / Process / Utilities</t>
        </is>
      </c>
      <c r="U7" t="n">
        <v>15</v>
      </c>
      <c r="V7" t="n">
        <v>27.933</v>
      </c>
      <c r="X7" t="n">
        <v>4</v>
      </c>
      <c r="Y7" t="n">
        <v>32</v>
      </c>
      <c r="Z7" t="n">
        <v>48.911</v>
      </c>
    </row>
    <row r="8">
      <c r="N8" t="inlineStr">
        <is>
          <t>OFFER-47</t>
        </is>
      </c>
      <c r="O8" t="n">
        <v>32</v>
      </c>
      <c r="T8" t="inlineStr">
        <is>
          <t>Configuration / Layout / Support</t>
        </is>
      </c>
      <c r="U8" t="n">
        <v>11</v>
      </c>
      <c r="V8" t="n">
        <v>20.848</v>
      </c>
      <c r="X8" t="n">
        <v>5</v>
      </c>
      <c r="Y8" t="n">
        <v>32</v>
      </c>
      <c r="Z8" t="n">
        <v>48.911</v>
      </c>
    </row>
    <row r="9">
      <c r="N9" t="inlineStr">
        <is>
          <t>OFFER-49</t>
        </is>
      </c>
      <c r="O9" t="n">
        <v>32</v>
      </c>
      <c r="X9" t="n">
        <v>6</v>
      </c>
      <c r="Y9" t="n">
        <v>32</v>
      </c>
      <c r="Z9" t="n">
        <v>48.911</v>
      </c>
    </row>
    <row r="10">
      <c r="N10" t="inlineStr">
        <is>
          <t>OFFER-09</t>
        </is>
      </c>
      <c r="O10" t="n">
        <v>55.667</v>
      </c>
      <c r="X10" t="n">
        <v>7</v>
      </c>
      <c r="Y10" t="n">
        <v>55.667</v>
      </c>
      <c r="Z10" t="n">
        <v>32.555</v>
      </c>
    </row>
    <row r="11">
      <c r="N11" t="inlineStr">
        <is>
          <t>OFFER-42</t>
        </is>
      </c>
      <c r="O11" t="n">
        <v>46.333</v>
      </c>
      <c r="X11" t="n">
        <v>8</v>
      </c>
      <c r="Y11" t="n">
        <v>46.333</v>
      </c>
      <c r="Z11" t="n">
        <v>28.053</v>
      </c>
    </row>
    <row r="12">
      <c r="N12" t="inlineStr">
        <is>
          <t>OFFER-20</t>
        </is>
      </c>
      <c r="O12" t="n">
        <v>46</v>
      </c>
      <c r="X12" t="n">
        <v>9</v>
      </c>
      <c r="Y12" t="n">
        <v>46</v>
      </c>
      <c r="Z12" t="n">
        <v>22.688</v>
      </c>
    </row>
    <row r="13">
      <c r="N13" t="inlineStr">
        <is>
          <t>OFFER-34</t>
        </is>
      </c>
      <c r="O13" t="n">
        <v>46</v>
      </c>
      <c r="X13" t="n">
        <v>10</v>
      </c>
      <c r="Y13" t="n">
        <v>46</v>
      </c>
      <c r="Z13" t="n">
        <v>22.688</v>
      </c>
    </row>
    <row r="14">
      <c r="N14" t="inlineStr">
        <is>
          <t>OFFER-29</t>
        </is>
      </c>
      <c r="O14" t="n">
        <v>45</v>
      </c>
      <c r="X14" t="n">
        <v>11</v>
      </c>
      <c r="Y14" t="n">
        <v>45</v>
      </c>
      <c r="Z14" t="n">
        <v>18.544</v>
      </c>
    </row>
    <row r="15">
      <c r="N15" t="inlineStr">
        <is>
          <t>OFFER-04</t>
        </is>
      </c>
      <c r="O15" t="n">
        <v>44</v>
      </c>
      <c r="X15" t="n">
        <v>12</v>
      </c>
      <c r="Y15" t="n">
        <v>44</v>
      </c>
      <c r="Z15" t="n">
        <v>15.285</v>
      </c>
    </row>
    <row r="16">
      <c r="N16" t="inlineStr">
        <is>
          <t>OFFER-05</t>
        </is>
      </c>
      <c r="O16" t="n">
        <v>44</v>
      </c>
      <c r="X16" t="n">
        <v>13</v>
      </c>
      <c r="Y16" t="n">
        <v>44</v>
      </c>
      <c r="Z16" t="n">
        <v>15.285</v>
      </c>
    </row>
    <row r="17">
      <c r="N17" t="inlineStr">
        <is>
          <t>OFFER-27</t>
        </is>
      </c>
      <c r="O17" t="n">
        <v>41.333</v>
      </c>
      <c r="X17" t="n">
        <v>14</v>
      </c>
      <c r="Y17" t="n">
        <v>41.333</v>
      </c>
      <c r="Z17" t="n">
        <v>12.684</v>
      </c>
    </row>
    <row r="18">
      <c r="N18" t="inlineStr">
        <is>
          <t>OFFER-33</t>
        </is>
      </c>
      <c r="O18" t="n">
        <v>38.667</v>
      </c>
      <c r="X18" t="n">
        <v>15</v>
      </c>
      <c r="Y18" t="n">
        <v>38.667</v>
      </c>
      <c r="Z18" t="n">
        <v>10.584</v>
      </c>
    </row>
    <row r="19">
      <c r="X19" t="n">
        <v>16</v>
      </c>
      <c r="Y19" t="n">
        <v>38.667</v>
      </c>
      <c r="Z19" t="n">
        <v>10.584</v>
      </c>
    </row>
    <row r="20">
      <c r="X20" t="n">
        <v>17</v>
      </c>
      <c r="Y20" t="n">
        <v>36</v>
      </c>
      <c r="Z20" t="n">
        <v>8.369</v>
      </c>
    </row>
    <row r="21">
      <c r="X21" t="n">
        <v>18</v>
      </c>
      <c r="Y21" t="n">
        <v>36</v>
      </c>
      <c r="Z21" t="n">
        <v>8.369</v>
      </c>
    </row>
    <row r="22">
      <c r="X22" t="n">
        <v>19</v>
      </c>
      <c r="Y22" t="n">
        <v>35.667</v>
      </c>
      <c r="Z22" t="n">
        <v>7.046</v>
      </c>
    </row>
    <row r="23">
      <c r="X23" t="n">
        <v>20</v>
      </c>
      <c r="Y23" t="n">
        <v>32.667</v>
      </c>
      <c r="Z23" t="n">
        <v>5.946</v>
      </c>
    </row>
    <row r="24">
      <c r="X24" t="n">
        <v>21</v>
      </c>
      <c r="Y24" t="n">
        <v>32.667</v>
      </c>
      <c r="Z24" t="n">
        <v>5.946</v>
      </c>
    </row>
    <row r="25">
      <c r="X25" t="n">
        <v>22</v>
      </c>
      <c r="Y25" t="n">
        <v>32</v>
      </c>
      <c r="Z25" t="n">
        <v>4.756</v>
      </c>
    </row>
    <row r="26">
      <c r="X26" t="n">
        <v>23</v>
      </c>
      <c r="Y26" t="n">
        <v>32</v>
      </c>
      <c r="Z26" t="n">
        <v>4.756</v>
      </c>
    </row>
    <row r="27">
      <c r="X27" t="n">
        <v>24</v>
      </c>
      <c r="Y27" t="n">
        <v>31.667</v>
      </c>
      <c r="Z27" t="n">
        <v>4.028</v>
      </c>
    </row>
    <row r="28">
      <c r="X28" t="n">
        <v>25</v>
      </c>
      <c r="Y28" t="n">
        <v>29.333</v>
      </c>
      <c r="Z28" t="n">
        <v>3.607</v>
      </c>
    </row>
    <row r="29">
      <c r="X29" t="n">
        <v>26</v>
      </c>
      <c r="Y29" t="n">
        <v>26.667</v>
      </c>
      <c r="Z29" t="n">
        <v>3.23</v>
      </c>
    </row>
    <row r="30">
      <c r="X30" t="n">
        <v>27</v>
      </c>
      <c r="Y30" t="n">
        <v>24</v>
      </c>
      <c r="Z30" t="n">
        <v>2.193</v>
      </c>
    </row>
    <row r="31">
      <c r="X31" t="n">
        <v>28</v>
      </c>
      <c r="Y31" t="n">
        <v>24</v>
      </c>
      <c r="Z31" t="n">
        <v>2.193</v>
      </c>
    </row>
    <row r="32">
      <c r="X32" t="n">
        <v>29</v>
      </c>
      <c r="Y32" t="n">
        <v>24</v>
      </c>
      <c r="Z32" t="n">
        <v>2.193</v>
      </c>
    </row>
    <row r="33">
      <c r="X33" t="n">
        <v>30</v>
      </c>
      <c r="Y33" t="n">
        <v>24</v>
      </c>
      <c r="Z33" t="n">
        <v>2.193</v>
      </c>
    </row>
    <row r="34">
      <c r="X34" t="n">
        <v>31</v>
      </c>
      <c r="Y34" t="n">
        <v>24</v>
      </c>
      <c r="Z34" t="n">
        <v>2.193</v>
      </c>
    </row>
    <row r="35">
      <c r="X35" t="n">
        <v>32</v>
      </c>
      <c r="Y35" t="n">
        <v>24</v>
      </c>
      <c r="Z35" t="n">
        <v>2.193</v>
      </c>
    </row>
    <row r="36">
      <c r="X36" t="n">
        <v>33</v>
      </c>
      <c r="Y36" t="n">
        <v>23.333</v>
      </c>
      <c r="Z36" t="n">
        <v>1.477</v>
      </c>
    </row>
    <row r="37">
      <c r="X37" t="n">
        <v>34</v>
      </c>
      <c r="Y37" t="n">
        <v>22.667</v>
      </c>
      <c r="Z37" t="n">
        <v>1.316</v>
      </c>
    </row>
    <row r="38">
      <c r="X38" t="n">
        <v>35</v>
      </c>
      <c r="Y38" t="n">
        <v>20</v>
      </c>
      <c r="Z38" t="n">
        <v>0.978</v>
      </c>
    </row>
    <row r="39">
      <c r="X39" t="n">
        <v>36</v>
      </c>
      <c r="Y39" t="n">
        <v>20</v>
      </c>
      <c r="Z39" t="n">
        <v>0.978</v>
      </c>
    </row>
    <row r="40">
      <c r="X40" t="n">
        <v>37</v>
      </c>
      <c r="Y40" t="n">
        <v>20</v>
      </c>
      <c r="Z40" t="n">
        <v>0.978</v>
      </c>
    </row>
    <row r="41">
      <c r="X41" t="n">
        <v>38</v>
      </c>
      <c r="Y41" t="n">
        <v>20</v>
      </c>
      <c r="Z41" t="n">
        <v>0.978</v>
      </c>
    </row>
    <row r="42">
      <c r="X42" t="n">
        <v>39</v>
      </c>
      <c r="Y42" t="n">
        <v>18.667</v>
      </c>
      <c r="Z42" t="n">
        <v>0.673</v>
      </c>
    </row>
    <row r="43">
      <c r="X43" t="n">
        <v>40</v>
      </c>
      <c r="Y43" t="n">
        <v>18.667</v>
      </c>
      <c r="Z43" t="n">
        <v>0.673</v>
      </c>
    </row>
    <row r="44">
      <c r="X44" t="n">
        <v>41</v>
      </c>
      <c r="Y44" t="n">
        <v>17.333</v>
      </c>
      <c r="Z44" t="n">
        <v>0.515</v>
      </c>
    </row>
    <row r="45">
      <c r="X45" t="n">
        <v>42</v>
      </c>
      <c r="Y45" t="n">
        <v>17.333</v>
      </c>
      <c r="Z45" t="n">
        <v>0.515</v>
      </c>
    </row>
    <row r="46">
      <c r="X46" t="n">
        <v>43</v>
      </c>
      <c r="Y46" t="n">
        <v>16</v>
      </c>
      <c r="Z46" t="n">
        <v>0.333</v>
      </c>
    </row>
    <row r="47">
      <c r="X47" t="n">
        <v>44</v>
      </c>
      <c r="Y47" t="n">
        <v>16</v>
      </c>
      <c r="Z47" t="n">
        <v>0.333</v>
      </c>
    </row>
    <row r="48">
      <c r="X48" t="n">
        <v>45</v>
      </c>
      <c r="Y48" t="n">
        <v>16</v>
      </c>
      <c r="Z48" t="n">
        <v>0.333</v>
      </c>
    </row>
    <row r="49">
      <c r="X49" t="n">
        <v>46</v>
      </c>
      <c r="Y49" t="n">
        <v>16</v>
      </c>
      <c r="Z49" t="n">
        <v>0.333</v>
      </c>
    </row>
    <row r="50">
      <c r="X50" t="n">
        <v>47</v>
      </c>
      <c r="Y50" t="n">
        <v>14.333</v>
      </c>
      <c r="Z50" t="n">
        <v>0.219</v>
      </c>
    </row>
    <row r="51">
      <c r="A51" s="34" t="inlineStr">
        <is>
          <t>BT MLE converged in 301 iterations (final relative change 9.51E-11). This convergence confirms numerical stability; it does not create new engineering judgement.</t>
        </is>
      </c>
      <c r="X51" t="n">
        <v>48</v>
      </c>
      <c r="Y51" t="n">
        <v>12</v>
      </c>
      <c r="Z51" t="n">
        <v>0.181</v>
      </c>
    </row>
    <row r="52">
      <c r="X52" t="n">
        <v>49</v>
      </c>
      <c r="Y52" t="n">
        <v>10.667</v>
      </c>
      <c r="Z52" t="n">
        <v>0.147</v>
      </c>
    </row>
    <row r="53">
      <c r="X53" t="n">
        <v>50</v>
      </c>
      <c r="Y53" t="n">
        <v>6.333</v>
      </c>
      <c r="Z53" t="n">
        <v>0.117</v>
      </c>
    </row>
    <row r="54"/>
    <row r="56" ht="24" customHeight="1">
      <c r="A56" s="142" t="inlineStr">
        <is>
          <t>Why does the Weighted S line spike at item 7, above item 1? Ranks 1-6 are the six T0 Gate items -- pinned to the TOP of the official rank by gate precedence, regardless of their own S score (54 / 42.7 / 32 / 32 / 32 / 32 -- all comparatively low). Rank 7 is the first non-gated item, OFFER-09 "LN2 Techno-Economic Evaluation (CAPEX/OPEX)" (T1 Primary), and it holds the single highest Weighted S of all 50 OFFER items: 55.67 -- higher even than the #1-ranked gate item. So the S-line dips through the low-S gate items, then jumps sharply upward exactly where the top-value item finally appears. This is expected behaviour, not a data error: gate items must rank first by policy (pass/fail compliance), independent of how much technical/value weight they carry -- see WEIGHTS_METHOD for the gate-precedence rule.</t>
        </is>
      </c>
    </row>
    <row r="57" ht="24" customHeight="1"/>
    <row r="58" ht="24" customHeight="1"/>
    <row r="59" ht="24" customHeight="1"/>
  </sheetData>
  <mergeCells count="8">
    <mergeCell ref="A2:L2"/>
    <mergeCell ref="J5:L9"/>
    <mergeCell ref="A1:L1"/>
    <mergeCell ref="D5:F9"/>
    <mergeCell ref="A51:L54"/>
    <mergeCell ref="A5:C9"/>
    <mergeCell ref="G5:I9"/>
    <mergeCell ref="A56:L59"/>
  </mergeCells>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tabColor rgb="00562873"/>
    <outlinePr summaryBelow="1" summaryRight="1"/>
    <pageSetUpPr/>
  </sheetPr>
  <dimension ref="A1:I99"/>
  <sheetViews>
    <sheetView showGridLines="0" topLeftCell="A1" zoomScale="90" zoomScaleNormal="90" workbookViewId="0">
      <selection activeCell="A1" sqref="A1"/>
    </sheetView>
  </sheetViews>
  <sheetFormatPr baseColWidth="8" defaultRowHeight="15"/>
  <cols>
    <col width="26" customWidth="1" min="1" max="1"/>
    <col width="16" customWidth="1" min="2" max="2"/>
    <col hidden="1" width="22" customWidth="1" min="3" max="3"/>
    <col hidden="1" width="16" customWidth="1" min="4" max="4"/>
    <col width="13" customWidth="1" min="5" max="5"/>
    <col width="13" customWidth="1" min="6" max="6"/>
    <col width="13" customWidth="1" min="7" max="7"/>
    <col width="13" customWidth="1" min="8" max="8"/>
  </cols>
  <sheetData>
    <row r="1" ht="32" customHeight="1">
      <c r="A1" s="44" t="inlineStr">
        <is>
          <t>Filter view — by Domain or Cluster</t>
        </is>
      </c>
    </row>
    <row r="2">
      <c r="A2" s="45" t="inlineStr">
        <is>
          <t>Pick a Domain and/or a Cluster below; the counts update live. This is a filter aid over the same 722 RTMs in RTM_RANKING -- for row-level detail, use RTM_RANKING's own AutoFilter after picking your slice here, or open RTM_LOOKUP for one specific RTM.</t>
        </is>
      </c>
    </row>
    <row r="3">
      <c r="A3" s="187">
        <f>HYPERLINK("#START_HERE!A1","Start")</f>
        <v/>
      </c>
      <c r="B3" s="187">
        <f>HYPERLINK("#DASHBOARD!A1","Dashboard")</f>
        <v/>
      </c>
      <c r="C3" s="187">
        <f>HYPERLINK("#RTM_LOOKUP!A1","RTM Lookup")</f>
        <v/>
      </c>
      <c r="D3" s="187">
        <f>HYPERLINK("#DASHBOARD_2!A1","Filter view")</f>
        <v/>
      </c>
      <c r="E3" s="187">
        <f>HYPERLINK("#RTM_REVIEW_QUEUE!A1","Queue")</f>
        <v/>
      </c>
      <c r="F3" s="187">
        <f>HYPERLINK("#RTM_RANKING!A1","Ranking")</f>
        <v/>
      </c>
      <c r="G3" s="187">
        <f>HYPERLINK("#DOMAIN_SUMMARY!A1","Domains")</f>
        <v/>
      </c>
      <c r="H3" s="187">
        <f>HYPERLINK("#CLUSTERS!A1","Clusters")</f>
        <v/>
      </c>
      <c r="I3" s="187">
        <f>HYPERLINK("#TAXONOMY!A1","Taxonomy")</f>
        <v/>
      </c>
    </row>
    <row r="5">
      <c r="A5" s="66" t="inlineStr">
        <is>
          <t>Domain</t>
        </is>
      </c>
      <c r="B5" s="67" t="inlineStr">
        <is>
          <t>(ALL)</t>
        </is>
      </c>
      <c r="C5" s="68" t="inlineStr">
        <is>
          <t>Domain criteria (helper):</t>
        </is>
      </c>
      <c r="D5">
        <f>IF(B5="(ALL)","*",B5)</f>
        <v/>
      </c>
    </row>
    <row r="6">
      <c r="A6" s="66" t="inlineStr">
        <is>
          <t>Cluster</t>
        </is>
      </c>
      <c r="B6" s="67" t="inlineStr">
        <is>
          <t>(ALL)</t>
        </is>
      </c>
      <c r="C6" s="68" t="inlineStr">
        <is>
          <t>Cluster criteria (helper):</t>
        </is>
      </c>
      <c r="D6">
        <f>IF(B6="(ALL)","*","*"&amp;B6&amp;" —*")</f>
        <v/>
      </c>
    </row>
    <row r="8">
      <c r="A8" s="55" t="inlineStr">
        <is>
          <t>Live counts for this slice</t>
        </is>
      </c>
    </row>
    <row r="9">
      <c r="A9" s="51" t="inlineStr">
        <is>
          <t>Matching RTMs</t>
        </is>
      </c>
      <c r="B9" s="69">
        <f>COUNTIFS(RTM_RANKING!$E$6:$E$728,$D$5,RTM_RANKING!$I$6:$I$728,$D$6)</f>
        <v/>
      </c>
    </row>
    <row r="10">
      <c r="A10" s="51" t="inlineStr">
        <is>
          <t xml:space="preserve">  of which T0 Gate</t>
        </is>
      </c>
      <c r="B10" s="69">
        <f>COUNTIFS(RTM_RANKING!$E$6:$E$728,$D$5,RTM_RANKING!$I$6:$I$728,$D$6,RTM_RANKING!$D$6:$D$728,"T0 Gate")</f>
        <v/>
      </c>
    </row>
    <row r="11">
      <c r="A11" s="51" t="inlineStr">
        <is>
          <t xml:space="preserve">  of which T1 Primary</t>
        </is>
      </c>
      <c r="B11" s="69">
        <f>COUNTIFS(RTM_RANKING!$E$6:$E$728,$D$5,RTM_RANKING!$I$6:$I$728,$D$6,RTM_RANKING!$D$6:$D$728,"T1 Primary")</f>
        <v/>
      </c>
    </row>
    <row r="12">
      <c r="A12" s="51" t="inlineStr">
        <is>
          <t xml:space="preserve">  of which T2 Secondary</t>
        </is>
      </c>
      <c r="B12" s="69">
        <f>COUNTIFS(RTM_RANKING!$E$6:$E$728,$D$5,RTM_RANKING!$I$6:$I$728,$D$6,RTM_RANKING!$D$6:$D$728,"T2 Secondary")</f>
        <v/>
      </c>
    </row>
    <row r="13">
      <c r="A13" s="51" t="inlineStr">
        <is>
          <t xml:space="preserve">  of which T3 Contextual</t>
        </is>
      </c>
      <c r="B13" s="69">
        <f>COUNTIFS(RTM_RANKING!$E$6:$E$728,$D$5,RTM_RANKING!$I$6:$I$728,$D$6,RTM_RANKING!$D$6:$D$728,"T3 Contextual")</f>
        <v/>
      </c>
    </row>
    <row r="14">
      <c r="A14" s="51" t="inlineStr">
        <is>
          <t>Average Weighted S</t>
        </is>
      </c>
      <c r="B14" s="69">
        <f>IFERROR(ROUND(AVERAGEIFS(RTM_RANKING!$V$6:$V$728,RTM_RANKING!$E$6:$E$728,$D$5,RTM_RANKING!$I$6:$I$728,$D$6),2),"n/a")</f>
        <v/>
      </c>
    </row>
    <row r="16">
      <c r="A16" s="189" t="inlineStr">
        <is>
          <t>RTM-side charts (mirrors DASHBOARD's OFFER-side charts) + crosswalk coverage</t>
        </is>
      </c>
    </row>
    <row r="17">
      <c r="A17" s="190" t="inlineStr">
        <is>
          <t>Chart data below is auto-computed (COUNTIF/COUNTIFS off RTM_RANKING) -- not for manual editing.</t>
        </is>
      </c>
    </row>
    <row r="18">
      <c r="A18" s="66" t="inlineStr">
        <is>
          <t>Tier</t>
        </is>
      </c>
      <c r="B18" s="66" t="inlineStr">
        <is>
          <t>RTM count</t>
        </is>
      </c>
      <c r="D18" s="66" t="inlineStr">
        <is>
          <t>Coverage</t>
        </is>
      </c>
      <c r="E18" s="66" t="inlineStr">
        <is>
          <t>RTM count</t>
        </is>
      </c>
    </row>
    <row r="19">
      <c r="A19" t="inlineStr">
        <is>
          <t>T0 Gate</t>
        </is>
      </c>
      <c r="B19">
        <f>COUNTIF(RTM_RANKING!$D$6:$D$727,"T0 Gate")</f>
        <v/>
      </c>
      <c r="D19" t="inlineStr">
        <is>
          <t>Linked</t>
        </is>
      </c>
      <c r="E19">
        <f>COUNTIFS(RTM_RANKING!$AG$6:$AG$727,"&lt;&gt;Not linked to an OFFER item",RTM_RANKING!$AG$6:$AG$727,"&lt;&gt;")</f>
        <v/>
      </c>
    </row>
    <row r="20">
      <c r="A20" t="inlineStr">
        <is>
          <t>T1 Primary</t>
        </is>
      </c>
      <c r="B20">
        <f>COUNTIF(RTM_RANKING!$D$6:$D$727,"T1 Primary")</f>
        <v/>
      </c>
      <c r="D20" t="inlineStr">
        <is>
          <t>Not linked</t>
        </is>
      </c>
      <c r="E20">
        <f>COUNTIF(RTM_RANKING!$AG$6:$AG$727,"Not linked to an OFFER item")</f>
        <v/>
      </c>
    </row>
    <row r="21">
      <c r="A21" t="inlineStr">
        <is>
          <t>T2 Secondary</t>
        </is>
      </c>
      <c r="B21">
        <f>COUNTIF(RTM_RANKING!$D$6:$D$727,"T2 Secondary")</f>
        <v/>
      </c>
    </row>
    <row r="22">
      <c r="A22" t="inlineStr">
        <is>
          <t>T3 Contextual</t>
        </is>
      </c>
      <c r="B22">
        <f>COUNTIF(RTM_RANKING!$D$6:$D$727,"T3 Contextual")</f>
        <v/>
      </c>
      <c r="D22" s="66" t="inlineStr">
        <is>
          <t>Tier</t>
        </is>
      </c>
      <c r="E22" s="66" t="inlineStr">
        <is>
          <t>Linked</t>
        </is>
      </c>
      <c r="F22" s="66" t="inlineStr">
        <is>
          <t>Not linked</t>
        </is>
      </c>
    </row>
    <row r="23">
      <c r="D23" t="inlineStr">
        <is>
          <t>T0 Gate</t>
        </is>
      </c>
      <c r="E23">
        <f>COUNTIFS(RTM_RANKING!$D$6:$D$727,"T0 Gate",RTM_RANKING!$AG$6:$AG$727,"&lt;&gt;Not linked to an OFFER item",RTM_RANKING!$AG$6:$AG$727,"&lt;&gt;")</f>
        <v/>
      </c>
      <c r="F23">
        <f>COUNTIFS(RTM_RANKING!$D$6:$D$727,"T0 Gate",RTM_RANKING!$AG$6:$AG$727,"Not linked to an OFFER item")</f>
        <v/>
      </c>
    </row>
    <row r="24">
      <c r="D24" t="inlineStr">
        <is>
          <t>T1 Primary</t>
        </is>
      </c>
      <c r="E24">
        <f>COUNTIFS(RTM_RANKING!$D$6:$D$727,"T1 Primary",RTM_RANKING!$AG$6:$AG$727,"&lt;&gt;Not linked to an OFFER item",RTM_RANKING!$AG$6:$AG$727,"&lt;&gt;")</f>
        <v/>
      </c>
      <c r="F24">
        <f>COUNTIFS(RTM_RANKING!$D$6:$D$727,"T1 Primary",RTM_RANKING!$AG$6:$AG$727,"Not linked to an OFFER item")</f>
        <v/>
      </c>
    </row>
    <row r="25">
      <c r="D25" t="inlineStr">
        <is>
          <t>T2 Secondary</t>
        </is>
      </c>
      <c r="E25">
        <f>COUNTIFS(RTM_RANKING!$D$6:$D$727,"T2 Secondary",RTM_RANKING!$AG$6:$AG$727,"&lt;&gt;Not linked to an OFFER item",RTM_RANKING!$AG$6:$AG$727,"&lt;&gt;")</f>
        <v/>
      </c>
      <c r="F25">
        <f>COUNTIFS(RTM_RANKING!$D$6:$D$727,"T2 Secondary",RTM_RANKING!$AG$6:$AG$727,"Not linked to an OFFER item")</f>
        <v/>
      </c>
    </row>
    <row r="26">
      <c r="D26" t="inlineStr">
        <is>
          <t>T3 Contextual</t>
        </is>
      </c>
      <c r="E26">
        <f>COUNTIFS(RTM_RANKING!$D$6:$D$727,"T3 Contextual",RTM_RANKING!$AG$6:$AG$727,"&lt;&gt;Not linked to an OFFER item",RTM_RANKING!$AG$6:$AG$727,"&lt;&gt;")</f>
        <v/>
      </c>
      <c r="F26">
        <f>COUNTIFS(RTM_RANKING!$D$6:$D$727,"T3 Contextual",RTM_RANKING!$AG$6:$AG$727,"Not linked to an OFFER item")</f>
        <v/>
      </c>
    </row>
    <row r="28" ht="22" customHeight="1">
      <c r="A28" s="191" t="inlineStr">
        <is>
          <t>Coverage read: 293 of 722 RTMs (41%) have a direct RTM_CROSSWALK link to at least one OFFER item; 429 (59%) do not. That is expected, not a defect -- OFFER items are the bidder's own response document, so many RTMs (procedural/administrative requirements, or ones no OFFER section happens to address in prose) will never get a direct textual link even in a fully compliant bid. The number worth watching is the T0 Gate row below: 21 of 43 T0 Gate RTMs (49%) have NO direct OFFER link -- for a Gate requirement specifically, that means compliance for that item is resting on EVALUATION_WORKSPACE's manual review, not on a traceable OFFER-text citation. Worth a reviewer pass on just those 21 before sign-off, not a workbook defect to fix.</t>
        </is>
      </c>
    </row>
    <row r="29" ht="22" customHeight="1"/>
    <row r="30" ht="22" customHeight="1"/>
    <row r="31" ht="22" customHeight="1"/>
    <row r="95">
      <c r="A95" s="73" t="inlineStr">
        <is>
          <t>Review-completion rollup (RTM_REVIEW_QUEUE)</t>
        </is>
      </c>
    </row>
    <row r="96">
      <c r="A96" s="201" t="inlineStr">
        <is>
          <t>0 of 289 priority-queue RTMs (0%) have a Disposition recorded (anything other than blank/TBD); 289 (100%) are still awaiting a reviewer decision. This is the single project-level 'how far along is this evaluation' number the per-item STATUS/Disposition fields never rolled up into one place before -- same pattern as the crosswalk-coverage callout above, applied to review completion instead of RTM&lt;-&gt;OFFER linkage. Re-run build_workbook_v20.py's Section 7 (or a future refresh) any time RTM_REVIEW_QUEUE!Disposition values change, to keep this number current -- it is a snapshot, not a live formula, so it can drift if the workbook is edited without a rebuild.</t>
        </is>
      </c>
    </row>
    <row r="97"/>
    <row r="98"/>
    <row r="99"/>
  </sheetData>
  <mergeCells count="8">
    <mergeCell ref="A16:F16"/>
    <mergeCell ref="A28:I31"/>
    <mergeCell ref="A2:F2"/>
    <mergeCell ref="A95:I95"/>
    <mergeCell ref="A1:F1"/>
    <mergeCell ref="A17:I17"/>
    <mergeCell ref="A96:I99"/>
    <mergeCell ref="A16:I16"/>
  </mergeCells>
  <dataValidations count="2">
    <dataValidation sqref="B5" showDropDown="0" showInputMessage="0" showErrorMessage="0" allowBlank="0" type="list">
      <formula1>"(ALL),Subsystems,Control &amp; Interlock,Acceptance Testing,Buildings &amp; Utilities,Process &amp; Functional,Quality Assurance &amp; Control,Design &amp; Fabrication,Technical Documentation,Global Design Criteria,Contract Performance,Safety &amp; Protection,Codes &amp; Standards,Acceptance &amp; Warranty,Cryogenic Interfaces,Training,Schedule,Other Deliverables,General / Compliance,Commissioning,Installation,After-Sales,Transport &amp; Logistics"</formula1>
    </dataValidation>
    <dataValidation sqref="B6" showDropDown="0" showInputMessage="0" showErrorMessage="0" allowBlank="0" type="list">
      <formula1>"(ALL),C1,C2,C3,C4,C5,C6,C7,C8"</formula1>
    </dataValidation>
  </dataValidation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1FA7A0"/>
    <outlinePr summaryBelow="1" summaryRight="1"/>
    <pageSetUpPr/>
  </sheetPr>
  <dimension ref="A1:I34"/>
  <sheetViews>
    <sheetView showGridLines="0" topLeftCell="A1" zoomScale="90" zoomScaleNormal="90" workbookViewId="0">
      <selection activeCell="A1" sqref="A1"/>
    </sheetView>
  </sheetViews>
  <sheetFormatPr baseColWidth="8" defaultRowHeight="15"/>
  <cols>
    <col width="30" customWidth="1" min="1" max="1"/>
    <col width="60" customWidth="1" min="2" max="2"/>
    <col width="16" customWidth="1" min="3" max="3"/>
    <col width="16" customWidth="1" min="4" max="4"/>
    <col width="16" customWidth="1" min="5" max="5"/>
    <col width="16" customWidth="1" min="6" max="6"/>
    <col width="13" customWidth="1" min="7" max="7"/>
    <col width="13" customWidth="1" min="8" max="8"/>
  </cols>
  <sheetData>
    <row r="1" ht="32" customHeight="1">
      <c r="A1" s="44" t="inlineStr">
        <is>
          <t>RTM Lookup — enter any RTM ID</t>
        </is>
      </c>
    </row>
    <row r="2">
      <c r="A2" s="45" t="inlineStr">
        <is>
          <t>Type an RTM ID (e.g. RTM-693) in the yellow box. Every field for that requirement pulls in below, across all 722 canonical RTMs -- not just the 289 in the priority queue.</t>
        </is>
      </c>
    </row>
    <row r="3">
      <c r="A3" s="187">
        <f>HYPERLINK("#START_HERE!A1","Start")</f>
        <v/>
      </c>
      <c r="B3" s="187">
        <f>HYPERLINK("#DASHBOARD!A1","Dashboard")</f>
        <v/>
      </c>
      <c r="C3" s="187">
        <f>HYPERLINK("#RTM_LOOKUP!A1","RTM Lookup")</f>
        <v/>
      </c>
      <c r="D3" s="187">
        <f>HYPERLINK("#DASHBOARD_2!A1","Filter view")</f>
        <v/>
      </c>
      <c r="E3" s="187">
        <f>HYPERLINK("#RTM_REVIEW_QUEUE!A1","Queue")</f>
        <v/>
      </c>
      <c r="F3" s="187">
        <f>HYPERLINK("#RTM_RANKING!A1","Ranking")</f>
        <v/>
      </c>
      <c r="G3" s="187">
        <f>HYPERLINK("#DOMAIN_SUMMARY!A1","Domains")</f>
        <v/>
      </c>
      <c r="H3" s="187">
        <f>HYPERLINK("#CLUSTERS!A1","Clusters")</f>
        <v/>
      </c>
      <c r="I3" s="187">
        <f>HYPERLINK("#TAXONOMY!A1","Taxonomy")</f>
        <v/>
      </c>
    </row>
    <row r="5">
      <c r="A5" s="70" t="inlineStr">
        <is>
          <t>RTM ID:</t>
        </is>
      </c>
      <c r="B5" s="67" t="inlineStr">
        <is>
          <t>RTM-693</t>
        </is>
      </c>
      <c r="C5" s="71" t="inlineStr">
        <is>
          <t>Format: RTM-### (3 digits, e.g. RTM-001, RTM-693). If the box below shows #N/A, check the ID exists on RTM_RANKING.</t>
        </is>
      </c>
    </row>
    <row r="7">
      <c r="A7" s="46" t="inlineStr">
        <is>
          <t>Field</t>
        </is>
      </c>
      <c r="B7" s="46" t="inlineStr">
        <is>
          <t>Value</t>
        </is>
      </c>
      <c r="C7" s="46" t="inlineStr"/>
      <c r="D7" s="46" t="inlineStr"/>
      <c r="E7" s="46" t="inlineStr"/>
      <c r="F7" s="46" t="inlineStr"/>
    </row>
    <row r="8">
      <c r="A8" s="47" t="inlineStr">
        <is>
          <t>Rank (of 722)</t>
        </is>
      </c>
      <c r="B8" s="49">
        <f>IFERROR(INDEX(RTM_RANKING!$A$6:$A$728,MATCH($B$5,RTM_RANKING!$B$6:$B$728,0)),"— RTM ID not found —")</f>
        <v/>
      </c>
      <c r="C8" s="79" t="n"/>
      <c r="D8" s="79" t="n"/>
      <c r="E8" s="79" t="n"/>
      <c r="F8" s="80" t="n"/>
    </row>
    <row r="9">
      <c r="A9" s="51" t="inlineStr">
        <is>
          <t>Gate (T0?)</t>
        </is>
      </c>
      <c r="B9" s="53">
        <f>IFERROR(INDEX(RTM_RANKING!$C$6:$C$728,MATCH($B$5,RTM_RANKING!$B$6:$B$728,0)),"— RTM ID not found —")</f>
        <v/>
      </c>
      <c r="C9" s="79" t="n"/>
      <c r="D9" s="79" t="n"/>
      <c r="E9" s="79" t="n"/>
      <c r="F9" s="80" t="n"/>
    </row>
    <row r="10">
      <c r="A10" s="47" t="inlineStr">
        <is>
          <t>Tier</t>
        </is>
      </c>
      <c r="B10" s="49">
        <f>IFERROR(INDEX(RTM_RANKING!$D$6:$D$728,MATCH($B$5,RTM_RANKING!$B$6:$B$728,0)),"— RTM ID not found —")</f>
        <v/>
      </c>
      <c r="C10" s="79" t="n"/>
      <c r="D10" s="79" t="n"/>
      <c r="E10" s="79" t="n"/>
      <c r="F10" s="80" t="n"/>
    </row>
    <row r="11">
      <c r="A11" s="51" t="inlineStr">
        <is>
          <t>Domain</t>
        </is>
      </c>
      <c r="B11" s="53">
        <f>IFERROR(INDEX(RTM_RANKING!$E$6:$E$728,MATCH($B$5,RTM_RANKING!$B$6:$B$728,0)),"— RTM ID not found —")</f>
        <v/>
      </c>
      <c r="C11" s="79" t="n"/>
      <c r="D11" s="79" t="n"/>
      <c r="E11" s="79" t="n"/>
      <c r="F11" s="80" t="n"/>
    </row>
    <row r="12">
      <c r="A12" s="47" t="inlineStr">
        <is>
          <t>Requirement Type</t>
        </is>
      </c>
      <c r="B12" s="49">
        <f>IFERROR(INDEX(RTM_RANKING!$F$6:$F$728,MATCH($B$5,RTM_RANKING!$B$6:$B$728,0)),"— RTM ID not found —")</f>
        <v/>
      </c>
      <c r="C12" s="79" t="n"/>
      <c r="D12" s="79" t="n"/>
      <c r="E12" s="79" t="n"/>
      <c r="F12" s="80" t="n"/>
    </row>
    <row r="13">
      <c r="A13" s="51" t="inlineStr">
        <is>
          <t>Category</t>
        </is>
      </c>
      <c r="B13" s="53">
        <f>IFERROR(INDEX(RTM_RANKING!$G$6:$G$728,MATCH($B$5,RTM_RANKING!$B$6:$B$728,0)),"— RTM ID not found —")</f>
        <v/>
      </c>
      <c r="C13" s="79" t="n"/>
      <c r="D13" s="79" t="n"/>
      <c r="E13" s="79" t="n"/>
      <c r="F13" s="80" t="n"/>
    </row>
    <row r="14">
      <c r="A14" s="47" t="inlineStr">
        <is>
          <t>Subcategory</t>
        </is>
      </c>
      <c r="B14" s="49">
        <f>IFERROR(INDEX(RTM_RANKING!$H$6:$H$728,MATCH($B$5,RTM_RANKING!$B$6:$B$728,0)),"— RTM ID not found —")</f>
        <v/>
      </c>
      <c r="C14" s="79" t="n"/>
      <c r="D14" s="79" t="n"/>
      <c r="E14" s="79" t="n"/>
      <c r="F14" s="80" t="n"/>
    </row>
    <row r="15">
      <c r="A15" s="51" t="inlineStr">
        <is>
          <t>Cluster</t>
        </is>
      </c>
      <c r="B15" s="53">
        <f>IFERROR(INDEX(RTM_RANKING!$I$6:$I$728,MATCH($B$5,RTM_RANKING!$B$6:$B$728,0)),"— RTM ID not found —")</f>
        <v/>
      </c>
      <c r="C15" s="79" t="n"/>
      <c r="D15" s="79" t="n"/>
      <c r="E15" s="79" t="n"/>
      <c r="F15" s="80" t="n"/>
    </row>
    <row r="16">
      <c r="A16" s="47" t="inlineStr">
        <is>
          <t>PDF page</t>
        </is>
      </c>
      <c r="B16" s="49">
        <f>IFERROR(INDEX(RTM_RANKING!$J$6:$J$728,MATCH($B$5,RTM_RANKING!$B$6:$B$728,0)),"— RTM ID not found —")</f>
        <v/>
      </c>
      <c r="C16" s="79" t="n"/>
      <c r="D16" s="79" t="n"/>
      <c r="E16" s="79" t="n"/>
      <c r="F16" s="80" t="n"/>
    </row>
    <row r="17">
      <c r="A17" s="51" t="inlineStr">
        <is>
          <t>Section</t>
        </is>
      </c>
      <c r="B17" s="53">
        <f>IFERROR(INDEX(RTM_RANKING!$K$6:$K$728,MATCH($B$5,RTM_RANKING!$B$6:$B$728,0)),"— RTM ID not found —")</f>
        <v/>
      </c>
      <c r="C17" s="79" t="n"/>
      <c r="D17" s="79" t="n"/>
      <c r="E17" s="79" t="n"/>
      <c r="F17" s="80" t="n"/>
    </row>
    <row r="18">
      <c r="A18" s="47" t="inlineStr">
        <is>
          <t>Section title</t>
        </is>
      </c>
      <c r="B18" s="49">
        <f>IFERROR(INDEX(RTM_RANKING!$L$6:$L$728,MATCH($B$5,RTM_RANKING!$B$6:$B$728,0)),"— RTM ID not found —")</f>
        <v/>
      </c>
      <c r="C18" s="79" t="n"/>
      <c r="D18" s="79" t="n"/>
      <c r="E18" s="79" t="n"/>
      <c r="F18" s="80" t="n"/>
    </row>
    <row r="19" ht="110" customHeight="1">
      <c r="A19" s="51" t="inlineStr">
        <is>
          <t>Shall statement</t>
        </is>
      </c>
      <c r="B19" s="53">
        <f>IFERROR(INDEX(RTM_RANKING!$M$6:$M$728,MATCH($B$5,RTM_RANKING!$B$6:$B$728,0)),"— RTM ID not found —")</f>
        <v/>
      </c>
      <c r="C19" s="79" t="n"/>
      <c r="D19" s="79" t="n"/>
      <c r="E19" s="79" t="n"/>
      <c r="F19" s="80" t="n"/>
    </row>
    <row r="20" ht="260" customHeight="1">
      <c r="A20" s="47" t="inlineStr">
        <is>
          <t>Full verbatim requirement</t>
        </is>
      </c>
      <c r="B20" s="49">
        <f>IFERROR(INDEX(RTM_RANKING!$N$6:$N$728,MATCH($B$5,RTM_RANKING!$B$6:$B$728,0)),"— RTM ID not found —")</f>
        <v/>
      </c>
      <c r="C20" s="79" t="n"/>
      <c r="D20" s="79" t="n"/>
      <c r="E20" s="79" t="n"/>
      <c r="F20" s="80" t="n"/>
    </row>
    <row r="21">
      <c r="A21" s="51" t="inlineStr">
        <is>
          <t>Weighted S</t>
        </is>
      </c>
      <c r="B21" s="53">
        <f>IFERROR(INDEX(RTM_RANKING!$V$6:$V$728,MATCH($B$5,RTM_RANKING!$B$6:$B$728,0)),"— RTM ID not found —")</f>
        <v/>
      </c>
      <c r="C21" s="79" t="n"/>
      <c r="D21" s="79" t="n"/>
      <c r="E21" s="79" t="n"/>
      <c r="F21" s="80" t="n"/>
    </row>
    <row r="22">
      <c r="A22" s="47" t="inlineStr">
        <is>
          <t>BT Win %</t>
        </is>
      </c>
      <c r="B22" s="49">
        <f>IFERROR(INDEX(RTM_RANKING!$W$6:$W$728,MATCH($B$5,RTM_RANKING!$B$6:$B$728,0)),"— RTM ID not found —")</f>
        <v/>
      </c>
      <c r="C22" s="79" t="n"/>
      <c r="D22" s="79" t="n"/>
      <c r="E22" s="79" t="n"/>
      <c r="F22" s="80" t="n"/>
    </row>
    <row r="23">
      <c r="A23" s="51" t="inlineStr">
        <is>
          <t>Primary dimension</t>
        </is>
      </c>
      <c r="B23" s="53">
        <f>IFERROR(INDEX(RTM_RANKING!$Y$6:$Y$728,MATCH($B$5,RTM_RANKING!$B$6:$B$728,0)),"— RTM ID not found —")</f>
        <v/>
      </c>
      <c r="C23" s="79" t="n"/>
      <c r="D23" s="79" t="n"/>
      <c r="E23" s="79" t="n"/>
      <c r="F23" s="80" t="n"/>
    </row>
    <row r="24">
      <c r="A24" s="47" t="inlineStr">
        <is>
          <t>Actual explicit code / standard</t>
        </is>
      </c>
      <c r="B24" s="49">
        <f>IFERROR(INDEX(RTM_RANKING!$AA$6:$AA$728,MATCH($B$5,RTM_RANKING!$B$6:$B$728,0)),"— RTM ID not found —")</f>
        <v/>
      </c>
      <c r="C24" s="79" t="n"/>
      <c r="D24" s="79" t="n"/>
      <c r="E24" s="79" t="n"/>
      <c r="F24" s="80" t="n"/>
    </row>
    <row r="25" ht="60" customHeight="1">
      <c r="A25" s="51" t="inlineStr">
        <is>
          <t>Evidence / measurability</t>
        </is>
      </c>
      <c r="B25" s="53">
        <f>IFERROR(INDEX(RTM_RANKING!$AC$6:$AC$728,MATCH($B$5,RTM_RANKING!$B$6:$B$728,0)),"— RTM ID not found —")</f>
        <v/>
      </c>
      <c r="C25" s="79" t="n"/>
      <c r="D25" s="79" t="n"/>
      <c r="E25" s="79" t="n"/>
      <c r="F25" s="80" t="n"/>
    </row>
    <row r="26">
      <c r="A26" s="47" t="inlineStr">
        <is>
          <t>Explicit deliverable / proof</t>
        </is>
      </c>
      <c r="B26" s="49">
        <f>IFERROR(INDEX(RTM_RANKING!$AD$6:$AD$728,MATCH($B$5,RTM_RANKING!$B$6:$B$728,0)),"— RTM ID not found —")</f>
        <v/>
      </c>
      <c r="C26" s="79" t="n"/>
      <c r="D26" s="79" t="n"/>
      <c r="E26" s="79" t="n"/>
      <c r="F26" s="80" t="n"/>
    </row>
    <row r="27">
      <c r="A27" s="51" t="inlineStr">
        <is>
          <t>Applicable phase(s)</t>
        </is>
      </c>
      <c r="B27" s="53">
        <f>IFERROR(INDEX(RTM_RANKING!$AE$6:$AE$728,MATCH($B$5,RTM_RANKING!$B$6:$B$728,0)),"— RTM ID not found —")</f>
        <v/>
      </c>
      <c r="C27" s="79" t="n"/>
      <c r="D27" s="79" t="n"/>
      <c r="E27" s="79" t="n"/>
      <c r="F27" s="80" t="n"/>
    </row>
    <row r="28">
      <c r="A28" s="47" t="inlineStr">
        <is>
          <t>Evidence basis / review</t>
        </is>
      </c>
      <c r="B28" s="49">
        <f>IFERROR(INDEX(RTM_RANKING!$AF$6:$AF$728,MATCH($B$5,RTM_RANKING!$B$6:$B$728,0)),"— RTM ID not found —")</f>
        <v/>
      </c>
      <c r="C28" s="79" t="n"/>
      <c r="D28" s="79" t="n"/>
      <c r="E28" s="79" t="n"/>
      <c r="F28" s="80" t="n"/>
    </row>
    <row r="29">
      <c r="A29" s="51" t="inlineStr">
        <is>
          <t>Linked OFFER items (crosswalk)</t>
        </is>
      </c>
      <c r="B29" s="53">
        <f>IFERROR(INDEX(RTM_RANKING!$AG$6:$AG$728,MATCH($B$5,RTM_RANKING!$B$6:$B$728,0)),"— RTM ID not found —")</f>
        <v/>
      </c>
      <c r="C29" s="79" t="n"/>
      <c r="D29" s="79" t="n"/>
      <c r="E29" s="79" t="n"/>
      <c r="F29" s="80" t="n"/>
    </row>
    <row r="30" ht="26" customHeight="1">
      <c r="A30" s="185" t="inlineStr">
        <is>
          <t>Note: if the verbatim text above still looks cut off (a handful of items run to 25+ bullets), the full text is always in RTM_RANKING!N for this RTM ID, or widen row 20 further.</t>
        </is>
      </c>
    </row>
    <row r="31">
      <c r="A31" s="73" t="inlineStr">
        <is>
          <t>Reviewer disposition for this RTM (from RTM_REVIEW_QUEUE, if it's in the priority subset)</t>
        </is>
      </c>
    </row>
    <row r="32">
      <c r="A32" s="47" t="inlineStr">
        <is>
          <t>Disposition</t>
        </is>
      </c>
      <c r="B32" s="49">
        <f>IFERROR(INDEX(RTM_REVIEW_QUEUE!$U$6:$U$294,MATCH($B$5,RTM_REVIEW_QUEUE!$B$6:$B$294,0)),"— not in the priority queue —")</f>
        <v/>
      </c>
      <c r="C32" s="79" t="n"/>
      <c r="D32" s="79" t="n"/>
      <c r="E32" s="79" t="n"/>
      <c r="F32" s="80" t="n"/>
    </row>
    <row r="33">
      <c r="A33" s="51" t="inlineStr">
        <is>
          <t>Comments</t>
        </is>
      </c>
      <c r="B33" s="53">
        <f>IFERROR(INDEX(RTM_REVIEW_QUEUE!$V$6:$V$294,MATCH($B$5,RTM_REVIEW_QUEUE!$B$6:$B$294,0)),"— not in the priority queue —")</f>
        <v/>
      </c>
      <c r="C33" s="79" t="n"/>
      <c r="D33" s="79" t="n"/>
      <c r="E33" s="79" t="n"/>
      <c r="F33" s="80" t="n"/>
    </row>
    <row r="34">
      <c r="A34" s="47" t="inlineStr">
        <is>
          <t>Cross-link / check to perform</t>
        </is>
      </c>
      <c r="B34" s="49">
        <f>IFERROR(INDEX(RTM_REVIEW_QUEUE!$W$6:$W$294,MATCH($B$5,RTM_REVIEW_QUEUE!$B$6:$B$294,0)),"— not in the priority queue —")</f>
        <v/>
      </c>
      <c r="C34" s="79" t="n"/>
      <c r="D34" s="79" t="n"/>
      <c r="E34" s="79" t="n"/>
      <c r="F34" s="80" t="n"/>
    </row>
  </sheetData>
  <mergeCells count="29">
    <mergeCell ref="B16:F16"/>
    <mergeCell ref="B25:F25"/>
    <mergeCell ref="B22:F22"/>
    <mergeCell ref="B18:F18"/>
    <mergeCell ref="B27:F27"/>
    <mergeCell ref="B21:F21"/>
    <mergeCell ref="B12:F12"/>
    <mergeCell ref="B11:F11"/>
    <mergeCell ref="B23:F23"/>
    <mergeCell ref="B14:F14"/>
    <mergeCell ref="B8:F8"/>
    <mergeCell ref="C5:F5"/>
    <mergeCell ref="B17:F17"/>
    <mergeCell ref="B13:F13"/>
    <mergeCell ref="A1:D1"/>
    <mergeCell ref="B29:F29"/>
    <mergeCell ref="B34:F34"/>
    <mergeCell ref="B10:F10"/>
    <mergeCell ref="B28:F28"/>
    <mergeCell ref="B19:F19"/>
    <mergeCell ref="A30:C30"/>
    <mergeCell ref="B9:F9"/>
    <mergeCell ref="B24:F24"/>
    <mergeCell ref="B20:F20"/>
    <mergeCell ref="B15:F15"/>
    <mergeCell ref="B33:F33"/>
    <mergeCell ref="A2:D2"/>
    <mergeCell ref="B32:F32"/>
    <mergeCell ref="B26:F26"/>
  </mergeCells>
  <pageMargins left="0.75" right="0.75" top="1" bottom="1" header="0.5" footer="0.5"/>
</worksheet>
</file>

<file path=xl/worksheets/sheet7.xml><?xml version="1.0" encoding="utf-8"?>
<worksheet xmlns="http://schemas.openxmlformats.org/spreadsheetml/2006/main">
  <sheetPr>
    <tabColor rgb="000B5FA5"/>
    <outlinePr summaryBelow="1" summaryRight="1"/>
    <pageSetUpPr/>
  </sheetPr>
  <dimension ref="A1:H29"/>
  <sheetViews>
    <sheetView topLeftCell="A1" zoomScale="100" zoomScaleNormal="100" workbookViewId="0">
      <selection activeCell="A1" sqref="A1"/>
    </sheetView>
  </sheetViews>
  <sheetFormatPr baseColWidth="8" defaultRowHeight="14.25"/>
  <cols>
    <col width="16" customWidth="1" min="1" max="1"/>
    <col width="62" customWidth="1" min="2" max="2"/>
    <col width="48" customWidth="1" min="3" max="3"/>
    <col width="26" customWidth="1" min="4" max="4"/>
    <col width="40" customWidth="1" min="5" max="5"/>
    <col width="24" customWidth="1" min="6" max="6"/>
    <col width="13" customWidth="1" min="7" max="7"/>
  </cols>
  <sheetData>
    <row r="1" ht="32.1" customHeight="1">
      <c r="A1" s="35" t="inlineStr">
        <is>
          <t>Compliance status legend</t>
        </is>
      </c>
    </row>
    <row r="2" ht="30" customHeight="1">
      <c r="A2" s="36" t="inlineStr">
        <is>
          <t>Dropdown conventions used in EVALUATION_INPUT.</t>
        </is>
      </c>
    </row>
    <row r="3" ht="21.95" customHeight="1">
      <c r="A3" s="188">
        <f>HYPERLINK("#START_HERE!A1","Start")</f>
        <v/>
      </c>
      <c r="B3" s="188">
        <f>HYPERLINK("#DASHBOARD!A1","Dashboard")</f>
        <v/>
      </c>
      <c r="C3" s="188">
        <f>HYPERLINK("#OFFER_RANKING!A1","Ranking")</f>
        <v/>
      </c>
      <c r="D3" s="188">
        <f>HYPERLINK("#EVALUATION_INPUT!A1","Evaluate")</f>
        <v/>
      </c>
      <c r="E3" s="188">
        <f>HYPERLINK("#OFFER_CANONICAL!A1","Canonical")</f>
        <v/>
      </c>
      <c r="F3" s="188">
        <f>HYPERLINK("#RTM_CROSSWALK!A1","Crosswalk")</f>
        <v/>
      </c>
      <c r="G3" s="188">
        <f>HYPERLINK("#WEIGHTS_METHOD!A1","Method")</f>
        <v/>
      </c>
      <c r="H3" s="1" t="n"/>
    </row>
    <row r="5" ht="33.95" customHeight="1">
      <c r="A5" s="3" t="inlineStr">
        <is>
          <t>Status</t>
        </is>
      </c>
      <c r="B5" s="3" t="inlineStr">
        <is>
          <t>Definition</t>
        </is>
      </c>
      <c r="C5" s="3" t="inlineStr">
        <is>
          <t>Example</t>
        </is>
      </c>
      <c r="D5" s="3" t="inlineStr">
        <is>
          <t>Deviation</t>
        </is>
      </c>
      <c r="E5" s="3" t="inlineStr">
        <is>
          <t>Next steps</t>
        </is>
      </c>
      <c r="F5" s="3" t="inlineStr">
        <is>
          <t>Who resolves</t>
        </is>
      </c>
    </row>
    <row r="6" ht="44.1" customHeight="1">
      <c r="A6" s="8" t="inlineStr">
        <is>
          <t>OK</t>
        </is>
      </c>
      <c r="B6" s="7" t="inlineStr">
        <is>
          <t>Fulfills requirements</t>
        </is>
      </c>
      <c r="C6" s="7" t="inlineStr">
        <is>
          <t>Requested: 100, Provided: 500</t>
        </is>
      </c>
      <c r="D6" s="7" t="inlineStr">
        <is>
          <t>+400 (overperformance)</t>
        </is>
      </c>
      <c r="E6" s="7" t="inlineStr">
        <is>
          <t>Nothing</t>
        </is>
      </c>
      <c r="F6" s="7" t="n"/>
    </row>
    <row r="7" ht="44.1" customHeight="1">
      <c r="A7" s="10" t="inlineStr">
        <is>
          <t>OK/Minor</t>
        </is>
      </c>
      <c r="B7" s="9" t="inlineStr">
        <is>
          <t>Either OK or minor; evaluated as very low risk and can be closed</t>
        </is>
      </c>
      <c r="C7" s="9" t="n"/>
      <c r="D7" s="9" t="n"/>
      <c r="E7" s="9" t="inlineStr">
        <is>
          <t>Nothing</t>
        </is>
      </c>
      <c r="F7" s="9" t="n"/>
    </row>
    <row r="8" ht="44.1" customHeight="1">
      <c r="A8" s="12" t="inlineStr">
        <is>
          <t>NOK</t>
        </is>
      </c>
      <c r="B8" s="11" t="inlineStr">
        <is>
          <t>Does not fulfill requirements</t>
        </is>
      </c>
      <c r="C8" s="11" t="inlineStr">
        <is>
          <t>Requested: 4, Provided: 3</t>
        </is>
      </c>
      <c r="D8" s="11" t="inlineStr">
        <is>
          <t>-1 (25% shortfall)</t>
        </is>
      </c>
      <c r="E8" s="11" t="inlineStr">
        <is>
          <t>Decide whether to enforce or relax original requirement</t>
        </is>
      </c>
      <c r="F8" s="11" t="n"/>
    </row>
    <row r="9" ht="44.1" customHeight="1">
      <c r="A9" s="14" t="inlineStr">
        <is>
          <t>MISS</t>
        </is>
      </c>
      <c r="B9" s="13" t="inlineStr">
        <is>
          <t>Required information missing</t>
        </is>
      </c>
      <c r="C9" s="13" t="inlineStr">
        <is>
          <t>No mention about it</t>
        </is>
      </c>
      <c r="D9" s="13" t="inlineStr">
        <is>
          <t>Unknown</t>
        </is>
      </c>
      <c r="E9" s="13" t="inlineStr">
        <is>
          <t>Follow-up needed</t>
        </is>
      </c>
      <c r="F9" s="13" t="n"/>
    </row>
    <row r="10" ht="44.1" customHeight="1">
      <c r="A10" s="16" t="inlineStr">
        <is>
          <t>Minor disc.</t>
        </is>
      </c>
      <c r="B10" s="15" t="inlineStr">
        <is>
          <t>Does not fully fulfill requirements, but can be resolved during contract performance</t>
        </is>
      </c>
      <c r="C10" s="15" t="n"/>
      <c r="D10" s="15" t="n"/>
      <c r="E10" s="15" t="inlineStr">
        <is>
          <t>Likely solvable without management intervention</t>
        </is>
      </c>
      <c r="F10" s="15" t="inlineStr">
        <is>
          <t>ACR level</t>
        </is>
      </c>
    </row>
    <row r="11" ht="44.1" customHeight="1">
      <c r="A11" s="18" t="inlineStr">
        <is>
          <t>Major disc.</t>
        </is>
      </c>
      <c r="B11" s="17" t="inlineStr">
        <is>
          <t>Seems like a NOK but can be resolved during contract performance</t>
        </is>
      </c>
      <c r="C11" s="17" t="n"/>
      <c r="D11" s="17" t="n"/>
      <c r="E11" s="17" t="inlineStr">
        <is>
          <t>Likely solvable with management intervention</t>
        </is>
      </c>
      <c r="F11" s="17" t="inlineStr">
        <is>
          <t>Management level</t>
        </is>
      </c>
    </row>
    <row r="12" ht="44.1" customHeight="1">
      <c r="A12" s="20" t="inlineStr">
        <is>
          <t>ERROR</t>
        </is>
      </c>
      <c r="B12" s="19" t="inlineStr">
        <is>
          <t>Misinterpretation of requirement</t>
        </is>
      </c>
      <c r="C12" s="19" t="inlineStr">
        <is>
          <t>Response does not match intent</t>
        </is>
      </c>
      <c r="D12" s="19" t="inlineStr">
        <is>
          <t>Major error</t>
        </is>
      </c>
      <c r="E12" s="19" t="inlineStr">
        <is>
          <t>Clarify with supplier</t>
        </is>
      </c>
      <c r="F12" s="19" t="n"/>
    </row>
    <row r="13" ht="44.1" customHeight="1">
      <c r="A13" s="22" t="inlineStr">
        <is>
          <t>TBD</t>
        </is>
      </c>
      <c r="B13" s="21" t="inlineStr">
        <is>
          <t>Not yet evaluated (default state)</t>
        </is>
      </c>
      <c r="C13" s="21" t="n"/>
      <c r="D13" s="21" t="n"/>
      <c r="E13" s="21" t="inlineStr">
        <is>
          <t>Evaluate</t>
        </is>
      </c>
      <c r="F13" s="21" t="n"/>
    </row>
    <row r="16">
      <c r="A16" s="55" t="inlineStr">
        <is>
          <t>How to read the colours in this workbook</t>
        </is>
      </c>
    </row>
    <row r="17" ht="56" customHeight="1">
      <c r="A17" s="95" t="inlineStr">
        <is>
          <t>STATUS (this table, above)</t>
        </is>
      </c>
      <c r="B17" s="6" t="inlineStr">
        <is>
          <t>Green/pink/orange/purple/yellow, per-value as shown above.</t>
        </is>
      </c>
      <c r="D17" s="96" t="inlineStr">
        <is>
          <t>EVALUATION_WORKSPACE!Q6:Q55, W6:W55 (live, driven by the dropdown) · QUALITY_CHECKS!D6:D17 (health-check OK/CHECK/OPEN)</t>
        </is>
      </c>
    </row>
    <row r="18" ht="56" customHeight="1">
      <c r="A18" s="95" t="inlineStr">
        <is>
          <t>Tier (T0 Gate / T1 / T2 / T3)</t>
        </is>
      </c>
      <c r="B18" s="6" t="inlineStr">
        <is>
          <t>Pale red / orange / yellow / green -- a SEPARATE colour system from STATUS, do not read them against each other.</t>
        </is>
      </c>
      <c r="D18" s="96" t="inlineStr">
        <is>
          <t>EVALUATION_WORKSPACE!B6:B55 and every Tier column on RTM_RANKING, OFFER_RANKING, RTM_REVIEW_QUEUE</t>
        </is>
      </c>
    </row>
    <row r="19" ht="56" customHeight="1">
      <c r="A19" s="95" t="inlineStr">
        <is>
          <t>Cluster (C1-C8)</t>
        </is>
      </c>
      <c r="B19" s="6" t="inlineStr">
        <is>
          <t>New (Phase 9): soft blue/teal/lavender/mauve/tan tones, one per cluster, deliberately kept out of the STATUS and Tier hue families so none of the three systems gets misread against another.</t>
        </is>
      </c>
      <c r="D19" s="96" t="inlineStr">
        <is>
          <t>CLUSTERS!A6:A13 (exact) · RTM_RANKING!I6:I727 and RTM_REVIEW_QUEUE!G6:G294 (conditional, matches the cluster id inside the longer cell text, incl. "Inferred:" rows)</t>
        </is>
      </c>
    </row>
    <row r="20" ht="56" customHeight="1">
      <c r="A20" s="95" t="inlineStr">
        <is>
          <t>Soft cream fill = safe to type/select here</t>
        </is>
      </c>
      <c r="B20" s="6" t="inlineStr">
        <is>
          <t>New (Phase 9): manual-entry cells that had no visual cue before a value was entered now carry a light cream base fill, so the invitation to edit is visible up front, not just after a STATUS is picked. White/no-fill cells elsewhere are formulas or reference text -- not meant to be edited directly.</t>
        </is>
      </c>
      <c r="D20" s="96" t="inlineStr">
        <is>
          <t>EVALUATION_WORKSPACE!R,S,U,X,Y,AA,AD,AE,AF (rows 6-55). v20: extended to RTM_REVIEW_QUEUE!Comments and NEGOTIATION_AGENDA!Reviewer Comment, plus a new Comment column added to QUALITY_CHECKS (previously had none). DMAIC_AUDIT/AUDIT_NOTES deliberately left as-is -- both are structured audit logs, not live reviewer-input sheets.</t>
        </is>
      </c>
    </row>
    <row r="21">
      <c r="A21" s="66" t="inlineStr">
        <is>
          <t>Technical Depth (A_/B_, EVALUATION_WORKSPACE!R,X)</t>
        </is>
      </c>
      <c r="B21" t="inlineStr">
        <is>
          <t>Soft pink=0.4 declarative / soft orange=0.7 partial / soft green=1.0 fully substantiated -- same weak-&gt;strong direction as STATUS's pink/orange/green, deliberately paler so it doesn't read as an actual STATUS value next to the STATUS column beside it.</t>
        </is>
      </c>
    </row>
    <row r="23">
      <c r="A23" s="73" t="inlineStr">
        <is>
          <t>Primary vs. Supporting RTM, and Review flag -- formal definitions</t>
        </is>
      </c>
    </row>
    <row r="24" ht="28" customHeight="1">
      <c r="A24" s="203" t="inlineStr">
        <is>
          <t>Both fields are hand-curated per OFFER item (OFFER_CANONICAL!primary_rtm_ids / supporting_context_rtm_ids / review_flag), not formula- or rule-derived -- no code branch assigns either. Documented here per GBO's explicit request so this is captured rather than left inferred.</t>
        </is>
      </c>
    </row>
    <row r="26">
      <c r="A26" s="204" t="inlineStr">
        <is>
          <t>Field</t>
        </is>
      </c>
      <c r="B26" s="204" t="inlineStr">
        <is>
          <t>Definition</t>
        </is>
      </c>
      <c r="C26" s="204" t="inlineStr">
        <is>
          <t>Example</t>
        </is>
      </c>
    </row>
    <row r="27" ht="40" customHeight="1">
      <c r="A27" s="197" t="inlineStr">
        <is>
          <t>Primary RTM(s)</t>
        </is>
      </c>
      <c r="B27" s="198" t="inlineStr">
        <is>
          <t>The RTM(s) that an OFFER item's response text is actually, centrally answering -- the requirement(s) the offer was written to address.</t>
        </is>
      </c>
      <c r="C27" s="198" t="inlineStr">
        <is>
          <t>OFFER-01's primary RTM is RTM-001 (the general-responsibility clause its text directly confirms).</t>
        </is>
      </c>
    </row>
    <row r="28" ht="40" customHeight="1">
      <c r="A28" s="197" t="inlineStr">
        <is>
          <t>Supporting RTM(s)</t>
        </is>
      </c>
      <c r="B28" s="198" t="inlineStr">
        <is>
          <t>RTMs in the same contract section as the OFFER item that get pulled in as context, but are not what the offer text is centrally about -- background/section-mates, not the primary evidence basis.</t>
        </is>
      </c>
      <c r="C28" s="198" t="inlineStr">
        <is>
          <t>Section-mates of RTM-001 under §4.13 that are relevant context but not individually answered.</t>
        </is>
      </c>
    </row>
    <row r="29" ht="46" customHeight="1">
      <c r="A29" s="197" t="inlineStr">
        <is>
          <t>Review flag</t>
        </is>
      </c>
      <c r="B29" s="198" t="inlineStr">
        <is>
          <t>Reviewer note on whether the Primary/Supporting split (or the crosswalk coverage generally) needs a second look before being trusted as-is. Standardised (v20) to 5 controlled values -- see the review_flag dropdown on OFFER_CANONICAL/EVALUATION_WORKSPACE/OFFER_RANKING for the live list and colours.</t>
        </is>
      </c>
      <c r="C29" s="198" t="inlineStr">
        <is>
          <t>"Review — breadth" = the OFFER text plausibly covers more RTMs than the direct link captures.</t>
        </is>
      </c>
    </row>
  </sheetData>
  <mergeCells count="12">
    <mergeCell ref="D19:F19"/>
    <mergeCell ref="A24:E24"/>
    <mergeCell ref="B19:C19"/>
    <mergeCell ref="A2:H2"/>
    <mergeCell ref="B20:C20"/>
    <mergeCell ref="D18:F18"/>
    <mergeCell ref="D17:F17"/>
    <mergeCell ref="A23:E23"/>
    <mergeCell ref="A1:H1"/>
    <mergeCell ref="B18:C18"/>
    <mergeCell ref="D20:F20"/>
    <mergeCell ref="B17:C17"/>
  </mergeCell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tabColor rgb="00C99A00"/>
    <outlinePr summaryBelow="1" summaryRight="1"/>
    <pageSetUpPr/>
  </sheetPr>
  <dimension ref="A1:AF55"/>
  <sheetViews>
    <sheetView topLeftCell="A1" zoomScale="70" zoomScaleNormal="70" workbookViewId="0">
      <selection activeCell="A1" sqref="A1"/>
    </sheetView>
  </sheetViews>
  <sheetFormatPr baseColWidth="8" defaultRowHeight="14.25"/>
  <cols>
    <col width="8" customWidth="1" min="1" max="1"/>
    <col width="14" customWidth="1" min="2" max="2"/>
    <col width="12" customWidth="1" min="3" max="3"/>
    <col width="34" customWidth="1" min="4" max="4"/>
    <col width="12" customWidth="1" min="5" max="5"/>
    <col width="24" customWidth="1" min="6" max="6"/>
    <col width="18" customWidth="1" min="7" max="7"/>
    <col width="11" customWidth="1" min="8" max="9"/>
    <col width="8" customWidth="1" min="10" max="10"/>
    <col width="42" customWidth="1" min="11" max="11"/>
    <col width="38" customWidth="1" min="12" max="12"/>
    <col width="34" customWidth="1" min="13" max="13"/>
    <col width="28" customWidth="1" min="14" max="14"/>
    <col width="36" customWidth="1" min="15" max="15"/>
    <col width="18" customWidth="1" min="16" max="16"/>
    <col width="14" customWidth="1" min="17" max="17"/>
    <col width="16" customWidth="1" min="18" max="18"/>
    <col width="32" customWidth="1" min="19" max="19"/>
    <col width="18" customWidth="1" min="20" max="20"/>
    <col width="36" customWidth="1" min="21" max="21"/>
    <col width="14" customWidth="1" min="22" max="23"/>
    <col width="16" customWidth="1" min="24" max="24"/>
    <col width="32" customWidth="1" min="25" max="25"/>
    <col width="18" customWidth="1" min="26" max="26"/>
    <col width="36" customWidth="1" min="27" max="27"/>
    <col width="14" customWidth="1" min="28" max="28"/>
    <col width="42" customWidth="1" min="29" max="29"/>
    <col width="18" customWidth="1" min="30" max="30"/>
    <col width="42" customWidth="1" min="31" max="31"/>
  </cols>
  <sheetData>
    <row r="1" ht="32.1" customHeight="1">
      <c r="A1" s="28" t="inlineStr">
        <is>
          <t>Evaluation workspace — 2 bidders, evidence first</t>
        </is>
      </c>
    </row>
    <row r="2" ht="33.95" customHeight="1">
      <c r="A2" s="29" t="inlineStr">
        <is>
          <t>Main interaction sheet. The static rank is read-only; reviewer input starts at the STATUS columns for Bidder A and Bidder B.</t>
        </is>
      </c>
    </row>
    <row r="3" ht="21.95" customHeight="1">
      <c r="A3" s="186">
        <f>HYPERLINK("#START_HERE!A1","Start")</f>
        <v/>
      </c>
      <c r="B3" s="186">
        <f>HYPERLINK("#DASHBOARD!A1","Dashboard")</f>
        <v/>
      </c>
      <c r="C3" s="186">
        <f>HYPERLINK("#EVALUATION_WORKSPACE!A1","Workspace")</f>
        <v/>
      </c>
      <c r="D3" s="186">
        <f>HYPERLINK("#NEGOTIATION_AGENDA!A1","Agenda")</f>
        <v/>
      </c>
      <c r="E3" s="186">
        <f>HYPERLINK("#OFFER_RANKING!A1","Ranking")</f>
        <v/>
      </c>
      <c r="F3" s="186">
        <f>HYPERLINK("#RTM_CROSSWALK!A1","Crosswalk")</f>
        <v/>
      </c>
      <c r="G3" s="186">
        <f>HYPERLINK("#QUALITY_CHECKS!A1","Quality")</f>
        <v/>
      </c>
      <c r="H3" s="186">
        <f>HYPERLINK("#DMAIC_AUDIT!A1","DMAIC")</f>
        <v/>
      </c>
      <c r="I3" s="186">
        <f>HYPERLINK("#CODING_HANDOVER!A1","Handover")</f>
        <v/>
      </c>
      <c r="J3" s="24" t="n"/>
      <c r="K3" s="24" t="n"/>
      <c r="L3" s="24" t="n"/>
      <c r="M3" s="24" t="n"/>
      <c r="N3" s="24" t="n"/>
      <c r="O3" s="24" t="n"/>
      <c r="P3" s="24" t="n"/>
      <c r="Q3" s="24" t="n"/>
      <c r="R3" s="24" t="n"/>
    </row>
    <row r="4">
      <c r="AC4" s="64" t="inlineStr">
        <is>
          <t>Formula-driven -- fills itself in once A_STATUS/B_STATUS are set; nothing fabricated while both are TBD.</t>
        </is>
      </c>
    </row>
    <row r="5" ht="33.95" customHeight="1">
      <c r="A5" s="25" t="inlineStr">
        <is>
          <t>Rank</t>
        </is>
      </c>
      <c r="B5" s="25" t="inlineStr">
        <is>
          <t>Tier</t>
        </is>
      </c>
      <c r="C5" s="25" t="inlineStr">
        <is>
          <t>OFFER ID</t>
        </is>
      </c>
      <c r="D5" s="25" t="inlineStr">
        <is>
          <t>Title</t>
        </is>
      </c>
      <c r="E5" s="25" t="inlineStr">
        <is>
          <t>Section</t>
        </is>
      </c>
      <c r="F5" s="25" t="inlineStr">
        <is>
          <t>Category</t>
        </is>
      </c>
      <c r="G5" s="25" t="inlineStr">
        <is>
          <t>Primary Dim</t>
        </is>
      </c>
      <c r="H5" s="25" t="inlineStr">
        <is>
          <t>Weighted S</t>
        </is>
      </c>
      <c r="I5" s="25" t="inlineStr">
        <is>
          <t>BT Win %</t>
        </is>
      </c>
      <c r="J5" s="25" t="inlineStr">
        <is>
          <t>Gate</t>
        </is>
      </c>
      <c r="K5" s="25" t="inlineStr">
        <is>
          <t>Evidence / measurability</t>
        </is>
      </c>
      <c r="L5" s="25" t="inlineStr">
        <is>
          <t>Explicit deliverable / proof</t>
        </is>
      </c>
      <c r="M5" s="25" t="inlineStr">
        <is>
          <t>Applicable phase(s)</t>
        </is>
      </c>
      <c r="N5" s="25" t="inlineStr">
        <is>
          <t>Primary RTMs</t>
        </is>
      </c>
      <c r="O5" s="25" t="inlineStr">
        <is>
          <t>Supporting RTMs</t>
        </is>
      </c>
      <c r="P5" s="25" t="inlineStr">
        <is>
          <t>Review flag</t>
        </is>
      </c>
      <c r="Q5" s="25" t="inlineStr">
        <is>
          <t>A_STATUS</t>
        </is>
      </c>
      <c r="R5" s="25" t="inlineStr">
        <is>
          <t>A_Technical Depth</t>
        </is>
      </c>
      <c r="S5" s="25" t="inlineStr">
        <is>
          <t>A_Source / Location</t>
        </is>
      </c>
      <c r="T5" s="25" t="inlineStr">
        <is>
          <t>A_Negotiation</t>
        </is>
      </c>
      <c r="U5" s="25" t="inlineStr">
        <is>
          <t>A_Reviewer Comment</t>
        </is>
      </c>
      <c r="V5" s="25" t="inlineStr">
        <is>
          <t>A_Review Index</t>
        </is>
      </c>
      <c r="W5" s="25" t="inlineStr">
        <is>
          <t>B_STATUS</t>
        </is>
      </c>
      <c r="X5" s="25" t="inlineStr">
        <is>
          <t>B_Technical Depth</t>
        </is>
      </c>
      <c r="Y5" s="25" t="inlineStr">
        <is>
          <t>B_Source / Location</t>
        </is>
      </c>
      <c r="Z5" s="25" t="inlineStr">
        <is>
          <t>B_Negotiation</t>
        </is>
      </c>
      <c r="AA5" s="25" t="inlineStr">
        <is>
          <t>B_Reviewer Comment</t>
        </is>
      </c>
      <c r="AB5" s="25" t="inlineStr">
        <is>
          <t>B_Review Index</t>
        </is>
      </c>
      <c r="AC5" s="65" t="inlineStr">
        <is>
          <t>Z_comment (auto A vs B synthesis)</t>
        </is>
      </c>
      <c r="AD5" s="25" t="inlineStr">
        <is>
          <t>Board / Negotiation Topic</t>
        </is>
      </c>
      <c r="AE5" s="25" t="inlineStr">
        <is>
          <t>Owner</t>
        </is>
      </c>
      <c r="AF5" s="25" t="inlineStr">
        <is>
          <t>Closure / Decision Note</t>
        </is>
      </c>
    </row>
    <row r="6" ht="39.95" customHeight="1">
      <c r="A6" s="6" t="n">
        <v>1</v>
      </c>
      <c r="B6" s="6" t="inlineStr">
        <is>
          <t>T0 Gate</t>
        </is>
      </c>
      <c r="C6" s="6" t="inlineStr">
        <is>
          <t>OFFER-02</t>
        </is>
      </c>
      <c r="D6" s="6" t="inlineStr">
        <is>
          <t>Assumptions, Deviations &amp; Additions Register</t>
        </is>
      </c>
      <c r="E6" s="6" t="inlineStr">
        <is>
          <t>§4.1</t>
        </is>
      </c>
      <c r="F6" s="6" t="inlineStr">
        <is>
          <t>Compliance / Quality</t>
        </is>
      </c>
      <c r="G6" s="6" t="inlineStr">
        <is>
          <t>Reliability</t>
        </is>
      </c>
      <c r="H6" s="27" t="n">
        <v>54</v>
      </c>
      <c r="I6" s="27" t="n">
        <v>100</v>
      </c>
      <c r="J6" s="6" t="inlineStr">
        <is>
          <t>Yes</t>
        </is>
      </c>
      <c r="K6" s="6" t="inlineStr">
        <is>
          <t>Submit and review the named deliverable with RTM traceability and approval status; RAM/maintenance substantiation and recovery/failure-response evidence; Document review, inspection, certification, audit or traceable QC record</t>
        </is>
      </c>
      <c r="L6" s="6" t="inlineStr">
        <is>
          <t>Offer response: Assumptions, Deviations &amp; Additions Register</t>
        </is>
      </c>
      <c r="M6" s="6" t="inlineStr">
        <is>
          <t>L0 Tender / Offer; L1 Conceptual Design; L2 Detailed Design</t>
        </is>
      </c>
      <c r="N6" s="6" t="inlineStr">
        <is>
          <t>RTM-004</t>
        </is>
      </c>
      <c r="O6" s="6" t="inlineStr">
        <is>
          <t>RTM-001..RTM-003</t>
        </is>
      </c>
      <c r="P6" s="6" t="inlineStr">
        <is>
          <t>OK</t>
        </is>
      </c>
      <c r="Q6" s="6" t="inlineStr">
        <is>
          <t>TBD</t>
        </is>
      </c>
      <c r="R6" s="97" t="n"/>
      <c r="S6" s="97" t="n"/>
      <c r="T6" s="6" t="n"/>
      <c r="U6" s="97" t="n"/>
      <c r="V6" s="6">
        <f>IF(Q6="TBD","",H6*R6*IF(Q6="OK",1,IF(Q6="OK/Minor",0.85,IF(Q6="Minor disc.",0.7,IF(Q6="Major disc.",0.45,IF(Q6="MISS",0.25,0))))))</f>
        <v/>
      </c>
      <c r="W6" s="6" t="inlineStr">
        <is>
          <t>TBD</t>
        </is>
      </c>
      <c r="X6" s="97" t="n"/>
      <c r="Y6" s="97" t="n"/>
      <c r="Z6" s="6" t="n"/>
      <c r="AA6" s="97" t="n"/>
      <c r="AB6" s="6">
        <f>IF(W6="TBD","",H6*X6*IF(W6="OK",1,IF(W6="OK/Minor",0.85,IF(W6="Minor disc.",0.7,IF(W6="Major disc.",0.45,IF(W6="MISS",0.25,0))))))</f>
        <v/>
      </c>
      <c r="AC6" s="58">
        <f>IF(AND(Q6="TBD",W6="TBD"),"Not yet evaluated — awaiting bidder review.",IF(Q6="TBD",CONCATENATE("Bidder B: ",W6," — ",IF(AA6="","(no comment)",AA6)," | Bidder A not yet evaluated."),IF(W6="TBD",CONCATENATE("Bidder A: ",Q6," — ",IF(U6="","(no comment)",U6)," | Bidder B not yet evaluated."),CONCATENATE("Bidder A: ",Q6," — ",IF(U6="","(no comment)",U6)," || Bidder B: ",W6," — ",IF(AA6="","(no comment)",AA6)," | ",IF(Q6=W6,"Comparable disposition.","Diverging disposition — flag for negotiation.")))))</f>
        <v/>
      </c>
      <c r="AD6" s="97" t="n"/>
      <c r="AE6" s="97" t="n"/>
      <c r="AF6" s="97" t="n"/>
    </row>
    <row r="7" ht="39.95" customHeight="1">
      <c r="A7" s="6" t="n">
        <v>2</v>
      </c>
      <c r="B7" s="6" t="inlineStr">
        <is>
          <t>T0 Gate</t>
        </is>
      </c>
      <c r="C7" s="6" t="inlineStr">
        <is>
          <t>OFFER-48</t>
        </is>
      </c>
      <c r="D7" s="6" t="inlineStr">
        <is>
          <t>Detailed Quality Control Procedures</t>
        </is>
      </c>
      <c r="E7" s="6" t="inlineStr">
        <is>
          <t>§8.1.3.1</t>
        </is>
      </c>
      <c r="F7" s="6" t="inlineStr">
        <is>
          <t>Compliance / Quality</t>
        </is>
      </c>
      <c r="G7" s="6" t="inlineStr">
        <is>
          <t>Safety / Legal</t>
        </is>
      </c>
      <c r="H7" s="27" t="n">
        <v>42.6667</v>
      </c>
      <c r="I7" s="27" t="n">
        <v>97.9592</v>
      </c>
      <c r="J7" s="6" t="inlineStr">
        <is>
          <t>Yes</t>
        </is>
      </c>
      <c r="K7" s="6" t="inlineStr">
        <is>
          <t>Submit and review the named deliverable with RTM traceability and approval status; Document review, inspection, certification, audit or traceable QC record; Conformity/safety assessment, certification and approved safety evidence</t>
        </is>
      </c>
      <c r="L7" s="6" t="inlineStr">
        <is>
          <t>Offer response: Detailed Quality Control Procedures; Quality Assurance Plan (QAP)</t>
        </is>
      </c>
      <c r="M7" s="6" t="inlineStr">
        <is>
          <t>L0 Tender / Offer; L1 Conceptual Design; L2 Detailed Design; L3 Procurement &amp; Manufacturing / FAT; L4 Installation; L5 Standalone Commissioning; L6 Site Acceptance Testing</t>
        </is>
      </c>
      <c r="N7" s="6" t="inlineStr">
        <is>
          <t>RTM-650..RTM-652</t>
        </is>
      </c>
      <c r="O7" s="6" t="n"/>
      <c r="P7" s="6" t="inlineStr">
        <is>
          <t>OK</t>
        </is>
      </c>
      <c r="Q7" s="6" t="inlineStr">
        <is>
          <t>TBD</t>
        </is>
      </c>
      <c r="R7" s="97" t="n"/>
      <c r="S7" s="97" t="n"/>
      <c r="T7" s="6" t="n"/>
      <c r="U7" s="97" t="n"/>
      <c r="V7" s="6">
        <f>IF(Q7="TBD","",H7*R7*IF(Q7="OK",1,IF(Q7="OK/Minor",0.85,IF(Q7="Minor disc.",0.7,IF(Q7="Major disc.",0.45,IF(Q7="MISS",0.25,0))))))</f>
        <v/>
      </c>
      <c r="W7" s="6" t="inlineStr">
        <is>
          <t>TBD</t>
        </is>
      </c>
      <c r="X7" s="97" t="n"/>
      <c r="Y7" s="97" t="n"/>
      <c r="Z7" s="6" t="n"/>
      <c r="AA7" s="97" t="n"/>
      <c r="AB7" s="6">
        <f>IF(W7="TBD","",H7*X7*IF(W7="OK",1,IF(W7="OK/Minor",0.85,IF(W7="Minor disc.",0.7,IF(W7="Major disc.",0.45,IF(W7="MISS",0.25,0))))))</f>
        <v/>
      </c>
      <c r="AC7" s="58">
        <f>IF(AND(Q7="TBD",W7="TBD"),"Not yet evaluated — awaiting bidder review.",IF(Q7="TBD",CONCATENATE("Bidder B: ",W7," — ",IF(AA7="","(no comment)",AA7)," | Bidder A not yet evaluated."),IF(W7="TBD",CONCATENATE("Bidder A: ",Q7," — ",IF(U7="","(no comment)",U7)," | Bidder B not yet evaluated."),CONCATENATE("Bidder A: ",Q7," — ",IF(U7="","(no comment)",U7)," || Bidder B: ",W7," — ",IF(AA7="","(no comment)",AA7)," | ",IF(Q7=W7,"Comparable disposition.","Diverging disposition — flag for negotiation.")))))</f>
        <v/>
      </c>
      <c r="AD7" s="97" t="n"/>
      <c r="AE7" s="97" t="n"/>
      <c r="AF7" s="97" t="n"/>
    </row>
    <row r="8" ht="39.95" customHeight="1">
      <c r="A8" s="6" t="n">
        <v>3</v>
      </c>
      <c r="B8" s="6" t="inlineStr">
        <is>
          <t>T0 Gate</t>
        </is>
      </c>
      <c r="C8" s="6" t="inlineStr">
        <is>
          <t>OFFER-01</t>
        </is>
      </c>
      <c r="D8" s="6" t="inlineStr">
        <is>
          <t>Tender Compliance Confirmation</t>
        </is>
      </c>
      <c r="E8" s="6" t="inlineStr">
        <is>
          <t>§4.1</t>
        </is>
      </c>
      <c r="F8" s="6" t="inlineStr">
        <is>
          <t>Compliance / Quality</t>
        </is>
      </c>
      <c r="G8" s="6" t="inlineStr">
        <is>
          <t>Safety / Legal</t>
        </is>
      </c>
      <c r="H8" s="27" t="n">
        <v>32</v>
      </c>
      <c r="I8" s="27" t="n">
        <v>92.8571</v>
      </c>
      <c r="J8" s="6" t="inlineStr">
        <is>
          <t>Yes</t>
        </is>
      </c>
      <c r="K8" s="6" t="inlineStr">
        <is>
          <t>Submit and review the named deliverable with RTM traceability and approval status; Document review, inspection, certification, audit or traceable QC record; Conformity/safety assessment, certification and approved safety evidence</t>
        </is>
      </c>
      <c r="L8" s="6" t="inlineStr">
        <is>
          <t>Offer response: Tender Compliance Confirmation</t>
        </is>
      </c>
      <c r="M8" s="6" t="inlineStr">
        <is>
          <t>L0 Tender / Offer; L1 Conceptual Design; L2 Detailed Design</t>
        </is>
      </c>
      <c r="N8" s="6" t="inlineStr">
        <is>
          <t>RTM-001; RTM-003</t>
        </is>
      </c>
      <c r="O8" s="6" t="inlineStr">
        <is>
          <t>RTM-002; RTM-004</t>
        </is>
      </c>
      <c r="P8" s="6" t="inlineStr">
        <is>
          <t>OK</t>
        </is>
      </c>
      <c r="Q8" s="6" t="inlineStr">
        <is>
          <t>TBD</t>
        </is>
      </c>
      <c r="R8" s="97" t="n"/>
      <c r="S8" s="97" t="n"/>
      <c r="T8" s="6" t="n"/>
      <c r="U8" s="97" t="n"/>
      <c r="V8" s="6">
        <f>IF(Q8="TBD","",H8*R8*IF(Q8="OK",1,IF(Q8="OK/Minor",0.85,IF(Q8="Minor disc.",0.7,IF(Q8="Major disc.",0.45,IF(Q8="MISS",0.25,0))))))</f>
        <v/>
      </c>
      <c r="W8" s="6" t="inlineStr">
        <is>
          <t>TBD</t>
        </is>
      </c>
      <c r="X8" s="97" t="n"/>
      <c r="Y8" s="97" t="n"/>
      <c r="Z8" s="6" t="n"/>
      <c r="AA8" s="97" t="n"/>
      <c r="AB8" s="6">
        <f>IF(W8="TBD","",H8*X8*IF(W8="OK",1,IF(W8="OK/Minor",0.85,IF(W8="Minor disc.",0.7,IF(W8="Major disc.",0.45,IF(W8="MISS",0.25,0))))))</f>
        <v/>
      </c>
      <c r="AC8" s="58">
        <f>IF(AND(Q8="TBD",W8="TBD"),"Not yet evaluated — awaiting bidder review.",IF(Q8="TBD",CONCATENATE("Bidder B: ",W8," — ",IF(AA8="","(no comment)",AA8)," | Bidder A not yet evaluated."),IF(W8="TBD",CONCATENATE("Bidder A: ",Q8," — ",IF(U8="","(no comment)",U8)," | Bidder B not yet evaluated."),CONCATENATE("Bidder A: ",Q8," — ",IF(U8="","(no comment)",U8)," || Bidder B: ",W8," — ",IF(AA8="","(no comment)",AA8)," | ",IF(Q8=W8,"Comparable disposition.","Diverging disposition — flag for negotiation.")))))</f>
        <v/>
      </c>
      <c r="AD8" s="97" t="n"/>
      <c r="AE8" s="97" t="n"/>
      <c r="AF8" s="97" t="n"/>
    </row>
    <row r="9" ht="39.95" customHeight="1">
      <c r="A9" s="6" t="n">
        <v>4</v>
      </c>
      <c r="B9" s="6" t="inlineStr">
        <is>
          <t>T0 Gate</t>
        </is>
      </c>
      <c r="C9" s="6" t="inlineStr">
        <is>
          <t>OFFER-03</t>
        </is>
      </c>
      <c r="D9" s="6" t="inlineStr">
        <is>
          <t>Integrated Technical Proposal &amp; Execution Strategy</t>
        </is>
      </c>
      <c r="E9" s="6" t="inlineStr">
        <is>
          <t>§4.1</t>
        </is>
      </c>
      <c r="F9" s="6" t="inlineStr">
        <is>
          <t>Compliance / Quality</t>
        </is>
      </c>
      <c r="G9" s="6" t="inlineStr">
        <is>
          <t>Safety / Legal</t>
        </is>
      </c>
      <c r="H9" s="27" t="n">
        <v>32</v>
      </c>
      <c r="I9" s="27" t="n">
        <v>92.8571</v>
      </c>
      <c r="J9" s="6" t="inlineStr">
        <is>
          <t>Yes</t>
        </is>
      </c>
      <c r="K9" s="6" t="inlineStr">
        <is>
          <t>Submit and review the named deliverable with RTM traceability and approval status; Document review, inspection, certification, audit or traceable QC record; Conformity/safety assessment, certification and approved safety evidence</t>
        </is>
      </c>
      <c r="L9" s="6" t="inlineStr">
        <is>
          <t>Offer response: Integrated Technical Proposal &amp; Execution Strategy</t>
        </is>
      </c>
      <c r="M9" s="6" t="inlineStr">
        <is>
          <t>L0 Tender / Offer; L1 Conceptual Design; L2 Detailed Design</t>
        </is>
      </c>
      <c r="N9" s="6" t="inlineStr">
        <is>
          <t>RTM-002</t>
        </is>
      </c>
      <c r="O9" s="6" t="inlineStr">
        <is>
          <t>RTM-001; RTM-003..RTM-004</t>
        </is>
      </c>
      <c r="P9" s="6" t="inlineStr">
        <is>
          <t>OK</t>
        </is>
      </c>
      <c r="Q9" s="6" t="inlineStr">
        <is>
          <t>TBD</t>
        </is>
      </c>
      <c r="R9" s="97" t="n"/>
      <c r="S9" s="97" t="n"/>
      <c r="T9" s="6" t="n"/>
      <c r="U9" s="97" t="n"/>
      <c r="V9" s="6">
        <f>IF(Q9="TBD","",H9*R9*IF(Q9="OK",1,IF(Q9="OK/Minor",0.85,IF(Q9="Minor disc.",0.7,IF(Q9="Major disc.",0.45,IF(Q9="MISS",0.25,0))))))</f>
        <v/>
      </c>
      <c r="W9" s="6" t="inlineStr">
        <is>
          <t>TBD</t>
        </is>
      </c>
      <c r="X9" s="97" t="n"/>
      <c r="Y9" s="97" t="n"/>
      <c r="Z9" s="6" t="n"/>
      <c r="AA9" s="97" t="n"/>
      <c r="AB9" s="6">
        <f>IF(W9="TBD","",H9*X9*IF(W9="OK",1,IF(W9="OK/Minor",0.85,IF(W9="Minor disc.",0.7,IF(W9="Major disc.",0.45,IF(W9="MISS",0.25,0))))))</f>
        <v/>
      </c>
      <c r="AC9" s="58">
        <f>IF(AND(Q9="TBD",W9="TBD"),"Not yet evaluated — awaiting bidder review.",IF(Q9="TBD",CONCATENATE("Bidder B: ",W9," — ",IF(AA9="","(no comment)",AA9)," | Bidder A not yet evaluated."),IF(W9="TBD",CONCATENATE("Bidder A: ",Q9," — ",IF(U9="","(no comment)",U9)," | Bidder B not yet evaluated."),CONCATENATE("Bidder A: ",Q9," — ",IF(U9="","(no comment)",U9)," || Bidder B: ",W9," — ",IF(AA9="","(no comment)",AA9)," | ",IF(Q9=W9,"Comparable disposition.","Diverging disposition — flag for negotiation.")))))</f>
        <v/>
      </c>
      <c r="AD9" s="97" t="n"/>
      <c r="AE9" s="97" t="n"/>
      <c r="AF9" s="97" t="n"/>
    </row>
    <row r="10" ht="39.95" customHeight="1">
      <c r="A10" s="6" t="n">
        <v>5</v>
      </c>
      <c r="B10" s="6" t="inlineStr">
        <is>
          <t>T0 Gate</t>
        </is>
      </c>
      <c r="C10" s="6" t="inlineStr">
        <is>
          <t>OFFER-47</t>
        </is>
      </c>
      <c r="D10" s="6" t="inlineStr">
        <is>
          <t>Quality Assurance Program (QAP) Definition</t>
        </is>
      </c>
      <c r="E10" s="6" t="inlineStr">
        <is>
          <t>§8</t>
        </is>
      </c>
      <c r="F10" s="6" t="inlineStr">
        <is>
          <t>Compliance / Quality</t>
        </is>
      </c>
      <c r="G10" s="6" t="inlineStr">
        <is>
          <t>Safety / Legal</t>
        </is>
      </c>
      <c r="H10" s="27" t="n">
        <v>32</v>
      </c>
      <c r="I10" s="27" t="n">
        <v>92.8571</v>
      </c>
      <c r="J10" s="6" t="inlineStr">
        <is>
          <t>Yes</t>
        </is>
      </c>
      <c r="K10" s="6" t="inlineStr">
        <is>
          <t>Submit and review the named deliverable with RTM traceability and approval status; Document review, inspection, certification, audit or traceable QC record; Conformity/safety assessment, certification and approved safety evidence</t>
        </is>
      </c>
      <c r="L10" s="6" t="inlineStr">
        <is>
          <t>Offer response: Quality Assurance Program (QAP) Definition; Quality Assurance Plan (QAP)</t>
        </is>
      </c>
      <c r="M10" s="6" t="inlineStr">
        <is>
          <t>L0 Tender / Offer; L1 Conceptual Design; L2 Detailed Design; L3 Procurement &amp; Manufacturing / FAT; L4 Installation; L5 Standalone Commissioning; L6 Site Acceptance Testing</t>
        </is>
      </c>
      <c r="N10" s="6" t="inlineStr">
        <is>
          <t>RTM-642</t>
        </is>
      </c>
      <c r="O10" s="6" t="inlineStr">
        <is>
          <t>RTM-648..RTM-652</t>
        </is>
      </c>
      <c r="P10" s="6" t="inlineStr">
        <is>
          <t>OK — Review breadth</t>
        </is>
      </c>
      <c r="Q10" s="6" t="inlineStr">
        <is>
          <t>TBD</t>
        </is>
      </c>
      <c r="R10" s="97" t="n"/>
      <c r="S10" s="97" t="n"/>
      <c r="T10" s="6" t="n"/>
      <c r="U10" s="97" t="n"/>
      <c r="V10" s="6">
        <f>IF(Q10="TBD","",H10*R10*IF(Q10="OK",1,IF(Q10="OK/Minor",0.85,IF(Q10="Minor disc.",0.7,IF(Q10="Major disc.",0.45,IF(Q10="MISS",0.25,0))))))</f>
        <v/>
      </c>
      <c r="W10" s="6" t="inlineStr">
        <is>
          <t>TBD</t>
        </is>
      </c>
      <c r="X10" s="97" t="n"/>
      <c r="Y10" s="97" t="n"/>
      <c r="Z10" s="6" t="n"/>
      <c r="AA10" s="97" t="n"/>
      <c r="AB10" s="6">
        <f>IF(W10="TBD","",H10*X10*IF(W10="OK",1,IF(W10="OK/Minor",0.85,IF(W10="Minor disc.",0.7,IF(W10="Major disc.",0.45,IF(W10="MISS",0.25,0))))))</f>
        <v/>
      </c>
      <c r="AC10" s="58">
        <f>IF(AND(Q10="TBD",W10="TBD"),"Not yet evaluated — awaiting bidder review.",IF(Q10="TBD",CONCATENATE("Bidder B: ",W10," — ",IF(AA10="","(no comment)",AA10)," | Bidder A not yet evaluated."),IF(W10="TBD",CONCATENATE("Bidder A: ",Q10," — ",IF(U10="","(no comment)",U10)," | Bidder B not yet evaluated."),CONCATENATE("Bidder A: ",Q10," — ",IF(U10="","(no comment)",U10)," || Bidder B: ",W10," — ",IF(AA10="","(no comment)",AA10)," | ",IF(Q10=W10,"Comparable disposition.","Diverging disposition — flag for negotiation.")))))</f>
        <v/>
      </c>
      <c r="AD10" s="97" t="n"/>
      <c r="AE10" s="97" t="n"/>
      <c r="AF10" s="97" t="n"/>
    </row>
    <row r="11" ht="39.95" customHeight="1">
      <c r="A11" s="6" t="n">
        <v>6</v>
      </c>
      <c r="B11" s="6" t="inlineStr">
        <is>
          <t>T0 Gate</t>
        </is>
      </c>
      <c r="C11" s="6" t="inlineStr">
        <is>
          <t>OFFER-49</t>
        </is>
      </c>
      <c r="D11" s="6" t="inlineStr">
        <is>
          <t>Codes, Standards &amp; Compliance Framework</t>
        </is>
      </c>
      <c r="E11" s="6" t="inlineStr">
        <is>
          <t>§9</t>
        </is>
      </c>
      <c r="F11" s="6" t="inlineStr">
        <is>
          <t>Compliance / Quality</t>
        </is>
      </c>
      <c r="G11" s="6" t="inlineStr">
        <is>
          <t>Safety / Legal</t>
        </is>
      </c>
      <c r="H11" s="27" t="n">
        <v>32</v>
      </c>
      <c r="I11" s="27" t="n">
        <v>92.8571</v>
      </c>
      <c r="J11" s="6" t="inlineStr">
        <is>
          <t>Yes</t>
        </is>
      </c>
      <c r="K11" s="6" t="inlineStr">
        <is>
          <t>Submit and review the named deliverable with RTM traceability and approval status; Witnessed FAT/SAT/commissioning test against stated acceptance criteria; Conformity/safety assessment, certification and approved safety evidence</t>
        </is>
      </c>
      <c r="L11" s="6" t="inlineStr">
        <is>
          <t>Offer response: Codes, Standards &amp; Compliance Framework; List / register / matrix</t>
        </is>
      </c>
      <c r="M11" s="6" t="inlineStr">
        <is>
          <t>L0 Tender / Offer; L3 Procurement &amp; Manufacturing / FAT; L1 Conceptual Design; L2 Detailed Design; L4 Installation; L5 Standalone Commissioning; L6 Site Acceptance Testing</t>
        </is>
      </c>
      <c r="N11" s="6" t="inlineStr">
        <is>
          <t>RTM-687..RTM-688</t>
        </is>
      </c>
      <c r="O11" s="6" t="inlineStr">
        <is>
          <t>RTM-689..RTM-705</t>
        </is>
      </c>
      <c r="P11" s="6" t="inlineStr">
        <is>
          <t>OK — Review breadth</t>
        </is>
      </c>
      <c r="Q11" s="6" t="inlineStr">
        <is>
          <t>TBD</t>
        </is>
      </c>
      <c r="R11" s="97" t="n"/>
      <c r="S11" s="97" t="n"/>
      <c r="T11" s="6" t="n"/>
      <c r="U11" s="97" t="n"/>
      <c r="V11" s="6">
        <f>IF(Q11="TBD","",H11*R11*IF(Q11="OK",1,IF(Q11="OK/Minor",0.85,IF(Q11="Minor disc.",0.7,IF(Q11="Major disc.",0.45,IF(Q11="MISS",0.25,0))))))</f>
        <v/>
      </c>
      <c r="W11" s="6" t="inlineStr">
        <is>
          <t>TBD</t>
        </is>
      </c>
      <c r="X11" s="97" t="n"/>
      <c r="Y11" s="97" t="n"/>
      <c r="Z11" s="6" t="n"/>
      <c r="AA11" s="97" t="n"/>
      <c r="AB11" s="6">
        <f>IF(W11="TBD","",H11*X11*IF(W11="OK",1,IF(W11="OK/Minor",0.85,IF(W11="Minor disc.",0.7,IF(W11="Major disc.",0.45,IF(W11="MISS",0.25,0))))))</f>
        <v/>
      </c>
      <c r="AC11" s="58">
        <f>IF(AND(Q11="TBD",W11="TBD"),"Not yet evaluated — awaiting bidder review.",IF(Q11="TBD",CONCATENATE("Bidder B: ",W11," — ",IF(AA11="","(no comment)",AA11)," | Bidder A not yet evaluated."),IF(W11="TBD",CONCATENATE("Bidder A: ",Q11," — ",IF(U11="","(no comment)",U11)," | Bidder B not yet evaluated."),CONCATENATE("Bidder A: ",Q11," — ",IF(U11="","(no comment)",U11)," || Bidder B: ",W11," — ",IF(AA11="","(no comment)",AA11)," | ",IF(Q11=W11,"Comparable disposition.","Diverging disposition — flag for negotiation.")))))</f>
        <v/>
      </c>
      <c r="AD11" s="97" t="n"/>
      <c r="AE11" s="97" t="n"/>
      <c r="AF11" s="97" t="n"/>
    </row>
    <row r="12" ht="39.95" customHeight="1">
      <c r="A12" s="6" t="n">
        <v>7</v>
      </c>
      <c r="B12" s="6" t="inlineStr">
        <is>
          <t>T1 Primary</t>
        </is>
      </c>
      <c r="C12" s="6" t="inlineStr">
        <is>
          <t>OFFER-09</t>
        </is>
      </c>
      <c r="D12" s="6" t="inlineStr">
        <is>
          <t>LN2 Techno-Economic Evaluation (CAPEX/OPEX)</t>
        </is>
      </c>
      <c r="E12" s="6" t="inlineStr">
        <is>
          <t>§4.2.5</t>
        </is>
      </c>
      <c r="F12" s="6" t="inlineStr">
        <is>
          <t>Performance / Process / Utilities</t>
        </is>
      </c>
      <c r="G12" s="6" t="inlineStr">
        <is>
          <t>Reliability</t>
        </is>
      </c>
      <c r="H12" s="27" t="n">
        <v>55.6667</v>
      </c>
      <c r="I12" s="27" t="n">
        <v>87.7551</v>
      </c>
      <c r="J12" s="6" t="inlineStr">
        <is>
          <t>No</t>
        </is>
      </c>
      <c r="K12" s="6" t="inlineStr">
        <is>
          <t>Submit and review the named deliverable with RTM traceability and approval status; Calculation/model plus calibrated measurement or recorded trend; Functional design/configuration review and sequence/interface demonstration</t>
        </is>
      </c>
      <c r="L12" s="6" t="inlineStr">
        <is>
          <t>Offer response: LN2 Techno-Economic Evaluation (CAPEX/OPEX)</t>
        </is>
      </c>
      <c r="M12" s="6" t="inlineStr">
        <is>
          <t>L0 Tender / Offer; PAC / Handover; L1 Conceptual Design; L2 Detailed Design</t>
        </is>
      </c>
      <c r="N12" s="6" t="n"/>
      <c r="O12" s="6" t="inlineStr">
        <is>
          <t>RTM-045..RTM-047</t>
        </is>
      </c>
      <c r="P12" s="6" t="inlineStr">
        <is>
          <t>Review — accept context</t>
        </is>
      </c>
      <c r="Q12" s="6" t="inlineStr">
        <is>
          <t>TBD</t>
        </is>
      </c>
      <c r="R12" s="97" t="n"/>
      <c r="S12" s="97" t="n"/>
      <c r="T12" s="6" t="n"/>
      <c r="U12" s="97" t="n"/>
      <c r="V12" s="6">
        <f>IF(Q12="TBD","",H12*R12*IF(Q12="OK",1,IF(Q12="OK/Minor",0.85,IF(Q12="Minor disc.",0.7,IF(Q12="Major disc.",0.45,IF(Q12="MISS",0.25,0))))))</f>
        <v/>
      </c>
      <c r="W12" s="6" t="inlineStr">
        <is>
          <t>TBD</t>
        </is>
      </c>
      <c r="X12" s="97" t="n"/>
      <c r="Y12" s="97" t="n"/>
      <c r="Z12" s="6" t="n"/>
      <c r="AA12" s="97" t="n"/>
      <c r="AB12" s="6">
        <f>IF(W12="TBD","",H12*X12*IF(W12="OK",1,IF(W12="OK/Minor",0.85,IF(W12="Minor disc.",0.7,IF(W12="Major disc.",0.45,IF(W12="MISS",0.25,0))))))</f>
        <v/>
      </c>
      <c r="AC12" s="58">
        <f>IF(AND(Q12="TBD",W12="TBD"),"Not yet evaluated — awaiting bidder review.",IF(Q12="TBD",CONCATENATE("Bidder B: ",W12," — ",IF(AA12="","(no comment)",AA12)," | Bidder A not yet evaluated."),IF(W12="TBD",CONCATENATE("Bidder A: ",Q12," — ",IF(U12="","(no comment)",U12)," | Bidder B not yet evaluated."),CONCATENATE("Bidder A: ",Q12," — ",IF(U12="","(no comment)",U12)," || Bidder B: ",W12," — ",IF(AA12="","(no comment)",AA12)," | ",IF(Q12=W12,"Comparable disposition.","Diverging disposition — flag for negotiation.")))))</f>
        <v/>
      </c>
      <c r="AD12" s="97" t="n"/>
      <c r="AE12" s="97" t="n"/>
      <c r="AF12" s="97" t="n"/>
    </row>
    <row r="13" ht="39.95" customHeight="1">
      <c r="A13" s="6" t="n">
        <v>8</v>
      </c>
      <c r="B13" s="6" t="inlineStr">
        <is>
          <t>T1 Primary</t>
        </is>
      </c>
      <c r="C13" s="6" t="inlineStr">
        <is>
          <t>OFFER-42</t>
        </is>
      </c>
      <c r="D13" s="6" t="inlineStr">
        <is>
          <t>After-Sales Service Organization &amp; Pricing</t>
        </is>
      </c>
      <c r="E13" s="6" t="inlineStr">
        <is>
          <t>§4.15</t>
        </is>
      </c>
      <c r="F13" s="6" t="inlineStr">
        <is>
          <t>Reliability / RAM / Service</t>
        </is>
      </c>
      <c r="G13" s="6" t="inlineStr">
        <is>
          <t>Reliability</t>
        </is>
      </c>
      <c r="H13" s="27" t="n">
        <v>46.3333</v>
      </c>
      <c r="I13" s="27" t="n">
        <v>85.71429999999999</v>
      </c>
      <c r="J13" s="6" t="inlineStr">
        <is>
          <t>No</t>
        </is>
      </c>
      <c r="K13" s="6" t="inlineStr">
        <is>
          <t>Submit and review the named deliverable with RTM traceability and approval status; Functional design/configuration review and sequence/interface demonstration; RAM/maintenance substantiation and recovery/failure-response evidence</t>
        </is>
      </c>
      <c r="L13" s="6" t="inlineStr">
        <is>
          <t>Offer response: After-Sales Service Organization &amp; Pricing; Procedure / work instruction</t>
        </is>
      </c>
      <c r="M13" s="6" t="inlineStr">
        <is>
          <t>L0 Tender / Offer; L1 Conceptual Design; L2 Detailed Design</t>
        </is>
      </c>
      <c r="N13" s="6" t="inlineStr">
        <is>
          <t>RTM-563..RTM-565</t>
        </is>
      </c>
      <c r="O13" s="6" t="n"/>
      <c r="P13" s="6" t="inlineStr">
        <is>
          <t>OK</t>
        </is>
      </c>
      <c r="Q13" s="6" t="inlineStr">
        <is>
          <t>TBD</t>
        </is>
      </c>
      <c r="R13" s="97" t="n"/>
      <c r="S13" s="97" t="n"/>
      <c r="T13" s="6" t="n"/>
      <c r="U13" s="97" t="n"/>
      <c r="V13" s="6">
        <f>IF(Q13="TBD","",H13*R13*IF(Q13="OK",1,IF(Q13="OK/Minor",0.85,IF(Q13="Minor disc.",0.7,IF(Q13="Major disc.",0.45,IF(Q13="MISS",0.25,0))))))</f>
        <v/>
      </c>
      <c r="W13" s="6" t="inlineStr">
        <is>
          <t>TBD</t>
        </is>
      </c>
      <c r="X13" s="97" t="n"/>
      <c r="Y13" s="97" t="n"/>
      <c r="Z13" s="6" t="n"/>
      <c r="AA13" s="97" t="n"/>
      <c r="AB13" s="6">
        <f>IF(W13="TBD","",H13*X13*IF(W13="OK",1,IF(W13="OK/Minor",0.85,IF(W13="Minor disc.",0.7,IF(W13="Major disc.",0.45,IF(W13="MISS",0.25,0))))))</f>
        <v/>
      </c>
      <c r="AC13" s="58">
        <f>IF(AND(Q13="TBD",W13="TBD"),"Not yet evaluated — awaiting bidder review.",IF(Q13="TBD",CONCATENATE("Bidder B: ",W13," — ",IF(AA13="","(no comment)",AA13)," | Bidder A not yet evaluated."),IF(W13="TBD",CONCATENATE("Bidder A: ",Q13," — ",IF(U13="","(no comment)",U13)," | Bidder B not yet evaluated."),CONCATENATE("Bidder A: ",Q13," — ",IF(U13="","(no comment)",U13)," || Bidder B: ",W13," — ",IF(AA13="","(no comment)",AA13)," | ",IF(Q13=W13,"Comparable disposition.","Diverging disposition — flag for negotiation.")))))</f>
        <v/>
      </c>
      <c r="AD13" s="97" t="n"/>
      <c r="AE13" s="97" t="n"/>
      <c r="AF13" s="97" t="n"/>
    </row>
    <row r="14" ht="39.95" customHeight="1">
      <c r="A14" s="6" t="n">
        <v>9</v>
      </c>
      <c r="B14" s="6" t="inlineStr">
        <is>
          <t>T1 Primary</t>
        </is>
      </c>
      <c r="C14" s="6" t="inlineStr">
        <is>
          <t>OFFER-20</t>
        </is>
      </c>
      <c r="D14" s="6" t="inlineStr">
        <is>
          <t>Helium Leak Detection &amp; Loss Management</t>
        </is>
      </c>
      <c r="E14" s="6" t="inlineStr">
        <is>
          <t>§4.4.7</t>
        </is>
      </c>
      <c r="F14" s="6" t="inlineStr">
        <is>
          <t>Reliability / RAM / Service</t>
        </is>
      </c>
      <c r="G14" s="6" t="inlineStr">
        <is>
          <t>Reliability</t>
        </is>
      </c>
      <c r="H14" s="27" t="n">
        <v>46</v>
      </c>
      <c r="I14" s="27" t="n">
        <v>82.65309999999999</v>
      </c>
      <c r="J14" s="6" t="inlineStr">
        <is>
          <t>No</t>
        </is>
      </c>
      <c r="K14" s="6" t="inlineStr">
        <is>
          <t>Submit and review the named deliverable with RTM traceability and approval status; Witnessed FAT/SAT/commissioning test against stated acceptance criteria; Functional design/configuration review and sequence/interface demonstration</t>
        </is>
      </c>
      <c r="L14" s="6" t="inlineStr">
        <is>
          <t>Offer response: Helium Leak Detection &amp; Loss Management; Test procedure / report; Procedure / work instruction</t>
        </is>
      </c>
      <c r="M14" s="6" t="inlineStr">
        <is>
          <t>L0 Tender / Offer; L4 Installation; L1 Conceptual Design; L2 Detailed Design</t>
        </is>
      </c>
      <c r="N14" s="6" t="inlineStr">
        <is>
          <t>RTM-252..RTM-257</t>
        </is>
      </c>
      <c r="O14" s="6" t="inlineStr">
        <is>
          <t>RTM-258..RTM-262</t>
        </is>
      </c>
      <c r="P14" s="6" t="inlineStr">
        <is>
          <t>OK — Review breadth</t>
        </is>
      </c>
      <c r="Q14" s="6" t="inlineStr">
        <is>
          <t>TBD</t>
        </is>
      </c>
      <c r="R14" s="97" t="n"/>
      <c r="S14" s="97" t="n"/>
      <c r="T14" s="6" t="n"/>
      <c r="U14" s="97" t="n"/>
      <c r="V14" s="6">
        <f>IF(Q14="TBD","",H14*R14*IF(Q14="OK",1,IF(Q14="OK/Minor",0.85,IF(Q14="Minor disc.",0.7,IF(Q14="Major disc.",0.45,IF(Q14="MISS",0.25,0))))))</f>
        <v/>
      </c>
      <c r="W14" s="6" t="inlineStr">
        <is>
          <t>TBD</t>
        </is>
      </c>
      <c r="X14" s="97" t="n"/>
      <c r="Y14" s="97" t="n"/>
      <c r="Z14" s="6" t="n"/>
      <c r="AA14" s="97" t="n"/>
      <c r="AB14" s="6">
        <f>IF(W14="TBD","",H14*X14*IF(W14="OK",1,IF(W14="OK/Minor",0.85,IF(W14="Minor disc.",0.7,IF(W14="Major disc.",0.45,IF(W14="MISS",0.25,0))))))</f>
        <v/>
      </c>
      <c r="AC14" s="58">
        <f>IF(AND(Q14="TBD",W14="TBD"),"Not yet evaluated — awaiting bidder review.",IF(Q14="TBD",CONCATENATE("Bidder B: ",W14," — ",IF(AA14="","(no comment)",AA14)," | Bidder A not yet evaluated."),IF(W14="TBD",CONCATENATE("Bidder A: ",Q14," — ",IF(U14="","(no comment)",U14)," | Bidder B not yet evaluated."),CONCATENATE("Bidder A: ",Q14," — ",IF(U14="","(no comment)",U14)," || Bidder B: ",W14," — ",IF(AA14="","(no comment)",AA14)," | ",IF(Q14=W14,"Comparable disposition.","Diverging disposition — flag for negotiation.")))))</f>
        <v/>
      </c>
      <c r="AD14" s="97" t="n"/>
      <c r="AE14" s="97" t="n"/>
      <c r="AF14" s="97" t="n"/>
    </row>
    <row r="15" ht="39.95" customHeight="1">
      <c r="A15" s="6" t="n">
        <v>10</v>
      </c>
      <c r="B15" s="6" t="inlineStr">
        <is>
          <t>T1 Primary</t>
        </is>
      </c>
      <c r="C15" s="6" t="inlineStr">
        <is>
          <t>OFFER-34</t>
        </is>
      </c>
      <c r="D15" s="6" t="inlineStr">
        <is>
          <t>Cooling Water System Requirements</t>
        </is>
      </c>
      <c r="E15" s="6" t="inlineStr">
        <is>
          <t>§4.7.4.3.2</t>
        </is>
      </c>
      <c r="F15" s="6" t="inlineStr">
        <is>
          <t>Performance / Process / Utilities</t>
        </is>
      </c>
      <c r="G15" s="6" t="inlineStr">
        <is>
          <t>Reliability</t>
        </is>
      </c>
      <c r="H15" s="27" t="n">
        <v>46</v>
      </c>
      <c r="I15" s="27" t="n">
        <v>82.65309999999999</v>
      </c>
      <c r="J15" s="6" t="inlineStr">
        <is>
          <t>No</t>
        </is>
      </c>
      <c r="K15" s="6" t="inlineStr">
        <is>
          <t>Submit and review the named deliverable with RTM traceability and approval status; Calculation/model plus calibrated measurement or recorded trend; RAM/maintenance substantiation and recovery/failure-response evidence</t>
        </is>
      </c>
      <c r="L15" s="6" t="inlineStr">
        <is>
          <t>Offer response: Cooling Water System Requirements</t>
        </is>
      </c>
      <c r="M15" s="6" t="inlineStr">
        <is>
          <t>L0 Tender / Offer; L1 Conceptual Design; L2 Detailed Design</t>
        </is>
      </c>
      <c r="N15" s="6" t="inlineStr">
        <is>
          <t>RTM-426..RTM-427</t>
        </is>
      </c>
      <c r="O15" s="6" t="n"/>
      <c r="P15" s="6" t="inlineStr">
        <is>
          <t>OK</t>
        </is>
      </c>
      <c r="Q15" s="6" t="inlineStr">
        <is>
          <t>TBD</t>
        </is>
      </c>
      <c r="R15" s="97" t="n"/>
      <c r="S15" s="97" t="n"/>
      <c r="T15" s="6" t="n"/>
      <c r="U15" s="97" t="n"/>
      <c r="V15" s="6">
        <f>IF(Q15="TBD","",H15*R15*IF(Q15="OK",1,IF(Q15="OK/Minor",0.85,IF(Q15="Minor disc.",0.7,IF(Q15="Major disc.",0.45,IF(Q15="MISS",0.25,0))))))</f>
        <v/>
      </c>
      <c r="W15" s="6" t="inlineStr">
        <is>
          <t>TBD</t>
        </is>
      </c>
      <c r="X15" s="97" t="n"/>
      <c r="Y15" s="97" t="n"/>
      <c r="Z15" s="6" t="n"/>
      <c r="AA15" s="97" t="n"/>
      <c r="AB15" s="6">
        <f>IF(W15="TBD","",H15*X15*IF(W15="OK",1,IF(W15="OK/Minor",0.85,IF(W15="Minor disc.",0.7,IF(W15="Major disc.",0.45,IF(W15="MISS",0.25,0))))))</f>
        <v/>
      </c>
      <c r="AC15" s="58">
        <f>IF(AND(Q15="TBD",W15="TBD"),"Not yet evaluated — awaiting bidder review.",IF(Q15="TBD",CONCATENATE("Bidder B: ",W15," — ",IF(AA15="","(no comment)",AA15)," | Bidder A not yet evaluated."),IF(W15="TBD",CONCATENATE("Bidder A: ",Q15," — ",IF(U15="","(no comment)",U15)," | Bidder B not yet evaluated."),CONCATENATE("Bidder A: ",Q15," — ",IF(U15="","(no comment)",U15)," || Bidder B: ",W15," — ",IF(AA15="","(no comment)",AA15)," | ",IF(Q15=W15,"Comparable disposition.","Diverging disposition — flag for negotiation.")))))</f>
        <v/>
      </c>
      <c r="AD15" s="97" t="n"/>
      <c r="AE15" s="97" t="n"/>
      <c r="AF15" s="97" t="n"/>
    </row>
    <row r="16" ht="39.95" customHeight="1">
      <c r="A16" s="6" t="n">
        <v>11</v>
      </c>
      <c r="B16" s="6" t="inlineStr">
        <is>
          <t>T1 Primary</t>
        </is>
      </c>
      <c r="C16" s="6" t="inlineStr">
        <is>
          <t>OFFER-29</t>
        </is>
      </c>
      <c r="D16" s="6" t="inlineStr">
        <is>
          <t>Control System Obsolescence Strategy</t>
        </is>
      </c>
      <c r="E16" s="6" t="inlineStr">
        <is>
          <t>§4.6.8</t>
        </is>
      </c>
      <c r="F16" s="6" t="inlineStr">
        <is>
          <t>Controls / Software / Management</t>
        </is>
      </c>
      <c r="G16" s="6" t="inlineStr">
        <is>
          <t>Reliability</t>
        </is>
      </c>
      <c r="H16" s="27" t="n">
        <v>45</v>
      </c>
      <c r="I16" s="27" t="n">
        <v>79.59180000000001</v>
      </c>
      <c r="J16" s="6" t="inlineStr">
        <is>
          <t>No</t>
        </is>
      </c>
      <c r="K16" s="6" t="inlineStr">
        <is>
          <t>Submit and review the named deliverable with RTM traceability and approval status; Functional design/configuration review and sequence/interface demonstration; RAM/maintenance substantiation and recovery/failure-response evidence</t>
        </is>
      </c>
      <c r="L16" s="6" t="inlineStr">
        <is>
          <t>Offer response: Control System Obsolescence Strategy</t>
        </is>
      </c>
      <c r="M16" s="6" t="inlineStr">
        <is>
          <t>L0 Tender / Offer; L1 Conceptual Design; L2 Detailed Design</t>
        </is>
      </c>
      <c r="N16" s="6" t="inlineStr">
        <is>
          <t>RTM-346..RTM-367</t>
        </is>
      </c>
      <c r="O16" s="6" t="n"/>
      <c r="P16" s="6" t="inlineStr">
        <is>
          <t>OK</t>
        </is>
      </c>
      <c r="Q16" s="6" t="inlineStr">
        <is>
          <t>TBD</t>
        </is>
      </c>
      <c r="R16" s="97" t="n"/>
      <c r="S16" s="97" t="n"/>
      <c r="T16" s="6" t="n"/>
      <c r="U16" s="97" t="n"/>
      <c r="V16" s="6">
        <f>IF(Q16="TBD","",H16*R16*IF(Q16="OK",1,IF(Q16="OK/Minor",0.85,IF(Q16="Minor disc.",0.7,IF(Q16="Major disc.",0.45,IF(Q16="MISS",0.25,0))))))</f>
        <v/>
      </c>
      <c r="W16" s="6" t="inlineStr">
        <is>
          <t>TBD</t>
        </is>
      </c>
      <c r="X16" s="97" t="n"/>
      <c r="Y16" s="97" t="n"/>
      <c r="Z16" s="6" t="n"/>
      <c r="AA16" s="97" t="n"/>
      <c r="AB16" s="6">
        <f>IF(W16="TBD","",H16*X16*IF(W16="OK",1,IF(W16="OK/Minor",0.85,IF(W16="Minor disc.",0.7,IF(W16="Major disc.",0.45,IF(W16="MISS",0.25,0))))))</f>
        <v/>
      </c>
      <c r="AC16" s="58">
        <f>IF(AND(Q16="TBD",W16="TBD"),"Not yet evaluated — awaiting bidder review.",IF(Q16="TBD",CONCATENATE("Bidder B: ",W16," — ",IF(AA16="","(no comment)",AA16)," | Bidder A not yet evaluated."),IF(W16="TBD",CONCATENATE("Bidder A: ",Q16," — ",IF(U16="","(no comment)",U16)," | Bidder B not yet evaluated."),CONCATENATE("Bidder A: ",Q16," — ",IF(U16="","(no comment)",U16)," || Bidder B: ",W16," — ",IF(AA16="","(no comment)",AA16)," | ",IF(Q16=W16,"Comparable disposition.","Diverging disposition — flag for negotiation.")))))</f>
        <v/>
      </c>
      <c r="AD16" s="97" t="n"/>
      <c r="AE16" s="97" t="n"/>
      <c r="AF16" s="97" t="n"/>
    </row>
    <row r="17" ht="39.95" customHeight="1">
      <c r="A17" s="6" t="n">
        <v>12</v>
      </c>
      <c r="B17" s="6" t="inlineStr">
        <is>
          <t>T1 Primary</t>
        </is>
      </c>
      <c r="C17" s="6" t="inlineStr">
        <is>
          <t>OFFER-04</t>
        </is>
      </c>
      <c r="D17" s="6" t="inlineStr">
        <is>
          <t>Cooldown &amp; Thermal Performance Modelling</t>
        </is>
      </c>
      <c r="E17" s="6" t="inlineStr">
        <is>
          <t>§4.2.2.2</t>
        </is>
      </c>
      <c r="F17" s="6" t="inlineStr">
        <is>
          <t>Performance / Process / Utilities</t>
        </is>
      </c>
      <c r="G17" s="6" t="inlineStr">
        <is>
          <t>Performance</t>
        </is>
      </c>
      <c r="H17" s="27" t="n">
        <v>44</v>
      </c>
      <c r="I17" s="27" t="n">
        <v>76.53060000000001</v>
      </c>
      <c r="J17" s="6" t="inlineStr">
        <is>
          <t>No</t>
        </is>
      </c>
      <c r="K17" s="6" t="inlineStr">
        <is>
          <t>Submit and review the named deliverable with RTM traceability and approval status; Calculation/model plus calibrated measurement or recorded trend; Document review, inspection, certification, audit or traceable QC record</t>
        </is>
      </c>
      <c r="L17" s="6" t="inlineStr">
        <is>
          <t>Offer response: Cooldown &amp; Thermal Performance Modelling</t>
        </is>
      </c>
      <c r="M17" s="6" t="inlineStr">
        <is>
          <t>L0 Tender / Offer; L1 Conceptual Design; L2 Detailed Design</t>
        </is>
      </c>
      <c r="N17" s="6" t="inlineStr">
        <is>
          <t>RTM-019..RTM-022</t>
        </is>
      </c>
      <c r="O17" s="6" t="n"/>
      <c r="P17" s="6" t="inlineStr">
        <is>
          <t>OK</t>
        </is>
      </c>
      <c r="Q17" s="6" t="inlineStr">
        <is>
          <t>TBD</t>
        </is>
      </c>
      <c r="R17" s="97" t="n"/>
      <c r="S17" s="97" t="n"/>
      <c r="T17" s="6" t="n"/>
      <c r="U17" s="97" t="n"/>
      <c r="V17" s="6">
        <f>IF(Q17="TBD","",H17*R17*IF(Q17="OK",1,IF(Q17="OK/Minor",0.85,IF(Q17="Minor disc.",0.7,IF(Q17="Major disc.",0.45,IF(Q17="MISS",0.25,0))))))</f>
        <v/>
      </c>
      <c r="W17" s="6" t="inlineStr">
        <is>
          <t>TBD</t>
        </is>
      </c>
      <c r="X17" s="97" t="n"/>
      <c r="Y17" s="97" t="n"/>
      <c r="Z17" s="6" t="n"/>
      <c r="AA17" s="97" t="n"/>
      <c r="AB17" s="6">
        <f>IF(W17="TBD","",H17*X17*IF(W17="OK",1,IF(W17="OK/Minor",0.85,IF(W17="Minor disc.",0.7,IF(W17="Major disc.",0.45,IF(W17="MISS",0.25,0))))))</f>
        <v/>
      </c>
      <c r="AC17" s="58">
        <f>IF(AND(Q17="TBD",W17="TBD"),"Not yet evaluated — awaiting bidder review.",IF(Q17="TBD",CONCATENATE("Bidder B: ",W17," — ",IF(AA17="","(no comment)",AA17)," | Bidder A not yet evaluated."),IF(W17="TBD",CONCATENATE("Bidder A: ",Q17," — ",IF(U17="","(no comment)",U17)," | Bidder B not yet evaluated."),CONCATENATE("Bidder A: ",Q17," — ",IF(U17="","(no comment)",U17)," || Bidder B: ",W17," — ",IF(AA17="","(no comment)",AA17)," | ",IF(Q17=W17,"Comparable disposition.","Diverging disposition — flag for negotiation.")))))</f>
        <v/>
      </c>
      <c r="AD17" s="97" t="n"/>
      <c r="AE17" s="97" t="n"/>
      <c r="AF17" s="97" t="n"/>
    </row>
    <row r="18" ht="39.95" customHeight="1">
      <c r="A18" s="6" t="n">
        <v>13</v>
      </c>
      <c r="B18" s="6" t="inlineStr">
        <is>
          <t>T1 Primary</t>
        </is>
      </c>
      <c r="C18" s="6" t="inlineStr">
        <is>
          <t>OFFER-05</t>
        </is>
      </c>
      <c r="D18" s="6" t="inlineStr">
        <is>
          <t>Operational Procedure Strategy (Auto vs Manual)</t>
        </is>
      </c>
      <c r="E18" s="6" t="inlineStr">
        <is>
          <t>§4.2.2.4.1</t>
        </is>
      </c>
      <c r="F18" s="6" t="inlineStr">
        <is>
          <t>Controls / Software / Management</t>
        </is>
      </c>
      <c r="G18" s="6" t="inlineStr">
        <is>
          <t>Performance</t>
        </is>
      </c>
      <c r="H18" s="27" t="n">
        <v>44</v>
      </c>
      <c r="I18" s="27" t="n">
        <v>76.53060000000001</v>
      </c>
      <c r="J18" s="6" t="inlineStr">
        <is>
          <t>No</t>
        </is>
      </c>
      <c r="K18" s="6" t="inlineStr">
        <is>
          <t>Submit and review the named deliverable with RTM traceability and approval status; Calculation/model plus calibrated measurement or recorded trend; Functional design/configuration review and sequence/interface demonstration</t>
        </is>
      </c>
      <c r="L18" s="6" t="inlineStr">
        <is>
          <t>Offer response: Operational Procedure Strategy (Auto vs Manual); Procedure / work instruction</t>
        </is>
      </c>
      <c r="M18" s="6" t="inlineStr">
        <is>
          <t>L0 Tender / Offer; L1 Conceptual Design; L2 Detailed Design</t>
        </is>
      </c>
      <c r="N18" s="6" t="inlineStr">
        <is>
          <t>RTM-025..RTM-027</t>
        </is>
      </c>
      <c r="O18" s="6" t="n"/>
      <c r="P18" s="6" t="inlineStr">
        <is>
          <t>OK</t>
        </is>
      </c>
      <c r="Q18" s="6" t="inlineStr">
        <is>
          <t>TBD</t>
        </is>
      </c>
      <c r="R18" s="97" t="n"/>
      <c r="S18" s="97" t="n"/>
      <c r="T18" s="6" t="n"/>
      <c r="U18" s="97" t="n"/>
      <c r="V18" s="6">
        <f>IF(Q18="TBD","",H18*R18*IF(Q18="OK",1,IF(Q18="OK/Minor",0.85,IF(Q18="Minor disc.",0.7,IF(Q18="Major disc.",0.45,IF(Q18="MISS",0.25,0))))))</f>
        <v/>
      </c>
      <c r="W18" s="6" t="inlineStr">
        <is>
          <t>TBD</t>
        </is>
      </c>
      <c r="X18" s="97" t="n"/>
      <c r="Y18" s="97" t="n"/>
      <c r="Z18" s="6" t="n"/>
      <c r="AA18" s="97" t="n"/>
      <c r="AB18" s="6">
        <f>IF(W18="TBD","",H18*X18*IF(W18="OK",1,IF(W18="OK/Minor",0.85,IF(W18="Minor disc.",0.7,IF(W18="Major disc.",0.45,IF(W18="MISS",0.25,0))))))</f>
        <v/>
      </c>
      <c r="AC18" s="58">
        <f>IF(AND(Q18="TBD",W18="TBD"),"Not yet evaluated — awaiting bidder review.",IF(Q18="TBD",CONCATENATE("Bidder B: ",W18," — ",IF(AA18="","(no comment)",AA18)," | Bidder A not yet evaluated."),IF(W18="TBD",CONCATENATE("Bidder A: ",Q18," — ",IF(U18="","(no comment)",U18)," | Bidder B not yet evaluated."),CONCATENATE("Bidder A: ",Q18," — ",IF(U18="","(no comment)",U18)," || Bidder B: ",W18," — ",IF(AA18="","(no comment)",AA18)," | ",IF(Q18=W18,"Comparable disposition.","Diverging disposition — flag for negotiation.")))))</f>
        <v/>
      </c>
      <c r="AD18" s="97" t="n"/>
      <c r="AE18" s="97" t="n"/>
      <c r="AF18" s="97" t="n"/>
    </row>
    <row r="19" ht="39.95" customHeight="1">
      <c r="A19" s="6" t="n">
        <v>14</v>
      </c>
      <c r="B19" s="6" t="inlineStr">
        <is>
          <t>T1 Primary</t>
        </is>
      </c>
      <c r="C19" s="6" t="inlineStr">
        <is>
          <t>OFFER-27</t>
        </is>
      </c>
      <c r="D19" s="6" t="inlineStr">
        <is>
          <t>Programming Standards &amp; Language Strategy</t>
        </is>
      </c>
      <c r="E19" s="6" t="inlineStr">
        <is>
          <t>§4.6.7</t>
        </is>
      </c>
      <c r="F19" s="6" t="inlineStr">
        <is>
          <t>Controls / Software / Management</t>
        </is>
      </c>
      <c r="G19" s="6" t="inlineStr">
        <is>
          <t>Functional</t>
        </is>
      </c>
      <c r="H19" s="27" t="n">
        <v>41.3333</v>
      </c>
      <c r="I19" s="27" t="n">
        <v>73.46939999999999</v>
      </c>
      <c r="J19" s="6" t="inlineStr">
        <is>
          <t>No</t>
        </is>
      </c>
      <c r="K19" s="6" t="inlineStr">
        <is>
          <t>Submit and review the named deliverable with RTM traceability and approval status; Witnessed FAT/SAT/commissioning test against stated acceptance criteria; Functional design/configuration review and sequence/interface demonstration</t>
        </is>
      </c>
      <c r="L19" s="6" t="inlineStr">
        <is>
          <t>Offer response: Programming Standards &amp; Language Strategy</t>
        </is>
      </c>
      <c r="M19" s="6" t="inlineStr">
        <is>
          <t>L0 Tender / Offer; L1 Conceptual Design; L2 Detailed Design</t>
        </is>
      </c>
      <c r="N19" s="6" t="inlineStr">
        <is>
          <t>RTM-340..RTM-341; RTM-343..RTM-344</t>
        </is>
      </c>
      <c r="O19" s="6" t="inlineStr">
        <is>
          <t>RTM-334..RTM-339; RTM-342; RTM-345</t>
        </is>
      </c>
      <c r="P19" s="6" t="inlineStr">
        <is>
          <t>OK</t>
        </is>
      </c>
      <c r="Q19" s="6" t="inlineStr">
        <is>
          <t>TBD</t>
        </is>
      </c>
      <c r="R19" s="97" t="n"/>
      <c r="S19" s="97" t="n"/>
      <c r="T19" s="6" t="n"/>
      <c r="U19" s="97" t="n"/>
      <c r="V19" s="6">
        <f>IF(Q19="TBD","",H19*R19*IF(Q19="OK",1,IF(Q19="OK/Minor",0.85,IF(Q19="Minor disc.",0.7,IF(Q19="Major disc.",0.45,IF(Q19="MISS",0.25,0))))))</f>
        <v/>
      </c>
      <c r="W19" s="6" t="inlineStr">
        <is>
          <t>TBD</t>
        </is>
      </c>
      <c r="X19" s="97" t="n"/>
      <c r="Y19" s="97" t="n"/>
      <c r="Z19" s="6" t="n"/>
      <c r="AA19" s="97" t="n"/>
      <c r="AB19" s="6">
        <f>IF(W19="TBD","",H19*X19*IF(W19="OK",1,IF(W19="OK/Minor",0.85,IF(W19="Minor disc.",0.7,IF(W19="Major disc.",0.45,IF(W19="MISS",0.25,0))))))</f>
        <v/>
      </c>
      <c r="AC19" s="58">
        <f>IF(AND(Q19="TBD",W19="TBD"),"Not yet evaluated — awaiting bidder review.",IF(Q19="TBD",CONCATENATE("Bidder B: ",W19," — ",IF(AA19="","(no comment)",AA19)," | Bidder A not yet evaluated."),IF(W19="TBD",CONCATENATE("Bidder A: ",Q19," — ",IF(U19="","(no comment)",U19)," | Bidder B not yet evaluated."),CONCATENATE("Bidder A: ",Q19," — ",IF(U19="","(no comment)",U19)," || Bidder B: ",W19," — ",IF(AA19="","(no comment)",AA19)," | ",IF(Q19=W19,"Comparable disposition.","Diverging disposition — flag for negotiation.")))))</f>
        <v/>
      </c>
      <c r="AD19" s="97" t="n"/>
      <c r="AE19" s="97" t="n"/>
      <c r="AF19" s="97" t="n"/>
    </row>
    <row r="20" ht="39.95" customHeight="1">
      <c r="A20" s="6" t="n">
        <v>15</v>
      </c>
      <c r="B20" s="6" t="inlineStr">
        <is>
          <t>T1 Primary</t>
        </is>
      </c>
      <c r="C20" s="6" t="inlineStr">
        <is>
          <t>OFFER-33</t>
        </is>
      </c>
      <c r="D20" s="6" t="inlineStr">
        <is>
          <t>Electrical System Design &amp; Load Analysis</t>
        </is>
      </c>
      <c r="E20" s="6" t="inlineStr">
        <is>
          <t>§4.7.3.1</t>
        </is>
      </c>
      <c r="F20" s="6" t="inlineStr">
        <is>
          <t>Controls / Software / Management</t>
        </is>
      </c>
      <c r="G20" s="6" t="inlineStr">
        <is>
          <t>Reliability</t>
        </is>
      </c>
      <c r="H20" s="27" t="n">
        <v>38.6667</v>
      </c>
      <c r="I20" s="27" t="n">
        <v>70.40819999999999</v>
      </c>
      <c r="J20" s="6" t="inlineStr">
        <is>
          <t>No</t>
        </is>
      </c>
      <c r="K20" s="6" t="inlineStr">
        <is>
          <t>Submit and review the named deliverable with RTM traceability and approval status; Calculation/model plus calibrated measurement or recorded trend; RAM/maintenance substantiation and recovery/failure-response evidence</t>
        </is>
      </c>
      <c r="L20" s="6" t="inlineStr">
        <is>
          <t>Offer response: Electrical System Design &amp; Load Analysis; Drawing / diagram; List / register / matrix</t>
        </is>
      </c>
      <c r="M20" s="6" t="inlineStr">
        <is>
          <t>L0 Tender / Offer; L1 Conceptual Design; L2 Detailed Design</t>
        </is>
      </c>
      <c r="N20" s="6" t="inlineStr">
        <is>
          <t>RTM-401..RTM-402</t>
        </is>
      </c>
      <c r="O20" s="6" t="n"/>
      <c r="P20" s="6" t="inlineStr">
        <is>
          <t>OK</t>
        </is>
      </c>
      <c r="Q20" s="6" t="inlineStr">
        <is>
          <t>TBD</t>
        </is>
      </c>
      <c r="R20" s="97" t="n"/>
      <c r="S20" s="97" t="n"/>
      <c r="T20" s="6" t="n"/>
      <c r="U20" s="97" t="n"/>
      <c r="V20" s="6">
        <f>IF(Q20="TBD","",H20*R20*IF(Q20="OK",1,IF(Q20="OK/Minor",0.85,IF(Q20="Minor disc.",0.7,IF(Q20="Major disc.",0.45,IF(Q20="MISS",0.25,0))))))</f>
        <v/>
      </c>
      <c r="W20" s="6" t="inlineStr">
        <is>
          <t>TBD</t>
        </is>
      </c>
      <c r="X20" s="97" t="n"/>
      <c r="Y20" s="97" t="n"/>
      <c r="Z20" s="6" t="n"/>
      <c r="AA20" s="97" t="n"/>
      <c r="AB20" s="6">
        <f>IF(W20="TBD","",H20*X20*IF(W20="OK",1,IF(W20="OK/Minor",0.85,IF(W20="Minor disc.",0.7,IF(W20="Major disc.",0.45,IF(W20="MISS",0.25,0))))))</f>
        <v/>
      </c>
      <c r="AC20" s="58">
        <f>IF(AND(Q20="TBD",W20="TBD"),"Not yet evaluated — awaiting bidder review.",IF(Q20="TBD",CONCATENATE("Bidder B: ",W20," — ",IF(AA20="","(no comment)",AA20)," | Bidder A not yet evaluated."),IF(W20="TBD",CONCATENATE("Bidder A: ",Q20," — ",IF(U20="","(no comment)",U20)," | Bidder B not yet evaluated."),CONCATENATE("Bidder A: ",Q20," — ",IF(U20="","(no comment)",U20)," || Bidder B: ",W20," — ",IF(AA20="","(no comment)",AA20)," | ",IF(Q20=W20,"Comparable disposition.","Diverging disposition — flag for negotiation.")))))</f>
        <v/>
      </c>
      <c r="AD20" s="97" t="n"/>
      <c r="AE20" s="97" t="n"/>
      <c r="AF20" s="97" t="n"/>
    </row>
    <row r="21" ht="39.95" customHeight="1">
      <c r="A21" s="6" t="n">
        <v>16</v>
      </c>
      <c r="B21" s="6" t="inlineStr">
        <is>
          <t>T1 Primary</t>
        </is>
      </c>
      <c r="C21" s="6" t="inlineStr">
        <is>
          <t>OFFER-41</t>
        </is>
      </c>
      <c r="D21" s="6" t="inlineStr">
        <is>
          <t>Spare Parts &amp; Critical Components Strategy</t>
        </is>
      </c>
      <c r="E21" s="6" t="inlineStr">
        <is>
          <t>§4.14.3</t>
        </is>
      </c>
      <c r="F21" s="6" t="inlineStr">
        <is>
          <t>Reliability / RAM / Service</t>
        </is>
      </c>
      <c r="G21" s="6" t="inlineStr">
        <is>
          <t>Reliability</t>
        </is>
      </c>
      <c r="H21" s="27" t="n">
        <v>38.6667</v>
      </c>
      <c r="I21" s="27" t="n">
        <v>70.40819999999999</v>
      </c>
      <c r="J21" s="6" t="inlineStr">
        <is>
          <t>No</t>
        </is>
      </c>
      <c r="K21" s="6" t="inlineStr">
        <is>
          <t>Submit and review the named deliverable with RTM traceability and approval status; RAM/maintenance substantiation and recovery/failure-response evidence</t>
        </is>
      </c>
      <c r="L21" s="6" t="inlineStr">
        <is>
          <t>Offer response: Spare Parts &amp; Critical Components Strategy; List / register / matrix</t>
        </is>
      </c>
      <c r="M21" s="6" t="inlineStr">
        <is>
          <t>L0 Tender / Offer; L1 Conceptual Design; L2 Detailed Design</t>
        </is>
      </c>
      <c r="N21" s="6" t="inlineStr">
        <is>
          <t>RTM-560..RTM-562</t>
        </is>
      </c>
      <c r="O21" s="6" t="n"/>
      <c r="P21" s="6" t="inlineStr">
        <is>
          <t>OK</t>
        </is>
      </c>
      <c r="Q21" s="6" t="inlineStr">
        <is>
          <t>TBD</t>
        </is>
      </c>
      <c r="R21" s="97" t="n"/>
      <c r="S21" s="97" t="n"/>
      <c r="T21" s="6" t="n"/>
      <c r="U21" s="97" t="n"/>
      <c r="V21" s="6">
        <f>IF(Q21="TBD","",H21*R21*IF(Q21="OK",1,IF(Q21="OK/Minor",0.85,IF(Q21="Minor disc.",0.7,IF(Q21="Major disc.",0.45,IF(Q21="MISS",0.25,0))))))</f>
        <v/>
      </c>
      <c r="W21" s="6" t="inlineStr">
        <is>
          <t>TBD</t>
        </is>
      </c>
      <c r="X21" s="97" t="n"/>
      <c r="Y21" s="97" t="n"/>
      <c r="Z21" s="6" t="n"/>
      <c r="AA21" s="97" t="n"/>
      <c r="AB21" s="6">
        <f>IF(W21="TBD","",H21*X21*IF(W21="OK",1,IF(W21="OK/Minor",0.85,IF(W21="Minor disc.",0.7,IF(W21="Major disc.",0.45,IF(W21="MISS",0.25,0))))))</f>
        <v/>
      </c>
      <c r="AC21" s="58">
        <f>IF(AND(Q21="TBD",W21="TBD"),"Not yet evaluated — awaiting bidder review.",IF(Q21="TBD",CONCATENATE("Bidder B: ",W21," — ",IF(AA21="","(no comment)",AA21)," | Bidder A not yet evaluated."),IF(W21="TBD",CONCATENATE("Bidder A: ",Q21," — ",IF(U21="","(no comment)",U21)," | Bidder B not yet evaluated."),CONCATENATE("Bidder A: ",Q21," — ",IF(U21="","(no comment)",U21)," || Bidder B: ",W21," — ",IF(AA21="","(no comment)",AA21)," | ",IF(Q21=W21,"Comparable disposition.","Diverging disposition — flag for negotiation.")))))</f>
        <v/>
      </c>
      <c r="AD21" s="97" t="n"/>
      <c r="AE21" s="97" t="n"/>
      <c r="AF21" s="97" t="n"/>
    </row>
    <row r="22" ht="39.95" customHeight="1">
      <c r="A22" s="6" t="n">
        <v>17</v>
      </c>
      <c r="B22" s="6" t="inlineStr">
        <is>
          <t>T2 Secondary</t>
        </is>
      </c>
      <c r="C22" s="6" t="inlineStr">
        <is>
          <t>OFFER-06</t>
        </is>
      </c>
      <c r="D22" s="6" t="inlineStr">
        <is>
          <t>LHe Filling &amp; Emptying Performance</t>
        </is>
      </c>
      <c r="E22" s="6" t="inlineStr">
        <is>
          <t>§4.2.2.4.3</t>
        </is>
      </c>
      <c r="F22" s="6" t="inlineStr">
        <is>
          <t>Performance / Process / Utilities</t>
        </is>
      </c>
      <c r="G22" s="6" t="inlineStr">
        <is>
          <t>Performance</t>
        </is>
      </c>
      <c r="H22" s="27" t="n">
        <v>36</v>
      </c>
      <c r="I22" s="27" t="n">
        <v>66.3265</v>
      </c>
      <c r="J22" s="6" t="inlineStr">
        <is>
          <t>No</t>
        </is>
      </c>
      <c r="K22" s="6" t="inlineStr">
        <is>
          <t>Submit and review the named deliverable with RTM traceability and approval status; Calculation/model plus calibrated measurement or recorded trend</t>
        </is>
      </c>
      <c r="L22" s="6" t="inlineStr">
        <is>
          <t>Offer response: LHe Filling &amp; Emptying Performance</t>
        </is>
      </c>
      <c r="M22" s="6" t="inlineStr">
        <is>
          <t>L0 Tender / Offer; L1 Conceptual Design; L2 Detailed Design</t>
        </is>
      </c>
      <c r="N22" s="6" t="inlineStr">
        <is>
          <t>RTM-030..RTM-033</t>
        </is>
      </c>
      <c r="O22" s="6" t="n"/>
      <c r="P22" s="6" t="inlineStr">
        <is>
          <t>OK</t>
        </is>
      </c>
      <c r="Q22" s="6" t="inlineStr">
        <is>
          <t>TBD</t>
        </is>
      </c>
      <c r="R22" s="97" t="n"/>
      <c r="S22" s="97" t="n"/>
      <c r="T22" s="6" t="n"/>
      <c r="U22" s="97" t="n"/>
      <c r="V22" s="6">
        <f>IF(Q22="TBD","",H22*R22*IF(Q22="OK",1,IF(Q22="OK/Minor",0.85,IF(Q22="Minor disc.",0.7,IF(Q22="Major disc.",0.45,IF(Q22="MISS",0.25,0))))))</f>
        <v/>
      </c>
      <c r="W22" s="6" t="inlineStr">
        <is>
          <t>TBD</t>
        </is>
      </c>
      <c r="X22" s="97" t="n"/>
      <c r="Y22" s="97" t="n"/>
      <c r="Z22" s="6" t="n"/>
      <c r="AA22" s="97" t="n"/>
      <c r="AB22" s="6">
        <f>IF(W22="TBD","",H22*X22*IF(W22="OK",1,IF(W22="OK/Minor",0.85,IF(W22="Minor disc.",0.7,IF(W22="Major disc.",0.45,IF(W22="MISS",0.25,0))))))</f>
        <v/>
      </c>
      <c r="AC22" s="58">
        <f>IF(AND(Q22="TBD",W22="TBD"),"Not yet evaluated — awaiting bidder review.",IF(Q22="TBD",CONCATENATE("Bidder B: ",W22," — ",IF(AA22="","(no comment)",AA22)," | Bidder A not yet evaluated."),IF(W22="TBD",CONCATENATE("Bidder A: ",Q22," — ",IF(U22="","(no comment)",U22)," | Bidder B not yet evaluated."),CONCATENATE("Bidder A: ",Q22," — ",IF(U22="","(no comment)",U22)," || Bidder B: ",W22," — ",IF(AA22="","(no comment)",AA22)," | ",IF(Q22=W22,"Comparable disposition.","Diverging disposition — flag for negotiation.")))))</f>
        <v/>
      </c>
      <c r="AD22" s="97" t="n"/>
      <c r="AE22" s="97" t="n"/>
      <c r="AF22" s="97" t="n"/>
    </row>
    <row r="23" ht="39.95" customHeight="1">
      <c r="A23" s="6" t="n">
        <v>18</v>
      </c>
      <c r="B23" s="6" t="inlineStr">
        <is>
          <t>T2 Secondary</t>
        </is>
      </c>
      <c r="C23" s="6" t="inlineStr">
        <is>
          <t>OFFER-37</t>
        </is>
      </c>
      <c r="D23" s="6" t="inlineStr">
        <is>
          <t>Digital Twin / Simulation Strategy</t>
        </is>
      </c>
      <c r="E23" s="6" t="inlineStr">
        <is>
          <t>§4.8.2</t>
        </is>
      </c>
      <c r="F23" s="6" t="inlineStr">
        <is>
          <t>Controls / Software / Management</t>
        </is>
      </c>
      <c r="G23" s="6" t="inlineStr">
        <is>
          <t>Functional</t>
        </is>
      </c>
      <c r="H23" s="27" t="n">
        <v>36</v>
      </c>
      <c r="I23" s="27" t="n">
        <v>66.3265</v>
      </c>
      <c r="J23" s="6" t="inlineStr">
        <is>
          <t>No</t>
        </is>
      </c>
      <c r="K23" s="6" t="inlineStr">
        <is>
          <t>Submit and review the named deliverable with RTM traceability and approval status; Witnessed FAT/SAT/commissioning test against stated acceptance criteria; Document review, inspection, certification, audit or traceable QC record</t>
        </is>
      </c>
      <c r="L23" s="6" t="inlineStr">
        <is>
          <t>Offer response: Digital Twin / Simulation Strategy; Digital Process Model / Digital Twin</t>
        </is>
      </c>
      <c r="M23" s="6" t="inlineStr">
        <is>
          <t>L0 Tender / Offer; L1 Conceptual Design; L2 Detailed Design</t>
        </is>
      </c>
      <c r="N23" s="6" t="inlineStr">
        <is>
          <t>RTM-450..RTM-451</t>
        </is>
      </c>
      <c r="O23" s="6" t="n"/>
      <c r="P23" s="6" t="inlineStr">
        <is>
          <t>OK</t>
        </is>
      </c>
      <c r="Q23" s="6" t="inlineStr">
        <is>
          <t>TBD</t>
        </is>
      </c>
      <c r="R23" s="97" t="n"/>
      <c r="S23" s="97" t="n"/>
      <c r="T23" s="6" t="n"/>
      <c r="U23" s="97" t="n"/>
      <c r="V23" s="6">
        <f>IF(Q23="TBD","",H23*R23*IF(Q23="OK",1,IF(Q23="OK/Minor",0.85,IF(Q23="Minor disc.",0.7,IF(Q23="Major disc.",0.45,IF(Q23="MISS",0.25,0))))))</f>
        <v/>
      </c>
      <c r="W23" s="6" t="inlineStr">
        <is>
          <t>TBD</t>
        </is>
      </c>
      <c r="X23" s="97" t="n"/>
      <c r="Y23" s="97" t="n"/>
      <c r="Z23" s="6" t="n"/>
      <c r="AA23" s="97" t="n"/>
      <c r="AB23" s="6">
        <f>IF(W23="TBD","",H23*X23*IF(W23="OK",1,IF(W23="OK/Minor",0.85,IF(W23="Minor disc.",0.7,IF(W23="Major disc.",0.45,IF(W23="MISS",0.25,0))))))</f>
        <v/>
      </c>
      <c r="AC23" s="58">
        <f>IF(AND(Q23="TBD",W23="TBD"),"Not yet evaluated — awaiting bidder review.",IF(Q23="TBD",CONCATENATE("Bidder B: ",W23," — ",IF(AA23="","(no comment)",AA23)," | Bidder A not yet evaluated."),IF(W23="TBD",CONCATENATE("Bidder A: ",Q23," — ",IF(U23="","(no comment)",U23)," | Bidder B not yet evaluated."),CONCATENATE("Bidder A: ",Q23," — ",IF(U23="","(no comment)",U23)," || Bidder B: ",W23," — ",IF(AA23="","(no comment)",AA23)," | ",IF(Q23=W23,"Comparable disposition.","Diverging disposition — flag for negotiation.")))))</f>
        <v/>
      </c>
      <c r="AD23" s="97" t="n"/>
      <c r="AE23" s="97" t="n"/>
      <c r="AF23" s="97" t="n"/>
    </row>
    <row r="24" ht="39.95" customHeight="1">
      <c r="A24" s="6" t="n">
        <v>19</v>
      </c>
      <c r="B24" s="6" t="inlineStr">
        <is>
          <t>T2 Secondary</t>
        </is>
      </c>
      <c r="C24" s="6" t="inlineStr">
        <is>
          <t>OFFER-43</t>
        </is>
      </c>
      <c r="D24" s="6" t="inlineStr">
        <is>
          <t>Maintenance Effort &amp; Intervention Estimation</t>
        </is>
      </c>
      <c r="E24" s="6" t="inlineStr">
        <is>
          <t>§4.15</t>
        </is>
      </c>
      <c r="F24" s="6" t="inlineStr">
        <is>
          <t>Reliability / RAM / Service</t>
        </is>
      </c>
      <c r="G24" s="6" t="inlineStr">
        <is>
          <t>Reliability</t>
        </is>
      </c>
      <c r="H24" s="27" t="n">
        <v>35.6667</v>
      </c>
      <c r="I24" s="27" t="n">
        <v>63.2653</v>
      </c>
      <c r="J24" s="6" t="inlineStr">
        <is>
          <t>No</t>
        </is>
      </c>
      <c r="K24" s="6" t="inlineStr">
        <is>
          <t>Submit and review the named deliverable with RTM traceability and approval status; RAM/maintenance substantiation and recovery/failure-response evidence</t>
        </is>
      </c>
      <c r="L24" s="6" t="inlineStr">
        <is>
          <t>Offer response: Maintenance Effort &amp; Intervention Estimation</t>
        </is>
      </c>
      <c r="M24" s="6" t="inlineStr">
        <is>
          <t>L0 Tender / Offer; L1 Conceptual Design; L2 Detailed Design</t>
        </is>
      </c>
      <c r="N24" s="6" t="n"/>
      <c r="O24" s="6" t="inlineStr">
        <is>
          <t>RTM-563..RTM-565</t>
        </is>
      </c>
      <c r="P24" s="6" t="inlineStr">
        <is>
          <t>Review — accept context</t>
        </is>
      </c>
      <c r="Q24" s="6" t="inlineStr">
        <is>
          <t>TBD</t>
        </is>
      </c>
      <c r="R24" s="97" t="n"/>
      <c r="S24" s="97" t="n"/>
      <c r="T24" s="6" t="n"/>
      <c r="U24" s="97" t="n"/>
      <c r="V24" s="6">
        <f>IF(Q24="TBD","",H24*R24*IF(Q24="OK",1,IF(Q24="OK/Minor",0.85,IF(Q24="Minor disc.",0.7,IF(Q24="Major disc.",0.45,IF(Q24="MISS",0.25,0))))))</f>
        <v/>
      </c>
      <c r="W24" s="6" t="inlineStr">
        <is>
          <t>TBD</t>
        </is>
      </c>
      <c r="X24" s="97" t="n"/>
      <c r="Y24" s="97" t="n"/>
      <c r="Z24" s="6" t="n"/>
      <c r="AA24" s="97" t="n"/>
      <c r="AB24" s="6">
        <f>IF(W24="TBD","",H24*X24*IF(W24="OK",1,IF(W24="OK/Minor",0.85,IF(W24="Minor disc.",0.7,IF(W24="Major disc.",0.45,IF(W24="MISS",0.25,0))))))</f>
        <v/>
      </c>
      <c r="AC24" s="58">
        <f>IF(AND(Q24="TBD",W24="TBD"),"Not yet evaluated — awaiting bidder review.",IF(Q24="TBD",CONCATENATE("Bidder B: ",W24," — ",IF(AA24="","(no comment)",AA24)," | Bidder A not yet evaluated."),IF(W24="TBD",CONCATENATE("Bidder A: ",Q24," — ",IF(U24="","(no comment)",U24)," | Bidder B not yet evaluated."),CONCATENATE("Bidder A: ",Q24," — ",IF(U24="","(no comment)",U24)," || Bidder B: ",W24," — ",IF(AA24="","(no comment)",AA24)," | ",IF(Q24=W24,"Comparable disposition.","Diverging disposition — flag for negotiation.")))))</f>
        <v/>
      </c>
      <c r="AD24" s="97" t="n"/>
      <c r="AE24" s="97" t="n"/>
      <c r="AF24" s="97" t="n"/>
    </row>
    <row r="25" ht="39.95" customHeight="1">
      <c r="A25" s="6" t="n">
        <v>20</v>
      </c>
      <c r="B25" s="6" t="inlineStr">
        <is>
          <t>T2 Secondary</t>
        </is>
      </c>
      <c r="C25" s="6" t="inlineStr">
        <is>
          <t>OFFER-21</t>
        </is>
      </c>
      <c r="D25" s="6" t="inlineStr">
        <is>
          <t>LOOP Strategy &amp; Critical Load Management</t>
        </is>
      </c>
      <c r="E25" s="6" t="inlineStr">
        <is>
          <t>§4.4.7.1</t>
        </is>
      </c>
      <c r="F25" s="6" t="inlineStr">
        <is>
          <t>Reliability / RAM / Service</t>
        </is>
      </c>
      <c r="G25" s="6" t="inlineStr">
        <is>
          <t>Reliability</t>
        </is>
      </c>
      <c r="H25" s="27" t="n">
        <v>32.6667</v>
      </c>
      <c r="I25" s="27" t="n">
        <v>60.2041</v>
      </c>
      <c r="J25" s="6" t="inlineStr">
        <is>
          <t>No</t>
        </is>
      </c>
      <c r="K25" s="6" t="inlineStr">
        <is>
          <t>Submit and review the named deliverable with RTM traceability and approval status; Functional design/configuration review and sequence/interface demonstration; RAM/maintenance substantiation and recovery/failure-response evidence</t>
        </is>
      </c>
      <c r="L25" s="6" t="inlineStr">
        <is>
          <t>Offer response: LOOP Strategy &amp; Critical Load Management</t>
        </is>
      </c>
      <c r="M25" s="6" t="inlineStr">
        <is>
          <t>L0 Tender / Offer; L1 Conceptual Design; L2 Detailed Design</t>
        </is>
      </c>
      <c r="N25" s="6" t="inlineStr">
        <is>
          <t>RTM-258</t>
        </is>
      </c>
      <c r="O25" s="6" t="n"/>
      <c r="P25" s="6" t="inlineStr">
        <is>
          <t>OK</t>
        </is>
      </c>
      <c r="Q25" s="6" t="inlineStr">
        <is>
          <t>TBD</t>
        </is>
      </c>
      <c r="R25" s="97" t="n"/>
      <c r="S25" s="97" t="n"/>
      <c r="T25" s="6" t="n"/>
      <c r="U25" s="97" t="n"/>
      <c r="V25" s="6">
        <f>IF(Q25="TBD","",H25*R25*IF(Q25="OK",1,IF(Q25="OK/Minor",0.85,IF(Q25="Minor disc.",0.7,IF(Q25="Major disc.",0.45,IF(Q25="MISS",0.25,0))))))</f>
        <v/>
      </c>
      <c r="W25" s="6" t="inlineStr">
        <is>
          <t>TBD</t>
        </is>
      </c>
      <c r="X25" s="97" t="n"/>
      <c r="Y25" s="97" t="n"/>
      <c r="Z25" s="6" t="n"/>
      <c r="AA25" s="97" t="n"/>
      <c r="AB25" s="6">
        <f>IF(W25="TBD","",H25*X25*IF(W25="OK",1,IF(W25="OK/Minor",0.85,IF(W25="Minor disc.",0.7,IF(W25="Major disc.",0.45,IF(W25="MISS",0.25,0))))))</f>
        <v/>
      </c>
      <c r="AC25" s="58">
        <f>IF(AND(Q25="TBD",W25="TBD"),"Not yet evaluated — awaiting bidder review.",IF(Q25="TBD",CONCATENATE("Bidder B: ",W25," — ",IF(AA25="","(no comment)",AA25)," | Bidder A not yet evaluated."),IF(W25="TBD",CONCATENATE("Bidder A: ",Q25," — ",IF(U25="","(no comment)",U25)," | Bidder B not yet evaluated."),CONCATENATE("Bidder A: ",Q25," — ",IF(U25="","(no comment)",U25)," || Bidder B: ",W25," — ",IF(AA25="","(no comment)",AA25)," | ",IF(Q25=W25,"Comparable disposition.","Diverging disposition — flag for negotiation.")))))</f>
        <v/>
      </c>
      <c r="AD25" s="97" t="n"/>
      <c r="AE25" s="97" t="n"/>
      <c r="AF25" s="97" t="n"/>
    </row>
    <row r="26" ht="39.95" customHeight="1">
      <c r="A26" s="6" t="n">
        <v>21</v>
      </c>
      <c r="B26" s="6" t="inlineStr">
        <is>
          <t>T2 Secondary</t>
        </is>
      </c>
      <c r="C26" s="6" t="inlineStr">
        <is>
          <t>OFFER-22</t>
        </is>
      </c>
      <c r="D26" s="6" t="inlineStr">
        <is>
          <t>Helium Recovery System Design</t>
        </is>
      </c>
      <c r="E26" s="6" t="inlineStr">
        <is>
          <t>§4.4.7.3</t>
        </is>
      </c>
      <c r="F26" s="6" t="inlineStr">
        <is>
          <t>Reliability / RAM / Service</t>
        </is>
      </c>
      <c r="G26" s="6" t="inlineStr">
        <is>
          <t>Reliability</t>
        </is>
      </c>
      <c r="H26" s="27" t="n">
        <v>32.6667</v>
      </c>
      <c r="I26" s="27" t="n">
        <v>60.2041</v>
      </c>
      <c r="J26" s="6" t="inlineStr">
        <is>
          <t>No</t>
        </is>
      </c>
      <c r="K26" s="6" t="inlineStr">
        <is>
          <t>Submit and review the named deliverable with RTM traceability and approval status; RAM/maintenance substantiation and recovery/failure-response evidence</t>
        </is>
      </c>
      <c r="L26" s="6" t="inlineStr">
        <is>
          <t>Offer response: Helium Recovery System Design</t>
        </is>
      </c>
      <c r="M26" s="6" t="inlineStr">
        <is>
          <t>L0 Tender / Offer; L1 Conceptual Design; L2 Detailed Design</t>
        </is>
      </c>
      <c r="N26" s="6" t="inlineStr">
        <is>
          <t>RTM-260..RTM-262</t>
        </is>
      </c>
      <c r="O26" s="6" t="n"/>
      <c r="P26" s="6" t="inlineStr">
        <is>
          <t>OK</t>
        </is>
      </c>
      <c r="Q26" s="6" t="inlineStr">
        <is>
          <t>TBD</t>
        </is>
      </c>
      <c r="R26" s="97" t="n"/>
      <c r="S26" s="97" t="n"/>
      <c r="T26" s="6" t="n"/>
      <c r="U26" s="97" t="n"/>
      <c r="V26" s="6">
        <f>IF(Q26="TBD","",H26*R26*IF(Q26="OK",1,IF(Q26="OK/Minor",0.85,IF(Q26="Minor disc.",0.7,IF(Q26="Major disc.",0.45,IF(Q26="MISS",0.25,0))))))</f>
        <v/>
      </c>
      <c r="W26" s="6" t="inlineStr">
        <is>
          <t>TBD</t>
        </is>
      </c>
      <c r="X26" s="97" t="n"/>
      <c r="Y26" s="97" t="n"/>
      <c r="Z26" s="6" t="n"/>
      <c r="AA26" s="97" t="n"/>
      <c r="AB26" s="6">
        <f>IF(W26="TBD","",H26*X26*IF(W26="OK",1,IF(W26="OK/Minor",0.85,IF(W26="Minor disc.",0.7,IF(W26="Major disc.",0.45,IF(W26="MISS",0.25,0))))))</f>
        <v/>
      </c>
      <c r="AC26" s="58">
        <f>IF(AND(Q26="TBD",W26="TBD"),"Not yet evaluated — awaiting bidder review.",IF(Q26="TBD",CONCATENATE("Bidder B: ",W26," — ",IF(AA26="","(no comment)",AA26)," | Bidder A not yet evaluated."),IF(W26="TBD",CONCATENATE("Bidder A: ",Q26," — ",IF(U26="","(no comment)",U26)," | Bidder B not yet evaluated."),CONCATENATE("Bidder A: ",Q26," — ",IF(U26="","(no comment)",U26)," || Bidder B: ",W26," — ",IF(AA26="","(no comment)",AA26)," | ",IF(Q26=W26,"Comparable disposition.","Diverging disposition — flag for negotiation.")))))</f>
        <v/>
      </c>
      <c r="AD26" s="97" t="n"/>
      <c r="AE26" s="97" t="n"/>
      <c r="AF26" s="97" t="n"/>
    </row>
    <row r="27" ht="39.95" customHeight="1">
      <c r="A27" s="6" t="n">
        <v>22</v>
      </c>
      <c r="B27" s="6" t="inlineStr">
        <is>
          <t>T2 Secondary</t>
        </is>
      </c>
      <c r="C27" s="6" t="inlineStr">
        <is>
          <t>OFFER-10</t>
        </is>
      </c>
      <c r="D27" s="6" t="inlineStr">
        <is>
          <t>LN2 System Functional &amp; Interface Design</t>
        </is>
      </c>
      <c r="E27" s="6" t="inlineStr">
        <is>
          <t>§4.2.5</t>
        </is>
      </c>
      <c r="F27" s="6" t="inlineStr">
        <is>
          <t>Performance / Process / Utilities</t>
        </is>
      </c>
      <c r="G27" s="6" t="inlineStr">
        <is>
          <t>Performance</t>
        </is>
      </c>
      <c r="H27" s="27" t="n">
        <v>32</v>
      </c>
      <c r="I27" s="27" t="n">
        <v>56.1224</v>
      </c>
      <c r="J27" s="6" t="inlineStr">
        <is>
          <t>No</t>
        </is>
      </c>
      <c r="K27" s="6" t="inlineStr">
        <is>
          <t>Submit and review the named deliverable with RTM traceability and approval status; Witnessed FAT/SAT/commissioning test against stated acceptance criteria; Calculation/model plus calibrated measurement or recorded trend</t>
        </is>
      </c>
      <c r="L27" s="6" t="inlineStr">
        <is>
          <t>Offer response: LN2 System Functional &amp; Interface Design</t>
        </is>
      </c>
      <c r="M27" s="6" t="inlineStr">
        <is>
          <t>L0 Tender / Offer; L6 Site Acceptance Testing; L1 Conceptual Design; L2 Detailed Design</t>
        </is>
      </c>
      <c r="N27" s="6" t="inlineStr">
        <is>
          <t>RTM-046..RTM-047</t>
        </is>
      </c>
      <c r="O27" s="6" t="inlineStr">
        <is>
          <t>RTM-045</t>
        </is>
      </c>
      <c r="P27" s="6" t="inlineStr">
        <is>
          <t>OK</t>
        </is>
      </c>
      <c r="Q27" s="6" t="inlineStr">
        <is>
          <t>TBD</t>
        </is>
      </c>
      <c r="R27" s="97" t="n"/>
      <c r="S27" s="97" t="n"/>
      <c r="T27" s="6" t="n"/>
      <c r="U27" s="97" t="n"/>
      <c r="V27" s="6">
        <f>IF(Q27="TBD","",H27*R27*IF(Q27="OK",1,IF(Q27="OK/Minor",0.85,IF(Q27="Minor disc.",0.7,IF(Q27="Major disc.",0.45,IF(Q27="MISS",0.25,0))))))</f>
        <v/>
      </c>
      <c r="W27" s="6" t="inlineStr">
        <is>
          <t>TBD</t>
        </is>
      </c>
      <c r="X27" s="97" t="n"/>
      <c r="Y27" s="97" t="n"/>
      <c r="Z27" s="6" t="n"/>
      <c r="AA27" s="97" t="n"/>
      <c r="AB27" s="6">
        <f>IF(W27="TBD","",H27*X27*IF(W27="OK",1,IF(W27="OK/Minor",0.85,IF(W27="Minor disc.",0.7,IF(W27="Major disc.",0.45,IF(W27="MISS",0.25,0))))))</f>
        <v/>
      </c>
      <c r="AC27" s="58">
        <f>IF(AND(Q27="TBD",W27="TBD"),"Not yet evaluated — awaiting bidder review.",IF(Q27="TBD",CONCATENATE("Bidder B: ",W27," — ",IF(AA27="","(no comment)",AA27)," | Bidder A not yet evaluated."),IF(W27="TBD",CONCATENATE("Bidder A: ",Q27," — ",IF(U27="","(no comment)",U27)," | Bidder B not yet evaluated."),CONCATENATE("Bidder A: ",Q27," — ",IF(U27="","(no comment)",U27)," || Bidder B: ",W27," — ",IF(AA27="","(no comment)",AA27)," | ",IF(Q27=W27,"Comparable disposition.","Diverging disposition — flag for negotiation.")))))</f>
        <v/>
      </c>
      <c r="AD27" s="97" t="n"/>
      <c r="AE27" s="97" t="n"/>
      <c r="AF27" s="97" t="n"/>
    </row>
    <row r="28" ht="39.95" customHeight="1">
      <c r="A28" s="6" t="n">
        <v>23</v>
      </c>
      <c r="B28" s="6" t="inlineStr">
        <is>
          <t>T2 Secondary</t>
        </is>
      </c>
      <c r="C28" s="6" t="inlineStr">
        <is>
          <t>OFFER-17</t>
        </is>
      </c>
      <c r="D28" s="6" t="inlineStr">
        <is>
          <t>Preliminary 3D Plant Layout Model</t>
        </is>
      </c>
      <c r="E28" s="6" t="inlineStr">
        <is>
          <t>§4.4.4.1</t>
        </is>
      </c>
      <c r="F28" s="6" t="inlineStr">
        <is>
          <t>Configuration / Layout / Support</t>
        </is>
      </c>
      <c r="G28" s="6" t="inlineStr">
        <is>
          <t>Performance</t>
        </is>
      </c>
      <c r="H28" s="27" t="n">
        <v>32</v>
      </c>
      <c r="I28" s="27" t="n">
        <v>56.1224</v>
      </c>
      <c r="J28" s="6" t="inlineStr">
        <is>
          <t>No</t>
        </is>
      </c>
      <c r="K28" s="6" t="inlineStr">
        <is>
          <t>Submit and review the named deliverable with RTM traceability and approval status; Calculation/model plus calibrated measurement or recorded trend; Document review, inspection, certification, audit or traceable QC record</t>
        </is>
      </c>
      <c r="L28" s="6" t="inlineStr">
        <is>
          <t>Offer response: Preliminary 3D Plant Layout Model; 3D / CAD Model</t>
        </is>
      </c>
      <c r="M28" s="6" t="inlineStr">
        <is>
          <t>L0 Tender / Offer; L1 Conceptual Design; L2 Detailed Design</t>
        </is>
      </c>
      <c r="N28" s="6" t="inlineStr">
        <is>
          <t>RTM-193..RTM-197</t>
        </is>
      </c>
      <c r="O28" s="6" t="n"/>
      <c r="P28" s="6" t="inlineStr">
        <is>
          <t>OK</t>
        </is>
      </c>
      <c r="Q28" s="6" t="inlineStr">
        <is>
          <t>TBD</t>
        </is>
      </c>
      <c r="R28" s="97" t="n"/>
      <c r="S28" s="97" t="n"/>
      <c r="T28" s="6" t="n"/>
      <c r="U28" s="97" t="n"/>
      <c r="V28" s="6">
        <f>IF(Q28="TBD","",H28*R28*IF(Q28="OK",1,IF(Q28="OK/Minor",0.85,IF(Q28="Minor disc.",0.7,IF(Q28="Major disc.",0.45,IF(Q28="MISS",0.25,0))))))</f>
        <v/>
      </c>
      <c r="W28" s="6" t="inlineStr">
        <is>
          <t>TBD</t>
        </is>
      </c>
      <c r="X28" s="97" t="n"/>
      <c r="Y28" s="97" t="n"/>
      <c r="Z28" s="6" t="n"/>
      <c r="AA28" s="97" t="n"/>
      <c r="AB28" s="6">
        <f>IF(W28="TBD","",H28*X28*IF(W28="OK",1,IF(W28="OK/Minor",0.85,IF(W28="Minor disc.",0.7,IF(W28="Major disc.",0.45,IF(W28="MISS",0.25,0))))))</f>
        <v/>
      </c>
      <c r="AC28" s="58">
        <f>IF(AND(Q28="TBD",W28="TBD"),"Not yet evaluated — awaiting bidder review.",IF(Q28="TBD",CONCATENATE("Bidder B: ",W28," — ",IF(AA28="","(no comment)",AA28)," | Bidder A not yet evaluated."),IF(W28="TBD",CONCATENATE("Bidder A: ",Q28," — ",IF(U28="","(no comment)",U28)," | Bidder B not yet evaluated."),CONCATENATE("Bidder A: ",Q28," — ",IF(U28="","(no comment)",U28)," || Bidder B: ",W28," — ",IF(AA28="","(no comment)",AA28)," | ",IF(Q28=W28,"Comparable disposition.","Diverging disposition — flag for negotiation.")))))</f>
        <v/>
      </c>
      <c r="AD28" s="97" t="n"/>
      <c r="AE28" s="97" t="n"/>
      <c r="AF28" s="97" t="n"/>
    </row>
    <row r="29" ht="39.95" customHeight="1">
      <c r="A29" s="6" t="n">
        <v>24</v>
      </c>
      <c r="B29" s="6" t="inlineStr">
        <is>
          <t>T2 Secondary</t>
        </is>
      </c>
      <c r="C29" s="6" t="inlineStr">
        <is>
          <t>OFFER-45</t>
        </is>
      </c>
      <c r="D29" s="6" t="inlineStr">
        <is>
          <t>Project Dashboard &amp; Management Processes</t>
        </is>
      </c>
      <c r="E29" s="6" t="inlineStr">
        <is>
          <t>§7.4.1</t>
        </is>
      </c>
      <c r="F29" s="6" t="inlineStr">
        <is>
          <t>Controls / Software / Management</t>
        </is>
      </c>
      <c r="G29" s="6" t="inlineStr">
        <is>
          <t>Safety / Legal</t>
        </is>
      </c>
      <c r="H29" s="27" t="n">
        <v>31.6667</v>
      </c>
      <c r="I29" s="27" t="n">
        <v>53.0612</v>
      </c>
      <c r="J29" s="6" t="inlineStr">
        <is>
          <t>No</t>
        </is>
      </c>
      <c r="K29" s="6" t="inlineStr">
        <is>
          <t>Submit and review the named deliverable with RTM traceability and approval status; Witnessed FAT/SAT/commissioning test against stated acceptance criteria; Document review, inspection, certification, audit or traceable QC record</t>
        </is>
      </c>
      <c r="L29" s="6" t="inlineStr">
        <is>
          <t>Offer response: Project Dashboard &amp; Management Processes</t>
        </is>
      </c>
      <c r="M29" s="6" t="inlineStr">
        <is>
          <t>L0 Tender / Offer; L1 Conceptual Design; L2 Detailed Design; L3 Procurement &amp; Manufacturing / FAT; L4 Installation; L5 Standalone Commissioning; L6 Site Acceptance Testing</t>
        </is>
      </c>
      <c r="N29" s="6" t="inlineStr">
        <is>
          <t>RTM-633</t>
        </is>
      </c>
      <c r="O29" s="6" t="n"/>
      <c r="P29" s="6" t="inlineStr">
        <is>
          <t>OK</t>
        </is>
      </c>
      <c r="Q29" s="6" t="inlineStr">
        <is>
          <t>TBD</t>
        </is>
      </c>
      <c r="R29" s="97" t="n"/>
      <c r="S29" s="97" t="n"/>
      <c r="T29" s="6" t="n"/>
      <c r="U29" s="97" t="n"/>
      <c r="V29" s="6">
        <f>IF(Q29="TBD","",H29*R29*IF(Q29="OK",1,IF(Q29="OK/Minor",0.85,IF(Q29="Minor disc.",0.7,IF(Q29="Major disc.",0.45,IF(Q29="MISS",0.25,0))))))</f>
        <v/>
      </c>
      <c r="W29" s="6" t="inlineStr">
        <is>
          <t>TBD</t>
        </is>
      </c>
      <c r="X29" s="97" t="n"/>
      <c r="Y29" s="97" t="n"/>
      <c r="Z29" s="6" t="n"/>
      <c r="AA29" s="97" t="n"/>
      <c r="AB29" s="6">
        <f>IF(W29="TBD","",H29*X29*IF(W29="OK",1,IF(W29="OK/Minor",0.85,IF(W29="Minor disc.",0.7,IF(W29="Major disc.",0.45,IF(W29="MISS",0.25,0))))))</f>
        <v/>
      </c>
      <c r="AC29" s="58">
        <f>IF(AND(Q29="TBD",W29="TBD"),"Not yet evaluated — awaiting bidder review.",IF(Q29="TBD",CONCATENATE("Bidder B: ",W29," — ",IF(AA29="","(no comment)",AA29)," | Bidder A not yet evaluated."),IF(W29="TBD",CONCATENATE("Bidder A: ",Q29," — ",IF(U29="","(no comment)",U29)," | Bidder B not yet evaluated."),CONCATENATE("Bidder A: ",Q29," — ",IF(U29="","(no comment)",U29)," || Bidder B: ",W29," — ",IF(AA29="","(no comment)",AA29)," | ",IF(Q29=W29,"Comparable disposition.","Diverging disposition — flag for negotiation.")))))</f>
        <v/>
      </c>
      <c r="AD29" s="97" t="n"/>
      <c r="AE29" s="97" t="n"/>
      <c r="AF29" s="97" t="n"/>
    </row>
    <row r="30" ht="39.95" customHeight="1">
      <c r="A30" s="6" t="n">
        <v>25</v>
      </c>
      <c r="B30" s="6" t="inlineStr">
        <is>
          <t>T2 Secondary</t>
        </is>
      </c>
      <c r="C30" s="6" t="inlineStr">
        <is>
          <t>OFFER-39</t>
        </is>
      </c>
      <c r="D30" s="6" t="inlineStr">
        <is>
          <t>FAT/SAT Testing Strategy &amp; Procedures</t>
        </is>
      </c>
      <c r="E30" s="6" t="inlineStr">
        <is>
          <t>§4.13.1</t>
        </is>
      </c>
      <c r="F30" s="6" t="inlineStr">
        <is>
          <t>Configuration / Layout / Support</t>
        </is>
      </c>
      <c r="G30" s="6" t="inlineStr">
        <is>
          <t>Quality / Verifiability</t>
        </is>
      </c>
      <c r="H30" s="27" t="n">
        <v>29.3333</v>
      </c>
      <c r="I30" s="27" t="n">
        <v>51.0204</v>
      </c>
      <c r="J30" s="6" t="inlineStr">
        <is>
          <t>No</t>
        </is>
      </c>
      <c r="K30" s="6" t="inlineStr">
        <is>
          <t>Submit and review the named deliverable with RTM traceability and approval status; Witnessed FAT/SAT/commissioning test against stated acceptance criteria</t>
        </is>
      </c>
      <c r="L30" s="6" t="inlineStr">
        <is>
          <t>Offer response: FAT/SAT Testing Strategy &amp; Procedures</t>
        </is>
      </c>
      <c r="M30" s="6" t="inlineStr">
        <is>
          <t>L0 Tender / Offer; L6 Site Acceptance Testing; L1 Conceptual Design; L2 Detailed Design</t>
        </is>
      </c>
      <c r="N30" s="6" t="inlineStr">
        <is>
          <t>RTM-491..RTM-495</t>
        </is>
      </c>
      <c r="O30" s="6" t="inlineStr">
        <is>
          <t>RTM-496..RTM-556</t>
        </is>
      </c>
      <c r="P30" s="6" t="inlineStr">
        <is>
          <t>OK — Review breadth</t>
        </is>
      </c>
      <c r="Q30" s="6" t="inlineStr">
        <is>
          <t>TBD</t>
        </is>
      </c>
      <c r="R30" s="97" t="n"/>
      <c r="S30" s="97" t="n"/>
      <c r="T30" s="6" t="n"/>
      <c r="U30" s="97" t="n"/>
      <c r="V30" s="6">
        <f>IF(Q30="TBD","",H30*R30*IF(Q30="OK",1,IF(Q30="OK/Minor",0.85,IF(Q30="Minor disc.",0.7,IF(Q30="Major disc.",0.45,IF(Q30="MISS",0.25,0))))))</f>
        <v/>
      </c>
      <c r="W30" s="6" t="inlineStr">
        <is>
          <t>TBD</t>
        </is>
      </c>
      <c r="X30" s="97" t="n"/>
      <c r="Y30" s="97" t="n"/>
      <c r="Z30" s="6" t="n"/>
      <c r="AA30" s="97" t="n"/>
      <c r="AB30" s="6">
        <f>IF(W30="TBD","",H30*X30*IF(W30="OK",1,IF(W30="OK/Minor",0.85,IF(W30="Minor disc.",0.7,IF(W30="Major disc.",0.45,IF(W30="MISS",0.25,0))))))</f>
        <v/>
      </c>
      <c r="AC30" s="58">
        <f>IF(AND(Q30="TBD",W30="TBD"),"Not yet evaluated — awaiting bidder review.",IF(Q30="TBD",CONCATENATE("Bidder B: ",W30," — ",IF(AA30="","(no comment)",AA30)," | Bidder A not yet evaluated."),IF(W30="TBD",CONCATENATE("Bidder A: ",Q30," — ",IF(U30="","(no comment)",U30)," | Bidder B not yet evaluated."),CONCATENATE("Bidder A: ",Q30," — ",IF(U30="","(no comment)",U30)," || Bidder B: ",W30," — ",IF(AA30="","(no comment)",AA30)," | ",IF(Q30=W30,"Comparable disposition.","Diverging disposition — flag for negotiation.")))))</f>
        <v/>
      </c>
      <c r="AD30" s="97" t="n"/>
      <c r="AE30" s="97" t="n"/>
      <c r="AF30" s="97" t="n"/>
    </row>
    <row r="31" ht="39.95" customHeight="1">
      <c r="A31" s="6" t="n">
        <v>26</v>
      </c>
      <c r="B31" s="6" t="inlineStr">
        <is>
          <t>T2 Secondary</t>
        </is>
      </c>
      <c r="C31" s="6" t="inlineStr">
        <is>
          <t>OFFER-11</t>
        </is>
      </c>
      <c r="D31" s="6" t="inlineStr">
        <is>
          <t>Reliability, MTBF &amp; Recovery Strategy</t>
        </is>
      </c>
      <c r="E31" s="6" t="inlineStr">
        <is>
          <t>§4.3.2</t>
        </is>
      </c>
      <c r="F31" s="6" t="inlineStr">
        <is>
          <t>Reliability / RAM / Service</t>
        </is>
      </c>
      <c r="G31" s="6" t="inlineStr">
        <is>
          <t>Reliability</t>
        </is>
      </c>
      <c r="H31" s="27" t="n">
        <v>26.6667</v>
      </c>
      <c r="I31" s="27" t="n">
        <v>48.9796</v>
      </c>
      <c r="J31" s="6" t="inlineStr">
        <is>
          <t>No</t>
        </is>
      </c>
      <c r="K31" s="6" t="inlineStr">
        <is>
          <t>Submit and review the named deliverable with RTM traceability and approval status; RAM/maintenance substantiation and recovery/failure-response evidence</t>
        </is>
      </c>
      <c r="L31" s="6" t="inlineStr">
        <is>
          <t>Offer response: Reliability, MTBF &amp; Recovery Strategy</t>
        </is>
      </c>
      <c r="M31" s="6" t="inlineStr">
        <is>
          <t>L0 Tender / Offer; L1 Conceptual Design; L2 Detailed Design</t>
        </is>
      </c>
      <c r="N31" s="6" t="inlineStr">
        <is>
          <t>RTM-057..RTM-063</t>
        </is>
      </c>
      <c r="O31" s="6" t="n"/>
      <c r="P31" s="6" t="inlineStr">
        <is>
          <t>OK</t>
        </is>
      </c>
      <c r="Q31" s="6" t="inlineStr">
        <is>
          <t>TBD</t>
        </is>
      </c>
      <c r="R31" s="97" t="n"/>
      <c r="S31" s="97" t="n"/>
      <c r="T31" s="6" t="n"/>
      <c r="U31" s="97" t="n"/>
      <c r="V31" s="6">
        <f>IF(Q31="TBD","",H31*R31*IF(Q31="OK",1,IF(Q31="OK/Minor",0.85,IF(Q31="Minor disc.",0.7,IF(Q31="Major disc.",0.45,IF(Q31="MISS",0.25,0))))))</f>
        <v/>
      </c>
      <c r="W31" s="6" t="inlineStr">
        <is>
          <t>TBD</t>
        </is>
      </c>
      <c r="X31" s="97" t="n"/>
      <c r="Y31" s="97" t="n"/>
      <c r="Z31" s="6" t="n"/>
      <c r="AA31" s="97" t="n"/>
      <c r="AB31" s="6">
        <f>IF(W31="TBD","",H31*X31*IF(W31="OK",1,IF(W31="OK/Minor",0.85,IF(W31="Minor disc.",0.7,IF(W31="Major disc.",0.45,IF(W31="MISS",0.25,0))))))</f>
        <v/>
      </c>
      <c r="AC31" s="58">
        <f>IF(AND(Q31="TBD",W31="TBD"),"Not yet evaluated — awaiting bidder review.",IF(Q31="TBD",CONCATENATE("Bidder B: ",W31," — ",IF(AA31="","(no comment)",AA31)," | Bidder A not yet evaluated."),IF(W31="TBD",CONCATENATE("Bidder A: ",Q31," — ",IF(U31="","(no comment)",U31)," | Bidder B not yet evaluated."),CONCATENATE("Bidder A: ",Q31," — ",IF(U31="","(no comment)",U31)," || Bidder B: ",W31," — ",IF(AA31="","(no comment)",AA31)," | ",IF(Q31=W31,"Comparable disposition.","Diverging disposition — flag for negotiation.")))))</f>
        <v/>
      </c>
      <c r="AD31" s="97" t="n"/>
      <c r="AE31" s="97" t="n"/>
      <c r="AF31" s="97" t="n"/>
    </row>
    <row r="32" ht="39.95" customHeight="1">
      <c r="A32" s="6" t="n">
        <v>27</v>
      </c>
      <c r="B32" s="6" t="inlineStr">
        <is>
          <t>T2 Secondary</t>
        </is>
      </c>
      <c r="C32" s="6" t="inlineStr">
        <is>
          <t>OFFER-15</t>
        </is>
      </c>
      <c r="D32" s="6" t="inlineStr">
        <is>
          <t>Compressor Noise Emission Specification</t>
        </is>
      </c>
      <c r="E32" s="6" t="inlineStr">
        <is>
          <t>§4.4.3.1</t>
        </is>
      </c>
      <c r="F32" s="6" t="inlineStr">
        <is>
          <t>Configuration / Layout / Support</t>
        </is>
      </c>
      <c r="G32" s="6" t="inlineStr">
        <is>
          <t>Performance</t>
        </is>
      </c>
      <c r="H32" s="27" t="n">
        <v>24</v>
      </c>
      <c r="I32" s="27" t="n">
        <v>41.8367</v>
      </c>
      <c r="J32" s="6" t="inlineStr">
        <is>
          <t>No</t>
        </is>
      </c>
      <c r="K32" s="6" t="inlineStr">
        <is>
          <t>Submit and review the named deliverable with RTM traceability and approval status; Calculation/model plus calibrated measurement or recorded trend</t>
        </is>
      </c>
      <c r="L32" s="6" t="inlineStr">
        <is>
          <t>Offer response: Compressor Noise Emission Specification</t>
        </is>
      </c>
      <c r="M32" s="6" t="inlineStr">
        <is>
          <t>L0 Tender / Offer; L1 Conceptual Design; L2 Detailed Design</t>
        </is>
      </c>
      <c r="N32" s="6" t="inlineStr">
        <is>
          <t>RTM-141..RTM-147</t>
        </is>
      </c>
      <c r="O32" s="6" t="n"/>
      <c r="P32" s="6" t="inlineStr">
        <is>
          <t>OK</t>
        </is>
      </c>
      <c r="Q32" s="6" t="inlineStr">
        <is>
          <t>TBD</t>
        </is>
      </c>
      <c r="R32" s="97" t="n"/>
      <c r="S32" s="97" t="n"/>
      <c r="T32" s="6" t="n"/>
      <c r="U32" s="97" t="n"/>
      <c r="V32" s="6">
        <f>IF(Q32="TBD","",H32*R32*IF(Q32="OK",1,IF(Q32="OK/Minor",0.85,IF(Q32="Minor disc.",0.7,IF(Q32="Major disc.",0.45,IF(Q32="MISS",0.25,0))))))</f>
        <v/>
      </c>
      <c r="W32" s="6" t="inlineStr">
        <is>
          <t>TBD</t>
        </is>
      </c>
      <c r="X32" s="97" t="n"/>
      <c r="Y32" s="97" t="n"/>
      <c r="Z32" s="6" t="n"/>
      <c r="AA32" s="97" t="n"/>
      <c r="AB32" s="6">
        <f>IF(W32="TBD","",H32*X32*IF(W32="OK",1,IF(W32="OK/Minor",0.85,IF(W32="Minor disc.",0.7,IF(W32="Major disc.",0.45,IF(W32="MISS",0.25,0))))))</f>
        <v/>
      </c>
      <c r="AC32" s="58">
        <f>IF(AND(Q32="TBD",W32="TBD"),"Not yet evaluated — awaiting bidder review.",IF(Q32="TBD",CONCATENATE("Bidder B: ",W32," — ",IF(AA32="","(no comment)",AA32)," | Bidder A not yet evaluated."),IF(W32="TBD",CONCATENATE("Bidder A: ",Q32," — ",IF(U32="","(no comment)",U32)," | Bidder B not yet evaluated."),CONCATENATE("Bidder A: ",Q32," — ",IF(U32="","(no comment)",U32)," || Bidder B: ",W32," — ",IF(AA32="","(no comment)",AA32)," | ",IF(Q32=W32,"Comparable disposition.","Diverging disposition — flag for negotiation.")))))</f>
        <v/>
      </c>
      <c r="AD32" s="97" t="n"/>
      <c r="AE32" s="97" t="n"/>
      <c r="AF32" s="97" t="n"/>
    </row>
    <row r="33" ht="39.95" customHeight="1">
      <c r="A33" s="6" t="n">
        <v>28</v>
      </c>
      <c r="B33" s="6" t="inlineStr">
        <is>
          <t>T2 Secondary</t>
        </is>
      </c>
      <c r="C33" s="6" t="inlineStr">
        <is>
          <t>OFFER-16</t>
        </is>
      </c>
      <c r="D33" s="6" t="inlineStr">
        <is>
          <t>Compressor Configuration &amp; Operating Limits</t>
        </is>
      </c>
      <c r="E33" s="6" t="inlineStr">
        <is>
          <t>§4.4.3.2</t>
        </is>
      </c>
      <c r="F33" s="6" t="inlineStr">
        <is>
          <t>Configuration / Layout / Support</t>
        </is>
      </c>
      <c r="G33" s="6" t="inlineStr">
        <is>
          <t>Performance</t>
        </is>
      </c>
      <c r="H33" s="27" t="n">
        <v>24</v>
      </c>
      <c r="I33" s="27" t="n">
        <v>41.8367</v>
      </c>
      <c r="J33" s="6" t="inlineStr">
        <is>
          <t>No</t>
        </is>
      </c>
      <c r="K33" s="6" t="inlineStr">
        <is>
          <t>Submit and review the named deliverable with RTM traceability and approval status; Calculation/model plus calibrated measurement or recorded trend</t>
        </is>
      </c>
      <c r="L33" s="6" t="inlineStr">
        <is>
          <t>Offer response: Compressor Configuration &amp; Operating Limits</t>
        </is>
      </c>
      <c r="M33" s="6" t="inlineStr">
        <is>
          <t>L0 Tender / Offer; L1 Conceptual Design; L2 Detailed Design</t>
        </is>
      </c>
      <c r="N33" s="6" t="inlineStr">
        <is>
          <t>RTM-148..RTM-152</t>
        </is>
      </c>
      <c r="O33" s="6" t="n"/>
      <c r="P33" s="6" t="inlineStr">
        <is>
          <t>OK</t>
        </is>
      </c>
      <c r="Q33" s="6" t="inlineStr">
        <is>
          <t>TBD</t>
        </is>
      </c>
      <c r="R33" s="97" t="n"/>
      <c r="S33" s="97" t="n"/>
      <c r="T33" s="6" t="n"/>
      <c r="U33" s="97" t="n"/>
      <c r="V33" s="6">
        <f>IF(Q33="TBD","",H33*R33*IF(Q33="OK",1,IF(Q33="OK/Minor",0.85,IF(Q33="Minor disc.",0.7,IF(Q33="Major disc.",0.45,IF(Q33="MISS",0.25,0))))))</f>
        <v/>
      </c>
      <c r="W33" s="6" t="inlineStr">
        <is>
          <t>TBD</t>
        </is>
      </c>
      <c r="X33" s="97" t="n"/>
      <c r="Y33" s="97" t="n"/>
      <c r="Z33" s="6" t="n"/>
      <c r="AA33" s="97" t="n"/>
      <c r="AB33" s="6">
        <f>IF(W33="TBD","",H33*X33*IF(W33="OK",1,IF(W33="OK/Minor",0.85,IF(W33="Minor disc.",0.7,IF(W33="Major disc.",0.45,IF(W33="MISS",0.25,0))))))</f>
        <v/>
      </c>
      <c r="AC33" s="58">
        <f>IF(AND(Q33="TBD",W33="TBD"),"Not yet evaluated — awaiting bidder review.",IF(Q33="TBD",CONCATENATE("Bidder B: ",W33," — ",IF(AA33="","(no comment)",AA33)," | Bidder A not yet evaluated."),IF(W33="TBD",CONCATENATE("Bidder A: ",Q33," — ",IF(U33="","(no comment)",U33)," | Bidder B not yet evaluated."),CONCATENATE("Bidder A: ",Q33," — ",IF(U33="","(no comment)",U33)," || Bidder B: ",W33," — ",IF(AA33="","(no comment)",AA33)," | ",IF(Q33=W33,"Comparable disposition.","Diverging disposition — flag for negotiation.")))))</f>
        <v/>
      </c>
      <c r="AD33" s="97" t="n"/>
      <c r="AE33" s="97" t="n"/>
      <c r="AF33" s="97" t="n"/>
    </row>
    <row r="34" ht="39.95" customHeight="1">
      <c r="A34" s="6" t="n">
        <v>29</v>
      </c>
      <c r="B34" s="6" t="inlineStr">
        <is>
          <t>T2 Secondary</t>
        </is>
      </c>
      <c r="C34" s="6" t="inlineStr">
        <is>
          <t>OFFER-18</t>
        </is>
      </c>
      <c r="D34" s="6" t="inlineStr">
        <is>
          <t>MPHX Technology Selection</t>
        </is>
      </c>
      <c r="E34" s="6" t="inlineStr">
        <is>
          <t>§4.4.4.2.2</t>
        </is>
      </c>
      <c r="F34" s="6" t="inlineStr">
        <is>
          <t>Performance / Process / Utilities</t>
        </is>
      </c>
      <c r="G34" s="6" t="inlineStr">
        <is>
          <t>Performance</t>
        </is>
      </c>
      <c r="H34" s="27" t="n">
        <v>24</v>
      </c>
      <c r="I34" s="27" t="n">
        <v>41.8367</v>
      </c>
      <c r="J34" s="6" t="inlineStr">
        <is>
          <t>No</t>
        </is>
      </c>
      <c r="K34" s="6" t="inlineStr">
        <is>
          <t>Submit and review the named deliverable with RTM traceability and approval status; Calculation/model plus calibrated measurement or recorded trend</t>
        </is>
      </c>
      <c r="L34" s="6" t="inlineStr">
        <is>
          <t>Offer response: MPHX Technology Selection</t>
        </is>
      </c>
      <c r="M34" s="6" t="inlineStr">
        <is>
          <t>L0 Tender / Offer; L1 Conceptual Design; L2 Detailed Design</t>
        </is>
      </c>
      <c r="N34" s="6" t="inlineStr">
        <is>
          <t>RTM-202..RTM-209</t>
        </is>
      </c>
      <c r="O34" s="6" t="n"/>
      <c r="P34" s="6" t="inlineStr">
        <is>
          <t>OK</t>
        </is>
      </c>
      <c r="Q34" s="6" t="inlineStr">
        <is>
          <t>TBD</t>
        </is>
      </c>
      <c r="R34" s="97" t="n"/>
      <c r="S34" s="97" t="n"/>
      <c r="T34" s="6" t="n"/>
      <c r="U34" s="97" t="n"/>
      <c r="V34" s="6">
        <f>IF(Q34="TBD","",H34*R34*IF(Q34="OK",1,IF(Q34="OK/Minor",0.85,IF(Q34="Minor disc.",0.7,IF(Q34="Major disc.",0.45,IF(Q34="MISS",0.25,0))))))</f>
        <v/>
      </c>
      <c r="W34" s="6" t="inlineStr">
        <is>
          <t>TBD</t>
        </is>
      </c>
      <c r="X34" s="97" t="n"/>
      <c r="Y34" s="97" t="n"/>
      <c r="Z34" s="6" t="n"/>
      <c r="AA34" s="97" t="n"/>
      <c r="AB34" s="6">
        <f>IF(W34="TBD","",H34*X34*IF(W34="OK",1,IF(W34="OK/Minor",0.85,IF(W34="Minor disc.",0.7,IF(W34="Major disc.",0.45,IF(W34="MISS",0.25,0))))))</f>
        <v/>
      </c>
      <c r="AC34" s="58">
        <f>IF(AND(Q34="TBD",W34="TBD"),"Not yet evaluated — awaiting bidder review.",IF(Q34="TBD",CONCATENATE("Bidder B: ",W34," — ",IF(AA34="","(no comment)",AA34)," | Bidder A not yet evaluated."),IF(W34="TBD",CONCATENATE("Bidder A: ",Q34," — ",IF(U34="","(no comment)",U34)," | Bidder B not yet evaluated."),CONCATENATE("Bidder A: ",Q34," — ",IF(U34="","(no comment)",U34)," || Bidder B: ",W34," — ",IF(AA34="","(no comment)",AA34)," | ",IF(Q34=W34,"Comparable disposition.","Diverging disposition — flag for negotiation.")))))</f>
        <v/>
      </c>
      <c r="AD34" s="97" t="n"/>
      <c r="AE34" s="97" t="n"/>
      <c r="AF34" s="97" t="n"/>
    </row>
    <row r="35" ht="39.95" customHeight="1">
      <c r="A35" s="6" t="n">
        <v>30</v>
      </c>
      <c r="B35" s="6" t="inlineStr">
        <is>
          <t>T2 Secondary</t>
        </is>
      </c>
      <c r="C35" s="6" t="inlineStr">
        <is>
          <t>OFFER-19</t>
        </is>
      </c>
      <c r="D35" s="6" t="inlineStr">
        <is>
          <t>Warm Storage Heater (WSH) Design &amp; Layout</t>
        </is>
      </c>
      <c r="E35" s="6" t="inlineStr">
        <is>
          <t>§4.4.5.2</t>
        </is>
      </c>
      <c r="F35" s="6" t="inlineStr">
        <is>
          <t>Performance / Process / Utilities</t>
        </is>
      </c>
      <c r="G35" s="6" t="inlineStr">
        <is>
          <t>Performance</t>
        </is>
      </c>
      <c r="H35" s="27" t="n">
        <v>24</v>
      </c>
      <c r="I35" s="27" t="n">
        <v>41.8367</v>
      </c>
      <c r="J35" s="6" t="inlineStr">
        <is>
          <t>No</t>
        </is>
      </c>
      <c r="K35" s="6" t="inlineStr">
        <is>
          <t>Submit and review the named deliverable with RTM traceability and approval status; Calculation/model plus calibrated measurement or recorded trend</t>
        </is>
      </c>
      <c r="L35" s="6" t="inlineStr">
        <is>
          <t>Offer response: Warm Storage Heater (WSH) Design &amp; Layout</t>
        </is>
      </c>
      <c r="M35" s="6" t="inlineStr">
        <is>
          <t>L0 Tender / Offer; L1 Conceptual Design; L2 Detailed Design</t>
        </is>
      </c>
      <c r="N35" s="6" t="inlineStr">
        <is>
          <t>RTM-239..RTM-248</t>
        </is>
      </c>
      <c r="O35" s="6" t="n"/>
      <c r="P35" s="6" t="inlineStr">
        <is>
          <t>OK</t>
        </is>
      </c>
      <c r="Q35" s="6" t="inlineStr">
        <is>
          <t>TBD</t>
        </is>
      </c>
      <c r="R35" s="97" t="n"/>
      <c r="S35" s="97" t="n"/>
      <c r="T35" s="6" t="n"/>
      <c r="U35" s="97" t="n"/>
      <c r="V35" s="6">
        <f>IF(Q35="TBD","",H35*R35*IF(Q35="OK",1,IF(Q35="OK/Minor",0.85,IF(Q35="Minor disc.",0.7,IF(Q35="Major disc.",0.45,IF(Q35="MISS",0.25,0))))))</f>
        <v/>
      </c>
      <c r="W35" s="6" t="inlineStr">
        <is>
          <t>TBD</t>
        </is>
      </c>
      <c r="X35" s="97" t="n"/>
      <c r="Y35" s="97" t="n"/>
      <c r="Z35" s="6" t="n"/>
      <c r="AA35" s="97" t="n"/>
      <c r="AB35" s="6">
        <f>IF(W35="TBD","",H35*X35*IF(W35="OK",1,IF(W35="OK/Minor",0.85,IF(W35="Minor disc.",0.7,IF(W35="Major disc.",0.45,IF(W35="MISS",0.25,0))))))</f>
        <v/>
      </c>
      <c r="AC35" s="58">
        <f>IF(AND(Q35="TBD",W35="TBD"),"Not yet evaluated — awaiting bidder review.",IF(Q35="TBD",CONCATENATE("Bidder B: ",W35," — ",IF(AA35="","(no comment)",AA35)," | Bidder A not yet evaluated."),IF(W35="TBD",CONCATENATE("Bidder A: ",Q35," — ",IF(U35="","(no comment)",U35)," | Bidder B not yet evaluated."),CONCATENATE("Bidder A: ",Q35," — ",IF(U35="","(no comment)",U35)," || Bidder B: ",W35," — ",IF(AA35="","(no comment)",AA35)," | ",IF(Q35=W35,"Comparable disposition.","Diverging disposition — flag for negotiation.")))))</f>
        <v/>
      </c>
      <c r="AD35" s="97" t="n"/>
      <c r="AE35" s="97" t="n"/>
      <c r="AF35" s="97" t="n"/>
    </row>
    <row r="36" ht="39.95" customHeight="1">
      <c r="A36" s="6" t="n">
        <v>31</v>
      </c>
      <c r="B36" s="6" t="inlineStr">
        <is>
          <t>T2 Secondary</t>
        </is>
      </c>
      <c r="C36" s="6" t="inlineStr">
        <is>
          <t>OFFER-24</t>
        </is>
      </c>
      <c r="D36" s="6" t="inlineStr">
        <is>
          <t>Helium Purity Acceptance Criteria</t>
        </is>
      </c>
      <c r="E36" s="6" t="inlineStr">
        <is>
          <t>§4.4.8.2</t>
        </is>
      </c>
      <c r="F36" s="6" t="inlineStr">
        <is>
          <t>Performance / Process / Utilities</t>
        </is>
      </c>
      <c r="G36" s="6" t="inlineStr">
        <is>
          <t>Safety / Legal</t>
        </is>
      </c>
      <c r="H36" s="27" t="n">
        <v>24</v>
      </c>
      <c r="I36" s="27" t="n">
        <v>41.8367</v>
      </c>
      <c r="J36" s="6" t="inlineStr">
        <is>
          <t>No</t>
        </is>
      </c>
      <c r="K36" s="6" t="inlineStr">
        <is>
          <t>Submit and review the named deliverable with RTM traceability and approval status</t>
        </is>
      </c>
      <c r="L36" s="6" t="inlineStr">
        <is>
          <t>Offer response: Helium Purity Acceptance Criteria</t>
        </is>
      </c>
      <c r="M36" s="6" t="inlineStr">
        <is>
          <t>L0 Tender / Offer; L1 Conceptual Design; L2 Detailed Design</t>
        </is>
      </c>
      <c r="N36" s="6" t="inlineStr">
        <is>
          <t>RTM-273..RTM-280</t>
        </is>
      </c>
      <c r="O36" s="6" t="n"/>
      <c r="P36" s="6" t="inlineStr">
        <is>
          <t>OK</t>
        </is>
      </c>
      <c r="Q36" s="6" t="inlineStr">
        <is>
          <t>TBD</t>
        </is>
      </c>
      <c r="R36" s="97" t="n"/>
      <c r="S36" s="97" t="n"/>
      <c r="T36" s="6" t="n"/>
      <c r="U36" s="97" t="n"/>
      <c r="V36" s="6">
        <f>IF(Q36="TBD","",H36*R36*IF(Q36="OK",1,IF(Q36="OK/Minor",0.85,IF(Q36="Minor disc.",0.7,IF(Q36="Major disc.",0.45,IF(Q36="MISS",0.25,0))))))</f>
        <v/>
      </c>
      <c r="W36" s="6" t="inlineStr">
        <is>
          <t>TBD</t>
        </is>
      </c>
      <c r="X36" s="97" t="n"/>
      <c r="Y36" s="97" t="n"/>
      <c r="Z36" s="6" t="n"/>
      <c r="AA36" s="97" t="n"/>
      <c r="AB36" s="6">
        <f>IF(W36="TBD","",H36*X36*IF(W36="OK",1,IF(W36="OK/Minor",0.85,IF(W36="Minor disc.",0.7,IF(W36="Major disc.",0.45,IF(W36="MISS",0.25,0))))))</f>
        <v/>
      </c>
      <c r="AC36" s="58">
        <f>IF(AND(Q36="TBD",W36="TBD"),"Not yet evaluated — awaiting bidder review.",IF(Q36="TBD",CONCATENATE("Bidder B: ",W36," — ",IF(AA36="","(no comment)",AA36)," | Bidder A not yet evaluated."),IF(W36="TBD",CONCATENATE("Bidder A: ",Q36," — ",IF(U36="","(no comment)",U36)," | Bidder B not yet evaluated."),CONCATENATE("Bidder A: ",Q36," — ",IF(U36="","(no comment)",U36)," || Bidder B: ",W36," — ",IF(AA36="","(no comment)",AA36)," | ",IF(Q36=W36,"Comparable disposition.","Diverging disposition — flag for negotiation.")))))</f>
        <v/>
      </c>
      <c r="AD36" s="97" t="n"/>
      <c r="AE36" s="97" t="n"/>
      <c r="AF36" s="97" t="n"/>
    </row>
    <row r="37" ht="39.95" customHeight="1">
      <c r="A37" s="6" t="n">
        <v>32</v>
      </c>
      <c r="B37" s="6" t="inlineStr">
        <is>
          <t>T2 Secondary</t>
        </is>
      </c>
      <c r="C37" s="6" t="inlineStr">
        <is>
          <t>OFFER-35</t>
        </is>
      </c>
      <c r="D37" s="6" t="inlineStr">
        <is>
          <t>Heat Rejection &amp; HVAC Interface Design</t>
        </is>
      </c>
      <c r="E37" s="6" t="inlineStr">
        <is>
          <t>§4.7.6</t>
        </is>
      </c>
      <c r="F37" s="6" t="inlineStr">
        <is>
          <t>Performance / Process / Utilities</t>
        </is>
      </c>
      <c r="G37" s="6" t="inlineStr">
        <is>
          <t>Performance</t>
        </is>
      </c>
      <c r="H37" s="27" t="n">
        <v>24</v>
      </c>
      <c r="I37" s="27" t="n">
        <v>41.8367</v>
      </c>
      <c r="J37" s="6" t="inlineStr">
        <is>
          <t>No</t>
        </is>
      </c>
      <c r="K37" s="6" t="inlineStr">
        <is>
          <t>Submit and review the named deliverable with RTM traceability and approval status; Calculation/model plus calibrated measurement or recorded trend; Functional design/configuration review and sequence/interface demonstration</t>
        </is>
      </c>
      <c r="L37" s="6" t="inlineStr">
        <is>
          <t>Offer response: Heat Rejection &amp; HVAC Interface Design</t>
        </is>
      </c>
      <c r="M37" s="6" t="inlineStr">
        <is>
          <t>L0 Tender / Offer; L1 Conceptual Design; L2 Detailed Design</t>
        </is>
      </c>
      <c r="N37" s="6" t="inlineStr">
        <is>
          <t>RTM-434..RTM-435</t>
        </is>
      </c>
      <c r="O37" s="6" t="n"/>
      <c r="P37" s="6" t="inlineStr">
        <is>
          <t>OK</t>
        </is>
      </c>
      <c r="Q37" s="6" t="inlineStr">
        <is>
          <t>TBD</t>
        </is>
      </c>
      <c r="R37" s="97" t="n"/>
      <c r="S37" s="97" t="n"/>
      <c r="T37" s="6" t="n"/>
      <c r="U37" s="97" t="n"/>
      <c r="V37" s="6">
        <f>IF(Q37="TBD","",H37*R37*IF(Q37="OK",1,IF(Q37="OK/Minor",0.85,IF(Q37="Minor disc.",0.7,IF(Q37="Major disc.",0.45,IF(Q37="MISS",0.25,0))))))</f>
        <v/>
      </c>
      <c r="W37" s="6" t="inlineStr">
        <is>
          <t>TBD</t>
        </is>
      </c>
      <c r="X37" s="97" t="n"/>
      <c r="Y37" s="97" t="n"/>
      <c r="Z37" s="6" t="n"/>
      <c r="AA37" s="97" t="n"/>
      <c r="AB37" s="6">
        <f>IF(W37="TBD","",H37*X37*IF(W37="OK",1,IF(W37="OK/Minor",0.85,IF(W37="Minor disc.",0.7,IF(W37="Major disc.",0.45,IF(W37="MISS",0.25,0))))))</f>
        <v/>
      </c>
      <c r="AC37" s="58">
        <f>IF(AND(Q37="TBD",W37="TBD"),"Not yet evaluated — awaiting bidder review.",IF(Q37="TBD",CONCATENATE("Bidder B: ",W37," — ",IF(AA37="","(no comment)",AA37)," | Bidder A not yet evaluated."),IF(W37="TBD",CONCATENATE("Bidder A: ",Q37," — ",IF(U37="","(no comment)",U37)," | Bidder B not yet evaluated."),CONCATENATE("Bidder A: ",Q37," — ",IF(U37="","(no comment)",U37)," || Bidder B: ",W37," — ",IF(AA37="","(no comment)",AA37)," | ",IF(Q37=W37,"Comparable disposition.","Diverging disposition — flag for negotiation.")))))</f>
        <v/>
      </c>
      <c r="AD37" s="97" t="n"/>
      <c r="AE37" s="97" t="n"/>
      <c r="AF37" s="97" t="n"/>
    </row>
    <row r="38" ht="39.95" customHeight="1">
      <c r="A38" s="6" t="n">
        <v>33</v>
      </c>
      <c r="B38" s="6" t="inlineStr">
        <is>
          <t>T3 Contextual</t>
        </is>
      </c>
      <c r="C38" s="6" t="inlineStr">
        <is>
          <t>OFFER-50</t>
        </is>
      </c>
      <c r="D38" s="6" t="inlineStr">
        <is>
          <t>Warranty Extension Commercial Terms</t>
        </is>
      </c>
      <c r="E38" s="6" t="inlineStr">
        <is>
          <t>§10.2</t>
        </is>
      </c>
      <c r="F38" s="6" t="inlineStr">
        <is>
          <t>Configuration / Layout / Support</t>
        </is>
      </c>
      <c r="G38" s="6" t="inlineStr">
        <is>
          <t>Safety / Legal</t>
        </is>
      </c>
      <c r="H38" s="27" t="n">
        <v>23.3333</v>
      </c>
      <c r="I38" s="27" t="n">
        <v>34.6939</v>
      </c>
      <c r="J38" s="6" t="inlineStr">
        <is>
          <t>No</t>
        </is>
      </c>
      <c r="K38" s="6" t="inlineStr">
        <is>
          <t>Submit and review the named deliverable with RTM traceability and approval status</t>
        </is>
      </c>
      <c r="L38" s="6" t="inlineStr">
        <is>
          <t>Offer response: Warranty Extension Commercial Terms</t>
        </is>
      </c>
      <c r="M38" s="6" t="inlineStr">
        <is>
          <t>L0 Tender / Offer; Warranty; PAC / Handover; FAC</t>
        </is>
      </c>
      <c r="N38" s="6" t="inlineStr">
        <is>
          <t>RTM-708</t>
        </is>
      </c>
      <c r="O38" s="6" t="inlineStr">
        <is>
          <t>RTM-709..RTM-710</t>
        </is>
      </c>
      <c r="P38" s="6" t="inlineStr">
        <is>
          <t>OK</t>
        </is>
      </c>
      <c r="Q38" s="6" t="inlineStr">
        <is>
          <t>TBD</t>
        </is>
      </c>
      <c r="R38" s="97" t="n"/>
      <c r="S38" s="97" t="n"/>
      <c r="T38" s="6" t="n"/>
      <c r="U38" s="97" t="n"/>
      <c r="V38" s="6">
        <f>IF(Q38="TBD","",H38*R38*IF(Q38="OK",1,IF(Q38="OK/Minor",0.85,IF(Q38="Minor disc.",0.7,IF(Q38="Major disc.",0.45,IF(Q38="MISS",0.25,0))))))</f>
        <v/>
      </c>
      <c r="W38" s="6" t="inlineStr">
        <is>
          <t>TBD</t>
        </is>
      </c>
      <c r="X38" s="97" t="n"/>
      <c r="Y38" s="97" t="n"/>
      <c r="Z38" s="6" t="n"/>
      <c r="AA38" s="97" t="n"/>
      <c r="AB38" s="6">
        <f>IF(W38="TBD","",H38*X38*IF(W38="OK",1,IF(W38="OK/Minor",0.85,IF(W38="Minor disc.",0.7,IF(W38="Major disc.",0.45,IF(W38="MISS",0.25,0))))))</f>
        <v/>
      </c>
      <c r="AC38" s="58">
        <f>IF(AND(Q38="TBD",W38="TBD"),"Not yet evaluated — awaiting bidder review.",IF(Q38="TBD",CONCATENATE("Bidder B: ",W38," — ",IF(AA38="","(no comment)",AA38)," | Bidder A not yet evaluated."),IF(W38="TBD",CONCATENATE("Bidder A: ",Q38," — ",IF(U38="","(no comment)",U38)," | Bidder B not yet evaluated."),CONCATENATE("Bidder A: ",Q38," — ",IF(U38="","(no comment)",U38)," || Bidder B: ",W38," — ",IF(AA38="","(no comment)",AA38)," | ",IF(Q38=W38,"Comparable disposition.","Diverging disposition — flag for negotiation.")))))</f>
        <v/>
      </c>
      <c r="AD38" s="97" t="n"/>
      <c r="AE38" s="97" t="n"/>
      <c r="AF38" s="97" t="n"/>
    </row>
    <row r="39" ht="39.95" customHeight="1">
      <c r="A39" s="6" t="n">
        <v>34</v>
      </c>
      <c r="B39" s="6" t="inlineStr">
        <is>
          <t>T3 Contextual</t>
        </is>
      </c>
      <c r="C39" s="6" t="inlineStr">
        <is>
          <t>OFFER-14</t>
        </is>
      </c>
      <c r="D39" s="6" t="inlineStr">
        <is>
          <t>Expansion Joint Design &amp; Risk Justification</t>
        </is>
      </c>
      <c r="E39" s="6" t="inlineStr">
        <is>
          <t>§4.4.1.1</t>
        </is>
      </c>
      <c r="F39" s="6" t="inlineStr">
        <is>
          <t>Configuration / Layout / Support</t>
        </is>
      </c>
      <c r="G39" s="6" t="inlineStr">
        <is>
          <t>Quality / Verifiability</t>
        </is>
      </c>
      <c r="H39" s="27" t="n">
        <v>22.6667</v>
      </c>
      <c r="I39" s="27" t="n">
        <v>32.6531</v>
      </c>
      <c r="J39" s="6" t="inlineStr">
        <is>
          <t>No</t>
        </is>
      </c>
      <c r="K39" s="6" t="inlineStr">
        <is>
          <t>Submit and review the named deliverable with RTM traceability and approval status; Document review, inspection, certification, audit or traceable QC record</t>
        </is>
      </c>
      <c r="L39" s="6" t="inlineStr">
        <is>
          <t>Offer response: Expansion Joint Design &amp; Risk Justification; Quality Assurance Plan (QAP); Risk Assessment / HAZOP / FMECA</t>
        </is>
      </c>
      <c r="M39" s="6" t="inlineStr">
        <is>
          <t>L0 Tender / Offer; L1 Conceptual Design; L2 Detailed Design</t>
        </is>
      </c>
      <c r="N39" s="6" t="inlineStr">
        <is>
          <t>RTM-079</t>
        </is>
      </c>
      <c r="O39" s="6" t="n"/>
      <c r="P39" s="6" t="inlineStr">
        <is>
          <t>OK</t>
        </is>
      </c>
      <c r="Q39" s="6" t="inlineStr">
        <is>
          <t>TBD</t>
        </is>
      </c>
      <c r="R39" s="97" t="n"/>
      <c r="S39" s="97" t="n"/>
      <c r="T39" s="6" t="n"/>
      <c r="U39" s="97" t="n"/>
      <c r="V39" s="6">
        <f>IF(Q39="TBD","",H39*R39*IF(Q39="OK",1,IF(Q39="OK/Minor",0.85,IF(Q39="Minor disc.",0.7,IF(Q39="Major disc.",0.45,IF(Q39="MISS",0.25,0))))))</f>
        <v/>
      </c>
      <c r="W39" s="6" t="inlineStr">
        <is>
          <t>TBD</t>
        </is>
      </c>
      <c r="X39" s="97" t="n"/>
      <c r="Y39" s="97" t="n"/>
      <c r="Z39" s="6" t="n"/>
      <c r="AA39" s="97" t="n"/>
      <c r="AB39" s="6">
        <f>IF(W39="TBD","",H39*X39*IF(W39="OK",1,IF(W39="OK/Minor",0.85,IF(W39="Minor disc.",0.7,IF(W39="Major disc.",0.45,IF(W39="MISS",0.25,0))))))</f>
        <v/>
      </c>
      <c r="AC39" s="58">
        <f>IF(AND(Q39="TBD",W39="TBD"),"Not yet evaluated — awaiting bidder review.",IF(Q39="TBD",CONCATENATE("Bidder B: ",W39," — ",IF(AA39="","(no comment)",AA39)," | Bidder A not yet evaluated."),IF(W39="TBD",CONCATENATE("Bidder A: ",Q39," — ",IF(U39="","(no comment)",U39)," | Bidder B not yet evaluated."),CONCATENATE("Bidder A: ",Q39," — ",IF(U39="","(no comment)",U39)," || Bidder B: ",W39," — ",IF(AA39="","(no comment)",AA39)," | ",IF(Q39=W39,"Comparable disposition.","Diverging disposition — flag for negotiation.")))))</f>
        <v/>
      </c>
      <c r="AD39" s="97" t="n"/>
      <c r="AE39" s="97" t="n"/>
      <c r="AF39" s="97" t="n"/>
    </row>
    <row r="40" ht="39.95" customHeight="1">
      <c r="A40" s="6" t="n">
        <v>35</v>
      </c>
      <c r="B40" s="6" t="inlineStr">
        <is>
          <t>T3 Contextual</t>
        </is>
      </c>
      <c r="C40" s="6" t="inlineStr">
        <is>
          <t>OFFER-07</t>
        </is>
      </c>
      <c r="D40" s="6" t="inlineStr">
        <is>
          <t>Header Design Pressure &amp; Temperature Definition</t>
        </is>
      </c>
      <c r="E40" s="6" t="inlineStr">
        <is>
          <t>§4.2.4</t>
        </is>
      </c>
      <c r="F40" s="6" t="inlineStr">
        <is>
          <t>Performance / Process / Utilities</t>
        </is>
      </c>
      <c r="G40" s="6" t="inlineStr">
        <is>
          <t>Performance</t>
        </is>
      </c>
      <c r="H40" s="27" t="n">
        <v>20</v>
      </c>
      <c r="I40" s="27" t="n">
        <v>27.551</v>
      </c>
      <c r="J40" s="6" t="inlineStr">
        <is>
          <t>No</t>
        </is>
      </c>
      <c r="K40" s="6" t="inlineStr">
        <is>
          <t>Submit and review the named deliverable with RTM traceability and approval status; Calculation/model plus calibrated measurement or recorded trend</t>
        </is>
      </c>
      <c r="L40" s="6" t="inlineStr">
        <is>
          <t>Offer response: Header Design Pressure &amp; Temperature Definition</t>
        </is>
      </c>
      <c r="M40" s="6" t="inlineStr">
        <is>
          <t>L0 Tender / Offer; L1 Conceptual Design; L2 Detailed Design</t>
        </is>
      </c>
      <c r="N40" s="6" t="inlineStr">
        <is>
          <t>RTM-040..RTM-044</t>
        </is>
      </c>
      <c r="O40" s="6" t="n"/>
      <c r="P40" s="6" t="inlineStr">
        <is>
          <t>OK</t>
        </is>
      </c>
      <c r="Q40" s="6" t="inlineStr">
        <is>
          <t>TBD</t>
        </is>
      </c>
      <c r="R40" s="97" t="n"/>
      <c r="S40" s="97" t="n"/>
      <c r="T40" s="6" t="n"/>
      <c r="U40" s="97" t="n"/>
      <c r="V40" s="6">
        <f>IF(Q40="TBD","",H40*R40*IF(Q40="OK",1,IF(Q40="OK/Minor",0.85,IF(Q40="Minor disc.",0.7,IF(Q40="Major disc.",0.45,IF(Q40="MISS",0.25,0))))))</f>
        <v/>
      </c>
      <c r="W40" s="6" t="inlineStr">
        <is>
          <t>TBD</t>
        </is>
      </c>
      <c r="X40" s="97" t="n"/>
      <c r="Y40" s="97" t="n"/>
      <c r="Z40" s="6" t="n"/>
      <c r="AA40" s="97" t="n"/>
      <c r="AB40" s="6">
        <f>IF(W40="TBD","",H40*X40*IF(W40="OK",1,IF(W40="OK/Minor",0.85,IF(W40="Minor disc.",0.7,IF(W40="Major disc.",0.45,IF(W40="MISS",0.25,0))))))</f>
        <v/>
      </c>
      <c r="AC40" s="58">
        <f>IF(AND(Q40="TBD",W40="TBD"),"Not yet evaluated — awaiting bidder review.",IF(Q40="TBD",CONCATENATE("Bidder B: ",W40," — ",IF(AA40="","(no comment)",AA40)," | Bidder A not yet evaluated."),IF(W40="TBD",CONCATENATE("Bidder A: ",Q40," — ",IF(U40="","(no comment)",U40)," | Bidder B not yet evaluated."),CONCATENATE("Bidder A: ",Q40," — ",IF(U40="","(no comment)",U40)," || Bidder B: ",W40," — ",IF(AA40="","(no comment)",AA40)," | ",IF(Q40=W40,"Comparable disposition.","Diverging disposition — flag for negotiation.")))))</f>
        <v/>
      </c>
      <c r="AD40" s="97" t="n"/>
      <c r="AE40" s="97" t="n"/>
      <c r="AF40" s="97" t="n"/>
    </row>
    <row r="41" ht="39.95" customHeight="1">
      <c r="A41" s="6" t="n">
        <v>36</v>
      </c>
      <c r="B41" s="6" t="inlineStr">
        <is>
          <t>T3 Contextual</t>
        </is>
      </c>
      <c r="C41" s="6" t="inlineStr">
        <is>
          <t>OFFER-08</t>
        </is>
      </c>
      <c r="D41" s="6" t="inlineStr">
        <is>
          <t>LN2 Precooling Design Decision</t>
        </is>
      </c>
      <c r="E41" s="6" t="inlineStr">
        <is>
          <t>§4.2.5</t>
        </is>
      </c>
      <c r="F41" s="6" t="inlineStr">
        <is>
          <t>Performance / Process / Utilities</t>
        </is>
      </c>
      <c r="G41" s="6" t="inlineStr">
        <is>
          <t>Performance</t>
        </is>
      </c>
      <c r="H41" s="27" t="n">
        <v>20</v>
      </c>
      <c r="I41" s="27" t="n">
        <v>27.551</v>
      </c>
      <c r="J41" s="6" t="inlineStr">
        <is>
          <t>No</t>
        </is>
      </c>
      <c r="K41" s="6" t="inlineStr">
        <is>
          <t>Submit and review the named deliverable with RTM traceability and approval status; Calculation/model plus calibrated measurement or recorded trend</t>
        </is>
      </c>
      <c r="L41" s="6" t="inlineStr">
        <is>
          <t>Offer response: LN2 Precooling Design Decision</t>
        </is>
      </c>
      <c r="M41" s="6" t="inlineStr">
        <is>
          <t>L0 Tender / Offer; L1 Conceptual Design; L2 Detailed Design</t>
        </is>
      </c>
      <c r="N41" s="6" t="inlineStr">
        <is>
          <t>RTM-045</t>
        </is>
      </c>
      <c r="O41" s="6" t="inlineStr">
        <is>
          <t>RTM-046..RTM-047</t>
        </is>
      </c>
      <c r="P41" s="6" t="inlineStr">
        <is>
          <t>OK</t>
        </is>
      </c>
      <c r="Q41" s="6" t="inlineStr">
        <is>
          <t>TBD</t>
        </is>
      </c>
      <c r="R41" s="97" t="n"/>
      <c r="S41" s="97" t="n"/>
      <c r="T41" s="6" t="n"/>
      <c r="U41" s="97" t="n"/>
      <c r="V41" s="6">
        <f>IF(Q41="TBD","",H41*R41*IF(Q41="OK",1,IF(Q41="OK/Minor",0.85,IF(Q41="Minor disc.",0.7,IF(Q41="Major disc.",0.45,IF(Q41="MISS",0.25,0))))))</f>
        <v/>
      </c>
      <c r="W41" s="6" t="inlineStr">
        <is>
          <t>TBD</t>
        </is>
      </c>
      <c r="X41" s="97" t="n"/>
      <c r="Y41" s="97" t="n"/>
      <c r="Z41" s="6" t="n"/>
      <c r="AA41" s="97" t="n"/>
      <c r="AB41" s="6">
        <f>IF(W41="TBD","",H41*X41*IF(W41="OK",1,IF(W41="OK/Minor",0.85,IF(W41="Minor disc.",0.7,IF(W41="Major disc.",0.45,IF(W41="MISS",0.25,0))))))</f>
        <v/>
      </c>
      <c r="AC41" s="58">
        <f>IF(AND(Q41="TBD",W41="TBD"),"Not yet evaluated — awaiting bidder review.",IF(Q41="TBD",CONCATENATE("Bidder B: ",W41," — ",IF(AA41="","(no comment)",AA41)," | Bidder A not yet evaluated."),IF(W41="TBD",CONCATENATE("Bidder A: ",Q41," — ",IF(U41="","(no comment)",U41)," | Bidder B not yet evaluated."),CONCATENATE("Bidder A: ",Q41," — ",IF(U41="","(no comment)",U41)," || Bidder B: ",W41," — ",IF(AA41="","(no comment)",AA41)," | ",IF(Q41=W41,"Comparable disposition.","Diverging disposition — flag for negotiation.")))))</f>
        <v/>
      </c>
      <c r="AD41" s="97" t="n"/>
      <c r="AE41" s="97" t="n"/>
      <c r="AF41" s="97" t="n"/>
    </row>
    <row r="42" ht="39.95" customHeight="1">
      <c r="A42" s="6" t="n">
        <v>37</v>
      </c>
      <c r="B42" s="6" t="inlineStr">
        <is>
          <t>T3 Contextual</t>
        </is>
      </c>
      <c r="C42" s="6" t="inlineStr">
        <is>
          <t>OFFER-12</t>
        </is>
      </c>
      <c r="D42" s="6" t="inlineStr">
        <is>
          <t>Performance Efficiency (invCOP) Declaration</t>
        </is>
      </c>
      <c r="E42" s="6" t="inlineStr">
        <is>
          <t>§4.3.4</t>
        </is>
      </c>
      <c r="F42" s="6" t="inlineStr">
        <is>
          <t>Performance / Process / Utilities</t>
        </is>
      </c>
      <c r="G42" s="6" t="inlineStr">
        <is>
          <t>Performance</t>
        </is>
      </c>
      <c r="H42" s="27" t="n">
        <v>20</v>
      </c>
      <c r="I42" s="27" t="n">
        <v>27.551</v>
      </c>
      <c r="J42" s="6" t="inlineStr">
        <is>
          <t>No</t>
        </is>
      </c>
      <c r="K42" s="6" t="inlineStr">
        <is>
          <t>Submit and review the named deliverable with RTM traceability and approval status; Calculation/model plus calibrated measurement or recorded trend</t>
        </is>
      </c>
      <c r="L42" s="6" t="inlineStr">
        <is>
          <t>Offer response: Performance Efficiency (invCOP) Declaration</t>
        </is>
      </c>
      <c r="M42" s="6" t="inlineStr">
        <is>
          <t>L0 Tender / Offer; L1 Conceptual Design; L2 Detailed Design</t>
        </is>
      </c>
      <c r="N42" s="6" t="inlineStr">
        <is>
          <t>RTM-069..RTM-072</t>
        </is>
      </c>
      <c r="O42" s="6" t="inlineStr">
        <is>
          <t>RTM-073..RTM-077</t>
        </is>
      </c>
      <c r="P42" s="6" t="inlineStr">
        <is>
          <t>OK — Review breadth</t>
        </is>
      </c>
      <c r="Q42" s="6" t="inlineStr">
        <is>
          <t>TBD</t>
        </is>
      </c>
      <c r="R42" s="97" t="n"/>
      <c r="S42" s="97" t="n"/>
      <c r="T42" s="6" t="n"/>
      <c r="U42" s="97" t="n"/>
      <c r="V42" s="6">
        <f>IF(Q42="TBD","",H42*R42*IF(Q42="OK",1,IF(Q42="OK/Minor",0.85,IF(Q42="Minor disc.",0.7,IF(Q42="Major disc.",0.45,IF(Q42="MISS",0.25,0))))))</f>
        <v/>
      </c>
      <c r="W42" s="6" t="inlineStr">
        <is>
          <t>TBD</t>
        </is>
      </c>
      <c r="X42" s="97" t="n"/>
      <c r="Y42" s="97" t="n"/>
      <c r="Z42" s="6" t="n"/>
      <c r="AA42" s="97" t="n"/>
      <c r="AB42" s="6">
        <f>IF(W42="TBD","",H42*X42*IF(W42="OK",1,IF(W42="OK/Minor",0.85,IF(W42="Minor disc.",0.7,IF(W42="Major disc.",0.45,IF(W42="MISS",0.25,0))))))</f>
        <v/>
      </c>
      <c r="AC42" s="58">
        <f>IF(AND(Q42="TBD",W42="TBD"),"Not yet evaluated — awaiting bidder review.",IF(Q42="TBD",CONCATENATE("Bidder B: ",W42," — ",IF(AA42="","(no comment)",AA42)," | Bidder A not yet evaluated."),IF(W42="TBD",CONCATENATE("Bidder A: ",Q42," — ",IF(U42="","(no comment)",U42)," | Bidder B not yet evaluated."),CONCATENATE("Bidder A: ",Q42," — ",IF(U42="","(no comment)",U42)," || Bidder B: ",W42," — ",IF(AA42="","(no comment)",AA42)," | ",IF(Q42=W42,"Comparable disposition.","Diverging disposition — flag for negotiation.")))))</f>
        <v/>
      </c>
      <c r="AD42" s="97" t="n"/>
      <c r="AE42" s="97" t="n"/>
      <c r="AF42" s="97" t="n"/>
    </row>
    <row r="43" ht="39.95" customHeight="1">
      <c r="A43" s="6" t="n">
        <v>38</v>
      </c>
      <c r="B43" s="6" t="inlineStr">
        <is>
          <t>T3 Contextual</t>
        </is>
      </c>
      <c r="C43" s="6" t="inlineStr">
        <is>
          <t>OFFER-23</t>
        </is>
      </c>
      <c r="D43" s="6" t="inlineStr">
        <is>
          <t>User Configuration Filling Performance</t>
        </is>
      </c>
      <c r="E43" s="6" t="inlineStr">
        <is>
          <t>§4.4.8.1</t>
        </is>
      </c>
      <c r="F43" s="6" t="inlineStr">
        <is>
          <t>Performance / Process / Utilities</t>
        </is>
      </c>
      <c r="G43" s="6" t="inlineStr">
        <is>
          <t>Functional</t>
        </is>
      </c>
      <c r="H43" s="27" t="n">
        <v>20</v>
      </c>
      <c r="I43" s="27" t="n">
        <v>27.551</v>
      </c>
      <c r="J43" s="6" t="inlineStr">
        <is>
          <t>No</t>
        </is>
      </c>
      <c r="K43" s="6" t="inlineStr">
        <is>
          <t>Submit and review the named deliverable with RTM traceability and approval status; Calculation/model plus calibrated measurement or recorded trend; Functional design/configuration review and sequence/interface demonstration</t>
        </is>
      </c>
      <c r="L43" s="6" t="inlineStr">
        <is>
          <t>Offer response: User Configuration Filling Performance</t>
        </is>
      </c>
      <c r="M43" s="6" t="inlineStr">
        <is>
          <t>L0 Tender / Offer; L1 Conceptual Design; L2 Detailed Design</t>
        </is>
      </c>
      <c r="N43" s="6" t="inlineStr">
        <is>
          <t>RTM-268..RTM-272</t>
        </is>
      </c>
      <c r="O43" s="6" t="n"/>
      <c r="P43" s="6" t="inlineStr">
        <is>
          <t>OK</t>
        </is>
      </c>
      <c r="Q43" s="6" t="inlineStr">
        <is>
          <t>TBD</t>
        </is>
      </c>
      <c r="R43" s="97" t="n"/>
      <c r="S43" s="97" t="n"/>
      <c r="T43" s="6" t="n"/>
      <c r="U43" s="97" t="n"/>
      <c r="V43" s="6">
        <f>IF(Q43="TBD","",H43*R43*IF(Q43="OK",1,IF(Q43="OK/Minor",0.85,IF(Q43="Minor disc.",0.7,IF(Q43="Major disc.",0.45,IF(Q43="MISS",0.25,0))))))</f>
        <v/>
      </c>
      <c r="W43" s="6" t="inlineStr">
        <is>
          <t>TBD</t>
        </is>
      </c>
      <c r="X43" s="97" t="n"/>
      <c r="Y43" s="97" t="n"/>
      <c r="Z43" s="6" t="n"/>
      <c r="AA43" s="97" t="n"/>
      <c r="AB43" s="6">
        <f>IF(W43="TBD","",H43*X43*IF(W43="OK",1,IF(W43="OK/Minor",0.85,IF(W43="Minor disc.",0.7,IF(W43="Major disc.",0.45,IF(W43="MISS",0.25,0))))))</f>
        <v/>
      </c>
      <c r="AC43" s="58">
        <f>IF(AND(Q43="TBD",W43="TBD"),"Not yet evaluated — awaiting bidder review.",IF(Q43="TBD",CONCATENATE("Bidder B: ",W43," — ",IF(AA43="","(no comment)",AA43)," | Bidder A not yet evaluated."),IF(W43="TBD",CONCATENATE("Bidder A: ",Q43," — ",IF(U43="","(no comment)",U43)," | Bidder B not yet evaluated."),CONCATENATE("Bidder A: ",Q43," — ",IF(U43="","(no comment)",U43)," || Bidder B: ",W43," — ",IF(AA43="","(no comment)",AA43)," | ",IF(Q43=W43,"Comparable disposition.","Diverging disposition — flag for negotiation.")))))</f>
        <v/>
      </c>
      <c r="AD43" s="97" t="n"/>
      <c r="AE43" s="97" t="n"/>
      <c r="AF43" s="97" t="n"/>
    </row>
    <row r="44" ht="39.95" customHeight="1">
      <c r="A44" s="6" t="n">
        <v>39</v>
      </c>
      <c r="B44" s="6" t="inlineStr">
        <is>
          <t>T3 Contextual</t>
        </is>
      </c>
      <c r="C44" s="6" t="inlineStr">
        <is>
          <t>OFFER-36</t>
        </is>
      </c>
      <c r="D44" s="6" t="inlineStr">
        <is>
          <t>3D Model Platform &amp; CAD Delivery</t>
        </is>
      </c>
      <c r="E44" s="6" t="inlineStr">
        <is>
          <t>§4.8.1.2</t>
        </is>
      </c>
      <c r="F44" s="6" t="inlineStr">
        <is>
          <t>Configuration / Layout / Support</t>
        </is>
      </c>
      <c r="G44" s="6" t="inlineStr">
        <is>
          <t>Functional</t>
        </is>
      </c>
      <c r="H44" s="27" t="n">
        <v>18.6667</v>
      </c>
      <c r="I44" s="27" t="n">
        <v>21.4286</v>
      </c>
      <c r="J44" s="6" t="inlineStr">
        <is>
          <t>No</t>
        </is>
      </c>
      <c r="K44" s="6" t="inlineStr">
        <is>
          <t>Submit and review the named deliverable with RTM traceability and approval status; Document review, inspection, certification, audit or traceable QC record</t>
        </is>
      </c>
      <c r="L44" s="6" t="inlineStr">
        <is>
          <t>Offer response: 3D Model Platform &amp; CAD Delivery; 3D / CAD Model</t>
        </is>
      </c>
      <c r="M44" s="6" t="inlineStr">
        <is>
          <t>L0 Tender / Offer; L1 Conceptual Design; L2 Detailed Design</t>
        </is>
      </c>
      <c r="N44" s="6" t="inlineStr">
        <is>
          <t>RTM-445..RTM-449</t>
        </is>
      </c>
      <c r="O44" s="6" t="n"/>
      <c r="P44" s="6" t="inlineStr">
        <is>
          <t>OK</t>
        </is>
      </c>
      <c r="Q44" s="6" t="inlineStr">
        <is>
          <t>TBD</t>
        </is>
      </c>
      <c r="R44" s="97" t="n"/>
      <c r="S44" s="97" t="n"/>
      <c r="T44" s="6" t="n"/>
      <c r="U44" s="97" t="n"/>
      <c r="V44" s="6">
        <f>IF(Q44="TBD","",H44*R44*IF(Q44="OK",1,IF(Q44="OK/Minor",0.85,IF(Q44="Minor disc.",0.7,IF(Q44="Major disc.",0.45,IF(Q44="MISS",0.25,0))))))</f>
        <v/>
      </c>
      <c r="W44" s="6" t="inlineStr">
        <is>
          <t>TBD</t>
        </is>
      </c>
      <c r="X44" s="97" t="n"/>
      <c r="Y44" s="97" t="n"/>
      <c r="Z44" s="6" t="n"/>
      <c r="AA44" s="97" t="n"/>
      <c r="AB44" s="6">
        <f>IF(W44="TBD","",H44*X44*IF(W44="OK",1,IF(W44="OK/Minor",0.85,IF(W44="Minor disc.",0.7,IF(W44="Major disc.",0.45,IF(W44="MISS",0.25,0))))))</f>
        <v/>
      </c>
      <c r="AC44" s="58">
        <f>IF(AND(Q44="TBD",W44="TBD"),"Not yet evaluated — awaiting bidder review.",IF(Q44="TBD",CONCATENATE("Bidder B: ",W44," — ",IF(AA44="","(no comment)",AA44)," | Bidder A not yet evaluated."),IF(W44="TBD",CONCATENATE("Bidder A: ",Q44," — ",IF(U44="","(no comment)",U44)," | Bidder B not yet evaluated."),CONCATENATE("Bidder A: ",Q44," — ",IF(U44="","(no comment)",U44)," || Bidder B: ",W44," — ",IF(AA44="","(no comment)",AA44)," | ",IF(Q44=W44,"Comparable disposition.","Diverging disposition — flag for negotiation.")))))</f>
        <v/>
      </c>
      <c r="AD44" s="97" t="n"/>
      <c r="AE44" s="97" t="n"/>
      <c r="AF44" s="97" t="n"/>
    </row>
    <row r="45" ht="39.95" customHeight="1">
      <c r="A45" s="6" t="n">
        <v>40</v>
      </c>
      <c r="B45" s="6" t="inlineStr">
        <is>
          <t>T3 Contextual</t>
        </is>
      </c>
      <c r="C45" s="6" t="inlineStr">
        <is>
          <t>OFFER-40</t>
        </is>
      </c>
      <c r="D45" s="6" t="inlineStr">
        <is>
          <t>Electrical Power Measurement Methodology</t>
        </is>
      </c>
      <c r="E45" s="6" t="inlineStr">
        <is>
          <t>§4.13.3.3.7</t>
        </is>
      </c>
      <c r="F45" s="6" t="inlineStr">
        <is>
          <t>Performance / Process / Utilities</t>
        </is>
      </c>
      <c r="G45" s="6" t="inlineStr">
        <is>
          <t>Quality / Verifiability</t>
        </is>
      </c>
      <c r="H45" s="27" t="n">
        <v>18.6667</v>
      </c>
      <c r="I45" s="27" t="n">
        <v>21.4286</v>
      </c>
      <c r="J45" s="6" t="inlineStr">
        <is>
          <t>No</t>
        </is>
      </c>
      <c r="K45" s="6" t="inlineStr">
        <is>
          <t>Submit and review the named deliverable with RTM traceability and approval status; Document review, inspection, certification, audit or traceable QC record</t>
        </is>
      </c>
      <c r="L45" s="6" t="inlineStr">
        <is>
          <t>Offer response: Electrical Power Measurement Methodology</t>
        </is>
      </c>
      <c r="M45" s="6" t="inlineStr">
        <is>
          <t>L0 Tender / Offer; L1 Conceptual Design; L2 Detailed Design</t>
        </is>
      </c>
      <c r="N45" s="6" t="inlineStr">
        <is>
          <t>RTM-542..RTM-544</t>
        </is>
      </c>
      <c r="O45" s="6" t="n"/>
      <c r="P45" s="6" t="inlineStr">
        <is>
          <t>OK</t>
        </is>
      </c>
      <c r="Q45" s="6" t="inlineStr">
        <is>
          <t>TBD</t>
        </is>
      </c>
      <c r="R45" s="97" t="n"/>
      <c r="S45" s="97" t="n"/>
      <c r="T45" s="6" t="n"/>
      <c r="U45" s="97" t="n"/>
      <c r="V45" s="6">
        <f>IF(Q45="TBD","",H45*R45*IF(Q45="OK",1,IF(Q45="OK/Minor",0.85,IF(Q45="Minor disc.",0.7,IF(Q45="Major disc.",0.45,IF(Q45="MISS",0.25,0))))))</f>
        <v/>
      </c>
      <c r="W45" s="6" t="inlineStr">
        <is>
          <t>TBD</t>
        </is>
      </c>
      <c r="X45" s="97" t="n"/>
      <c r="Y45" s="97" t="n"/>
      <c r="Z45" s="6" t="n"/>
      <c r="AA45" s="97" t="n"/>
      <c r="AB45" s="6">
        <f>IF(W45="TBD","",H45*X45*IF(W45="OK",1,IF(W45="OK/Minor",0.85,IF(W45="Minor disc.",0.7,IF(W45="Major disc.",0.45,IF(W45="MISS",0.25,0))))))</f>
        <v/>
      </c>
      <c r="AC45" s="58">
        <f>IF(AND(Q45="TBD",W45="TBD"),"Not yet evaluated — awaiting bidder review.",IF(Q45="TBD",CONCATENATE("Bidder B: ",W45," — ",IF(AA45="","(no comment)",AA45)," | Bidder A not yet evaluated."),IF(W45="TBD",CONCATENATE("Bidder A: ",Q45," — ",IF(U45="","(no comment)",U45)," | Bidder B not yet evaluated."),CONCATENATE("Bidder A: ",Q45," — ",IF(U45="","(no comment)",U45)," || Bidder B: ",W45," — ",IF(AA45="","(no comment)",AA45)," | ",IF(Q45=W45,"Comparable disposition.","Diverging disposition — flag for negotiation.")))))</f>
        <v/>
      </c>
      <c r="AD45" s="97" t="n"/>
      <c r="AE45" s="97" t="n"/>
      <c r="AF45" s="97" t="n"/>
    </row>
    <row r="46" ht="39.95" customHeight="1">
      <c r="A46" s="6" t="n">
        <v>41</v>
      </c>
      <c r="B46" s="6" t="inlineStr">
        <is>
          <t>T3 Contextual</t>
        </is>
      </c>
      <c r="C46" s="6" t="inlineStr">
        <is>
          <t>OFFER-31</t>
        </is>
      </c>
      <c r="D46" s="6" t="inlineStr">
        <is>
          <t>Cold Box Environmental Requirements</t>
        </is>
      </c>
      <c r="E46" s="6" t="inlineStr">
        <is>
          <t>§4.7.1</t>
        </is>
      </c>
      <c r="F46" s="6" t="inlineStr">
        <is>
          <t>Configuration / Layout / Support</t>
        </is>
      </c>
      <c r="G46" s="6" t="inlineStr">
        <is>
          <t>Functional</t>
        </is>
      </c>
      <c r="H46" s="27" t="n">
        <v>17.3333</v>
      </c>
      <c r="I46" s="27" t="n">
        <v>17.3469</v>
      </c>
      <c r="J46" s="6" t="inlineStr">
        <is>
          <t>No</t>
        </is>
      </c>
      <c r="K46" s="6" t="inlineStr">
        <is>
          <t>Submit and review the named deliverable with RTM traceability and approval status</t>
        </is>
      </c>
      <c r="L46" s="6" t="inlineStr">
        <is>
          <t>Offer response: Cold Box Environmental Requirements</t>
        </is>
      </c>
      <c r="M46" s="6" t="inlineStr">
        <is>
          <t>L0 Tender / Offer; L1 Conceptual Design; L2 Detailed Design</t>
        </is>
      </c>
      <c r="N46" s="6" t="inlineStr">
        <is>
          <t>RTM-386..RTM-387</t>
        </is>
      </c>
      <c r="O46" s="6" t="n"/>
      <c r="P46" s="6" t="inlineStr">
        <is>
          <t>OK</t>
        </is>
      </c>
      <c r="Q46" s="6" t="inlineStr">
        <is>
          <t>TBD</t>
        </is>
      </c>
      <c r="R46" s="97" t="n"/>
      <c r="S46" s="97" t="n"/>
      <c r="T46" s="6" t="n"/>
      <c r="U46" s="97" t="n"/>
      <c r="V46" s="6">
        <f>IF(Q46="TBD","",H46*R46*IF(Q46="OK",1,IF(Q46="OK/Minor",0.85,IF(Q46="Minor disc.",0.7,IF(Q46="Major disc.",0.45,IF(Q46="MISS",0.25,0))))))</f>
        <v/>
      </c>
      <c r="W46" s="6" t="inlineStr">
        <is>
          <t>TBD</t>
        </is>
      </c>
      <c r="X46" s="97" t="n"/>
      <c r="Y46" s="97" t="n"/>
      <c r="Z46" s="6" t="n"/>
      <c r="AA46" s="97" t="n"/>
      <c r="AB46" s="6">
        <f>IF(W46="TBD","",H46*X46*IF(W46="OK",1,IF(W46="OK/Minor",0.85,IF(W46="Minor disc.",0.7,IF(W46="Major disc.",0.45,IF(W46="MISS",0.25,0))))))</f>
        <v/>
      </c>
      <c r="AC46" s="58">
        <f>IF(AND(Q46="TBD",W46="TBD"),"Not yet evaluated — awaiting bidder review.",IF(Q46="TBD",CONCATENATE("Bidder B: ",W46," — ",IF(AA46="","(no comment)",AA46)," | Bidder A not yet evaluated."),IF(W46="TBD",CONCATENATE("Bidder A: ",Q46," — ",IF(U46="","(no comment)",U46)," | Bidder B not yet evaluated."),CONCATENATE("Bidder A: ",Q46," — ",IF(U46="","(no comment)",U46)," || Bidder B: ",W46," — ",IF(AA46="","(no comment)",AA46)," | ",IF(Q46=W46,"Comparable disposition.","Diverging disposition — flag for negotiation.")))))</f>
        <v/>
      </c>
      <c r="AD46" s="97" t="n"/>
      <c r="AE46" s="97" t="n"/>
      <c r="AF46" s="97" t="n"/>
    </row>
    <row r="47" ht="39.95" customHeight="1">
      <c r="A47" s="6" t="n">
        <v>42</v>
      </c>
      <c r="B47" s="6" t="inlineStr">
        <is>
          <t>T3 Contextual</t>
        </is>
      </c>
      <c r="C47" s="6" t="inlineStr">
        <is>
          <t>OFFER-32</t>
        </is>
      </c>
      <c r="D47" s="6" t="inlineStr">
        <is>
          <t>Equipment Transport &amp; Installation Constraints</t>
        </is>
      </c>
      <c r="E47" s="6" t="inlineStr">
        <is>
          <t>§4.7.2</t>
        </is>
      </c>
      <c r="F47" s="6" t="inlineStr">
        <is>
          <t>Configuration / Layout / Support</t>
        </is>
      </c>
      <c r="G47" s="6" t="inlineStr">
        <is>
          <t>Functional</t>
        </is>
      </c>
      <c r="H47" s="27" t="n">
        <v>17.3333</v>
      </c>
      <c r="I47" s="27" t="n">
        <v>17.3469</v>
      </c>
      <c r="J47" s="6" t="inlineStr">
        <is>
          <t>No</t>
        </is>
      </c>
      <c r="K47" s="6" t="inlineStr">
        <is>
          <t>Submit and review the named deliverable with RTM traceability and approval status</t>
        </is>
      </c>
      <c r="L47" s="6" t="inlineStr">
        <is>
          <t>Offer response: Equipment Transport &amp; Installation Constraints</t>
        </is>
      </c>
      <c r="M47" s="6" t="inlineStr">
        <is>
          <t>L0 Tender / Offer; L1 Conceptual Design; L2 Detailed Design</t>
        </is>
      </c>
      <c r="N47" s="6" t="inlineStr">
        <is>
          <t>RTM-388..RTM-394</t>
        </is>
      </c>
      <c r="O47" s="6" t="n"/>
      <c r="P47" s="6" t="inlineStr">
        <is>
          <t>OK</t>
        </is>
      </c>
      <c r="Q47" s="6" t="inlineStr">
        <is>
          <t>TBD</t>
        </is>
      </c>
      <c r="R47" s="97" t="n"/>
      <c r="S47" s="97" t="n"/>
      <c r="T47" s="6" t="n"/>
      <c r="U47" s="97" t="n"/>
      <c r="V47" s="6">
        <f>IF(Q47="TBD","",H47*R47*IF(Q47="OK",1,IF(Q47="OK/Minor",0.85,IF(Q47="Minor disc.",0.7,IF(Q47="Major disc.",0.45,IF(Q47="MISS",0.25,0))))))</f>
        <v/>
      </c>
      <c r="W47" s="6" t="inlineStr">
        <is>
          <t>TBD</t>
        </is>
      </c>
      <c r="X47" s="97" t="n"/>
      <c r="Y47" s="97" t="n"/>
      <c r="Z47" s="6" t="n"/>
      <c r="AA47" s="97" t="n"/>
      <c r="AB47" s="6">
        <f>IF(W47="TBD","",H47*X47*IF(W47="OK",1,IF(W47="OK/Minor",0.85,IF(W47="Minor disc.",0.7,IF(W47="Major disc.",0.45,IF(W47="MISS",0.25,0))))))</f>
        <v/>
      </c>
      <c r="AC47" s="58">
        <f>IF(AND(Q47="TBD",W47="TBD"),"Not yet evaluated — awaiting bidder review.",IF(Q47="TBD",CONCATENATE("Bidder B: ",W47," — ",IF(AA47="","(no comment)",AA47)," | Bidder A not yet evaluated."),IF(W47="TBD",CONCATENATE("Bidder A: ",Q47," — ",IF(U47="","(no comment)",U47)," | Bidder B not yet evaluated."),CONCATENATE("Bidder A: ",Q47," — ",IF(U47="","(no comment)",U47)," || Bidder B: ",W47," — ",IF(AA47="","(no comment)",AA47)," | ",IF(Q47=W47,"Comparable disposition.","Diverging disposition — flag for negotiation.")))))</f>
        <v/>
      </c>
      <c r="AD47" s="97" t="n"/>
      <c r="AE47" s="97" t="n"/>
      <c r="AF47" s="97" t="n"/>
    </row>
    <row r="48" ht="39.95" customHeight="1">
      <c r="A48" s="6" t="n">
        <v>43</v>
      </c>
      <c r="B48" s="6" t="inlineStr">
        <is>
          <t>T3 Contextual</t>
        </is>
      </c>
      <c r="C48" s="6" t="inlineStr">
        <is>
          <t>OFFER-25</t>
        </is>
      </c>
      <c r="D48" s="6" t="inlineStr">
        <is>
          <t>Supplier Experience &amp; Reference Justification</t>
        </is>
      </c>
      <c r="E48" s="6" t="inlineStr">
        <is>
          <t>§4.6.4.5</t>
        </is>
      </c>
      <c r="F48" s="6" t="inlineStr">
        <is>
          <t>Controls / Software / Management</t>
        </is>
      </c>
      <c r="G48" s="6" t="inlineStr">
        <is>
          <t>Functional</t>
        </is>
      </c>
      <c r="H48" s="27" t="n">
        <v>16</v>
      </c>
      <c r="I48" s="27" t="n">
        <v>11.2245</v>
      </c>
      <c r="J48" s="6" t="inlineStr">
        <is>
          <t>No</t>
        </is>
      </c>
      <c r="K48" s="6" t="inlineStr">
        <is>
          <t>Submit and review the named deliverable with RTM traceability and approval status</t>
        </is>
      </c>
      <c r="L48" s="6" t="inlineStr">
        <is>
          <t>Offer response: Supplier Experience &amp; Reference Justification</t>
        </is>
      </c>
      <c r="M48" s="6" t="inlineStr">
        <is>
          <t>L0 Tender / Offer; L1 Conceptual Design; L2 Detailed Design</t>
        </is>
      </c>
      <c r="N48" s="6" t="inlineStr">
        <is>
          <t>RTM-321..RTM-327</t>
        </is>
      </c>
      <c r="O48" s="6" t="n"/>
      <c r="P48" s="6" t="inlineStr">
        <is>
          <t>OK</t>
        </is>
      </c>
      <c r="Q48" s="6" t="inlineStr">
        <is>
          <t>TBD</t>
        </is>
      </c>
      <c r="R48" s="97" t="n"/>
      <c r="S48" s="97" t="n"/>
      <c r="T48" s="6" t="n"/>
      <c r="U48" s="97" t="n"/>
      <c r="V48" s="6">
        <f>IF(Q48="TBD","",H48*R48*IF(Q48="OK",1,IF(Q48="OK/Minor",0.85,IF(Q48="Minor disc.",0.7,IF(Q48="Major disc.",0.45,IF(Q48="MISS",0.25,0))))))</f>
        <v/>
      </c>
      <c r="W48" s="6" t="inlineStr">
        <is>
          <t>TBD</t>
        </is>
      </c>
      <c r="X48" s="97" t="n"/>
      <c r="Y48" s="97" t="n"/>
      <c r="Z48" s="6" t="n"/>
      <c r="AA48" s="97" t="n"/>
      <c r="AB48" s="6">
        <f>IF(W48="TBD","",H48*X48*IF(W48="OK",1,IF(W48="OK/Minor",0.85,IF(W48="Minor disc.",0.7,IF(W48="Major disc.",0.45,IF(W48="MISS",0.25,0))))))</f>
        <v/>
      </c>
      <c r="AC48" s="58">
        <f>IF(AND(Q48="TBD",W48="TBD"),"Not yet evaluated — awaiting bidder review.",IF(Q48="TBD",CONCATENATE("Bidder B: ",W48," — ",IF(AA48="","(no comment)",AA48)," | Bidder A not yet evaluated."),IF(W48="TBD",CONCATENATE("Bidder A: ",Q48," — ",IF(U48="","(no comment)",U48)," | Bidder B not yet evaluated."),CONCATENATE("Bidder A: ",Q48," — ",IF(U48="","(no comment)",U48)," || Bidder B: ",W48," — ",IF(AA48="","(no comment)",AA48)," | ",IF(Q48=W48,"Comparable disposition.","Diverging disposition — flag for negotiation.")))))</f>
        <v/>
      </c>
      <c r="AD48" s="97" t="n"/>
      <c r="AE48" s="97" t="n"/>
      <c r="AF48" s="97" t="n"/>
    </row>
    <row r="49" ht="39.95" customHeight="1">
      <c r="A49" s="6" t="n">
        <v>44</v>
      </c>
      <c r="B49" s="6" t="inlineStr">
        <is>
          <t>T3 Contextual</t>
        </is>
      </c>
      <c r="C49" s="6" t="inlineStr">
        <is>
          <t>OFFER-26</t>
        </is>
      </c>
      <c r="D49" s="6" t="inlineStr">
        <is>
          <t>Software Architecture &amp; Development Scope</t>
        </is>
      </c>
      <c r="E49" s="6" t="inlineStr">
        <is>
          <t>§4.6.7</t>
        </is>
      </c>
      <c r="F49" s="6" t="inlineStr">
        <is>
          <t>Controls / Software / Management</t>
        </is>
      </c>
      <c r="G49" s="6" t="inlineStr">
        <is>
          <t>Functional</t>
        </is>
      </c>
      <c r="H49" s="27" t="n">
        <v>16</v>
      </c>
      <c r="I49" s="27" t="n">
        <v>11.2245</v>
      </c>
      <c r="J49" s="6" t="inlineStr">
        <is>
          <t>No</t>
        </is>
      </c>
      <c r="K49" s="6" t="inlineStr">
        <is>
          <t>Submit and review the named deliverable with RTM traceability and approval status; Functional design/configuration review and sequence/interface demonstration</t>
        </is>
      </c>
      <c r="L49" s="6" t="inlineStr">
        <is>
          <t>Offer response: Software Architecture &amp; Development Scope</t>
        </is>
      </c>
      <c r="M49" s="6" t="inlineStr">
        <is>
          <t>L0 Tender / Offer; L1 Conceptual Design; L2 Detailed Design</t>
        </is>
      </c>
      <c r="N49" s="6" t="inlineStr">
        <is>
          <t>RTM-334..RTM-339</t>
        </is>
      </c>
      <c r="O49" s="6" t="inlineStr">
        <is>
          <t>RTM-340..RTM-345</t>
        </is>
      </c>
      <c r="P49" s="6" t="inlineStr">
        <is>
          <t>OK</t>
        </is>
      </c>
      <c r="Q49" s="6" t="inlineStr">
        <is>
          <t>TBD</t>
        </is>
      </c>
      <c r="R49" s="97" t="n"/>
      <c r="S49" s="97" t="n"/>
      <c r="T49" s="6" t="n"/>
      <c r="U49" s="97" t="n"/>
      <c r="V49" s="6">
        <f>IF(Q49="TBD","",H49*R49*IF(Q49="OK",1,IF(Q49="OK/Minor",0.85,IF(Q49="Minor disc.",0.7,IF(Q49="Major disc.",0.45,IF(Q49="MISS",0.25,0))))))</f>
        <v/>
      </c>
      <c r="W49" s="6" t="inlineStr">
        <is>
          <t>TBD</t>
        </is>
      </c>
      <c r="X49" s="97" t="n"/>
      <c r="Y49" s="97" t="n"/>
      <c r="Z49" s="6" t="n"/>
      <c r="AA49" s="97" t="n"/>
      <c r="AB49" s="6">
        <f>IF(W49="TBD","",H49*X49*IF(W49="OK",1,IF(W49="OK/Minor",0.85,IF(W49="Minor disc.",0.7,IF(W49="Major disc.",0.45,IF(W49="MISS",0.25,0))))))</f>
        <v/>
      </c>
      <c r="AC49" s="58">
        <f>IF(AND(Q49="TBD",W49="TBD"),"Not yet evaluated — awaiting bidder review.",IF(Q49="TBD",CONCATENATE("Bidder B: ",W49," — ",IF(AA49="","(no comment)",AA49)," | Bidder A not yet evaluated."),IF(W49="TBD",CONCATENATE("Bidder A: ",Q49," — ",IF(U49="","(no comment)",U49)," | Bidder B not yet evaluated."),CONCATENATE("Bidder A: ",Q49," — ",IF(U49="","(no comment)",U49)," || Bidder B: ",W49," — ",IF(AA49="","(no comment)",AA49)," | ",IF(Q49=W49,"Comparable disposition.","Diverging disposition — flag for negotiation.")))))</f>
        <v/>
      </c>
      <c r="AD49" s="97" t="n"/>
      <c r="AE49" s="97" t="n"/>
      <c r="AF49" s="97" t="n"/>
    </row>
    <row r="50" ht="39.95" customHeight="1">
      <c r="A50" s="6" t="n">
        <v>45</v>
      </c>
      <c r="B50" s="6" t="inlineStr">
        <is>
          <t>T3 Contextual</t>
        </is>
      </c>
      <c r="C50" s="6" t="inlineStr">
        <is>
          <t>OFFER-28</t>
        </is>
      </c>
      <c r="D50" s="6" t="inlineStr">
        <is>
          <t>Functional Analysis &amp; Control Sequences</t>
        </is>
      </c>
      <c r="E50" s="6" t="inlineStr">
        <is>
          <t>§4.6.7</t>
        </is>
      </c>
      <c r="F50" s="6" t="inlineStr">
        <is>
          <t>Controls / Software / Management</t>
        </is>
      </c>
      <c r="G50" s="6" t="inlineStr">
        <is>
          <t>Functional</t>
        </is>
      </c>
      <c r="H50" s="27" t="n">
        <v>16</v>
      </c>
      <c r="I50" s="27" t="n">
        <v>11.2245</v>
      </c>
      <c r="J50" s="6" t="inlineStr">
        <is>
          <t>No</t>
        </is>
      </c>
      <c r="K50" s="6" t="inlineStr">
        <is>
          <t>Submit and review the named deliverable with RTM traceability and approval status; Functional design/configuration review and sequence/interface demonstration</t>
        </is>
      </c>
      <c r="L50" s="6" t="inlineStr">
        <is>
          <t>Offer response: Functional Analysis &amp; Control Sequences</t>
        </is>
      </c>
      <c r="M50" s="6" t="inlineStr">
        <is>
          <t>L0 Tender / Offer; L1 Conceptual Design; L2 Detailed Design</t>
        </is>
      </c>
      <c r="N50" s="6" t="inlineStr">
        <is>
          <t>RTM-342; RTM-345</t>
        </is>
      </c>
      <c r="O50" s="6" t="inlineStr">
        <is>
          <t>RTM-334..RTM-341; RTM-343..RTM-344</t>
        </is>
      </c>
      <c r="P50" s="6" t="inlineStr">
        <is>
          <t>OK</t>
        </is>
      </c>
      <c r="Q50" s="6" t="inlineStr">
        <is>
          <t>TBD</t>
        </is>
      </c>
      <c r="R50" s="97" t="n"/>
      <c r="S50" s="97" t="n"/>
      <c r="T50" s="6" t="n"/>
      <c r="U50" s="97" t="n"/>
      <c r="V50" s="6">
        <f>IF(Q50="TBD","",H50*R50*IF(Q50="OK",1,IF(Q50="OK/Minor",0.85,IF(Q50="Minor disc.",0.7,IF(Q50="Major disc.",0.45,IF(Q50="MISS",0.25,0))))))</f>
        <v/>
      </c>
      <c r="W50" s="6" t="inlineStr">
        <is>
          <t>TBD</t>
        </is>
      </c>
      <c r="X50" s="97" t="n"/>
      <c r="Y50" s="97" t="n"/>
      <c r="Z50" s="6" t="n"/>
      <c r="AA50" s="97" t="n"/>
      <c r="AB50" s="6">
        <f>IF(W50="TBD","",H50*X50*IF(W50="OK",1,IF(W50="OK/Minor",0.85,IF(W50="Minor disc.",0.7,IF(W50="Major disc.",0.45,IF(W50="MISS",0.25,0))))))</f>
        <v/>
      </c>
      <c r="AC50" s="58">
        <f>IF(AND(Q50="TBD",W50="TBD"),"Not yet evaluated — awaiting bidder review.",IF(Q50="TBD",CONCATENATE("Bidder B: ",W50," — ",IF(AA50="","(no comment)",AA50)," | Bidder A not yet evaluated."),IF(W50="TBD",CONCATENATE("Bidder A: ",Q50," — ",IF(U50="","(no comment)",U50)," | Bidder B not yet evaluated."),CONCATENATE("Bidder A: ",Q50," — ",IF(U50="","(no comment)",U50)," || Bidder B: ",W50," — ",IF(AA50="","(no comment)",AA50)," | ",IF(Q50=W50,"Comparable disposition.","Diverging disposition — flag for negotiation.")))))</f>
        <v/>
      </c>
      <c r="AD50" s="97" t="n"/>
      <c r="AE50" s="97" t="n"/>
      <c r="AF50" s="97" t="n"/>
    </row>
    <row r="51" ht="39.95" customHeight="1">
      <c r="A51" s="6" t="n">
        <v>46</v>
      </c>
      <c r="B51" s="6" t="inlineStr">
        <is>
          <t>T3 Contextual</t>
        </is>
      </c>
      <c r="C51" s="6" t="inlineStr">
        <is>
          <t>OFFER-30</t>
        </is>
      </c>
      <c r="D51" s="6" t="inlineStr">
        <is>
          <t>Software Change Management Process</t>
        </is>
      </c>
      <c r="E51" s="6" t="inlineStr">
        <is>
          <t>§4.6.9</t>
        </is>
      </c>
      <c r="F51" s="6" t="inlineStr">
        <is>
          <t>Controls / Software / Management</t>
        </is>
      </c>
      <c r="G51" s="6" t="inlineStr">
        <is>
          <t>Functional</t>
        </is>
      </c>
      <c r="H51" s="27" t="n">
        <v>16</v>
      </c>
      <c r="I51" s="27" t="n">
        <v>11.2245</v>
      </c>
      <c r="J51" s="6" t="inlineStr">
        <is>
          <t>No</t>
        </is>
      </c>
      <c r="K51" s="6" t="inlineStr">
        <is>
          <t>Submit and review the named deliverable with RTM traceability and approval status; Functional design/configuration review and sequence/interface demonstration</t>
        </is>
      </c>
      <c r="L51" s="6" t="inlineStr">
        <is>
          <t>Offer response: Software Change Management Process</t>
        </is>
      </c>
      <c r="M51" s="6" t="inlineStr">
        <is>
          <t>L0 Tender / Offer; L1 Conceptual Design; L2 Detailed Design</t>
        </is>
      </c>
      <c r="N51" s="6" t="inlineStr">
        <is>
          <t>RTM-368..RTM-370</t>
        </is>
      </c>
      <c r="O51" s="6" t="n"/>
      <c r="P51" s="6" t="inlineStr">
        <is>
          <t>OK</t>
        </is>
      </c>
      <c r="Q51" s="6" t="inlineStr">
        <is>
          <t>TBD</t>
        </is>
      </c>
      <c r="R51" s="97" t="n"/>
      <c r="S51" s="97" t="n"/>
      <c r="T51" s="6" t="n"/>
      <c r="U51" s="97" t="n"/>
      <c r="V51" s="6">
        <f>IF(Q51="TBD","",H51*R51*IF(Q51="OK",1,IF(Q51="OK/Minor",0.85,IF(Q51="Minor disc.",0.7,IF(Q51="Major disc.",0.45,IF(Q51="MISS",0.25,0))))))</f>
        <v/>
      </c>
      <c r="W51" s="6" t="inlineStr">
        <is>
          <t>TBD</t>
        </is>
      </c>
      <c r="X51" s="97" t="n"/>
      <c r="Y51" s="97" t="n"/>
      <c r="Z51" s="6" t="n"/>
      <c r="AA51" s="97" t="n"/>
      <c r="AB51" s="6">
        <f>IF(W51="TBD","",H51*X51*IF(W51="OK",1,IF(W51="OK/Minor",0.85,IF(W51="Minor disc.",0.7,IF(W51="Major disc.",0.45,IF(W51="MISS",0.25,0))))))</f>
        <v/>
      </c>
      <c r="AC51" s="58">
        <f>IF(AND(Q51="TBD",W51="TBD"),"Not yet evaluated — awaiting bidder review.",IF(Q51="TBD",CONCATENATE("Bidder B: ",W51," — ",IF(AA51="","(no comment)",AA51)," | Bidder A not yet evaluated."),IF(W51="TBD",CONCATENATE("Bidder A: ",Q51," — ",IF(U51="","(no comment)",U51)," | Bidder B not yet evaluated."),CONCATENATE("Bidder A: ",Q51," — ",IF(U51="","(no comment)",U51)," || Bidder B: ",W51," — ",IF(AA51="","(no comment)",AA51)," | ",IF(Q51=W51,"Comparable disposition.","Diverging disposition — flag for negotiation.")))))</f>
        <v/>
      </c>
      <c r="AD51" s="97" t="n"/>
      <c r="AE51" s="97" t="n"/>
      <c r="AF51" s="97" t="n"/>
    </row>
    <row r="52" ht="39.95" customHeight="1">
      <c r="A52" s="6" t="n">
        <v>47</v>
      </c>
      <c r="B52" s="6" t="inlineStr">
        <is>
          <t>T3 Contextual</t>
        </is>
      </c>
      <c r="C52" s="6" t="inlineStr">
        <is>
          <t>OFFER-38</t>
        </is>
      </c>
      <c r="D52" s="6" t="inlineStr">
        <is>
          <t>Training Program &amp; Competency Definition</t>
        </is>
      </c>
      <c r="E52" s="6" t="inlineStr">
        <is>
          <t>§4.12.1</t>
        </is>
      </c>
      <c r="F52" s="6" t="inlineStr">
        <is>
          <t>Configuration / Layout / Support</t>
        </is>
      </c>
      <c r="G52" s="6" t="inlineStr">
        <is>
          <t>Safety / Legal</t>
        </is>
      </c>
      <c r="H52" s="27" t="n">
        <v>14.3333</v>
      </c>
      <c r="I52" s="27" t="n">
        <v>6.1224</v>
      </c>
      <c r="J52" s="6" t="inlineStr">
        <is>
          <t>No</t>
        </is>
      </c>
      <c r="K52" s="6" t="inlineStr">
        <is>
          <t>Submit and review the named deliverable with RTM traceability and approval status</t>
        </is>
      </c>
      <c r="L52" s="6" t="inlineStr">
        <is>
          <t>Offer response: Training Program &amp; Competency Definition; Training Programme / Materials</t>
        </is>
      </c>
      <c r="M52" s="6" t="inlineStr">
        <is>
          <t>L0 Tender / Offer; L1 Conceptual Design; L2 Detailed Design</t>
        </is>
      </c>
      <c r="N52" s="6" t="inlineStr">
        <is>
          <t>RTM-483..RTM-490</t>
        </is>
      </c>
      <c r="O52" s="6" t="n"/>
      <c r="P52" s="6" t="inlineStr">
        <is>
          <t>OK</t>
        </is>
      </c>
      <c r="Q52" s="6" t="inlineStr">
        <is>
          <t>TBD</t>
        </is>
      </c>
      <c r="R52" s="97" t="n"/>
      <c r="S52" s="97" t="n"/>
      <c r="T52" s="6" t="n"/>
      <c r="U52" s="97" t="n"/>
      <c r="V52" s="6">
        <f>IF(Q52="TBD","",H52*R52*IF(Q52="OK",1,IF(Q52="OK/Minor",0.85,IF(Q52="Minor disc.",0.7,IF(Q52="Major disc.",0.45,IF(Q52="MISS",0.25,0))))))</f>
        <v/>
      </c>
      <c r="W52" s="6" t="inlineStr">
        <is>
          <t>TBD</t>
        </is>
      </c>
      <c r="X52" s="97" t="n"/>
      <c r="Y52" s="97" t="n"/>
      <c r="Z52" s="6" t="n"/>
      <c r="AA52" s="97" t="n"/>
      <c r="AB52" s="6">
        <f>IF(W52="TBD","",H52*X52*IF(W52="OK",1,IF(W52="OK/Minor",0.85,IF(W52="Minor disc.",0.7,IF(W52="Major disc.",0.45,IF(W52="MISS",0.25,0))))))</f>
        <v/>
      </c>
      <c r="AC52" s="58">
        <f>IF(AND(Q52="TBD",W52="TBD"),"Not yet evaluated — awaiting bidder review.",IF(Q52="TBD",CONCATENATE("Bidder B: ",W52," — ",IF(AA52="","(no comment)",AA52)," | Bidder A not yet evaluated."),IF(W52="TBD",CONCATENATE("Bidder A: ",Q52," — ",IF(U52="","(no comment)",U52)," | Bidder B not yet evaluated."),CONCATENATE("Bidder A: ",Q52," — ",IF(U52="","(no comment)",U52)," || Bidder B: ",W52," — ",IF(AA52="","(no comment)",AA52)," | ",IF(Q52=W52,"Comparable disposition.","Diverging disposition — flag for negotiation.")))))</f>
        <v/>
      </c>
      <c r="AD52" s="97" t="n"/>
      <c r="AE52" s="97" t="n"/>
      <c r="AF52" s="97" t="n"/>
    </row>
    <row r="53" ht="39.95" customHeight="1">
      <c r="A53" s="6" t="n">
        <v>48</v>
      </c>
      <c r="B53" s="6" t="inlineStr">
        <is>
          <t>T3 Contextual</t>
        </is>
      </c>
      <c r="C53" s="6" t="inlineStr">
        <is>
          <t>OFFER-46</t>
        </is>
      </c>
      <c r="D53" s="6" t="inlineStr">
        <is>
          <t>Risk Assessment &amp; Mitigation Strategy</t>
        </is>
      </c>
      <c r="E53" s="6" t="inlineStr">
        <is>
          <t>§7.5</t>
        </is>
      </c>
      <c r="F53" s="6" t="inlineStr">
        <is>
          <t>Reliability / RAM / Service</t>
        </is>
      </c>
      <c r="G53" s="6" t="inlineStr">
        <is>
          <t>Safety / Legal</t>
        </is>
      </c>
      <c r="H53" s="27" t="n">
        <v>12</v>
      </c>
      <c r="I53" s="27" t="n">
        <v>4.0816</v>
      </c>
      <c r="J53" s="6" t="inlineStr">
        <is>
          <t>No</t>
        </is>
      </c>
      <c r="K53" s="6" t="inlineStr">
        <is>
          <t>Submit and review the named deliverable with RTM traceability and approval status</t>
        </is>
      </c>
      <c r="L53" s="6" t="inlineStr">
        <is>
          <t>Offer response: Risk Assessment &amp; Mitigation Strategy; Risk Assessment / HAZOP / FMECA</t>
        </is>
      </c>
      <c r="M53" s="6" t="inlineStr">
        <is>
          <t>L0 Tender / Offer; L1 Conceptual Design; L2 Detailed Design; L3 Procurement &amp; Manufacturing / FAT; L4 Installation; L5 Standalone Commissioning; L6 Site Acceptance Testing</t>
        </is>
      </c>
      <c r="N53" s="6" t="inlineStr">
        <is>
          <t>RTM-640</t>
        </is>
      </c>
      <c r="O53" s="6" t="n"/>
      <c r="P53" s="6" t="inlineStr">
        <is>
          <t>OK</t>
        </is>
      </c>
      <c r="Q53" s="6" t="inlineStr">
        <is>
          <t>TBD</t>
        </is>
      </c>
      <c r="R53" s="97" t="n"/>
      <c r="S53" s="97" t="n"/>
      <c r="T53" s="6" t="n"/>
      <c r="U53" s="97" t="n"/>
      <c r="V53" s="6">
        <f>IF(Q53="TBD","",H53*R53*IF(Q53="OK",1,IF(Q53="OK/Minor",0.85,IF(Q53="Minor disc.",0.7,IF(Q53="Major disc.",0.45,IF(Q53="MISS",0.25,0))))))</f>
        <v/>
      </c>
      <c r="W53" s="6" t="inlineStr">
        <is>
          <t>TBD</t>
        </is>
      </c>
      <c r="X53" s="97" t="n"/>
      <c r="Y53" s="97" t="n"/>
      <c r="Z53" s="6" t="n"/>
      <c r="AA53" s="97" t="n"/>
      <c r="AB53" s="6">
        <f>IF(W53="TBD","",H53*X53*IF(W53="OK",1,IF(W53="OK/Minor",0.85,IF(W53="Minor disc.",0.7,IF(W53="Major disc.",0.45,IF(W53="MISS",0.25,0))))))</f>
        <v/>
      </c>
      <c r="AC53" s="58">
        <f>IF(AND(Q53="TBD",W53="TBD"),"Not yet evaluated — awaiting bidder review.",IF(Q53="TBD",CONCATENATE("Bidder B: ",W53," — ",IF(AA53="","(no comment)",AA53)," | Bidder A not yet evaluated."),IF(W53="TBD",CONCATENATE("Bidder A: ",Q53," — ",IF(U53="","(no comment)",U53)," | Bidder B not yet evaluated."),CONCATENATE("Bidder A: ",Q53," — ",IF(U53="","(no comment)",U53)," || Bidder B: ",W53," — ",IF(AA53="","(no comment)",AA53)," | ",IF(Q53=W53,"Comparable disposition.","Diverging disposition — flag for negotiation.")))))</f>
        <v/>
      </c>
      <c r="AD53" s="97" t="n"/>
      <c r="AE53" s="97" t="n"/>
      <c r="AF53" s="97" t="n"/>
    </row>
    <row r="54" ht="39.95" customHeight="1">
      <c r="A54" s="6" t="n">
        <v>49</v>
      </c>
      <c r="B54" s="6" t="inlineStr">
        <is>
          <t>T3 Contextual</t>
        </is>
      </c>
      <c r="C54" s="6" t="inlineStr">
        <is>
          <t>OFFER-13</t>
        </is>
      </c>
      <c r="D54" s="6" t="inlineStr">
        <is>
          <t>Main Equipment Technical Specifications</t>
        </is>
      </c>
      <c r="E54" s="6" t="inlineStr">
        <is>
          <t>§4.4</t>
        </is>
      </c>
      <c r="F54" s="6" t="inlineStr">
        <is>
          <t>Performance / Process / Utilities</t>
        </is>
      </c>
      <c r="G54" s="6" t="inlineStr">
        <is>
          <t>Functional</t>
        </is>
      </c>
      <c r="H54" s="27" t="n">
        <v>10.6667</v>
      </c>
      <c r="I54" s="27" t="n">
        <v>2.0408</v>
      </c>
      <c r="J54" s="6" t="inlineStr">
        <is>
          <t>No</t>
        </is>
      </c>
      <c r="K54" s="6" t="inlineStr">
        <is>
          <t>Submit and review the named deliverable with RTM traceability and approval status</t>
        </is>
      </c>
      <c r="L54" s="6" t="inlineStr">
        <is>
          <t>Offer response: Main Equipment Technical Specifications</t>
        </is>
      </c>
      <c r="M54" s="6" t="inlineStr">
        <is>
          <t>L0 Tender / Offer; L1 Conceptual Design; L2 Detailed Design</t>
        </is>
      </c>
      <c r="N54" s="6" t="n"/>
      <c r="O54" s="6" t="inlineStr">
        <is>
          <t>RTM-141..RTM-152; RTM-193..RTM-197; RTM-236..RTM-257; RTM-263..RTM-267</t>
        </is>
      </c>
      <c r="P54" s="6" t="inlineStr">
        <is>
          <t>Review — breadth</t>
        </is>
      </c>
      <c r="Q54" s="6" t="inlineStr">
        <is>
          <t>TBD</t>
        </is>
      </c>
      <c r="R54" s="97" t="n"/>
      <c r="S54" s="97" t="n"/>
      <c r="T54" s="6" t="n"/>
      <c r="U54" s="97" t="n"/>
      <c r="V54" s="6">
        <f>IF(Q54="TBD","",H54*R54*IF(Q54="OK",1,IF(Q54="OK/Minor",0.85,IF(Q54="Minor disc.",0.7,IF(Q54="Major disc.",0.45,IF(Q54="MISS",0.25,0))))))</f>
        <v/>
      </c>
      <c r="W54" s="6" t="inlineStr">
        <is>
          <t>TBD</t>
        </is>
      </c>
      <c r="X54" s="97" t="n"/>
      <c r="Y54" s="97" t="n"/>
      <c r="Z54" s="6" t="n"/>
      <c r="AA54" s="97" t="n"/>
      <c r="AB54" s="6">
        <f>IF(W54="TBD","",H54*X54*IF(W54="OK",1,IF(W54="OK/Minor",0.85,IF(W54="Minor disc.",0.7,IF(W54="Major disc.",0.45,IF(W54="MISS",0.25,0))))))</f>
        <v/>
      </c>
      <c r="AC54" s="58">
        <f>IF(AND(Q54="TBD",W54="TBD"),"Not yet evaluated — awaiting bidder review.",IF(Q54="TBD",CONCATENATE("Bidder B: ",W54," — ",IF(AA54="","(no comment)",AA54)," | Bidder A not yet evaluated."),IF(W54="TBD",CONCATENATE("Bidder A: ",Q54," — ",IF(U54="","(no comment)",U54)," | Bidder B not yet evaluated."),CONCATENATE("Bidder A: ",Q54," — ",IF(U54="","(no comment)",U54)," || Bidder B: ",W54," — ",IF(AA54="","(no comment)",AA54)," | ",IF(Q54=W54,"Comparable disposition.","Diverging disposition — flag for negotiation.")))))</f>
        <v/>
      </c>
      <c r="AD54" s="97" t="n"/>
      <c r="AE54" s="97" t="n"/>
      <c r="AF54" s="97" t="n"/>
    </row>
    <row r="55" ht="39.95" customHeight="1">
      <c r="A55" s="6" t="n">
        <v>50</v>
      </c>
      <c r="B55" s="6" t="inlineStr">
        <is>
          <t>T3 Contextual</t>
        </is>
      </c>
      <c r="C55" s="6" t="inlineStr">
        <is>
          <t>OFFER-44</t>
        </is>
      </c>
      <c r="D55" s="6" t="inlineStr">
        <is>
          <t>Project Schedule &amp; Milestone Definition</t>
        </is>
      </c>
      <c r="E55" s="6" t="inlineStr">
        <is>
          <t>§6.2</t>
        </is>
      </c>
      <c r="F55" s="6" t="inlineStr">
        <is>
          <t>Configuration / Layout / Support</t>
        </is>
      </c>
      <c r="G55" s="6" t="inlineStr">
        <is>
          <t>Functional</t>
        </is>
      </c>
      <c r="H55" s="27" t="n">
        <v>6.3333</v>
      </c>
      <c r="I55" s="27" t="n">
        <v>0</v>
      </c>
      <c r="J55" s="6" t="inlineStr">
        <is>
          <t>No</t>
        </is>
      </c>
      <c r="K55" s="6" t="inlineStr">
        <is>
          <t>Submit and review the named deliverable with RTM traceability and approval status</t>
        </is>
      </c>
      <c r="L55" s="6" t="inlineStr">
        <is>
          <t>Offer response: Project Schedule &amp; Milestone Definition; Schedule / milestone plan</t>
        </is>
      </c>
      <c r="M55" s="6" t="inlineStr">
        <is>
          <t>L0 Tender / Offer; L1 Conceptual Design; L2 Detailed Design; L3 Procurement &amp; Manufacturing / FAT; L4 Installation; L5 Standalone Commissioning; L6 Site Acceptance Testing</t>
        </is>
      </c>
      <c r="N55" s="6" t="n"/>
      <c r="O55" s="6" t="inlineStr">
        <is>
          <t>RTM-614..RTM-620</t>
        </is>
      </c>
      <c r="P55" s="6" t="inlineStr">
        <is>
          <t>OK — non-RTM source</t>
        </is>
      </c>
      <c r="Q55" s="6" t="inlineStr">
        <is>
          <t>TBD</t>
        </is>
      </c>
      <c r="R55" s="97" t="n"/>
      <c r="S55" s="97" t="n"/>
      <c r="T55" s="6" t="n"/>
      <c r="U55" s="97" t="n"/>
      <c r="V55" s="6">
        <f>IF(Q55="TBD","",H55*R55*IF(Q55="OK",1,IF(Q55="OK/Minor",0.85,IF(Q55="Minor disc.",0.7,IF(Q55="Major disc.",0.45,IF(Q55="MISS",0.25,0))))))</f>
        <v/>
      </c>
      <c r="W55" s="6" t="inlineStr">
        <is>
          <t>TBD</t>
        </is>
      </c>
      <c r="X55" s="97" t="n"/>
      <c r="Y55" s="97" t="n"/>
      <c r="Z55" s="6" t="n"/>
      <c r="AA55" s="97" t="n"/>
      <c r="AB55" s="6">
        <f>IF(W55="TBD","",H55*X55*IF(W55="OK",1,IF(W55="OK/Minor",0.85,IF(W55="Minor disc.",0.7,IF(W55="Major disc.",0.45,IF(W55="MISS",0.25,0))))))</f>
        <v/>
      </c>
      <c r="AC55" s="58">
        <f>IF(AND(Q55="TBD",W55="TBD"),"Not yet evaluated — awaiting bidder review.",IF(Q55="TBD",CONCATENATE("Bidder B: ",W55," — ",IF(AA55="","(no comment)",AA55)," | Bidder A not yet evaluated."),IF(W55="TBD",CONCATENATE("Bidder A: ",Q55," — ",IF(U55="","(no comment)",U55)," | Bidder B not yet evaluated."),CONCATENATE("Bidder A: ",Q55," — ",IF(U55="","(no comment)",U55)," || Bidder B: ",W55," — ",IF(AA55="","(no comment)",AA55)," | ",IF(Q55=W55,"Comparable disposition.","Diverging disposition — flag for negotiation.")))))</f>
        <v/>
      </c>
      <c r="AD55" s="97" t="n"/>
      <c r="AE55" s="97" t="n"/>
      <c r="AF55" s="97" t="n"/>
    </row>
  </sheetData>
  <mergeCells count="2">
    <mergeCell ref="A2:R2"/>
    <mergeCell ref="A1:R1"/>
  </mergeCells>
  <conditionalFormatting sqref="B6:B55">
    <cfRule type="expression" priority="1" dxfId="11">
      <formula>B6="T0 Gate"</formula>
    </cfRule>
    <cfRule type="expression" priority="2" dxfId="10">
      <formula>B6="T1 Primary"</formula>
    </cfRule>
    <cfRule type="expression" priority="3" dxfId="9">
      <formula>B6="T2 Secondary"</formula>
    </cfRule>
    <cfRule type="expression" priority="4" dxfId="8">
      <formula>B6="T3 Contextual"</formula>
    </cfRule>
  </conditionalFormatting>
  <conditionalFormatting sqref="Q6:Q55">
    <cfRule type="expression" priority="5" dxfId="7">
      <formula>Q6="OK"</formula>
    </cfRule>
    <cfRule type="expression" priority="6" dxfId="6">
      <formula>Q6="OK/Minor"</formula>
    </cfRule>
    <cfRule type="expression" priority="7" dxfId="5">
      <formula>Q6="NOK"</formula>
    </cfRule>
    <cfRule type="expression" priority="8" dxfId="4">
      <formula>Q6="MISS"</formula>
    </cfRule>
    <cfRule type="expression" priority="9" dxfId="3">
      <formula>Q6="Minor disc."</formula>
    </cfRule>
    <cfRule type="expression" priority="10" dxfId="2">
      <formula>Q6="Major disc."</formula>
    </cfRule>
    <cfRule type="expression" priority="11" dxfId="1">
      <formula>Q6="ERROR"</formula>
    </cfRule>
    <cfRule type="expression" priority="12" dxfId="0">
      <formula>Q6="TBD"</formula>
    </cfRule>
  </conditionalFormatting>
  <conditionalFormatting sqref="V6:V55">
    <cfRule type="colorScale" priority="21">
      <colorScale>
        <cfvo type="min"/>
        <cfvo type="percentile" val="50"/>
        <cfvo type="max"/>
        <color rgb="FFF4CCCC"/>
        <color rgb="FFFFF2CC"/>
        <color rgb="FFD9EAD3"/>
      </colorScale>
    </cfRule>
  </conditionalFormatting>
  <conditionalFormatting sqref="W6:W55">
    <cfRule type="expression" priority="13" dxfId="7">
      <formula>W6="OK"</formula>
    </cfRule>
    <cfRule type="expression" priority="14" dxfId="6">
      <formula>W6="OK/Minor"</formula>
    </cfRule>
    <cfRule type="expression" priority="15" dxfId="5">
      <formula>W6="NOK"</formula>
    </cfRule>
    <cfRule type="expression" priority="16" dxfId="4">
      <formula>W6="MISS"</formula>
    </cfRule>
    <cfRule type="expression" priority="17" dxfId="3">
      <formula>W6="Minor disc."</formula>
    </cfRule>
    <cfRule type="expression" priority="18" dxfId="2">
      <formula>W6="Major disc."</formula>
    </cfRule>
    <cfRule type="expression" priority="19" dxfId="1">
      <formula>W6="ERROR"</formula>
    </cfRule>
    <cfRule type="expression" priority="20" dxfId="0">
      <formula>W6="TBD"</formula>
    </cfRule>
  </conditionalFormatting>
  <conditionalFormatting sqref="AB6:AB55">
    <cfRule type="colorScale" priority="22">
      <colorScale>
        <cfvo type="min"/>
        <cfvo type="percentile" val="50"/>
        <cfvo type="max"/>
        <color rgb="FFF4CCCC"/>
        <color rgb="FFFFF2CC"/>
        <color rgb="FFD9EAD3"/>
      </colorScale>
    </cfRule>
  </conditionalFormatting>
  <conditionalFormatting sqref="R6:R55">
    <cfRule type="cellIs" priority="23" operator="equal" dxfId="82">
      <formula>"0.4"</formula>
    </cfRule>
    <cfRule type="cellIs" priority="24" operator="equal" dxfId="83">
      <formula>"0.7"</formula>
    </cfRule>
    <cfRule type="cellIs" priority="25" operator="equal" dxfId="84">
      <formula>"1.0"</formula>
    </cfRule>
  </conditionalFormatting>
  <conditionalFormatting sqref="X6:X55">
    <cfRule type="cellIs" priority="26" operator="equal" dxfId="82">
      <formula>"0.4"</formula>
    </cfRule>
    <cfRule type="cellIs" priority="27" operator="equal" dxfId="83">
      <formula>"0.7"</formula>
    </cfRule>
    <cfRule type="cellIs" priority="28" operator="equal" dxfId="84">
      <formula>"1.0"</formula>
    </cfRule>
  </conditionalFormatting>
  <conditionalFormatting sqref="J6:J55">
    <cfRule type="cellIs" priority="29" operator="equal" dxfId="85">
      <formula>"Yes"</formula>
    </cfRule>
    <cfRule type="cellIs" priority="30" operator="equal" dxfId="86">
      <formula>"No"</formula>
    </cfRule>
  </conditionalFormatting>
  <conditionalFormatting sqref="P6:P55">
    <cfRule type="expression" priority="31" dxfId="94">
      <formula>P6="OK"</formula>
    </cfRule>
    <cfRule type="expression" priority="32" dxfId="95">
      <formula>P6="OK — Review breadth"</formula>
    </cfRule>
    <cfRule type="expression" priority="33" dxfId="96">
      <formula>P6="Review — breadth"</formula>
    </cfRule>
    <cfRule type="expression" priority="34" dxfId="96">
      <formula>P6="Review — accept context"</formula>
    </cfRule>
    <cfRule type="expression" priority="35" dxfId="95">
      <formula>P6="OK — non-RTM source"</formula>
    </cfRule>
  </conditionalFormatting>
  <dataValidations count="4">
    <dataValidation sqref="Q6:Q55 W6:W55" showDropDown="0" showInputMessage="1" showErrorMessage="0" allowBlank="0" promptTitle="STATUS legend (floating)" prompt="OK=fulfils (green) | OK/Minor=very low risk, can close (light green) | NOK=does not fulfil (pink) | MISS=info missing (peach) | Minor disc.=resolvable without management, escalates to &quot;ACR level&quot; -- undefined acronym, see COMPLIANCE_LEGEND (light green) | Major disc.=resolvable WITH management (orange) | ERROR=misinterpretation, clarify with supplier (lilac) | TBD=not yet evaluated, default (yellow). Full definitions + examples: COMPLIANCE_LEGEND tab." type="list">
      <formula1>"OK,OK/Minor,NOK,MISS,Minor disc.,Major disc.,ERROR,TBD"</formula1>
    </dataValidation>
    <dataValidation sqref="R6:R55 X6:X55" showDropDown="0" showInputMessage="1" showErrorMessage="0" allowBlank="0" promptTitle="Technical Depth legend" prompt="Technical Depth multiplier applied to this row's Weighted S: 0.4 = shallow/cursory check, 0.7 = moderate depth, 1.0 = full depth review. See WEIGHTS_METHOD for how this feeds the Review Index." type="list">
      <formula1>"0.4,0.7,1.0"</formula1>
    </dataValidation>
    <dataValidation sqref="T6:T55 Z6:Z55" showDropDown="0" showInputMessage="1" showErrorMessage="0" allowBlank="0" promptTitle="Negotiation flag legend" prompt="Negotiation item = flag for the negotiation agenda | RFI - info missing = formal request needed | Not available = bidder did not provide it | Clarification only = ambiguity, not a gap. Feeds NEGOTIATION_AGENDA and the QUALITY_CHECKS negotiation-flag counts." type="list">
      <formula1>"Negotiation item,RFI - info missing,Not available,Clarification only"</formula1>
    </dataValidation>
    <dataValidation sqref="P6:P55" showDropDown="0" showInputMessage="0" showErrorMessage="0" allowBlank="1" errorTitle="Invalid Review flag" error="Pick one of the 5 standard Review flag values." type="list">
      <formula1>"OK,OK — Review breadth,Review — breadth,Review — accept context,OK — non-RTM source"</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tabColor rgb="000B5FA5"/>
    <outlinePr summaryBelow="1" summaryRight="1"/>
    <pageSetUpPr/>
  </sheetPr>
  <dimension ref="A1:V55"/>
  <sheetViews>
    <sheetView topLeftCell="A1" zoomScale="80" zoomScaleNormal="80" workbookViewId="0">
      <selection activeCell="A1" sqref="A1"/>
    </sheetView>
  </sheetViews>
  <sheetFormatPr baseColWidth="8" defaultRowHeight="14.25"/>
  <cols>
    <col width="12" customWidth="1" min="1" max="1"/>
    <col width="35" customWidth="1" min="2" max="2"/>
    <col width="10" customWidth="1" min="3" max="3"/>
    <col width="12" customWidth="1" min="4" max="4"/>
    <col width="28" customWidth="1" min="5" max="5"/>
    <col width="12" customWidth="1" min="6" max="6"/>
    <col width="22" customWidth="1" min="7" max="8"/>
    <col width="46" customWidth="1" min="9" max="9"/>
    <col width="60" customWidth="1" min="10" max="10"/>
    <col width="26" customWidth="1" min="11" max="11"/>
    <col width="32" customWidth="1" min="12" max="12"/>
    <col width="10" customWidth="1" min="13" max="13"/>
    <col width="36" customWidth="1" min="14" max="14"/>
    <col width="14" customWidth="1" min="15" max="15"/>
    <col width="28" customWidth="1" min="16" max="16"/>
    <col width="38" customWidth="1" min="17" max="18"/>
    <col width="48" customWidth="1" min="19" max="19"/>
    <col width="42" customWidth="1" min="20" max="20"/>
    <col width="36" customWidth="1" min="21" max="21"/>
    <col width="40" customWidth="1" min="22" max="22"/>
  </cols>
  <sheetData>
    <row r="1" ht="32.1" customHeight="1">
      <c r="A1" s="35" t="inlineStr">
        <is>
          <t>Canonical OFFER register</t>
        </is>
      </c>
    </row>
    <row r="2" ht="30" customHeight="1">
      <c r="A2" s="36" t="inlineStr">
        <is>
          <t>Canonical contract wording, RTM anchors, standards, evidence and phases.</t>
        </is>
      </c>
    </row>
    <row r="3" ht="21.95" customHeight="1">
      <c r="A3" s="188">
        <f>HYPERLINK("#START_HERE!A1","Start")</f>
        <v/>
      </c>
      <c r="B3" s="188">
        <f>HYPERLINK("#DASHBOARD!A1","Dashboard")</f>
        <v/>
      </c>
      <c r="C3" s="188">
        <f>HYPERLINK("#OFFER_RANKING!A1","Ranking")</f>
        <v/>
      </c>
      <c r="D3" s="188">
        <f>HYPERLINK("#EVALUATION_INPUT!A1","Evaluate")</f>
        <v/>
      </c>
      <c r="E3" s="188">
        <f>HYPERLINK("#OFFER_CANONICAL!A1","Canonical")</f>
        <v/>
      </c>
      <c r="F3" s="188">
        <f>HYPERLINK("#RTM_CROSSWALK!A1","Crosswalk")</f>
        <v/>
      </c>
      <c r="G3" s="188">
        <f>HYPERLINK("#WEIGHTS_METHOD!A1","Method")</f>
        <v/>
      </c>
      <c r="H3" s="1" t="n"/>
      <c r="I3" s="1" t="n"/>
      <c r="J3" s="1" t="n"/>
      <c r="K3" s="1" t="n"/>
      <c r="L3" s="1" t="n"/>
      <c r="M3" s="1" t="n"/>
      <c r="N3" s="1" t="n"/>
      <c r="O3" s="1" t="n"/>
      <c r="P3" s="1" t="n"/>
    </row>
    <row r="5" ht="33.95" customHeight="1">
      <c r="A5" s="3" t="inlineStr">
        <is>
          <t>offer_id</t>
        </is>
      </c>
      <c r="B5" s="3" t="inlineStr">
        <is>
          <t>title</t>
        </is>
      </c>
      <c r="C5" s="3" t="inlineStr">
        <is>
          <t>page_start_pdf</t>
        </is>
      </c>
      <c r="D5" s="3" t="inlineStr">
        <is>
          <t>section_number</t>
        </is>
      </c>
      <c r="E5" s="3" t="inlineStr">
        <is>
          <t>section_title</t>
        </is>
      </c>
      <c r="F5" s="3" t="inlineStr">
        <is>
          <t>Applicant_DocList_Item</t>
        </is>
      </c>
      <c r="G5" s="3" t="inlineStr">
        <is>
          <t>EPIC</t>
        </is>
      </c>
      <c r="H5" s="3" t="inlineStr">
        <is>
          <t>Category</t>
        </is>
      </c>
      <c r="I5" s="3" t="inlineStr">
        <is>
          <t>offer_statement_verbatim</t>
        </is>
      </c>
      <c r="J5" s="3" t="inlineStr">
        <is>
          <t>full_verbatim_offer</t>
        </is>
      </c>
      <c r="K5" s="3" t="inlineStr">
        <is>
          <t>primary_rtm_ids</t>
        </is>
      </c>
      <c r="L5" s="3" t="inlineStr">
        <is>
          <t>supporting_context_rtm_ids</t>
        </is>
      </c>
      <c r="M5" s="3" t="inlineStr">
        <is>
          <t>total_link_count</t>
        </is>
      </c>
      <c r="N5" s="3" t="inlineStr">
        <is>
          <t>link_basis_summary</t>
        </is>
      </c>
      <c r="O5" s="3" t="inlineStr">
        <is>
          <t>review_flag</t>
        </is>
      </c>
      <c r="P5" s="3" t="inlineStr">
        <is>
          <t>canonical_source</t>
        </is>
      </c>
      <c r="Q5" s="3" t="inlineStr">
        <is>
          <t>Reference Code / Standard</t>
        </is>
      </c>
      <c r="R5" s="3" t="inlineStr">
        <is>
          <t>Actual Explicit Code / Standard</t>
        </is>
      </c>
      <c r="S5" s="3" t="inlineStr">
        <is>
          <t>Fulfilment / Evidence / Measurability</t>
        </is>
      </c>
      <c r="T5" s="3" t="inlineStr">
        <is>
          <t>Explicit Deliverable / Proof</t>
        </is>
      </c>
      <c r="U5" s="3" t="inlineStr">
        <is>
          <t>Applicable Phase(s)</t>
        </is>
      </c>
      <c r="V5" s="3" t="inlineStr">
        <is>
          <t>Evidence Basis / Review</t>
        </is>
      </c>
    </row>
    <row r="6" ht="48" customHeight="1">
      <c r="A6" s="6" t="inlineStr">
        <is>
          <t>OFFER-01</t>
        </is>
      </c>
      <c r="B6" s="6" t="inlineStr">
        <is>
          <t>Tender Compliance Confirmation</t>
        </is>
      </c>
      <c r="C6" s="6" t="n">
        <v>24</v>
      </c>
      <c r="D6" s="6" t="inlineStr">
        <is>
          <t>4.1</t>
        </is>
      </c>
      <c r="E6" s="6" t="inlineStr">
        <is>
          <t>General Requirements</t>
        </is>
      </c>
      <c r="F6" s="6" t="inlineStr">
        <is>
          <t>8.4</t>
        </is>
      </c>
      <c r="G6" s="6" t="inlineStr">
        <is>
          <t>COMMERCIAL</t>
        </is>
      </c>
      <c r="H6" s="6" t="inlineStr">
        <is>
          <t>Governance</t>
        </is>
      </c>
      <c r="I6" s="6" t="inlineStr">
        <is>
          <t>In the offer, the Applicant shall explicitly confirm that:</t>
        </is>
      </c>
      <c r="J6" s="6" t="inlineStr">
        <is>
          <t>In the offer, the Applicant shall explicitly confirm that:
• All SCK CEN’s Tender Documents have been duly analysed
• The information provided therein is considered sufficient to allow the Applicant to submit a compliant proposal ensuring that the supplied items meet the specified requirements.
• Any missing or insufficient information identified has been formally notified to SCK CEN without undue delay, in accordance with §1.13 of the Main Tender Document.</t>
        </is>
      </c>
      <c r="K6" s="6" t="inlineStr">
        <is>
          <t>RTM-001; RTM-003</t>
        </is>
      </c>
      <c r="L6" s="6" t="inlineStr">
        <is>
          <t>RTM-002; RTM-004</t>
        </is>
      </c>
      <c r="M6" s="6" t="n">
        <v>4</v>
      </c>
      <c r="N6" s="6" t="inlineStr">
        <is>
          <t>Exact canonical section, with child/supporting RTMs classified separately where applicable.</t>
        </is>
      </c>
      <c r="O6" s="6" t="inlineStr">
        <is>
          <t>OK</t>
        </is>
      </c>
      <c r="P6" s="6" t="inlineStr">
        <is>
          <t>SCK CEN/90508872 PDF+DOCX (08-Apr-2026)</t>
        </is>
      </c>
      <c r="Q6" s="6" t="inlineStr">
        <is>
          <t>SCK CEN/90508872 §4.1; no named external code in OFFER text</t>
        </is>
      </c>
      <c r="R6" s="6" t="inlineStr">
        <is>
          <t>None explicitly named in the OFFER text</t>
        </is>
      </c>
      <c r="S6" s="6" t="inlineStr">
        <is>
          <t>Submit and review the named deliverable with RTM traceability and approval status; Document review, inspection, certification, audit or traceable QC record; Conformity/safety assessment, certification and approved safety evidence</t>
        </is>
      </c>
      <c r="T6" s="6" t="inlineStr">
        <is>
          <t>Offer response: Tender Compliance Confirmation</t>
        </is>
      </c>
      <c r="U6" s="6" t="inlineStr">
        <is>
          <t>L0 Tender / Offer; L1 Conceptual Design; L2 Detailed Design</t>
        </is>
      </c>
      <c r="V6" s="6" t="inlineStr">
        <is>
          <t>OFFER-stage evidence; linked standards are contextual; does not prove full RTM compliance</t>
        </is>
      </c>
    </row>
    <row r="7" ht="48" customHeight="1">
      <c r="A7" s="6" t="inlineStr">
        <is>
          <t>OFFER-02</t>
        </is>
      </c>
      <c r="B7" s="6" t="inlineStr">
        <is>
          <t>Assumptions, Deviations &amp; Additions Register</t>
        </is>
      </c>
      <c r="C7" s="6" t="n">
        <v>24</v>
      </c>
      <c r="D7" s="6" t="inlineStr">
        <is>
          <t>4.1</t>
        </is>
      </c>
      <c r="E7" s="6" t="inlineStr">
        <is>
          <t>General Requirements</t>
        </is>
      </c>
      <c r="F7" s="6" t="inlineStr">
        <is>
          <t>8.5</t>
        </is>
      </c>
      <c r="G7" s="6" t="inlineStr">
        <is>
          <t>PROJECT_EXECUTION</t>
        </is>
      </c>
      <c r="H7" s="6" t="inlineStr">
        <is>
          <t>Deliverables</t>
        </is>
      </c>
      <c r="I7" s="6" t="inlineStr">
        <is>
          <t>In the offer, the Applicant shall submit separate and explicit lists for each of the following cases. Each item listed shall be supported by a clear description and duly justification in the offer.</t>
        </is>
      </c>
      <c r="J7" s="6" t="inlineStr">
        <is>
          <t>In the offer, the Applicant shall submit separate and explicit lists for each of the following cases. Each item listed shall be supported by a clear description and duly justification in the offer.
• Any additional requirements defined by the Applicant (beyond those specified by SCK CEN), which are considered necessary to fulfil the intended function, performance, or integration of the proposed solution.
• Any assumptions which have been defined by the Applicant, which are considered necessary to evaluate the offer.
• Any deviation of the specified technical requirements, including the proposed alternative solution. This shall include, but is not limited to, any deviations from requested norms, standards, or preferred process parameters.
• Any suggested modifications vis-à-vis the technical requirements as imposed by SCK CEN; such suggestions shall be presented for consideration only and shall not be treated as deviations. Suggested modifications should, in the Applicant’s opinion, constitute an improvement in terms of cost, reliability, safety, ease of use, or other functional aspects of the QPS. Each suggested modification shall be supported by an assessment of its advantages and drawbacks.</t>
        </is>
      </c>
      <c r="K7" s="6" t="inlineStr">
        <is>
          <t>RTM-004</t>
        </is>
      </c>
      <c r="L7" s="6" t="inlineStr">
        <is>
          <t>RTM-001..RTM-003</t>
        </is>
      </c>
      <c r="M7" s="6" t="n">
        <v>4</v>
      </c>
      <c r="N7" s="6" t="inlineStr">
        <is>
          <t>Exact canonical section, with child/supporting RTMs classified separately where applicable.</t>
        </is>
      </c>
      <c r="O7" s="6" t="inlineStr">
        <is>
          <t>OK</t>
        </is>
      </c>
      <c r="P7" s="6" t="inlineStr">
        <is>
          <t>SCK CEN/90508872 PDF+DOCX (08-Apr-2026)</t>
        </is>
      </c>
      <c r="Q7" s="6" t="inlineStr">
        <is>
          <t>SCK CEN/90508872 §4.1; no named external code in OFFER text</t>
        </is>
      </c>
      <c r="R7" s="6" t="inlineStr">
        <is>
          <t>None explicitly named in the OFFER text</t>
        </is>
      </c>
      <c r="S7" s="6" t="inlineStr">
        <is>
          <t>Submit and review the named deliverable with RTM traceability and approval status; RAM/maintenance substantiation and recovery/failure-response evidence; Document review, inspection, certification, audit or traceable QC record</t>
        </is>
      </c>
      <c r="T7" s="6" t="inlineStr">
        <is>
          <t>Offer response: Assumptions, Deviations &amp; Additions Register</t>
        </is>
      </c>
      <c r="U7" s="6" t="inlineStr">
        <is>
          <t>L0 Tender / Offer; L1 Conceptual Design; L2 Detailed Design</t>
        </is>
      </c>
      <c r="V7" s="6" t="inlineStr">
        <is>
          <t>OFFER-stage evidence; linked standards are contextual; does not prove full RTM compliance</t>
        </is>
      </c>
    </row>
    <row r="8" ht="169.5" customHeight="1">
      <c r="A8" s="6" t="inlineStr">
        <is>
          <t>OFFER-03</t>
        </is>
      </c>
      <c r="B8" s="6" t="inlineStr">
        <is>
          <t>Integrated Technical Proposal &amp; Execution Strategy</t>
        </is>
      </c>
      <c r="C8" s="6" t="n">
        <v>25</v>
      </c>
      <c r="D8" s="6" t="inlineStr">
        <is>
          <t>4.1</t>
        </is>
      </c>
      <c r="E8" s="6" t="inlineStr">
        <is>
          <t>General Requirements</t>
        </is>
      </c>
      <c r="F8" s="6" t="inlineStr">
        <is>
          <t>8.6</t>
        </is>
      </c>
      <c r="G8" s="6" t="inlineStr">
        <is>
          <t>PROJECT_EXECUTION</t>
        </is>
      </c>
      <c r="H8" s="6" t="inlineStr">
        <is>
          <t>Planning &amp; Scheduling</t>
        </is>
      </c>
      <c r="I8" s="6" t="inlineStr">
        <is>
          <t>In the offer, the Applicant shall:</t>
        </is>
      </c>
      <c r="J8" s="6" t="inlineStr">
        <is>
          <t>In the offer, the Applicant shall:
• Submit a single, consolidated proposal, inclusive of all proposed deviations, representing the most optimal solution compliant with all conditions and requirements of the Contract. Multiple alternatives shall not be permitted.
• Provide a clear overview of the (sequence of) activities that shall constitute the Contract performance. For each step in the sequence, the Applicant is to provide information regarding i.e. how the applicable requirements shall be met, the chosen process(es) and technique(s) that shall be implemented, etc.
• Provide, as a minimum, the level of detail explicitly requested in the present document. Where no level of detail is specified, the Applicant shall determine and provide an appropriate level of detail based on its experience, proportionate to the criticality and/or complexity of the activity.</t>
        </is>
      </c>
      <c r="K8" s="6" t="inlineStr">
        <is>
          <t>RTM-002</t>
        </is>
      </c>
      <c r="L8" s="6" t="inlineStr">
        <is>
          <t>RTM-001; RTM-003..RTM-004</t>
        </is>
      </c>
      <c r="M8" s="6" t="n">
        <v>4</v>
      </c>
      <c r="N8" s="6" t="inlineStr">
        <is>
          <t>Exact canonical section, with child/supporting RTMs classified separately where applicable.</t>
        </is>
      </c>
      <c r="O8" s="6" t="inlineStr">
        <is>
          <t>OK</t>
        </is>
      </c>
      <c r="P8" s="6" t="inlineStr">
        <is>
          <t>SCK CEN/90508872 PDF+DOCX (08-Apr-2026)</t>
        </is>
      </c>
      <c r="Q8" s="6" t="inlineStr">
        <is>
          <t>SCK CEN/90508872 §4.1; no named external code in OFFER text</t>
        </is>
      </c>
      <c r="R8" s="6" t="inlineStr">
        <is>
          <t>None explicitly named in the OFFER text</t>
        </is>
      </c>
      <c r="S8" s="6" t="inlineStr">
        <is>
          <t>Submit and review the named deliverable with RTM traceability and approval status; Document review, inspection, certification, audit or traceable QC record; Conformity/safety assessment, certification and approved safety evidence</t>
        </is>
      </c>
      <c r="T8" s="6" t="inlineStr">
        <is>
          <t>Offer response: Integrated Technical Proposal &amp; Execution Strategy</t>
        </is>
      </c>
      <c r="U8" s="6" t="inlineStr">
        <is>
          <t>L0 Tender / Offer; L1 Conceptual Design; L2 Detailed Design</t>
        </is>
      </c>
      <c r="V8" s="6" t="inlineStr">
        <is>
          <t>OFFER-stage evidence; linked standards are contextual; does not prove full RTM compliance</t>
        </is>
      </c>
    </row>
    <row r="9" ht="48" customHeight="1">
      <c r="A9" s="6" t="inlineStr">
        <is>
          <t>OFFER-04</t>
        </is>
      </c>
      <c r="B9" s="6" t="inlineStr">
        <is>
          <t>Cooldown &amp; Thermal Performance Modelling</t>
        </is>
      </c>
      <c r="C9" s="6" t="n">
        <v>29</v>
      </c>
      <c r="D9" s="6" t="inlineStr">
        <is>
          <t>4.2.2.2</t>
        </is>
      </c>
      <c r="E9" s="6" t="inlineStr">
        <is>
          <t>Transient Operational Scenarios</t>
        </is>
      </c>
      <c r="F9" s="6" t="inlineStr">
        <is>
          <t>8.7</t>
        </is>
      </c>
      <c r="G9" s="6" t="inlineStr">
        <is>
          <t>SYSTEM_PERFORMANCE</t>
        </is>
      </c>
      <c r="H9" s="6" t="inlineStr">
        <is>
          <t>Cooldown Performance</t>
        </is>
      </c>
      <c r="I9" s="6" t="inlineStr">
        <is>
          <t>In their offer the Applicant shall indicate and substantiate using the Cryogenic User Transient Model:</t>
        </is>
      </c>
      <c r="J9" s="6" t="inlineStr">
        <is>
          <t>In their offer the Applicant shall indicate and substantiate using the Cryogenic User Transient Model:
• the expected overall cooldown time from 300 K to 2 K.
• the expected duration for each cool-down Scenario Transition.
• the expected duration of each warm-up Scenario Transition, and the resulting constraints on the warm-up rate and mass flow of the users.
• the expected maximum refrigeration power the QPS can sustain at discrete temperature levels between 250 K and 4.5 K (e.g. 250 K, 200 K, 150 K, 100 K, 50 K, 4.5 K).</t>
        </is>
      </c>
      <c r="K9" s="6" t="inlineStr">
        <is>
          <t>RTM-019..RTM-022</t>
        </is>
      </c>
      <c r="L9" s="6" t="n"/>
      <c r="M9" s="6" t="n">
        <v>4</v>
      </c>
      <c r="N9" s="6" t="inlineStr">
        <is>
          <t>Exact canonical section, with child/supporting RTMs classified separately where applicable.</t>
        </is>
      </c>
      <c r="O9" s="6" t="inlineStr">
        <is>
          <t>OK</t>
        </is>
      </c>
      <c r="P9" s="6" t="inlineStr">
        <is>
          <t>SCK CEN/90508872 PDF+DOCX (08-Apr-2026)</t>
        </is>
      </c>
      <c r="Q9" s="6" t="inlineStr">
        <is>
          <t>SCK CEN/90508872 §4.2.2.2; no named external code in OFFER text</t>
        </is>
      </c>
      <c r="R9" s="6" t="inlineStr">
        <is>
          <t>None explicitly named in the OFFER text</t>
        </is>
      </c>
      <c r="S9" s="6" t="inlineStr">
        <is>
          <t>Submit and review the named deliverable with RTM traceability and approval status; Calculation/model plus calibrated measurement or recorded trend; Document review, inspection, certification, audit or traceable QC record</t>
        </is>
      </c>
      <c r="T9" s="6" t="inlineStr">
        <is>
          <t>Offer response: Cooldown &amp; Thermal Performance Modelling</t>
        </is>
      </c>
      <c r="U9" s="6" t="inlineStr">
        <is>
          <t>L0 Tender / Offer; L1 Conceptual Design; L2 Detailed Design</t>
        </is>
      </c>
      <c r="V9" s="6" t="inlineStr">
        <is>
          <t>OFFER-stage evidence; linked standards are contextual; does not prove full RTM compliance</t>
        </is>
      </c>
    </row>
    <row r="10" ht="48" customHeight="1">
      <c r="A10" s="6" t="inlineStr">
        <is>
          <t>OFFER-05</t>
        </is>
      </c>
      <c r="B10" s="6" t="inlineStr">
        <is>
          <t>Operational Procedure Strategy (Auto vs Manual)</t>
        </is>
      </c>
      <c r="C10" s="6" t="n">
        <v>31</v>
      </c>
      <c r="D10" s="6" t="inlineStr">
        <is>
          <t>4.2.2.4.1</t>
        </is>
      </c>
      <c r="E10" s="6" t="inlineStr">
        <is>
          <t>Purging and Conditioning</t>
        </is>
      </c>
      <c r="F10" s="6" t="inlineStr">
        <is>
          <t>8.8</t>
        </is>
      </c>
      <c r="G10" s="6" t="inlineStr">
        <is>
          <t>OPERATIONS_MAINTENANCE</t>
        </is>
      </c>
      <c r="H10" s="6" t="inlineStr">
        <is>
          <t>Operations Strategy</t>
        </is>
      </c>
      <c r="I10" s="6" t="inlineStr">
        <is>
          <t>In their offer, the Applicant shall state the type of procedure (automatic vs manual) they will implement.</t>
        </is>
      </c>
      <c r="J10" s="6" t="inlineStr">
        <is>
          <t>In their offer, the Applicant shall state the type of procedure (automatic vs manual) they will implement.</t>
        </is>
      </c>
      <c r="K10" s="6" t="inlineStr">
        <is>
          <t>RTM-025..RTM-027</t>
        </is>
      </c>
      <c r="L10" s="6" t="n"/>
      <c r="M10" s="6" t="n">
        <v>3</v>
      </c>
      <c r="N10" s="6" t="inlineStr">
        <is>
          <t>Exact canonical section, with child/supporting RTMs classified separately where applicable.</t>
        </is>
      </c>
      <c r="O10" s="6" t="inlineStr">
        <is>
          <t>OK</t>
        </is>
      </c>
      <c r="P10" s="6" t="inlineStr">
        <is>
          <t>SCK CEN/90508872 PDF+DOCX (08-Apr-2026)</t>
        </is>
      </c>
      <c r="Q10" s="6" t="inlineStr">
        <is>
          <t>SCK CEN/90508872 §4.2.2.4.1; no named external code in OFFER text</t>
        </is>
      </c>
      <c r="R10" s="6" t="inlineStr">
        <is>
          <t>None explicitly named in the OFFER text</t>
        </is>
      </c>
      <c r="S10" s="6" t="inlineStr">
        <is>
          <t>Submit and review the named deliverable with RTM traceability and approval status; Calculation/model plus calibrated measurement or recorded trend; Functional design/configuration review and sequence/interface demonstration</t>
        </is>
      </c>
      <c r="T10" s="6" t="inlineStr">
        <is>
          <t>Offer response: Operational Procedure Strategy (Auto vs Manual); Procedure / work instruction</t>
        </is>
      </c>
      <c r="U10" s="6" t="inlineStr">
        <is>
          <t>L0 Tender / Offer; L1 Conceptual Design; L2 Detailed Design</t>
        </is>
      </c>
      <c r="V10" s="6" t="inlineStr">
        <is>
          <t>OFFER-stage evidence; linked standards are contextual; does not prove full RTM compliance</t>
        </is>
      </c>
    </row>
    <row r="11" ht="48" customHeight="1">
      <c r="A11" s="6" t="inlineStr">
        <is>
          <t>OFFER-06</t>
        </is>
      </c>
      <c r="B11" s="6" t="inlineStr">
        <is>
          <t>LHe Filling &amp; Emptying Performance</t>
        </is>
      </c>
      <c r="C11" s="6" t="n">
        <v>31</v>
      </c>
      <c r="D11" s="6" t="inlineStr">
        <is>
          <t>4.2.2.4.3</t>
        </is>
      </c>
      <c r="E11" s="6" t="inlineStr">
        <is>
          <t>LHe Filling / Emptying</t>
        </is>
      </c>
      <c r="F11" s="6" t="inlineStr">
        <is>
          <t>8.9</t>
        </is>
      </c>
      <c r="G11" s="6" t="inlineStr">
        <is>
          <t>SYSTEM_PERFORMANCE</t>
        </is>
      </c>
      <c r="H11" s="6" t="inlineStr">
        <is>
          <t>Filling/Emptying Performance</t>
        </is>
      </c>
      <c r="I11" s="6" t="inlineStr">
        <is>
          <t>In their offer, the Applicant shall state:</t>
        </is>
      </c>
      <c r="J11" s="6" t="inlineStr">
        <is>
          <t>In their offer, the Applicant shall state:
• the expected duration of the LHe filling phase and the maximum continuous LHe filling rate the QPS can produce.
• the expected duration of the LHe emptying phase and the maximum continuous emptying flow rate the QPS will be able to accommodate while preserving the helium inventory.</t>
        </is>
      </c>
      <c r="K11" s="6" t="inlineStr">
        <is>
          <t>RTM-030..RTM-033</t>
        </is>
      </c>
      <c r="L11" s="6" t="n"/>
      <c r="M11" s="6" t="n">
        <v>4</v>
      </c>
      <c r="N11" s="6" t="inlineStr">
        <is>
          <t>Exact canonical section, with child/supporting RTMs classified separately where applicable.</t>
        </is>
      </c>
      <c r="O11" s="6" t="inlineStr">
        <is>
          <t>OK</t>
        </is>
      </c>
      <c r="P11" s="6" t="inlineStr">
        <is>
          <t>SCK CEN/90508872 PDF+DOCX (08-Apr-2026)</t>
        </is>
      </c>
      <c r="Q11" s="6" t="inlineStr">
        <is>
          <t>SCK CEN/90508872 §4.2.2.4.3; no named external code in OFFER text</t>
        </is>
      </c>
      <c r="R11" s="6" t="inlineStr">
        <is>
          <t>None explicitly named in the OFFER text</t>
        </is>
      </c>
      <c r="S11" s="6" t="inlineStr">
        <is>
          <t>Submit and review the named deliverable with RTM traceability and approval status; Calculation/model plus calibrated measurement or recorded trend</t>
        </is>
      </c>
      <c r="T11" s="6" t="inlineStr">
        <is>
          <t>Offer response: LHe Filling &amp; Emptying Performance</t>
        </is>
      </c>
      <c r="U11" s="6" t="inlineStr">
        <is>
          <t>L0 Tender / Offer; L1 Conceptual Design; L2 Detailed Design</t>
        </is>
      </c>
      <c r="V11" s="6" t="inlineStr">
        <is>
          <t>OFFER-stage evidence; linked standards are contextual; does not prove full RTM compliance</t>
        </is>
      </c>
    </row>
    <row r="12" ht="48" customHeight="1">
      <c r="A12" s="6" t="inlineStr">
        <is>
          <t>OFFER-07</t>
        </is>
      </c>
      <c r="B12" s="6" t="inlineStr">
        <is>
          <t>Header Design Pressure &amp; Temperature Definition</t>
        </is>
      </c>
      <c r="C12" s="6" t="n">
        <v>34</v>
      </c>
      <c r="D12" s="6" t="inlineStr">
        <is>
          <t>4.2.4</t>
        </is>
      </c>
      <c r="E12" s="6" t="inlineStr">
        <is>
          <t>Cooling Capacity</t>
        </is>
      </c>
      <c r="F12" s="6" t="inlineStr">
        <is>
          <t>8.10</t>
        </is>
      </c>
      <c r="G12" s="6" t="inlineStr">
        <is>
          <t>PROCESS_DESIGN</t>
        </is>
      </c>
      <c r="H12" s="6" t="inlineStr">
        <is>
          <t>Thermodynamic Design</t>
        </is>
      </c>
      <c r="I12" s="6" t="inlineStr">
        <is>
          <t>In the offer, the Applicant shall:</t>
        </is>
      </c>
      <c r="J12" s="6" t="inlineStr">
        <is>
          <t>In the offer, the Applicant shall:
• Indicate the design temperature and pressure on headers D and E.</t>
        </is>
      </c>
      <c r="K12" s="6" t="inlineStr">
        <is>
          <t>RTM-040..RTM-044</t>
        </is>
      </c>
      <c r="L12" s="6" t="n"/>
      <c r="M12" s="6" t="n">
        <v>5</v>
      </c>
      <c r="N12" s="6" t="inlineStr">
        <is>
          <t>Exact canonical section, with child/supporting RTMs classified separately where applicable.</t>
        </is>
      </c>
      <c r="O12" s="6" t="inlineStr">
        <is>
          <t>OK</t>
        </is>
      </c>
      <c r="P12" s="6" t="inlineStr">
        <is>
          <t>SCK CEN/90508872 PDF+DOCX (08-Apr-2026)</t>
        </is>
      </c>
      <c r="Q12" s="6" t="inlineStr">
        <is>
          <t>SCK CEN/90508872 §4.2.4; no named external code in OFFER text</t>
        </is>
      </c>
      <c r="R12" s="6" t="inlineStr">
        <is>
          <t>None explicitly named in the OFFER text</t>
        </is>
      </c>
      <c r="S12" s="6" t="inlineStr">
        <is>
          <t>Submit and review the named deliverable with RTM traceability and approval status; Calculation/model plus calibrated measurement or recorded trend</t>
        </is>
      </c>
      <c r="T12" s="6" t="inlineStr">
        <is>
          <t>Offer response: Header Design Pressure &amp; Temperature Definition</t>
        </is>
      </c>
      <c r="U12" s="6" t="inlineStr">
        <is>
          <t>L0 Tender / Offer; L1 Conceptual Design; L2 Detailed Design</t>
        </is>
      </c>
      <c r="V12" s="6" t="inlineStr">
        <is>
          <t>OFFER-stage evidence; linked standards are contextual; does not prove full RTM compliance</t>
        </is>
      </c>
    </row>
    <row r="13" ht="48" customHeight="1">
      <c r="A13" s="6" t="inlineStr">
        <is>
          <t>OFFER-08</t>
        </is>
      </c>
      <c r="B13" s="6" t="inlineStr">
        <is>
          <t>LN2 Precooling Design Decision</t>
        </is>
      </c>
      <c r="C13" s="6" t="n">
        <v>35</v>
      </c>
      <c r="D13" s="6" t="inlineStr">
        <is>
          <t>4.2.5</t>
        </is>
      </c>
      <c r="E13" s="6" t="inlineStr">
        <is>
          <t>Liquid Nitrogen Precooling (Optional)</t>
        </is>
      </c>
      <c r="F13" s="6" t="inlineStr">
        <is>
          <t>8.11</t>
        </is>
      </c>
      <c r="G13" s="6" t="inlineStr">
        <is>
          <t>PROCESS_DESIGN</t>
        </is>
      </c>
      <c r="H13" s="6" t="inlineStr">
        <is>
          <t>LN2 Integration</t>
        </is>
      </c>
      <c r="I13" s="6" t="inlineStr">
        <is>
          <t>In the offer, the Applicant shall explicitly state whether LN2 Precooling will be part of the QPS design.</t>
        </is>
      </c>
      <c r="J13" s="6" t="inlineStr">
        <is>
          <t>In the offer, the Applicant shall explicitly state whether LN2 Precooling will be part of the QPS design.</t>
        </is>
      </c>
      <c r="K13" s="6" t="inlineStr">
        <is>
          <t>RTM-045</t>
        </is>
      </c>
      <c r="L13" s="6" t="inlineStr">
        <is>
          <t>RTM-046..RTM-047</t>
        </is>
      </c>
      <c r="M13" s="6" t="n">
        <v>3</v>
      </c>
      <c r="N13" s="6" t="inlineStr">
        <is>
          <t>Exact canonical section, with child/supporting RTMs classified separately where applicable.</t>
        </is>
      </c>
      <c r="O13" s="6" t="inlineStr">
        <is>
          <t>OK</t>
        </is>
      </c>
      <c r="P13" s="6" t="inlineStr">
        <is>
          <t>SCK CEN/90508872 PDF+DOCX (08-Apr-2026)</t>
        </is>
      </c>
      <c r="Q13" s="6" t="inlineStr">
        <is>
          <t>SCK CEN/90508872 §4.2.5; no named external code in OFFER text</t>
        </is>
      </c>
      <c r="R13" s="6" t="inlineStr">
        <is>
          <t>None explicitly named in the OFFER text</t>
        </is>
      </c>
      <c r="S13" s="6" t="inlineStr">
        <is>
          <t>Submit and review the named deliverable with RTM traceability and approval status; Calculation/model plus calibrated measurement or recorded trend</t>
        </is>
      </c>
      <c r="T13" s="6" t="inlineStr">
        <is>
          <t>Offer response: LN2 Precooling Design Decision</t>
        </is>
      </c>
      <c r="U13" s="6" t="inlineStr">
        <is>
          <t>L0 Tender / Offer; L1 Conceptual Design; L2 Detailed Design</t>
        </is>
      </c>
      <c r="V13" s="6" t="inlineStr">
        <is>
          <t>OFFER-stage evidence; linked standards are contextual; does not prove full RTM compliance</t>
        </is>
      </c>
    </row>
    <row r="14" ht="48" customHeight="1">
      <c r="A14" s="6" t="inlineStr">
        <is>
          <t>OFFER-09</t>
        </is>
      </c>
      <c r="B14" s="6" t="inlineStr">
        <is>
          <t>LN2 Techno-Economic Evaluation (CAPEX/OPEX)</t>
        </is>
      </c>
      <c r="C14" s="6" t="n">
        <v>35</v>
      </c>
      <c r="D14" s="6" t="inlineStr">
        <is>
          <t>4.2.5</t>
        </is>
      </c>
      <c r="E14" s="6" t="inlineStr">
        <is>
          <t>Liquid Nitrogen Precooling (Optional)</t>
        </is>
      </c>
      <c r="F14" s="6" t="inlineStr">
        <is>
          <t>8.12</t>
        </is>
      </c>
      <c r="G14" s="6" t="inlineStr">
        <is>
          <t>COMMERCIAL</t>
        </is>
      </c>
      <c r="H14" s="6" t="inlineStr">
        <is>
          <t>Cost Model</t>
        </is>
      </c>
      <c r="I14" s="6" t="inlineStr">
        <is>
          <t>In the offer, if LN2 Precooling will be implemented, the Applicant shall submit a quantified techno-economic justification substantiating the benefit of implementing LN2 precooling compared to an equivalent configuration without LN2 precooling. The justification shall, at minimum, include:</t>
        </is>
      </c>
      <c r="J14" s="6" t="inlineStr">
        <is>
          <t>In the offer, if LN2 Precooling will be implemented, the Applicant shall submit a quantified techno-economic justification substantiating the benefit of implementing LN2 precooling compared to an equivalent configuration without LN2 precooling. The justification shall, at minimum, include:
• Capital cost (CAPEX) comparison and identification of the main cost drivers, including equipment, infrastructure, and integration costs.
• Operating cost (OPEX) comparison (expressed in EUR for 10 years of operation) and identification of the main cost drivers, including LN2 consumption (average and peak), electricity consumption, and maintenance costs.
• The logistics impact associated to the LN2 Precooling, including the expected delivery frequency, storage autonomy, and operational constraints of the LN2 supply.
• The impact on the operational reliability and availability of the QPS.
• The impact on the overall performance of the QPS.</t>
        </is>
      </c>
      <c r="K14" s="6" t="n"/>
      <c r="L14" s="6" t="inlineStr">
        <is>
          <t>RTM-045..RTM-047</t>
        </is>
      </c>
      <c r="M14" s="6" t="n">
        <v>3</v>
      </c>
      <c r="N14" s="6" t="inlineStr">
        <is>
          <t>Comparative techno-economic evidence is OFFER-only; RTMs are contextual.</t>
        </is>
      </c>
      <c r="O14" s="6" t="inlineStr">
        <is>
          <t>Review — accept context</t>
        </is>
      </c>
      <c r="P14" s="6" t="inlineStr">
        <is>
          <t>SCK CEN/90508872 PDF+DOCX (08-Apr-2026)</t>
        </is>
      </c>
      <c r="Q14" s="6" t="inlineStr">
        <is>
          <t>SCK CEN/90508872 §4.2.5; no named external code in OFFER text</t>
        </is>
      </c>
      <c r="R14" s="6" t="inlineStr">
        <is>
          <t>None explicitly named in the OFFER text</t>
        </is>
      </c>
      <c r="S14" s="6" t="inlineStr">
        <is>
          <t>Submit and review the named deliverable with RTM traceability and approval status; Calculation/model plus calibrated measurement or recorded trend; Functional design/configuration review and sequence/interface demonstration</t>
        </is>
      </c>
      <c r="T14" s="6" t="inlineStr">
        <is>
          <t>Offer response: LN2 Techno-Economic Evaluation (CAPEX/OPEX)</t>
        </is>
      </c>
      <c r="U14" s="6" t="inlineStr">
        <is>
          <t>L0 Tender / Offer; PAC / Handover; L1 Conceptual Design; L2 Detailed Design</t>
        </is>
      </c>
      <c r="V14" s="6" t="inlineStr">
        <is>
          <t>OFFER-stage evidence; linked standards are contextual; does not prove full RTM compliance</t>
        </is>
      </c>
    </row>
    <row r="15" ht="48" customHeight="1">
      <c r="A15" s="6" t="inlineStr">
        <is>
          <t>OFFER-10</t>
        </is>
      </c>
      <c r="B15" s="6" t="inlineStr">
        <is>
          <t>LN2 System Functional &amp; Interface Design</t>
        </is>
      </c>
      <c r="C15" s="6" t="n">
        <v>35</v>
      </c>
      <c r="D15" s="6" t="inlineStr">
        <is>
          <t>4.2.5</t>
        </is>
      </c>
      <c r="E15" s="6" t="inlineStr">
        <is>
          <t>Liquid Nitrogen Precooling (Optional)</t>
        </is>
      </c>
      <c r="F15" s="6" t="inlineStr">
        <is>
          <t>8.13</t>
        </is>
      </c>
      <c r="G15" s="6" t="inlineStr">
        <is>
          <t>PROCESS_DESIGN</t>
        </is>
      </c>
      <c r="H15" s="6" t="inlineStr">
        <is>
          <t>LN2 Integration</t>
        </is>
      </c>
      <c r="I15" s="6" t="inlineStr">
        <is>
          <t>In the offer, if LN2 Precooling will be implemented, the Applicant shall:</t>
        </is>
      </c>
      <c r="J15" s="6" t="inlineStr">
        <is>
          <t>In the offer, if LN2 Precooling will be implemented, the Applicant shall:
• describe its functional role within the refrigeration cycle.
• identify all required LN2 interfaces with the site infrastructure.
• specify the required LN2 flow rate and operating envelope (pressure and temperature).
• specify the expected LN2 consumption, including average, peak, and transient demand, for planning of LN2 supply and replenishment logistics.
• specify the QSN storage capacity (tank volume), including the operational autonomy between LN2 deliveries under nominal consumption.
• confirming that all contractual performance requirements remain satisfied.</t>
        </is>
      </c>
      <c r="K15" s="6" t="inlineStr">
        <is>
          <t>RTM-046..RTM-047</t>
        </is>
      </c>
      <c r="L15" s="6" t="inlineStr">
        <is>
          <t>RTM-045</t>
        </is>
      </c>
      <c r="M15" s="6" t="n">
        <v>3</v>
      </c>
      <c r="N15" s="6" t="inlineStr">
        <is>
          <t>Exact canonical section, with child/supporting RTMs classified separately where applicable.</t>
        </is>
      </c>
      <c r="O15" s="6" t="inlineStr">
        <is>
          <t>OK</t>
        </is>
      </c>
      <c r="P15" s="6" t="inlineStr">
        <is>
          <t>SCK CEN/90508872 PDF+DOCX (08-Apr-2026)</t>
        </is>
      </c>
      <c r="Q15" s="6" t="inlineStr">
        <is>
          <t>SCK CEN/90508872 §4.2.5; no named external code in OFFER text</t>
        </is>
      </c>
      <c r="R15" s="6" t="inlineStr">
        <is>
          <t>None explicitly named in the OFFER text</t>
        </is>
      </c>
      <c r="S15" s="6" t="inlineStr">
        <is>
          <t>Submit and review the named deliverable with RTM traceability and approval status; Witnessed FAT/SAT/commissioning test against stated acceptance criteria; Calculation/model plus calibrated measurement or recorded trend</t>
        </is>
      </c>
      <c r="T15" s="6" t="inlineStr">
        <is>
          <t>Offer response: LN2 System Functional &amp; Interface Design</t>
        </is>
      </c>
      <c r="U15" s="6" t="inlineStr">
        <is>
          <t>L0 Tender / Offer; L6 Site Acceptance Testing; L1 Conceptual Design; L2 Detailed Design</t>
        </is>
      </c>
      <c r="V15" s="6" t="inlineStr">
        <is>
          <t>OFFER-stage evidence; linked standards are contextual; does not prove full RTM compliance</t>
        </is>
      </c>
    </row>
    <row r="16" ht="48" customHeight="1">
      <c r="A16" s="6" t="inlineStr">
        <is>
          <t>OFFER-11</t>
        </is>
      </c>
      <c r="B16" s="6" t="inlineStr">
        <is>
          <t>Reliability, MTBF &amp; Recovery Strategy</t>
        </is>
      </c>
      <c r="C16" s="6" t="n">
        <v>39</v>
      </c>
      <c r="D16" s="6" t="inlineStr">
        <is>
          <t>4.3.2</t>
        </is>
      </c>
      <c r="E16" s="6" t="inlineStr">
        <is>
          <t>Availability &amp; Reliability</t>
        </is>
      </c>
      <c r="F16" s="6" t="inlineStr">
        <is>
          <t>8.14</t>
        </is>
      </c>
      <c r="G16" s="6" t="inlineStr">
        <is>
          <t>OPERATIONS_MAINTENANCE</t>
        </is>
      </c>
      <c r="H16" s="6" t="inlineStr">
        <is>
          <t>Reliability</t>
        </is>
      </c>
      <c r="I16" s="6" t="inlineStr">
        <is>
          <t>In the offer, the Applicant shall provide and thoroughly substantiate the expected MTBF values and associated recovery times. The substantiation shall include, at minimum:</t>
        </is>
      </c>
      <c r="J16" s="6" t="inlineStr">
        <is>
          <t>In the offer, the Applicant shall provide and thoroughly substantiate the expected MTBF values and associated recovery times. The substantiation shall include, at minimum:
• The replacement philosophy (e.g. cartridge-based or modular replacement).
• The capability for in-situ replacement without requiring Warm Stop, where claimed.
• The isolation and serviceability concept (e.g. bayonet or valve-based isolation), where applied.
• The maintenance intervention strategy supporting the assumed recovery times for Failure Classes A, B, and C.</t>
        </is>
      </c>
      <c r="K16" s="6" t="inlineStr">
        <is>
          <t>RTM-057..RTM-063</t>
        </is>
      </c>
      <c r="L16" s="6" t="n"/>
      <c r="M16" s="6" t="n">
        <v>7</v>
      </c>
      <c r="N16" s="6" t="inlineStr">
        <is>
          <t>Exact canonical section, with child/supporting RTMs classified separately where applicable.</t>
        </is>
      </c>
      <c r="O16" s="6" t="inlineStr">
        <is>
          <t>OK</t>
        </is>
      </c>
      <c r="P16" s="6" t="inlineStr">
        <is>
          <t>SCK CEN/90508872 PDF+DOCX (08-Apr-2026)</t>
        </is>
      </c>
      <c r="Q16" s="6" t="inlineStr">
        <is>
          <t>SCK CEN/90508872 §4.3.2; no named external code in OFFER text</t>
        </is>
      </c>
      <c r="R16" s="6" t="inlineStr">
        <is>
          <t>None explicitly named in the OFFER text</t>
        </is>
      </c>
      <c r="S16" s="6" t="inlineStr">
        <is>
          <t>Submit and review the named deliverable with RTM traceability and approval status; RAM/maintenance substantiation and recovery/failure-response evidence</t>
        </is>
      </c>
      <c r="T16" s="6" t="inlineStr">
        <is>
          <t>Offer response: Reliability, MTBF &amp; Recovery Strategy</t>
        </is>
      </c>
      <c r="U16" s="6" t="inlineStr">
        <is>
          <t>L0 Tender / Offer; L1 Conceptual Design; L2 Detailed Design</t>
        </is>
      </c>
      <c r="V16" s="6" t="inlineStr">
        <is>
          <t>OFFER-stage evidence; linked standards are contextual; does not prove full RTM compliance</t>
        </is>
      </c>
    </row>
    <row r="17" ht="48" customHeight="1">
      <c r="A17" s="6" t="inlineStr">
        <is>
          <t>OFFER-12</t>
        </is>
      </c>
      <c r="B17" s="6" t="inlineStr">
        <is>
          <t>Performance Efficiency (invCOP) Declaration</t>
        </is>
      </c>
      <c r="C17" s="6" t="n">
        <v>40</v>
      </c>
      <c r="D17" s="6" t="inlineStr">
        <is>
          <t>4.3.4</t>
        </is>
      </c>
      <c r="E17" s="6" t="inlineStr">
        <is>
          <t>Energy-efficiency</t>
        </is>
      </c>
      <c r="F17" s="6" t="inlineStr">
        <is>
          <t>8.15</t>
        </is>
      </c>
      <c r="G17" s="6" t="inlineStr">
        <is>
          <t>SYSTEM_PERFORMANCE</t>
        </is>
      </c>
      <c r="H17" s="6" t="inlineStr">
        <is>
          <t>Efficiency</t>
        </is>
      </c>
      <c r="I17" s="6" t="inlineStr">
        <is>
          <t>In the offer, the Applicant shall state and substantiate the invCOP_contract.</t>
        </is>
      </c>
      <c r="J17" s="6" t="inlineStr">
        <is>
          <t>In the offer, the Applicant shall state and substantiate the invCOP_contract.</t>
        </is>
      </c>
      <c r="K17" s="6" t="inlineStr">
        <is>
          <t>RTM-069..RTM-072</t>
        </is>
      </c>
      <c r="L17" s="6" t="inlineStr">
        <is>
          <t>RTM-073..RTM-077</t>
        </is>
      </c>
      <c r="M17" s="6" t="n">
        <v>9</v>
      </c>
      <c r="N17" s="6" t="inlineStr">
        <is>
          <t>Exact canonical section, with child/supporting RTMs classified separately where applicable.</t>
        </is>
      </c>
      <c r="O17" s="6" t="inlineStr">
        <is>
          <t>OK — Review breadth</t>
        </is>
      </c>
      <c r="P17" s="6" t="inlineStr">
        <is>
          <t>SCK CEN/90508872 PDF+DOCX (08-Apr-2026)</t>
        </is>
      </c>
      <c r="Q17" s="6" t="inlineStr">
        <is>
          <t>SCK CEN/90508872 §4.3.4; no named external code in OFFER text</t>
        </is>
      </c>
      <c r="R17" s="6" t="inlineStr">
        <is>
          <t>None explicitly named in the OFFER text</t>
        </is>
      </c>
      <c r="S17" s="6" t="inlineStr">
        <is>
          <t>Submit and review the named deliverable with RTM traceability and approval status; Calculation/model plus calibrated measurement or recorded trend</t>
        </is>
      </c>
      <c r="T17" s="6" t="inlineStr">
        <is>
          <t>Offer response: Performance Efficiency (invCOP) Declaration</t>
        </is>
      </c>
      <c r="U17" s="6" t="inlineStr">
        <is>
          <t>L0 Tender / Offer; L1 Conceptual Design; L2 Detailed Design</t>
        </is>
      </c>
      <c r="V17" s="6" t="inlineStr">
        <is>
          <t>OFFER-stage evidence; linked standards are contextual; does not prove full RTM compliance</t>
        </is>
      </c>
    </row>
    <row r="18" ht="48" customHeight="1">
      <c r="A18" s="6" t="inlineStr">
        <is>
          <t>OFFER-13</t>
        </is>
      </c>
      <c r="B18" s="6" t="inlineStr">
        <is>
          <t>Main Equipment Technical Specifications</t>
        </is>
      </c>
      <c r="C18" s="6" t="n">
        <v>42</v>
      </c>
      <c r="D18" s="6" t="inlineStr">
        <is>
          <t>4.4</t>
        </is>
      </c>
      <c r="E18" s="6" t="inlineStr">
        <is>
          <t>Subsystem Requirements</t>
        </is>
      </c>
      <c r="F18" s="6" t="inlineStr">
        <is>
          <t>8.16</t>
        </is>
      </c>
      <c r="G18" s="6" t="inlineStr">
        <is>
          <t>MECHANICAL_DESIGN</t>
        </is>
      </c>
      <c r="H18" s="6" t="inlineStr">
        <is>
          <t>Equipment Design</t>
        </is>
      </c>
      <c r="I18" s="6" t="inlineStr">
        <is>
          <t>In the offer, the Applicant shall provide the key specifications of the main components.</t>
        </is>
      </c>
      <c r="J18" s="6" t="inlineStr">
        <is>
          <t>In the offer, the Applicant shall provide the key specifications of the main components.</t>
        </is>
      </c>
      <c r="K18" s="6" t="n"/>
      <c r="L18" s="6" t="inlineStr">
        <is>
          <t>RTM-141..RTM-152; RTM-193..RTM-197; RTM-236..RTM-257; RTM-263..RTM-267</t>
        </is>
      </c>
      <c r="M18" s="6" t="n">
        <v>44</v>
      </c>
      <c r="N18" s="6" t="inlineStr">
        <is>
          <t>Broad key-component request; selected top-level component RTMs only, not all §4.4 requirements.</t>
        </is>
      </c>
      <c r="O18" s="6" t="inlineStr">
        <is>
          <t>Review — breadth</t>
        </is>
      </c>
      <c r="P18" s="6" t="inlineStr">
        <is>
          <t>SCK CEN/90508872 PDF+DOCX (08-Apr-2026)</t>
        </is>
      </c>
      <c r="Q18" s="6" t="inlineStr">
        <is>
          <t>Linked canonical RTM/section: ISO 2372; ISO 20816; ISO 2954; ISO 2151; API 671; ISO 10441; EN 13185:2001</t>
        </is>
      </c>
      <c r="R18" s="6" t="inlineStr">
        <is>
          <t>None explicitly named in the OFFER text</t>
        </is>
      </c>
      <c r="S18" s="6" t="inlineStr">
        <is>
          <t>Submit and review the named deliverable with RTM traceability and approval status</t>
        </is>
      </c>
      <c r="T18" s="6" t="inlineStr">
        <is>
          <t>Offer response: Main Equipment Technical Specifications</t>
        </is>
      </c>
      <c r="U18" s="6" t="inlineStr">
        <is>
          <t>L0 Tender / Offer; L1 Conceptual Design; L2 Detailed Design</t>
        </is>
      </c>
      <c r="V18" s="6" t="inlineStr">
        <is>
          <t>OFFER-stage evidence; linked standards are contextual; does not prove full RTM compliance</t>
        </is>
      </c>
    </row>
    <row r="19" ht="48" customHeight="1">
      <c r="A19" s="6" t="inlineStr">
        <is>
          <t>OFFER-14</t>
        </is>
      </c>
      <c r="B19" s="6" t="inlineStr">
        <is>
          <t>Expansion Joint Design &amp; Risk Justification</t>
        </is>
      </c>
      <c r="C19" s="6" t="n">
        <v>42</v>
      </c>
      <c r="D19" s="6" t="inlineStr">
        <is>
          <t>4.4.1.1</t>
        </is>
      </c>
      <c r="E19" s="6" t="inlineStr">
        <is>
          <t>Bellows, joints, and seals</t>
        </is>
      </c>
      <c r="F19" s="6" t="inlineStr">
        <is>
          <t>8.17</t>
        </is>
      </c>
      <c r="G19" s="6" t="inlineStr">
        <is>
          <t>MECHANICAL_DESIGN</t>
        </is>
      </c>
      <c r="H19" s="6" t="inlineStr">
        <is>
          <t>Piping &amp; Layout</t>
        </is>
      </c>
      <c r="I19" s="6" t="inlineStr">
        <is>
          <t>In their offer, the Applicants shall</t>
        </is>
      </c>
      <c r="J19" s="6" t="inlineStr">
        <is>
          <t>In their offer, the Applicants shall
• Indicate the quantity and location of expansion joints (if any) that are foreseen to be implemented in the cryogenic process piping.
• If the use of (an) expansion joint(s) is anticipated, the Applicants shall provide for each type of expansion joint a (one) representative example of its implementation, including the aforementioned documentation (justification, risk assessment, QAP, and intervention plan).</t>
        </is>
      </c>
      <c r="K19" s="6" t="inlineStr">
        <is>
          <t>RTM-079</t>
        </is>
      </c>
      <c r="L19" s="6" t="n"/>
      <c r="M19" s="6" t="n">
        <v>1</v>
      </c>
      <c r="N19" s="6" t="inlineStr">
        <is>
          <t>Exact canonical section, with child/supporting RTMs classified separately where applicable.</t>
        </is>
      </c>
      <c r="O19" s="6" t="inlineStr">
        <is>
          <t>OK</t>
        </is>
      </c>
      <c r="P19" s="6" t="inlineStr">
        <is>
          <t>SCK CEN/90508872 PDF+DOCX (08-Apr-2026)</t>
        </is>
      </c>
      <c r="Q19" s="6" t="inlineStr">
        <is>
          <t>SCK CEN/90508872 §4.4.1.1; no named external code in OFFER text</t>
        </is>
      </c>
      <c r="R19" s="6" t="inlineStr">
        <is>
          <t>None explicitly named in the OFFER text</t>
        </is>
      </c>
      <c r="S19" s="6" t="inlineStr">
        <is>
          <t>Submit and review the named deliverable with RTM traceability and approval status; Document review, inspection, certification, audit or traceable QC record</t>
        </is>
      </c>
      <c r="T19" s="6" t="inlineStr">
        <is>
          <t>Offer response: Expansion Joint Design &amp; Risk Justification; Quality Assurance Plan (QAP); Risk Assessment / HAZOP / FMECA</t>
        </is>
      </c>
      <c r="U19" s="6" t="inlineStr">
        <is>
          <t>L0 Tender / Offer; L1 Conceptual Design; L2 Detailed Design</t>
        </is>
      </c>
      <c r="V19" s="6" t="inlineStr">
        <is>
          <t>OFFER-stage evidence; linked standards are contextual; does not prove full RTM compliance</t>
        </is>
      </c>
    </row>
    <row r="20" ht="48" customHeight="1">
      <c r="A20" s="6" t="inlineStr">
        <is>
          <t>OFFER-15</t>
        </is>
      </c>
      <c r="B20" s="6" t="inlineStr">
        <is>
          <t>Compressor Noise Emission Specification</t>
        </is>
      </c>
      <c r="C20" s="6" t="n">
        <v>49</v>
      </c>
      <c r="D20" s="6" t="inlineStr">
        <is>
          <t>4.4.3.1</t>
        </is>
      </c>
      <c r="E20" s="6" t="inlineStr">
        <is>
          <t>General Requirements</t>
        </is>
      </c>
      <c r="F20" s="6" t="inlineStr">
        <is>
          <t>8.18</t>
        </is>
      </c>
      <c r="G20" s="6" t="inlineStr">
        <is>
          <t>MECHANICAL_DESIGN</t>
        </is>
      </c>
      <c r="H20" s="6" t="inlineStr">
        <is>
          <t>Noise &amp; Vibrations</t>
        </is>
      </c>
      <c r="I20" s="6" t="inlineStr">
        <is>
          <t>In the offer, the Applicant shall state and substantiate the expected noise levels at 1 m from each compressor.</t>
        </is>
      </c>
      <c r="J20" s="6" t="inlineStr">
        <is>
          <t>In the offer, the Applicant shall state and substantiate the expected noise levels at 1 m from each compressor.</t>
        </is>
      </c>
      <c r="K20" s="6" t="inlineStr">
        <is>
          <t>RTM-141..RTM-147</t>
        </is>
      </c>
      <c r="L20" s="6" t="n"/>
      <c r="M20" s="6" t="n">
        <v>7</v>
      </c>
      <c r="N20" s="6" t="inlineStr">
        <is>
          <t>Exact canonical section, with child/supporting RTMs classified separately where applicable.</t>
        </is>
      </c>
      <c r="O20" s="6" t="inlineStr">
        <is>
          <t>OK</t>
        </is>
      </c>
      <c r="P20" s="6" t="inlineStr">
        <is>
          <t>SCK CEN/90508872 PDF+DOCX (08-Apr-2026)</t>
        </is>
      </c>
      <c r="Q20" s="6" t="inlineStr">
        <is>
          <t>Linked canonical RTM/section: ISO 2372; ISO 20816; ISO 2954; ISO 2151</t>
        </is>
      </c>
      <c r="R20" s="6" t="inlineStr">
        <is>
          <t>None explicitly named in the OFFER text</t>
        </is>
      </c>
      <c r="S20" s="6" t="inlineStr">
        <is>
          <t>Submit and review the named deliverable with RTM traceability and approval status; Calculation/model plus calibrated measurement or recorded trend</t>
        </is>
      </c>
      <c r="T20" s="6" t="inlineStr">
        <is>
          <t>Offer response: Compressor Noise Emission Specification</t>
        </is>
      </c>
      <c r="U20" s="6" t="inlineStr">
        <is>
          <t>L0 Tender / Offer; L1 Conceptual Design; L2 Detailed Design</t>
        </is>
      </c>
      <c r="V20" s="6" t="inlineStr">
        <is>
          <t>OFFER-stage evidence; linked standards are contextual; does not prove full RTM compliance</t>
        </is>
      </c>
    </row>
    <row r="21" ht="48" customHeight="1">
      <c r="A21" s="6" t="inlineStr">
        <is>
          <t>OFFER-16</t>
        </is>
      </c>
      <c r="B21" s="6" t="inlineStr">
        <is>
          <t>Compressor Configuration &amp; Operating Limits</t>
        </is>
      </c>
      <c r="C21" s="6" t="n">
        <v>50</v>
      </c>
      <c r="D21" s="6" t="inlineStr">
        <is>
          <t>4.4.3.2</t>
        </is>
      </c>
      <c r="E21" s="6" t="inlineStr">
        <is>
          <t>Compressors requirements</t>
        </is>
      </c>
      <c r="F21" s="6" t="inlineStr">
        <is>
          <t>8.19</t>
        </is>
      </c>
      <c r="G21" s="6" t="inlineStr">
        <is>
          <t>MECHANICAL_DESIGN</t>
        </is>
      </c>
      <c r="H21" s="6" t="inlineStr">
        <is>
          <t>Equipment Design</t>
        </is>
      </c>
      <c r="I21" s="6" t="inlineStr">
        <is>
          <t>In the offer, the Applicant shall:</t>
        </is>
      </c>
      <c r="J21" s="6" t="inlineStr">
        <is>
          <t>In the offer, the Applicant shall:
• State the number of LP compressors (PVPS units) and HP compressors
• Confirm the long term sustainable operating frequency.</t>
        </is>
      </c>
      <c r="K21" s="6" t="inlineStr">
        <is>
          <t>RTM-148..RTM-152</t>
        </is>
      </c>
      <c r="L21" s="6" t="n"/>
      <c r="M21" s="6" t="n">
        <v>5</v>
      </c>
      <c r="N21" s="6" t="inlineStr">
        <is>
          <t>Exact canonical section, with child/supporting RTMs classified separately where applicable.</t>
        </is>
      </c>
      <c r="O21" s="6" t="inlineStr">
        <is>
          <t>OK</t>
        </is>
      </c>
      <c r="P21" s="6" t="inlineStr">
        <is>
          <t>SCK CEN/90508872 PDF+DOCX (08-Apr-2026)</t>
        </is>
      </c>
      <c r="Q21" s="6" t="inlineStr">
        <is>
          <t>Linked canonical RTM/section: API 671; ISO 10441</t>
        </is>
      </c>
      <c r="R21" s="6" t="inlineStr">
        <is>
          <t>None explicitly named in the OFFER text</t>
        </is>
      </c>
      <c r="S21" s="6" t="inlineStr">
        <is>
          <t>Submit and review the named deliverable with RTM traceability and approval status; Calculation/model plus calibrated measurement or recorded trend</t>
        </is>
      </c>
      <c r="T21" s="6" t="inlineStr">
        <is>
          <t>Offer response: Compressor Configuration &amp; Operating Limits</t>
        </is>
      </c>
      <c r="U21" s="6" t="inlineStr">
        <is>
          <t>L0 Tender / Offer; L1 Conceptual Design; L2 Detailed Design</t>
        </is>
      </c>
      <c r="V21" s="6" t="inlineStr">
        <is>
          <t>OFFER-stage evidence; linked standards are contextual; does not prove full RTM compliance</t>
        </is>
      </c>
    </row>
    <row r="22" ht="48" customHeight="1">
      <c r="A22" s="6" t="inlineStr">
        <is>
          <t>OFFER-17</t>
        </is>
      </c>
      <c r="B22" s="6" t="inlineStr">
        <is>
          <t>Preliminary 3D Plant Layout Model</t>
        </is>
      </c>
      <c r="C22" s="6" t="n">
        <v>55</v>
      </c>
      <c r="D22" s="6" t="inlineStr">
        <is>
          <t>4.4.4.1</t>
        </is>
      </c>
      <c r="E22" s="6" t="inlineStr">
        <is>
          <t>General Requirements</t>
        </is>
      </c>
      <c r="F22" s="6" t="inlineStr">
        <is>
          <t>8.20</t>
        </is>
      </c>
      <c r="G22" s="6" t="inlineStr">
        <is>
          <t>INFRASTRUCTURE</t>
        </is>
      </c>
      <c r="H22" s="6" t="inlineStr">
        <is>
          <t>Buildings &amp; Layout</t>
        </is>
      </c>
      <c r="I22" s="6" t="inlineStr">
        <is>
          <t>In the offer, the Applicant shall provide a preliminary 3D MODEL including the terminal points for the A, B, E and D lines.</t>
        </is>
      </c>
      <c r="J22" s="6" t="inlineStr">
        <is>
          <t>In the offer, the Applicant shall provide a preliminary 3D MODEL including the terminal points for the A, B, E and D lines.</t>
        </is>
      </c>
      <c r="K22" s="6" t="inlineStr">
        <is>
          <t>RTM-193..RTM-197</t>
        </is>
      </c>
      <c r="L22" s="6" t="n"/>
      <c r="M22" s="6" t="n">
        <v>5</v>
      </c>
      <c r="N22" s="6" t="inlineStr">
        <is>
          <t>Exact canonical section, with child/supporting RTMs classified separately where applicable.</t>
        </is>
      </c>
      <c r="O22" s="6" t="inlineStr">
        <is>
          <t>OK</t>
        </is>
      </c>
      <c r="P22" s="6" t="inlineStr">
        <is>
          <t>SCK CEN/90508872 PDF+DOCX (08-Apr-2026)</t>
        </is>
      </c>
      <c r="Q22" s="6" t="inlineStr">
        <is>
          <t>SCK CEN/90508872 §4.4.4.1; no named external code in OFFER text</t>
        </is>
      </c>
      <c r="R22" s="6" t="inlineStr">
        <is>
          <t>None explicitly named in the OFFER text</t>
        </is>
      </c>
      <c r="S22" s="6" t="inlineStr">
        <is>
          <t>Submit and review the named deliverable with RTM traceability and approval status; Calculation/model plus calibrated measurement or recorded trend; Document review, inspection, certification, audit or traceable QC record</t>
        </is>
      </c>
      <c r="T22" s="6" t="inlineStr">
        <is>
          <t>Offer response: Preliminary 3D Plant Layout Model; 3D / CAD Model</t>
        </is>
      </c>
      <c r="U22" s="6" t="inlineStr">
        <is>
          <t>L0 Tender / Offer; L1 Conceptual Design; L2 Detailed Design</t>
        </is>
      </c>
      <c r="V22" s="6" t="inlineStr">
        <is>
          <t>OFFER-stage evidence; linked standards are contextual; does not prove full RTM compliance</t>
        </is>
      </c>
    </row>
    <row r="23" ht="48" customHeight="1">
      <c r="A23" s="6" t="inlineStr">
        <is>
          <t>OFFER-18</t>
        </is>
      </c>
      <c r="B23" s="6" t="inlineStr">
        <is>
          <t>MPHX Technology Selection</t>
        </is>
      </c>
      <c r="C23" s="6" t="n">
        <v>56</v>
      </c>
      <c r="D23" s="6" t="inlineStr">
        <is>
          <t>4.4.4.2.2</t>
        </is>
      </c>
      <c r="E23" s="6" t="inlineStr">
        <is>
          <t>Main Process Heat Exchangers (MPHX)</t>
        </is>
      </c>
      <c r="F23" s="6" t="inlineStr">
        <is>
          <t>8.21</t>
        </is>
      </c>
      <c r="G23" s="6" t="inlineStr">
        <is>
          <t>PROCESS_DESIGN</t>
        </is>
      </c>
      <c r="H23" s="6" t="inlineStr">
        <is>
          <t>Thermodynamic Design</t>
        </is>
      </c>
      <c r="I23" s="6" t="inlineStr">
        <is>
          <t>In the offer, the Applicant shall describe the selected type of MPHX that will be used.</t>
        </is>
      </c>
      <c r="J23" s="6" t="inlineStr">
        <is>
          <t>In the offer, the Applicant shall describe the selected type of MPHX that will be used.</t>
        </is>
      </c>
      <c r="K23" s="6" t="inlineStr">
        <is>
          <t>RTM-202..RTM-209</t>
        </is>
      </c>
      <c r="L23" s="6" t="n"/>
      <c r="M23" s="6" t="n">
        <v>8</v>
      </c>
      <c r="N23" s="6" t="inlineStr">
        <is>
          <t>Exact canonical section, with child/supporting RTMs classified separately where applicable.</t>
        </is>
      </c>
      <c r="O23" s="6" t="inlineStr">
        <is>
          <t>OK</t>
        </is>
      </c>
      <c r="P23" s="6" t="inlineStr">
        <is>
          <t>SCK CEN/90508872 PDF+DOCX (08-Apr-2026)</t>
        </is>
      </c>
      <c r="Q23" s="6" t="inlineStr">
        <is>
          <t>SCK CEN/90508872 §4.4.4.2.2; no named external code in OFFER text</t>
        </is>
      </c>
      <c r="R23" s="6" t="inlineStr">
        <is>
          <t>None explicitly named in the OFFER text</t>
        </is>
      </c>
      <c r="S23" s="6" t="inlineStr">
        <is>
          <t>Submit and review the named deliverable with RTM traceability and approval status; Calculation/model plus calibrated measurement or recorded trend</t>
        </is>
      </c>
      <c r="T23" s="6" t="inlineStr">
        <is>
          <t>Offer response: MPHX Technology Selection</t>
        </is>
      </c>
      <c r="U23" s="6" t="inlineStr">
        <is>
          <t>L0 Tender / Offer; L1 Conceptual Design; L2 Detailed Design</t>
        </is>
      </c>
      <c r="V23" s="6" t="inlineStr">
        <is>
          <t>OFFER-stage evidence; linked standards are contextual; does not prove full RTM compliance</t>
        </is>
      </c>
    </row>
    <row r="24" ht="48" customHeight="1">
      <c r="A24" s="6" t="inlineStr">
        <is>
          <t>OFFER-19</t>
        </is>
      </c>
      <c r="B24" s="6" t="inlineStr">
        <is>
          <t>Warm Storage Heater (WSH) Design &amp; Layout</t>
        </is>
      </c>
      <c r="C24" s="6" t="n">
        <v>62</v>
      </c>
      <c r="D24" s="6" t="inlineStr">
        <is>
          <t>4.4.5.2</t>
        </is>
      </c>
      <c r="E24" s="6" t="inlineStr">
        <is>
          <t>WSH Requirements</t>
        </is>
      </c>
      <c r="F24" s="6" t="inlineStr">
        <is>
          <t>8.22</t>
        </is>
      </c>
      <c r="G24" s="6" t="inlineStr">
        <is>
          <t>PROCESS_DESIGN</t>
        </is>
      </c>
      <c r="H24" s="6" t="inlineStr">
        <is>
          <t>Process Interfaces</t>
        </is>
      </c>
      <c r="I24" s="6" t="inlineStr">
        <is>
          <t>In the offer, Applicant shall describe the WSH implementation. At minimum, the offer shall include</t>
        </is>
      </c>
      <c r="J24" s="6" t="inlineStr">
        <is>
          <t>In the offer, Applicant shall describe the WSH implementation. At minimum, the offer shall include
• The minimum total storage capacity
• The minimum quantity of storage vessels
• A conceptual layout of the WSH
• A confirmation that the available space provisions at the outside Storage Area are sufficient for the proposed configuration</t>
        </is>
      </c>
      <c r="K24" s="6" t="inlineStr">
        <is>
          <t>RTM-239..RTM-248</t>
        </is>
      </c>
      <c r="L24" s="6" t="n"/>
      <c r="M24" s="6" t="n">
        <v>10</v>
      </c>
      <c r="N24" s="6" t="inlineStr">
        <is>
          <t>Exact canonical section, with child/supporting RTMs classified separately where applicable.</t>
        </is>
      </c>
      <c r="O24" s="6" t="inlineStr">
        <is>
          <t>OK</t>
        </is>
      </c>
      <c r="P24" s="6" t="inlineStr">
        <is>
          <t>SCK CEN/90508872 PDF+DOCX (08-Apr-2026)</t>
        </is>
      </c>
      <c r="Q24" s="6" t="inlineStr">
        <is>
          <t>SCK CEN/90508872 §4.4.5.2; no named external code in OFFER text</t>
        </is>
      </c>
      <c r="R24" s="6" t="inlineStr">
        <is>
          <t>None explicitly named in the OFFER text</t>
        </is>
      </c>
      <c r="S24" s="6" t="inlineStr">
        <is>
          <t>Submit and review the named deliverable with RTM traceability and approval status; Calculation/model plus calibrated measurement or recorded trend</t>
        </is>
      </c>
      <c r="T24" s="6" t="inlineStr">
        <is>
          <t>Offer response: Warm Storage Heater (WSH) Design &amp; Layout</t>
        </is>
      </c>
      <c r="U24" s="6" t="inlineStr">
        <is>
          <t>L0 Tender / Offer; L1 Conceptual Design; L2 Detailed Design</t>
        </is>
      </c>
      <c r="V24" s="6" t="inlineStr">
        <is>
          <t>OFFER-stage evidence; linked standards are contextual; does not prove full RTM compliance</t>
        </is>
      </c>
    </row>
    <row r="25" ht="48" customHeight="1">
      <c r="A25" s="6" t="inlineStr">
        <is>
          <t>OFFER-20</t>
        </is>
      </c>
      <c r="B25" s="6" t="inlineStr">
        <is>
          <t>Helium Leak Detection &amp; Loss Management</t>
        </is>
      </c>
      <c r="C25" s="6" t="n">
        <v>63</v>
      </c>
      <c r="D25" s="6" t="inlineStr">
        <is>
          <t>4.4.7</t>
        </is>
      </c>
      <c r="E25" s="6" t="inlineStr">
        <is>
          <t>Helium Inventory Management</t>
        </is>
      </c>
      <c r="F25" s="6" t="inlineStr">
        <is>
          <t>8.23</t>
        </is>
      </c>
      <c r="G25" s="6" t="inlineStr">
        <is>
          <t>QUALITY_RISK</t>
        </is>
      </c>
      <c r="H25" s="6" t="inlineStr">
        <is>
          <t>Risk Management</t>
        </is>
      </c>
      <c r="I25" s="6" t="inlineStr">
        <is>
          <t>In the offer, the Applicant shall quantify and substantiate:</t>
        </is>
      </c>
      <c r="J25" s="6" t="inlineStr">
        <is>
          <t>In the offer, the Applicant shall quantify and substantiate:
• The expected leak rates, expressed as annual helium loss percentage, per leak type and in total, including diffusive losses.
• The helium leak-detection methods, pressure-hold test procedures, vacuum-decay or pressure-rise methodologies, and long-term monitoring techniques, including the corresponding acceptance criteria.
• The post-installation and operational monitoring strategy, including thresholds and monitoring frequency.
• The expected helium loss during conventional pump-down, purge, and conditioning operations for the QPS.</t>
        </is>
      </c>
      <c r="K25" s="6" t="inlineStr">
        <is>
          <t>RTM-252..RTM-257</t>
        </is>
      </c>
      <c r="L25" s="6" t="inlineStr">
        <is>
          <t>RTM-258..RTM-262</t>
        </is>
      </c>
      <c r="M25" s="6" t="n">
        <v>11</v>
      </c>
      <c r="N25" s="6" t="inlineStr">
        <is>
          <t>Exact canonical section, with child/supporting RTMs classified separately where applicable.</t>
        </is>
      </c>
      <c r="O25" s="6" t="inlineStr">
        <is>
          <t>OK — Review breadth</t>
        </is>
      </c>
      <c r="P25" s="6" t="inlineStr">
        <is>
          <t>SCK CEN/90508872 PDF+DOCX (08-Apr-2026)</t>
        </is>
      </c>
      <c r="Q25" s="6" t="inlineStr">
        <is>
          <t>Linked canonical RTM/section: EN 13185:2001</t>
        </is>
      </c>
      <c r="R25" s="6" t="inlineStr">
        <is>
          <t>None explicitly named in the OFFER text</t>
        </is>
      </c>
      <c r="S25" s="6" t="inlineStr">
        <is>
          <t>Submit and review the named deliverable with RTM traceability and approval status; Witnessed FAT/SAT/commissioning test against stated acceptance criteria; Functional design/configuration review and sequence/interface demonstration</t>
        </is>
      </c>
      <c r="T25" s="6" t="inlineStr">
        <is>
          <t>Offer response: Helium Leak Detection &amp; Loss Management; Test procedure / report; Procedure / work instruction</t>
        </is>
      </c>
      <c r="U25" s="6" t="inlineStr">
        <is>
          <t>L0 Tender / Offer; L4 Installation; L1 Conceptual Design; L2 Detailed Design</t>
        </is>
      </c>
      <c r="V25" s="6" t="inlineStr">
        <is>
          <t>OFFER-stage evidence; linked standards are contextual; does not prove full RTM compliance</t>
        </is>
      </c>
    </row>
    <row r="26" ht="48" customHeight="1">
      <c r="A26" s="6" t="inlineStr">
        <is>
          <t>OFFER-21</t>
        </is>
      </c>
      <c r="B26" s="6" t="inlineStr">
        <is>
          <t>LOOP Strategy &amp; Critical Load Management</t>
        </is>
      </c>
      <c r="C26" s="6" t="n">
        <v>63</v>
      </c>
      <c r="D26" s="6" t="inlineStr">
        <is>
          <t>4.4.7.1</t>
        </is>
      </c>
      <c r="E26" s="6" t="inlineStr">
        <is>
          <t>LOOP</t>
        </is>
      </c>
      <c r="F26" s="6" t="inlineStr">
        <is>
          <t>8.24</t>
        </is>
      </c>
      <c r="G26" s="6" t="inlineStr">
        <is>
          <t>PROCESS_DESIGN</t>
        </is>
      </c>
      <c r="H26" s="6" t="inlineStr">
        <is>
          <t>LOOP Strategy</t>
        </is>
      </c>
      <c r="I26" s="6" t="inlineStr">
        <is>
          <t>In the offer, the Applicant shall provide an indicative design of the LOOP strategy, including:</t>
        </is>
      </c>
      <c r="J26" s="6" t="inlineStr">
        <is>
          <t>In the offer, the Applicant shall provide an indicative design of the LOOP strategy, including:
• The identification of the critical loads to be maintained under LOOP conditions.
• The enveloping assumptions for the internal distribution logic, including switching, prioritization, and load-control schemes.
• The configuration and internal routing of the limited utility supplies.</t>
        </is>
      </c>
      <c r="K26" s="6" t="inlineStr">
        <is>
          <t>RTM-258</t>
        </is>
      </c>
      <c r="L26" s="6" t="n"/>
      <c r="M26" s="6" t="n">
        <v>1</v>
      </c>
      <c r="N26" s="6" t="inlineStr">
        <is>
          <t>Exact canonical section, with child/supporting RTMs classified separately where applicable.</t>
        </is>
      </c>
      <c r="O26" s="6" t="inlineStr">
        <is>
          <t>OK</t>
        </is>
      </c>
      <c r="P26" s="6" t="inlineStr">
        <is>
          <t>SCK CEN/90508872 PDF+DOCX (08-Apr-2026)</t>
        </is>
      </c>
      <c r="Q26" s="6" t="inlineStr">
        <is>
          <t>SCK CEN/90508872 §4.4.7.1; no named external code in OFFER text</t>
        </is>
      </c>
      <c r="R26" s="6" t="inlineStr">
        <is>
          <t>None explicitly named in the OFFER text</t>
        </is>
      </c>
      <c r="S26" s="6" t="inlineStr">
        <is>
          <t>Submit and review the named deliverable with RTM traceability and approval status; Functional design/configuration review and sequence/interface demonstration; RAM/maintenance substantiation and recovery/failure-response evidence</t>
        </is>
      </c>
      <c r="T26" s="6" t="inlineStr">
        <is>
          <t>Offer response: LOOP Strategy &amp; Critical Load Management</t>
        </is>
      </c>
      <c r="U26" s="6" t="inlineStr">
        <is>
          <t>L0 Tender / Offer; L1 Conceptual Design; L2 Detailed Design</t>
        </is>
      </c>
      <c r="V26" s="6" t="inlineStr">
        <is>
          <t>OFFER-stage evidence; linked standards are contextual; does not prove full RTM compliance</t>
        </is>
      </c>
    </row>
    <row r="27" ht="48" customHeight="1">
      <c r="A27" s="6" t="inlineStr">
        <is>
          <t>OFFER-22</t>
        </is>
      </c>
      <c r="B27" s="6" t="inlineStr">
        <is>
          <t>Helium Recovery System Design</t>
        </is>
      </c>
      <c r="C27" s="6" t="n">
        <v>64</v>
      </c>
      <c r="D27" s="6" t="inlineStr">
        <is>
          <t>4.4.7.3</t>
        </is>
      </c>
      <c r="E27" s="6" t="inlineStr">
        <is>
          <t>Abnormal conditions</t>
        </is>
      </c>
      <c r="F27" s="6" t="inlineStr">
        <is>
          <t>8.25</t>
        </is>
      </c>
      <c r="G27" s="6" t="inlineStr">
        <is>
          <t>PROCESS_DESIGN</t>
        </is>
      </c>
      <c r="H27" s="6" t="inlineStr">
        <is>
          <t>Helium Management</t>
        </is>
      </c>
      <c r="I27" s="6" t="inlineStr">
        <is>
          <t>In the offer, the Applicant shall present a high-level description of the helium recovery strategy including but not limited to</t>
        </is>
      </c>
      <c r="J27" s="6" t="inlineStr">
        <is>
          <t>In the offer, the Applicant shall present a high-level description of the helium recovery strategy including but not limited to
• A Bill of Materials (BoM) of all recovery components (e.g. low-pressure gas balloon storage and/or high-pressure compressor-driven recovery and/or dedicated purification system).
• The maximum flow that the QPS can accept from the S line.</t>
        </is>
      </c>
      <c r="K27" s="6" t="inlineStr">
        <is>
          <t>RTM-260..RTM-262</t>
        </is>
      </c>
      <c r="L27" s="6" t="n"/>
      <c r="M27" s="6" t="n">
        <v>3</v>
      </c>
      <c r="N27" s="6" t="inlineStr">
        <is>
          <t>Exact canonical section, with child/supporting RTMs classified separately where applicable.</t>
        </is>
      </c>
      <c r="O27" s="6" t="inlineStr">
        <is>
          <t>OK</t>
        </is>
      </c>
      <c r="P27" s="6" t="inlineStr">
        <is>
          <t>SCK CEN/90508872 PDF+DOCX (08-Apr-2026)</t>
        </is>
      </c>
      <c r="Q27" s="6" t="inlineStr">
        <is>
          <t>SCK CEN/90508872 §4.4.7.3; no named external code in OFFER text</t>
        </is>
      </c>
      <c r="R27" s="6" t="inlineStr">
        <is>
          <t>None explicitly named in the OFFER text</t>
        </is>
      </c>
      <c r="S27" s="6" t="inlineStr">
        <is>
          <t>Submit and review the named deliverable with RTM traceability and approval status; RAM/maintenance substantiation and recovery/failure-response evidence</t>
        </is>
      </c>
      <c r="T27" s="6" t="inlineStr">
        <is>
          <t>Offer response: Helium Recovery System Design</t>
        </is>
      </c>
      <c r="U27" s="6" t="inlineStr">
        <is>
          <t>L0 Tender / Offer; L1 Conceptual Design; L2 Detailed Design</t>
        </is>
      </c>
      <c r="V27" s="6" t="inlineStr">
        <is>
          <t>OFFER-stage evidence; linked standards are contextual; does not prove full RTM compliance</t>
        </is>
      </c>
    </row>
    <row r="28" ht="48" customHeight="1">
      <c r="A28" s="6" t="inlineStr">
        <is>
          <t>OFFER-23</t>
        </is>
      </c>
      <c r="B28" s="6" t="inlineStr">
        <is>
          <t>User Configuration Filling Performance</t>
        </is>
      </c>
      <c r="C28" s="6" t="n">
        <v>65</v>
      </c>
      <c r="D28" s="6" t="inlineStr">
        <is>
          <t>4.4.8.1</t>
        </is>
      </c>
      <c r="E28" s="6" t="inlineStr">
        <is>
          <t>Dewar Filling Station</t>
        </is>
      </c>
      <c r="F28" s="6" t="inlineStr">
        <is>
          <t>8.26</t>
        </is>
      </c>
      <c r="G28" s="6" t="inlineStr">
        <is>
          <t>SYSTEM_PERFORMANCE</t>
        </is>
      </c>
      <c r="H28" s="6" t="inlineStr">
        <is>
          <t>Filling/Emptying Performance</t>
        </is>
      </c>
      <c r="I28" s="6" t="inlineStr">
        <is>
          <t>In the offer, the Applicant shall indicate the maximum filling rate that QPS can provide for each of the two user configurations (LINAC_24 and LINAC_30). The values shall be specified for the operational scenarios 2K-OP, 2K-SB, and 4K-SB.</t>
        </is>
      </c>
      <c r="J28" s="6" t="inlineStr">
        <is>
          <t>In the offer, the Applicant shall indicate the maximum filling rate that QPS can provide for each of the two user configurations (LINAC_24 and LINAC_30). The values shall be specified for the operational scenarios 2K-OP, 2K-SB, and 4K-SB.</t>
        </is>
      </c>
      <c r="K28" s="6" t="inlineStr">
        <is>
          <t>RTM-268..RTM-272</t>
        </is>
      </c>
      <c r="L28" s="6" t="n"/>
      <c r="M28" s="6" t="n">
        <v>5</v>
      </c>
      <c r="N28" s="6" t="inlineStr">
        <is>
          <t>Exact canonical section, with child/supporting RTMs classified separately where applicable.</t>
        </is>
      </c>
      <c r="O28" s="6" t="inlineStr">
        <is>
          <t>OK</t>
        </is>
      </c>
      <c r="P28" s="6" t="inlineStr">
        <is>
          <t>SCK CEN/90508872 PDF+DOCX (08-Apr-2026)</t>
        </is>
      </c>
      <c r="Q28" s="6" t="inlineStr">
        <is>
          <t>SCK CEN/90508872 §4.4.8.1; no named external code in OFFER text</t>
        </is>
      </c>
      <c r="R28" s="6" t="inlineStr">
        <is>
          <t>None explicitly named in the OFFER text</t>
        </is>
      </c>
      <c r="S28" s="6" t="inlineStr">
        <is>
          <t>Submit and review the named deliverable with RTM traceability and approval status; Calculation/model plus calibrated measurement or recorded trend; Functional design/configuration review and sequence/interface demonstration</t>
        </is>
      </c>
      <c r="T28" s="6" t="inlineStr">
        <is>
          <t>Offer response: User Configuration Filling Performance</t>
        </is>
      </c>
      <c r="U28" s="6" t="inlineStr">
        <is>
          <t>L0 Tender / Offer; L1 Conceptual Design; L2 Detailed Design</t>
        </is>
      </c>
      <c r="V28" s="6" t="inlineStr">
        <is>
          <t>OFFER-stage evidence; linked standards are contextual; does not prove full RTM compliance</t>
        </is>
      </c>
    </row>
    <row r="29" ht="48" customHeight="1">
      <c r="A29" s="6" t="inlineStr">
        <is>
          <t>OFFER-24</t>
        </is>
      </c>
      <c r="B29" s="6" t="inlineStr">
        <is>
          <t>Helium Purity Acceptance Criteria</t>
        </is>
      </c>
      <c r="C29" s="6" t="n">
        <v>66</v>
      </c>
      <c r="D29" s="6" t="inlineStr">
        <is>
          <t>4.4.8.2</t>
        </is>
      </c>
      <c r="E29" s="6" t="inlineStr">
        <is>
          <t>Warm GHe Recovery from WGR-MAC</t>
        </is>
      </c>
      <c r="F29" s="6" t="inlineStr">
        <is>
          <t>8.27</t>
        </is>
      </c>
      <c r="G29" s="6" t="inlineStr">
        <is>
          <t>PROCESS_DESIGN</t>
        </is>
      </c>
      <c r="H29" s="6" t="inlineStr">
        <is>
          <t>Helium Management</t>
        </is>
      </c>
      <c r="I29" s="6" t="inlineStr">
        <is>
          <t>In the offer, the Applicant shall define the helium purity acceptance criteria for the GHe returning via line QRB.G20.</t>
        </is>
      </c>
      <c r="J29" s="6" t="inlineStr">
        <is>
          <t>In the offer, the Applicant shall define the helium purity acceptance criteria for the GHe returning via line QRB.G20.</t>
        </is>
      </c>
      <c r="K29" s="6" t="inlineStr">
        <is>
          <t>RTM-273..RTM-280</t>
        </is>
      </c>
      <c r="L29" s="6" t="n"/>
      <c r="M29" s="6" t="n">
        <v>8</v>
      </c>
      <c r="N29" s="6" t="inlineStr">
        <is>
          <t>Exact canonical section, with child/supporting RTMs classified separately where applicable.</t>
        </is>
      </c>
      <c r="O29" s="6" t="inlineStr">
        <is>
          <t>OK</t>
        </is>
      </c>
      <c r="P29" s="6" t="inlineStr">
        <is>
          <t>SCK CEN/90508872 PDF+DOCX (08-Apr-2026)</t>
        </is>
      </c>
      <c r="Q29" s="6" t="inlineStr">
        <is>
          <t>SCK CEN/90508872 §4.4.8.2; no named external code in OFFER text</t>
        </is>
      </c>
      <c r="R29" s="6" t="inlineStr">
        <is>
          <t>None explicitly named in the OFFER text</t>
        </is>
      </c>
      <c r="S29" s="6" t="inlineStr">
        <is>
          <t>Submit and review the named deliverable with RTM traceability and approval status</t>
        </is>
      </c>
      <c r="T29" s="6" t="inlineStr">
        <is>
          <t>Offer response: Helium Purity Acceptance Criteria</t>
        </is>
      </c>
      <c r="U29" s="6" t="inlineStr">
        <is>
          <t>L0 Tender / Offer; L1 Conceptual Design; L2 Detailed Design</t>
        </is>
      </c>
      <c r="V29" s="6" t="inlineStr">
        <is>
          <t>OFFER-stage evidence; linked standards are contextual; does not prove full RTM compliance</t>
        </is>
      </c>
    </row>
    <row r="30" ht="48" customHeight="1">
      <c r="A30" s="6" t="inlineStr">
        <is>
          <t>OFFER-25</t>
        </is>
      </c>
      <c r="B30" s="6" t="inlineStr">
        <is>
          <t>Supplier Experience &amp; Reference Justification</t>
        </is>
      </c>
      <c r="C30" s="6" t="n">
        <v>74</v>
      </c>
      <c r="D30" s="6" t="inlineStr">
        <is>
          <t>4.6.4.5</t>
        </is>
      </c>
      <c r="E30" s="6" t="inlineStr">
        <is>
          <t>Security</t>
        </is>
      </c>
      <c r="F30" s="6" t="inlineStr">
        <is>
          <t>8.28</t>
        </is>
      </c>
      <c r="G30" s="6" t="inlineStr">
        <is>
          <t>COMMERCIAL</t>
        </is>
      </c>
      <c r="H30" s="6" t="inlineStr">
        <is>
          <t>Qualification</t>
        </is>
      </c>
      <c r="I30" s="6" t="inlineStr">
        <is>
          <t>In the offer, the Applicant shall indicate and substantiate their level of experience in providing such information.</t>
        </is>
      </c>
      <c r="J30" s="6" t="inlineStr">
        <is>
          <t>In the offer, the Applicant shall indicate and substantiate their level of experience in providing such information.</t>
        </is>
      </c>
      <c r="K30" s="6" t="inlineStr">
        <is>
          <t>RTM-321..RTM-327</t>
        </is>
      </c>
      <c r="L30" s="6" t="n"/>
      <c r="M30" s="6" t="n">
        <v>7</v>
      </c>
      <c r="N30" s="6" t="inlineStr">
        <is>
          <t>Exact canonical section, with child/supporting RTMs classified separately where applicable.</t>
        </is>
      </c>
      <c r="O30" s="6" t="inlineStr">
        <is>
          <t>OK</t>
        </is>
      </c>
      <c r="P30" s="6" t="inlineStr">
        <is>
          <t>SCK CEN/90508872 PDF+DOCX (08-Apr-2026)</t>
        </is>
      </c>
      <c r="Q30" s="6" t="inlineStr">
        <is>
          <t>Linked canonical RTM/section: ISO 27001; IEC 62443-3-3; EU Cyber Resilience Act (CRA); CE marking</t>
        </is>
      </c>
      <c r="R30" s="6" t="inlineStr">
        <is>
          <t>None explicitly named in the OFFER text</t>
        </is>
      </c>
      <c r="S30" s="6" t="inlineStr">
        <is>
          <t>Submit and review the named deliverable with RTM traceability and approval status</t>
        </is>
      </c>
      <c r="T30" s="6" t="inlineStr">
        <is>
          <t>Offer response: Supplier Experience &amp; Reference Justification</t>
        </is>
      </c>
      <c r="U30" s="6" t="inlineStr">
        <is>
          <t>L0 Tender / Offer; L1 Conceptual Design; L2 Detailed Design</t>
        </is>
      </c>
      <c r="V30" s="6" t="inlineStr">
        <is>
          <t>OFFER-stage evidence; linked standards are contextual; does not prove full RTM compliance</t>
        </is>
      </c>
    </row>
    <row r="31" ht="48" customHeight="1">
      <c r="A31" s="6" t="inlineStr">
        <is>
          <t>OFFER-26</t>
        </is>
      </c>
      <c r="B31" s="6" t="inlineStr">
        <is>
          <t>Software Architecture &amp; Development Scope</t>
        </is>
      </c>
      <c r="C31" s="6" t="n">
        <v>76</v>
      </c>
      <c r="D31" s="6" t="inlineStr">
        <is>
          <t>4.6.7</t>
        </is>
      </c>
      <c r="E31" s="6" t="inlineStr">
        <is>
          <t>Software development</t>
        </is>
      </c>
      <c r="F31" s="6" t="inlineStr">
        <is>
          <t>8.29</t>
        </is>
      </c>
      <c r="G31" s="6" t="inlineStr">
        <is>
          <t>SOFTWARE</t>
        </is>
      </c>
      <c r="H31" s="6" t="inlineStr">
        <is>
          <t>Software Architecture</t>
        </is>
      </c>
      <c r="I31" s="6" t="inlineStr">
        <is>
          <t>In the offer, the Applicant shall provide sufficient detail deemed representative of the anticipated software development scope, including assumptions, planned methodologies, and architectural breakdown.</t>
        </is>
      </c>
      <c r="J31" s="6" t="inlineStr">
        <is>
          <t>In the offer, the Applicant shall provide sufficient detail deemed representative of the anticipated software development scope, including assumptions, planned methodologies, and architectural breakdown.</t>
        </is>
      </c>
      <c r="K31" s="6" t="inlineStr">
        <is>
          <t>RTM-334..RTM-339</t>
        </is>
      </c>
      <c r="L31" s="6" t="inlineStr">
        <is>
          <t>RTM-340..RTM-345</t>
        </is>
      </c>
      <c r="M31" s="6" t="n">
        <v>12</v>
      </c>
      <c r="N31" s="6" t="inlineStr">
        <is>
          <t>Exact canonical section, with child/supporting RTMs classified separately where applicable.</t>
        </is>
      </c>
      <c r="O31" s="6" t="inlineStr">
        <is>
          <t>OK</t>
        </is>
      </c>
      <c r="P31" s="6" t="inlineStr">
        <is>
          <t>SCK CEN/90508872 PDF+DOCX (08-Apr-2026)</t>
        </is>
      </c>
      <c r="Q31" s="6" t="inlineStr">
        <is>
          <t>Linked canonical RTM/section: IEC 61131-3</t>
        </is>
      </c>
      <c r="R31" s="6" t="inlineStr">
        <is>
          <t>None explicitly named in the OFFER text</t>
        </is>
      </c>
      <c r="S31" s="6" t="inlineStr">
        <is>
          <t>Submit and review the named deliverable with RTM traceability and approval status; Functional design/configuration review and sequence/interface demonstration</t>
        </is>
      </c>
      <c r="T31" s="6" t="inlineStr">
        <is>
          <t>Offer response: Software Architecture &amp; Development Scope</t>
        </is>
      </c>
      <c r="U31" s="6" t="inlineStr">
        <is>
          <t>L0 Tender / Offer; L1 Conceptual Design; L2 Detailed Design</t>
        </is>
      </c>
      <c r="V31" s="6" t="inlineStr">
        <is>
          <t>OFFER-stage evidence; linked standards are contextual; does not prove full RTM compliance</t>
        </is>
      </c>
    </row>
    <row r="32" ht="48" customHeight="1">
      <c r="A32" s="6" t="inlineStr">
        <is>
          <t>OFFER-27</t>
        </is>
      </c>
      <c r="B32" s="6" t="inlineStr">
        <is>
          <t>Programming Standards &amp; Language Strategy</t>
        </is>
      </c>
      <c r="C32" s="6" t="n">
        <v>76</v>
      </c>
      <c r="D32" s="6" t="inlineStr">
        <is>
          <t>4.6.7</t>
        </is>
      </c>
      <c r="E32" s="6" t="inlineStr">
        <is>
          <t>Software development</t>
        </is>
      </c>
      <c r="F32" s="6" t="inlineStr">
        <is>
          <t>8.30</t>
        </is>
      </c>
      <c r="G32" s="6" t="inlineStr">
        <is>
          <t>SOFTWARE</t>
        </is>
      </c>
      <c r="H32" s="6" t="inlineStr">
        <is>
          <t>Programming Standards</t>
        </is>
      </c>
      <c r="I32" s="6" t="inlineStr">
        <is>
          <t>In the offer, the Applicant shall:</t>
        </is>
      </c>
      <c r="J32" s="6" t="inlineStr">
        <is>
          <t>In the offer, the Applicant shall:
• Declare the programming languages to be used per functional block.
• Justify any deviation from ST and including retained IL-based implementations.
• Demonstrate software structuring practices that favour maintainability, reuse, and modular design.
• Proposals will be evaluated with preference given to Applicants demonstrating disciplined use of structured IEC 61131-3 languages and long-term maintainability strategies.</t>
        </is>
      </c>
      <c r="K32" s="6" t="inlineStr">
        <is>
          <t>RTM-340..RTM-341; RTM-343..RTM-344</t>
        </is>
      </c>
      <c r="L32" s="6" t="inlineStr">
        <is>
          <t>RTM-334..RTM-339; RTM-342; RTM-345</t>
        </is>
      </c>
      <c r="M32" s="6" t="n">
        <v>12</v>
      </c>
      <c r="N32" s="6" t="inlineStr">
        <is>
          <t>Exact canonical section, with child/supporting RTMs classified separately where applicable.</t>
        </is>
      </c>
      <c r="O32" s="6" t="inlineStr">
        <is>
          <t>OK</t>
        </is>
      </c>
      <c r="P32" s="6" t="inlineStr">
        <is>
          <t>SCK CEN/90508872 PDF+DOCX (08-Apr-2026)</t>
        </is>
      </c>
      <c r="Q32" s="6" t="inlineStr">
        <is>
          <t>Linked canonical RTM/section: IEC 61131-3</t>
        </is>
      </c>
      <c r="R32" s="6" t="inlineStr">
        <is>
          <t>IEC 61131-3</t>
        </is>
      </c>
      <c r="S32" s="6" t="inlineStr">
        <is>
          <t>Submit and review the named deliverable with RTM traceability and approval status; Witnessed FAT/SAT/commissioning test against stated acceptance criteria; Functional design/configuration review and sequence/interface demonstration</t>
        </is>
      </c>
      <c r="T32" s="6" t="inlineStr">
        <is>
          <t>Offer response: Programming Standards &amp; Language Strategy</t>
        </is>
      </c>
      <c r="U32" s="6" t="inlineStr">
        <is>
          <t>L0 Tender / Offer; L1 Conceptual Design; L2 Detailed Design</t>
        </is>
      </c>
      <c r="V32" s="6" t="inlineStr">
        <is>
          <t>OFFER-stage evidence; linked standards are contextual; does not prove full RTM compliance</t>
        </is>
      </c>
    </row>
    <row r="33" ht="48" customHeight="1">
      <c r="A33" s="6" t="inlineStr">
        <is>
          <t>OFFER-28</t>
        </is>
      </c>
      <c r="B33" s="6" t="inlineStr">
        <is>
          <t>Functional Analysis &amp; Control Sequences</t>
        </is>
      </c>
      <c r="C33" s="6" t="n">
        <v>77</v>
      </c>
      <c r="D33" s="6" t="inlineStr">
        <is>
          <t>4.6.7</t>
        </is>
      </c>
      <c r="E33" s="6" t="inlineStr">
        <is>
          <t>Software development</t>
        </is>
      </c>
      <c r="F33" s="6" t="inlineStr">
        <is>
          <t>8.31</t>
        </is>
      </c>
      <c r="G33" s="6" t="inlineStr">
        <is>
          <t>SOFTWARE</t>
        </is>
      </c>
      <c r="H33" s="6" t="inlineStr">
        <is>
          <t>Functional Analysis</t>
        </is>
      </c>
      <c r="I33" s="6" t="inlineStr">
        <is>
          <t>In the offer, the Applicant shall provide a preliminary functional analysis and indicative control sequence plan, representative of the anticipated implementation. This shall include key functions, procedural steps, and interface interactions necessary to support evaluation of scope, architecture complexity, and design maturity.</t>
        </is>
      </c>
      <c r="J33" s="6" t="inlineStr">
        <is>
          <t>In the offer, the Applicant shall provide a preliminary functional analysis and indicative control sequence plan, representative of the anticipated implementation. This shall include key functions, procedural steps, and interface interactions necessary to support evaluation of scope, architecture complexity, and design maturity.</t>
        </is>
      </c>
      <c r="K33" s="6" t="inlineStr">
        <is>
          <t>RTM-342; RTM-345</t>
        </is>
      </c>
      <c r="L33" s="6" t="inlineStr">
        <is>
          <t>RTM-334..RTM-341; RTM-343..RTM-344</t>
        </is>
      </c>
      <c r="M33" s="6" t="n">
        <v>12</v>
      </c>
      <c r="N33" s="6" t="inlineStr">
        <is>
          <t>Exact canonical section, with child/supporting RTMs classified separately where applicable.</t>
        </is>
      </c>
      <c r="O33" s="6" t="inlineStr">
        <is>
          <t>OK</t>
        </is>
      </c>
      <c r="P33" s="6" t="inlineStr">
        <is>
          <t>SCK CEN/90508872 PDF+DOCX (08-Apr-2026)</t>
        </is>
      </c>
      <c r="Q33" s="6" t="inlineStr">
        <is>
          <t>Linked canonical RTM/section: IEC 61131-3</t>
        </is>
      </c>
      <c r="R33" s="6" t="inlineStr">
        <is>
          <t>None explicitly named in the OFFER text</t>
        </is>
      </c>
      <c r="S33" s="6" t="inlineStr">
        <is>
          <t>Submit and review the named deliverable with RTM traceability and approval status; Functional design/configuration review and sequence/interface demonstration</t>
        </is>
      </c>
      <c r="T33" s="6" t="inlineStr">
        <is>
          <t>Offer response: Functional Analysis &amp; Control Sequences</t>
        </is>
      </c>
      <c r="U33" s="6" t="inlineStr">
        <is>
          <t>L0 Tender / Offer; L1 Conceptual Design; L2 Detailed Design</t>
        </is>
      </c>
      <c r="V33" s="6" t="inlineStr">
        <is>
          <t>OFFER-stage evidence; linked standards are contextual; does not prove full RTM compliance</t>
        </is>
      </c>
    </row>
    <row r="34" ht="48" customHeight="1">
      <c r="A34" s="6" t="inlineStr">
        <is>
          <t>OFFER-29</t>
        </is>
      </c>
      <c r="B34" s="6" t="inlineStr">
        <is>
          <t>Control System Obsolescence Strategy</t>
        </is>
      </c>
      <c r="C34" s="6" t="n">
        <v>78</v>
      </c>
      <c r="D34" s="6" t="inlineStr">
        <is>
          <t>4.6.8</t>
        </is>
      </c>
      <c r="E34" s="6" t="inlineStr">
        <is>
          <t>SCADA, HMI, and Data Historian Infrastructure</t>
        </is>
      </c>
      <c r="F34" s="6" t="inlineStr">
        <is>
          <t>8.32</t>
        </is>
      </c>
      <c r="G34" s="6" t="inlineStr">
        <is>
          <t>CONTROL_SYSTEM</t>
        </is>
      </c>
      <c r="H34" s="6" t="inlineStr">
        <is>
          <t>Lifecycle Management</t>
        </is>
      </c>
      <c r="I34" s="6" t="inlineStr">
        <is>
          <t>In the offer, the Applicant shall explicitly address the obsolescence management strategy for the proposed PLC or control system platform, considering the anticipated forty (40) year operational lifetime of QPS. This shall include:</t>
        </is>
      </c>
      <c r="J34" s="6" t="inlineStr">
        <is>
          <t>In the offer, the Applicant shall explicitly address the obsolescence management strategy for the proposed PLC or control system platform, considering the anticipated forty (40) year operational lifetime of QPS. This shall include:
• Manufacturer support lifecycle documentation
• Spare part availability forecasts and migration plans
• Platform evolution roadmap (e.g., upgrade compatibility or virtualization strategy)
• Technical or commercial approach to sustaining software and hardware support beyond the guaranteed 20-year update period (e.g., stockpiling, long-term service contracts, emulation layers).</t>
        </is>
      </c>
      <c r="K34" s="6" t="inlineStr">
        <is>
          <t>RTM-346..RTM-367</t>
        </is>
      </c>
      <c r="L34" s="6" t="n"/>
      <c r="M34" s="6" t="n">
        <v>22</v>
      </c>
      <c r="N34" s="6" t="inlineStr">
        <is>
          <t>Exact canonical section, with child/supporting RTMs classified separately where applicable.</t>
        </is>
      </c>
      <c r="O34" s="6" t="inlineStr">
        <is>
          <t>OK</t>
        </is>
      </c>
      <c r="P34" s="6" t="inlineStr">
        <is>
          <t>SCK CEN/90508872 PDF+DOCX (08-Apr-2026)</t>
        </is>
      </c>
      <c r="Q34" s="6" t="inlineStr">
        <is>
          <t>SCK CEN/90508872 §4.6.8; no named external code in OFFER text</t>
        </is>
      </c>
      <c r="R34" s="6" t="inlineStr">
        <is>
          <t>None explicitly named in the OFFER text</t>
        </is>
      </c>
      <c r="S34" s="6" t="inlineStr">
        <is>
          <t>Submit and review the named deliverable with RTM traceability and approval status; Functional design/configuration review and sequence/interface demonstration; RAM/maintenance substantiation and recovery/failure-response evidence</t>
        </is>
      </c>
      <c r="T34" s="6" t="inlineStr">
        <is>
          <t>Offer response: Control System Obsolescence Strategy</t>
        </is>
      </c>
      <c r="U34" s="6" t="inlineStr">
        <is>
          <t>L0 Tender / Offer; L1 Conceptual Design; L2 Detailed Design</t>
        </is>
      </c>
      <c r="V34" s="6" t="inlineStr">
        <is>
          <t>OFFER-stage evidence; linked standards are contextual; does not prove full RTM compliance</t>
        </is>
      </c>
    </row>
    <row r="35" ht="48" customHeight="1">
      <c r="A35" s="6" t="inlineStr">
        <is>
          <t>OFFER-30</t>
        </is>
      </c>
      <c r="B35" s="6" t="inlineStr">
        <is>
          <t>Software Change Management Process</t>
        </is>
      </c>
      <c r="C35" s="6" t="n">
        <v>79</v>
      </c>
      <c r="D35" s="6" t="inlineStr">
        <is>
          <t>4.6.9</t>
        </is>
      </c>
      <c r="E35" s="6" t="inlineStr">
        <is>
          <t>Software Change Management</t>
        </is>
      </c>
      <c r="F35" s="6" t="inlineStr">
        <is>
          <t>8.33</t>
        </is>
      </c>
      <c r="G35" s="6" t="inlineStr">
        <is>
          <t>SOFTWARE</t>
        </is>
      </c>
      <c r="H35" s="6" t="inlineStr">
        <is>
          <t>Change Management</t>
        </is>
      </c>
      <c r="I35" s="6" t="inlineStr">
        <is>
          <t>In the offer, the Applicant shall detail how he shall implement the software change management.</t>
        </is>
      </c>
      <c r="J35" s="6" t="inlineStr">
        <is>
          <t>In the offer, the Applicant shall detail how he shall implement the software change management.</t>
        </is>
      </c>
      <c r="K35" s="6" t="inlineStr">
        <is>
          <t>RTM-368..RTM-370</t>
        </is>
      </c>
      <c r="L35" s="6" t="n"/>
      <c r="M35" s="6" t="n">
        <v>3</v>
      </c>
      <c r="N35" s="6" t="inlineStr">
        <is>
          <t>Exact canonical section, with child/supporting RTMs classified separately where applicable.</t>
        </is>
      </c>
      <c r="O35" s="6" t="inlineStr">
        <is>
          <t>OK</t>
        </is>
      </c>
      <c r="P35" s="6" t="inlineStr">
        <is>
          <t>SCK CEN/90508872 PDF+DOCX (08-Apr-2026)</t>
        </is>
      </c>
      <c r="Q35" s="6" t="inlineStr">
        <is>
          <t>SCK CEN/90508872 §4.6.9; no named external code in OFFER text</t>
        </is>
      </c>
      <c r="R35" s="6" t="inlineStr">
        <is>
          <t>None explicitly named in the OFFER text</t>
        </is>
      </c>
      <c r="S35" s="6" t="inlineStr">
        <is>
          <t>Submit and review the named deliverable with RTM traceability and approval status; Functional design/configuration review and sequence/interface demonstration</t>
        </is>
      </c>
      <c r="T35" s="6" t="inlineStr">
        <is>
          <t>Offer response: Software Change Management Process</t>
        </is>
      </c>
      <c r="U35" s="6" t="inlineStr">
        <is>
          <t>L0 Tender / Offer; L1 Conceptual Design; L2 Detailed Design</t>
        </is>
      </c>
      <c r="V35" s="6" t="inlineStr">
        <is>
          <t>OFFER-stage evidence; linked standards are contextual; does not prove full RTM compliance</t>
        </is>
      </c>
    </row>
    <row r="36" ht="48" customHeight="1">
      <c r="A36" s="6" t="inlineStr">
        <is>
          <t>OFFER-31</t>
        </is>
      </c>
      <c r="B36" s="6" t="inlineStr">
        <is>
          <t>Cold Box Environmental Requirements</t>
        </is>
      </c>
      <c r="C36" s="6" t="n">
        <v>80</v>
      </c>
      <c r="D36" s="6" t="inlineStr">
        <is>
          <t>4.7.1</t>
        </is>
      </c>
      <c r="E36" s="6" t="inlineStr">
        <is>
          <t>Site environmental conditions</t>
        </is>
      </c>
      <c r="F36" s="6" t="inlineStr">
        <is>
          <t>8.34</t>
        </is>
      </c>
      <c r="G36" s="6" t="inlineStr">
        <is>
          <t>INFRASTRUCTURE</t>
        </is>
      </c>
      <c r="H36" s="6" t="inlineStr">
        <is>
          <t>Buildings &amp; Layout</t>
        </is>
      </c>
      <c r="I36" s="6" t="inlineStr">
        <is>
          <t>In the offer, the Applicants shall indicate any required deviation from the specified Cold Box Room temperature range.</t>
        </is>
      </c>
      <c r="J36" s="6" t="inlineStr">
        <is>
          <t>In the offer, the Applicants shall indicate any required deviation from the specified Cold Box Room temperature range.</t>
        </is>
      </c>
      <c r="K36" s="6" t="inlineStr">
        <is>
          <t>RTM-386..RTM-387</t>
        </is>
      </c>
      <c r="L36" s="6" t="n"/>
      <c r="M36" s="6" t="n">
        <v>2</v>
      </c>
      <c r="N36" s="6" t="inlineStr">
        <is>
          <t>Exact canonical section, with child/supporting RTMs classified separately where applicable.</t>
        </is>
      </c>
      <c r="O36" s="6" t="inlineStr">
        <is>
          <t>OK</t>
        </is>
      </c>
      <c r="P36" s="6" t="inlineStr">
        <is>
          <t>SCK CEN/90508872 PDF+DOCX (08-Apr-2026)</t>
        </is>
      </c>
      <c r="Q36" s="6" t="inlineStr">
        <is>
          <t>SCK CEN/90508872 §4.7.1; no named external code in OFFER text</t>
        </is>
      </c>
      <c r="R36" s="6" t="inlineStr">
        <is>
          <t>None explicitly named in the OFFER text</t>
        </is>
      </c>
      <c r="S36" s="6" t="inlineStr">
        <is>
          <t>Submit and review the named deliverable with RTM traceability and approval status</t>
        </is>
      </c>
      <c r="T36" s="6" t="inlineStr">
        <is>
          <t>Offer response: Cold Box Environmental Requirements</t>
        </is>
      </c>
      <c r="U36" s="6" t="inlineStr">
        <is>
          <t>L0 Tender / Offer; L1 Conceptual Design; L2 Detailed Design</t>
        </is>
      </c>
      <c r="V36" s="6" t="inlineStr">
        <is>
          <t>OFFER-stage evidence; linked standards are contextual; does not prove full RTM compliance</t>
        </is>
      </c>
    </row>
    <row r="37" ht="48" customHeight="1">
      <c r="A37" s="6" t="inlineStr">
        <is>
          <t>OFFER-32</t>
        </is>
      </c>
      <c r="B37" s="6" t="inlineStr">
        <is>
          <t>Equipment Transport &amp; Installation Constraints</t>
        </is>
      </c>
      <c r="C37" s="6" t="n">
        <v>82</v>
      </c>
      <c r="D37" s="6" t="inlineStr">
        <is>
          <t>4.7.2</t>
        </is>
      </c>
      <c r="E37" s="6" t="inlineStr">
        <is>
          <t>Building</t>
        </is>
      </c>
      <c r="F37" s="6" t="inlineStr">
        <is>
          <t>8.35</t>
        </is>
      </c>
      <c r="G37" s="6" t="inlineStr">
        <is>
          <t>INFRASTRUCTURE</t>
        </is>
      </c>
      <c r="H37" s="6" t="inlineStr">
        <is>
          <t>Structural Constraints</t>
        </is>
      </c>
      <c r="I37" s="6" t="inlineStr">
        <is>
          <t>In the offer, the Applicant shall identify the relevant equipment and specify:</t>
        </is>
      </c>
      <c r="J37" s="6" t="inlineStr">
        <is>
          <t>In the offer, the Applicant shall identify the relevant equipment and specify:
• enveloping dimensions
• lifting mass
• clearances
• floor loads
• transportation loads (road loads)
• the minimal size of the roof opening</t>
        </is>
      </c>
      <c r="K37" s="6" t="inlineStr">
        <is>
          <t>RTM-388..RTM-394</t>
        </is>
      </c>
      <c r="L37" s="6" t="n"/>
      <c r="M37" s="6" t="n">
        <v>7</v>
      </c>
      <c r="N37" s="6" t="inlineStr">
        <is>
          <t>Exact canonical section, with child/supporting RTMs classified separately where applicable.</t>
        </is>
      </c>
      <c r="O37" s="6" t="inlineStr">
        <is>
          <t>OK</t>
        </is>
      </c>
      <c r="P37" s="6" t="inlineStr">
        <is>
          <t>SCK CEN/90508872 PDF+DOCX (08-Apr-2026)</t>
        </is>
      </c>
      <c r="Q37" s="6" t="inlineStr">
        <is>
          <t>SCK CEN/90508872 §4.7.2; no named external code in OFFER text</t>
        </is>
      </c>
      <c r="R37" s="6" t="inlineStr">
        <is>
          <t>None explicitly named in the OFFER text</t>
        </is>
      </c>
      <c r="S37" s="6" t="inlineStr">
        <is>
          <t>Submit and review the named deliverable with RTM traceability and approval status</t>
        </is>
      </c>
      <c r="T37" s="6" t="inlineStr">
        <is>
          <t>Offer response: Equipment Transport &amp; Installation Constraints</t>
        </is>
      </c>
      <c r="U37" s="6" t="inlineStr">
        <is>
          <t>L0 Tender / Offer; L1 Conceptual Design; L2 Detailed Design</t>
        </is>
      </c>
      <c r="V37" s="6" t="inlineStr">
        <is>
          <t>OFFER-stage evidence; linked standards are contextual; does not prove full RTM compliance</t>
        </is>
      </c>
    </row>
    <row r="38" ht="48" customHeight="1">
      <c r="A38" s="6" t="inlineStr">
        <is>
          <t>OFFER-33</t>
        </is>
      </c>
      <c r="B38" s="6" t="inlineStr">
        <is>
          <t>Electrical System Design &amp; Load Analysis</t>
        </is>
      </c>
      <c r="C38" s="6" t="n">
        <v>83</v>
      </c>
      <c r="D38" s="6" t="inlineStr">
        <is>
          <t>4.7.3.1</t>
        </is>
      </c>
      <c r="E38" s="6" t="inlineStr">
        <is>
          <t>LOOP event</t>
        </is>
      </c>
      <c r="F38" s="6" t="inlineStr">
        <is>
          <t>8.36</t>
        </is>
      </c>
      <c r="G38" s="6" t="inlineStr">
        <is>
          <t>CONTROL_SYSTEM</t>
        </is>
      </c>
      <c r="H38" s="6" t="inlineStr">
        <is>
          <t>Electrical Systems</t>
        </is>
      </c>
      <c r="I38" s="6" t="inlineStr">
        <is>
          <t>In the Offer, the Applicant shall:</t>
        </is>
      </c>
      <c r="J38" s="6" t="inlineStr">
        <is>
          <t>In the Offer, the Applicant shall:
• Provide the total and per-building load assessments (normal and peak demand).
• Submit Single Line Diagram (One Line Diagrams) aligned to the ‘spatial split’ (2 rooms in 2 different buildings and terminal point logic described above.
• Include a risk analysis and list safety functions to be served by a UPS backup.
• Declare isolation strategies for embedded electronics in HV environments and list any required auxiliary supplies.</t>
        </is>
      </c>
      <c r="K38" s="6" t="inlineStr">
        <is>
          <t>RTM-401..RTM-402</t>
        </is>
      </c>
      <c r="L38" s="6" t="n"/>
      <c r="M38" s="6" t="n">
        <v>2</v>
      </c>
      <c r="N38" s="6" t="inlineStr">
        <is>
          <t>Exact canonical section, with child/supporting RTMs classified separately where applicable.</t>
        </is>
      </c>
      <c r="O38" s="6" t="inlineStr">
        <is>
          <t>OK</t>
        </is>
      </c>
      <c r="P38" s="6" t="inlineStr">
        <is>
          <t>SCK CEN/90508872 PDF+DOCX (08-Apr-2026)</t>
        </is>
      </c>
      <c r="Q38" s="6" t="inlineStr">
        <is>
          <t>SCK CEN/90508872 §4.7.3.1; no named external code in OFFER text</t>
        </is>
      </c>
      <c r="R38" s="6" t="inlineStr">
        <is>
          <t>None explicitly named in the OFFER text</t>
        </is>
      </c>
      <c r="S38" s="6" t="inlineStr">
        <is>
          <t>Submit and review the named deliverable with RTM traceability and approval status; Calculation/model plus calibrated measurement or recorded trend; RAM/maintenance substantiation and recovery/failure-response evidence</t>
        </is>
      </c>
      <c r="T38" s="6" t="inlineStr">
        <is>
          <t>Offer response: Electrical System Design &amp; Load Analysis; Drawing / diagram; List / register / matrix</t>
        </is>
      </c>
      <c r="U38" s="6" t="inlineStr">
        <is>
          <t>L0 Tender / Offer; L1 Conceptual Design; L2 Detailed Design</t>
        </is>
      </c>
      <c r="V38" s="6" t="inlineStr">
        <is>
          <t>OFFER-stage evidence; linked standards are contextual; does not prove full RTM compliance</t>
        </is>
      </c>
    </row>
    <row r="39" ht="48" customHeight="1">
      <c r="A39" s="6" t="inlineStr">
        <is>
          <t>OFFER-34</t>
        </is>
      </c>
      <c r="B39" s="6" t="inlineStr">
        <is>
          <t>Cooling Water System Requirements</t>
        </is>
      </c>
      <c r="C39" s="6" t="n">
        <v>86</v>
      </c>
      <c r="D39" s="6" t="inlineStr">
        <is>
          <t>4.7.4.3.2</t>
        </is>
      </c>
      <c r="E39" s="6" t="inlineStr">
        <is>
          <t>Process Heat Exchanger</t>
        </is>
      </c>
      <c r="F39" s="6" t="inlineStr">
        <is>
          <t>8.37</t>
        </is>
      </c>
      <c r="G39" s="6" t="inlineStr">
        <is>
          <t>INFRASTRUCTURE</t>
        </is>
      </c>
      <c r="H39" s="6" t="inlineStr">
        <is>
          <t>Utilities</t>
        </is>
      </c>
      <c r="I39" s="6" t="inlineStr">
        <is>
          <t>In the Offer, the Applicant shall specify the minimum cooling water flow required at the heat exchangers during normal, partial-load, and heat-recovery operating conditions.</t>
        </is>
      </c>
      <c r="J39" s="6" t="inlineStr">
        <is>
          <t>In the Offer, the Applicant shall specify the minimum cooling water flow required at the heat exchangers during normal, partial-load, and heat-recovery operating conditions.</t>
        </is>
      </c>
      <c r="K39" s="6" t="inlineStr">
        <is>
          <t>RTM-426..RTM-427</t>
        </is>
      </c>
      <c r="L39" s="6" t="n"/>
      <c r="M39" s="6" t="n">
        <v>2</v>
      </c>
      <c r="N39" s="6" t="inlineStr">
        <is>
          <t>Exact canonical section, with child/supporting RTMs classified separately where applicable.</t>
        </is>
      </c>
      <c r="O39" s="6" t="inlineStr">
        <is>
          <t>OK</t>
        </is>
      </c>
      <c r="P39" s="6" t="inlineStr">
        <is>
          <t>SCK CEN/90508872 PDF+DOCX (08-Apr-2026)</t>
        </is>
      </c>
      <c r="Q39" s="6" t="inlineStr">
        <is>
          <t>SCK CEN/90508872 §4.7.4.3.2; no named external code in OFFER text</t>
        </is>
      </c>
      <c r="R39" s="6" t="inlineStr">
        <is>
          <t>None explicitly named in the OFFER text</t>
        </is>
      </c>
      <c r="S39" s="6" t="inlineStr">
        <is>
          <t>Submit and review the named deliverable with RTM traceability and approval status; Calculation/model plus calibrated measurement or recorded trend; RAM/maintenance substantiation and recovery/failure-response evidence</t>
        </is>
      </c>
      <c r="T39" s="6" t="inlineStr">
        <is>
          <t>Offer response: Cooling Water System Requirements</t>
        </is>
      </c>
      <c r="U39" s="6" t="inlineStr">
        <is>
          <t>L0 Tender / Offer; L1 Conceptual Design; L2 Detailed Design</t>
        </is>
      </c>
      <c r="V39" s="6" t="inlineStr">
        <is>
          <t>OFFER-stage evidence; linked standards are contextual; does not prove full RTM compliance</t>
        </is>
      </c>
    </row>
    <row r="40" ht="48" customHeight="1">
      <c r="A40" s="6" t="inlineStr">
        <is>
          <t>OFFER-35</t>
        </is>
      </c>
      <c r="B40" s="6" t="inlineStr">
        <is>
          <t>Heat Rejection &amp; HVAC Interface Design</t>
        </is>
      </c>
      <c r="C40" s="6" t="n">
        <v>87</v>
      </c>
      <c r="D40" s="6" t="inlineStr">
        <is>
          <t>4.7.6</t>
        </is>
      </c>
      <c r="E40" s="6" t="inlineStr">
        <is>
          <t>Interfaces with HVAC</t>
        </is>
      </c>
      <c r="F40" s="6" t="inlineStr">
        <is>
          <t>8.38</t>
        </is>
      </c>
      <c r="G40" s="6" t="inlineStr">
        <is>
          <t>INFRASTRUCTURE</t>
        </is>
      </c>
      <c r="H40" s="6" t="inlineStr">
        <is>
          <t>HVAC &amp; Heat Rejection</t>
        </is>
      </c>
      <c r="I40" s="6" t="inlineStr">
        <is>
          <t>In the offer, the Applicant shall provide all relevant information on:</t>
        </is>
      </c>
      <c r="J40" s="6" t="inlineStr">
        <is>
          <t>In the offer, the Applicant shall provide all relevant information on:
• The heat dissipated to the ambient air.
• The interface of the ducts to the compressors, including at minimum the size, flow rate, and allowable pressure drop.</t>
        </is>
      </c>
      <c r="K40" s="6" t="inlineStr">
        <is>
          <t>RTM-434..RTM-435</t>
        </is>
      </c>
      <c r="L40" s="6" t="n"/>
      <c r="M40" s="6" t="n">
        <v>2</v>
      </c>
      <c r="N40" s="6" t="inlineStr">
        <is>
          <t>Exact canonical section, with child/supporting RTMs classified separately where applicable.</t>
        </is>
      </c>
      <c r="O40" s="6" t="inlineStr">
        <is>
          <t>OK</t>
        </is>
      </c>
      <c r="P40" s="6" t="inlineStr">
        <is>
          <t>SCK CEN/90508872 PDF+DOCX (08-Apr-2026)</t>
        </is>
      </c>
      <c r="Q40" s="6" t="inlineStr">
        <is>
          <t>SCK CEN/90508872 §4.7.6; no named external code in OFFER text</t>
        </is>
      </c>
      <c r="R40" s="6" t="inlineStr">
        <is>
          <t>None explicitly named in the OFFER text</t>
        </is>
      </c>
      <c r="S40" s="6" t="inlineStr">
        <is>
          <t>Submit and review the named deliverable with RTM traceability and approval status; Calculation/model plus calibrated measurement or recorded trend; Functional design/configuration review and sequence/interface demonstration</t>
        </is>
      </c>
      <c r="T40" s="6" t="inlineStr">
        <is>
          <t>Offer response: Heat Rejection &amp; HVAC Interface Design</t>
        </is>
      </c>
      <c r="U40" s="6" t="inlineStr">
        <is>
          <t>L0 Tender / Offer; L1 Conceptual Design; L2 Detailed Design</t>
        </is>
      </c>
      <c r="V40" s="6" t="inlineStr">
        <is>
          <t>OFFER-stage evidence; linked standards are contextual; does not prove full RTM compliance</t>
        </is>
      </c>
    </row>
    <row r="41" ht="48" customHeight="1">
      <c r="A41" s="6" t="inlineStr">
        <is>
          <t>OFFER-36</t>
        </is>
      </c>
      <c r="B41" s="6" t="inlineStr">
        <is>
          <t>3D Model Platform &amp; CAD Delivery</t>
        </is>
      </c>
      <c r="C41" s="6" t="n">
        <v>89</v>
      </c>
      <c r="D41" s="6" t="inlineStr">
        <is>
          <t>4.8.1.2</t>
        </is>
      </c>
      <c r="E41" s="6" t="inlineStr">
        <is>
          <t>CAD Models with Intellectual Property</t>
        </is>
      </c>
      <c r="F41" s="6" t="inlineStr">
        <is>
          <t>8.39</t>
        </is>
      </c>
      <c r="G41" s="6" t="inlineStr">
        <is>
          <t>INFRASTRUCTURE</t>
        </is>
      </c>
      <c r="H41" s="6" t="inlineStr">
        <is>
          <t>Buildings &amp; Layout</t>
        </is>
      </c>
      <c r="I41" s="6" t="inlineStr">
        <is>
          <t>In the offer, the Applicant shall</t>
        </is>
      </c>
      <c r="J41" s="6" t="inlineStr">
        <is>
          <t>In the offer, the Applicant shall
• indicate the 3D-model management platform they shall use
• Provide a preliminary CAD model of the QPS with at least LoR 20 in format STEP AP242.</t>
        </is>
      </c>
      <c r="K41" s="6" t="inlineStr">
        <is>
          <t>RTM-445..RTM-449</t>
        </is>
      </c>
      <c r="L41" s="6" t="n"/>
      <c r="M41" s="6" t="n">
        <v>5</v>
      </c>
      <c r="N41" s="6" t="inlineStr">
        <is>
          <t>Exact canonical section, with child/supporting RTMs classified separately where applicable.</t>
        </is>
      </c>
      <c r="O41" s="6" t="inlineStr">
        <is>
          <t>OK</t>
        </is>
      </c>
      <c r="P41" s="6" t="inlineStr">
        <is>
          <t>SCK CEN/90508872 PDF+DOCX (08-Apr-2026)</t>
        </is>
      </c>
      <c r="Q41" s="6" t="inlineStr">
        <is>
          <t>SCK CEN/90508872 §4.8.1.2; no named external code in OFFER text</t>
        </is>
      </c>
      <c r="R41" s="6" t="inlineStr">
        <is>
          <t>None explicitly named in the OFFER text</t>
        </is>
      </c>
      <c r="S41" s="6" t="inlineStr">
        <is>
          <t>Submit and review the named deliverable with RTM traceability and approval status; Document review, inspection, certification, audit or traceable QC record</t>
        </is>
      </c>
      <c r="T41" s="6" t="inlineStr">
        <is>
          <t>Offer response: 3D Model Platform &amp; CAD Delivery; 3D / CAD Model</t>
        </is>
      </c>
      <c r="U41" s="6" t="inlineStr">
        <is>
          <t>L0 Tender / Offer; L1 Conceptual Design; L2 Detailed Design</t>
        </is>
      </c>
      <c r="V41" s="6" t="inlineStr">
        <is>
          <t>OFFER-stage evidence; linked standards are contextual; does not prove full RTM compliance</t>
        </is>
      </c>
    </row>
    <row r="42" ht="48" customHeight="1">
      <c r="A42" s="6" t="inlineStr">
        <is>
          <t>OFFER-37</t>
        </is>
      </c>
      <c r="B42" s="6" t="inlineStr">
        <is>
          <t>Digital Twin / Simulation Strategy</t>
        </is>
      </c>
      <c r="C42" s="6" t="n">
        <v>89</v>
      </c>
      <c r="D42" s="6" t="inlineStr">
        <is>
          <t>4.8.2</t>
        </is>
      </c>
      <c r="E42" s="6" t="inlineStr">
        <is>
          <t>Digital Process Model and Digital Twin</t>
        </is>
      </c>
      <c r="F42" s="6" t="inlineStr">
        <is>
          <t>8.40</t>
        </is>
      </c>
      <c r="G42" s="6" t="inlineStr">
        <is>
          <t>SOFTWARE</t>
        </is>
      </c>
      <c r="H42" s="6" t="inlineStr">
        <is>
          <t>Software Architecture</t>
        </is>
      </c>
      <c r="I42" s="6" t="inlineStr">
        <is>
          <t>In the Offer, the Applicant shall explicitly state whether a Digital Process Model and/or a Digital Twin will be supplied.</t>
        </is>
      </c>
      <c r="J42" s="6" t="inlineStr">
        <is>
          <t>In the Offer, the Applicant shall explicitly state whether a Digital Process Model and/or a Digital Twin will be supplied.
• If supplied, the Offer shall include a description the proposed modelling approach and toolset
• If not supplied, the Offer shall describe the approach to commissioning support, fault simulation, diagnostics, and operator training.</t>
        </is>
      </c>
      <c r="K42" s="6" t="inlineStr">
        <is>
          <t>RTM-450..RTM-451</t>
        </is>
      </c>
      <c r="L42" s="6" t="n"/>
      <c r="M42" s="6" t="n">
        <v>2</v>
      </c>
      <c r="N42" s="6" t="inlineStr">
        <is>
          <t>Exact canonical section, with child/supporting RTMs classified separately where applicable.</t>
        </is>
      </c>
      <c r="O42" s="6" t="inlineStr">
        <is>
          <t>OK</t>
        </is>
      </c>
      <c r="P42" s="6" t="inlineStr">
        <is>
          <t>SCK CEN/90508872 PDF+DOCX (08-Apr-2026)</t>
        </is>
      </c>
      <c r="Q42" s="6" t="inlineStr">
        <is>
          <t>SCK CEN/90508872 §4.8.2; no named external code in OFFER text</t>
        </is>
      </c>
      <c r="R42" s="6" t="inlineStr">
        <is>
          <t>None explicitly named in the OFFER text</t>
        </is>
      </c>
      <c r="S42" s="6" t="inlineStr">
        <is>
          <t>Submit and review the named deliverable with RTM traceability and approval status; Witnessed FAT/SAT/commissioning test against stated acceptance criteria; Document review, inspection, certification, audit or traceable QC record</t>
        </is>
      </c>
      <c r="T42" s="6" t="inlineStr">
        <is>
          <t>Offer response: Digital Twin / Simulation Strategy; Digital Process Model / Digital Twin</t>
        </is>
      </c>
      <c r="U42" s="6" t="inlineStr">
        <is>
          <t>L0 Tender / Offer; L1 Conceptual Design; L2 Detailed Design</t>
        </is>
      </c>
      <c r="V42" s="6" t="inlineStr">
        <is>
          <t>OFFER-stage evidence; linked standards are contextual; does not prove full RTM compliance</t>
        </is>
      </c>
    </row>
    <row r="43" ht="48" customHeight="1">
      <c r="A43" s="6" t="inlineStr">
        <is>
          <t>OFFER-38</t>
        </is>
      </c>
      <c r="B43" s="6" t="inlineStr">
        <is>
          <t>Training Program &amp; Competency Definition</t>
        </is>
      </c>
      <c r="C43" s="6" t="n">
        <v>95</v>
      </c>
      <c r="D43" s="6" t="inlineStr">
        <is>
          <t>4.12.1</t>
        </is>
      </c>
      <c r="E43" s="6" t="inlineStr">
        <is>
          <t>Training and Competence Transfer</t>
        </is>
      </c>
      <c r="F43" s="6" t="inlineStr">
        <is>
          <t>8.41</t>
        </is>
      </c>
      <c r="G43" s="6" t="inlineStr">
        <is>
          <t>OPERATIONS_MAINTENANCE</t>
        </is>
      </c>
      <c r="H43" s="6" t="inlineStr">
        <is>
          <t>Training</t>
        </is>
      </c>
      <c r="I43" s="6" t="inlineStr">
        <is>
          <t>In the offer, the Applicant shall include:</t>
        </is>
      </c>
      <c r="J43" s="6" t="inlineStr">
        <is>
          <t>In the offer, the Applicant shall include:
• The Training Plan, including the proposed training modules and their intended scope.
• The total price for the Training.
• The expected personnel profile, including the number, and minimum entry competencies of the SCK CEN personnel (operators and technicians) required to successfully fulfil their duties after completion of the training.</t>
        </is>
      </c>
      <c r="K43" s="6" t="inlineStr">
        <is>
          <t>RTM-483..RTM-490</t>
        </is>
      </c>
      <c r="L43" s="6" t="n"/>
      <c r="M43" s="6" t="n">
        <v>8</v>
      </c>
      <c r="N43" s="6" t="inlineStr">
        <is>
          <t>Exact canonical section, with child/supporting RTMs classified separately where applicable.</t>
        </is>
      </c>
      <c r="O43" s="6" t="inlineStr">
        <is>
          <t>OK</t>
        </is>
      </c>
      <c r="P43" s="6" t="inlineStr">
        <is>
          <t>SCK CEN/90508872 PDF+DOCX (08-Apr-2026)</t>
        </is>
      </c>
      <c r="Q43" s="6" t="inlineStr">
        <is>
          <t>SCK CEN/90508872 §4.12.1; no named external code in OFFER text</t>
        </is>
      </c>
      <c r="R43" s="6" t="inlineStr">
        <is>
          <t>None explicitly named in the OFFER text</t>
        </is>
      </c>
      <c r="S43" s="6" t="inlineStr">
        <is>
          <t>Submit and review the named deliverable with RTM traceability and approval status</t>
        </is>
      </c>
      <c r="T43" s="6" t="inlineStr">
        <is>
          <t>Offer response: Training Program &amp; Competency Definition; Training Programme / Materials</t>
        </is>
      </c>
      <c r="U43" s="6" t="inlineStr">
        <is>
          <t>L0 Tender / Offer; L1 Conceptual Design; L2 Detailed Design</t>
        </is>
      </c>
      <c r="V43" s="6" t="inlineStr">
        <is>
          <t>OFFER-stage evidence; linked standards are contextual; does not prove full RTM compliance</t>
        </is>
      </c>
    </row>
    <row r="44" ht="48" customHeight="1">
      <c r="A44" s="6" t="inlineStr">
        <is>
          <t>OFFER-39</t>
        </is>
      </c>
      <c r="B44" s="6" t="inlineStr">
        <is>
          <t>FAT/SAT Testing Strategy &amp; Procedures</t>
        </is>
      </c>
      <c r="C44" s="6" t="n">
        <v>97</v>
      </c>
      <c r="D44" s="6" t="inlineStr">
        <is>
          <t>4.13.1</t>
        </is>
      </c>
      <c r="E44" s="6" t="inlineStr">
        <is>
          <t>General Requirements</t>
        </is>
      </c>
      <c r="F44" s="6" t="inlineStr">
        <is>
          <t>8.42</t>
        </is>
      </c>
      <c r="G44" s="6" t="inlineStr">
        <is>
          <t>QUALITY_RISK</t>
        </is>
      </c>
      <c r="H44" s="6" t="inlineStr">
        <is>
          <t>Testing</t>
        </is>
      </c>
      <c r="I44" s="6" t="inlineStr">
        <is>
          <t>In their offer, the Applicant shall provide a concise description of the inspections, FAT test and SAT tests that will be performed, including:</t>
        </is>
      </c>
      <c r="J44" s="6" t="inlineStr">
        <is>
          <t>In their offer, the Applicant shall provide a concise description of the inspections, FAT test and SAT tests that will be performed, including:
• How each test shall be performed
• Which equipment, tools, and instrumentation shall be used</t>
        </is>
      </c>
      <c r="K44" s="6" t="inlineStr">
        <is>
          <t>RTM-491..RTM-495</t>
        </is>
      </c>
      <c r="L44" s="6" t="inlineStr">
        <is>
          <t>RTM-496..RTM-556</t>
        </is>
      </c>
      <c r="M44" s="6" t="n">
        <v>66</v>
      </c>
      <c r="N44" s="6" t="inlineStr">
        <is>
          <t>Exact canonical section, with child/supporting RTMs classified separately where applicable.</t>
        </is>
      </c>
      <c r="O44" s="6" t="inlineStr">
        <is>
          <t>OK — Review breadth</t>
        </is>
      </c>
      <c r="P44" s="6" t="inlineStr">
        <is>
          <t>SCK CEN/90508872 PDF+DOCX (08-Apr-2026)</t>
        </is>
      </c>
      <c r="Q44" s="6" t="inlineStr">
        <is>
          <t>SCK CEN/90508872 §4.13.1; no named external code in OFFER text</t>
        </is>
      </c>
      <c r="R44" s="6" t="inlineStr">
        <is>
          <t>None explicitly named in the OFFER text</t>
        </is>
      </c>
      <c r="S44" s="6" t="inlineStr">
        <is>
          <t>Submit and review the named deliverable with RTM traceability and approval status; Witnessed FAT/SAT/commissioning test against stated acceptance criteria</t>
        </is>
      </c>
      <c r="T44" s="6" t="inlineStr">
        <is>
          <t>Offer response: FAT/SAT Testing Strategy &amp; Procedures</t>
        </is>
      </c>
      <c r="U44" s="6" t="inlineStr">
        <is>
          <t>L0 Tender / Offer; L6 Site Acceptance Testing; L1 Conceptual Design; L2 Detailed Design</t>
        </is>
      </c>
      <c r="V44" s="6" t="inlineStr">
        <is>
          <t>OFFER-stage evidence; linked standards are contextual; does not prove full RTM compliance</t>
        </is>
      </c>
    </row>
    <row r="45" ht="48" customHeight="1">
      <c r="A45" s="6" t="inlineStr">
        <is>
          <t>OFFER-40</t>
        </is>
      </c>
      <c r="B45" s="6" t="inlineStr">
        <is>
          <t>Electrical Power Measurement Methodology</t>
        </is>
      </c>
      <c r="C45" s="6" t="n">
        <v>107</v>
      </c>
      <c r="D45" s="6" t="inlineStr">
        <is>
          <t>4.13.3.3.7</t>
        </is>
      </c>
      <c r="E45" s="6" t="inlineStr">
        <is>
          <t>Energy-Efficiency demonstration</t>
        </is>
      </c>
      <c r="F45" s="6" t="inlineStr">
        <is>
          <t>8.43</t>
        </is>
      </c>
      <c r="G45" s="6" t="inlineStr">
        <is>
          <t>CONTROL_SYSTEM</t>
        </is>
      </c>
      <c r="H45" s="6" t="inlineStr">
        <is>
          <t>Instrumentation</t>
        </is>
      </c>
      <c r="I45" s="6" t="inlineStr">
        <is>
          <t>In the offer, the Applicant shall</t>
        </is>
      </c>
      <c r="J45" s="6" t="inlineStr">
        <is>
          <t>In the offer, the Applicant shall
• Describe the electrical power measurement method they will apply within the QPS, including the electrical boundary (e.g. total plant consumption including auxiliaries, compressors, and control systems) and the associated measurement uncertainty.
• Explicitly state whether any SCK CEN measurements are assumed.</t>
        </is>
      </c>
      <c r="K45" s="6" t="inlineStr">
        <is>
          <t>RTM-542..RTM-544</t>
        </is>
      </c>
      <c r="L45" s="6" t="n"/>
      <c r="M45" s="6" t="n">
        <v>3</v>
      </c>
      <c r="N45" s="6" t="inlineStr">
        <is>
          <t>Exact canonical section, with child/supporting RTMs classified separately where applicable.</t>
        </is>
      </c>
      <c r="O45" s="6" t="inlineStr">
        <is>
          <t>OK</t>
        </is>
      </c>
      <c r="P45" s="6" t="inlineStr">
        <is>
          <t>SCK CEN/90508872 PDF+DOCX (08-Apr-2026)</t>
        </is>
      </c>
      <c r="Q45" s="6" t="inlineStr">
        <is>
          <t>SCK CEN/90508872 §4.13.3.3.7; no named external code in OFFER text</t>
        </is>
      </c>
      <c r="R45" s="6" t="inlineStr">
        <is>
          <t>None explicitly named in the OFFER text</t>
        </is>
      </c>
      <c r="S45" s="6" t="inlineStr">
        <is>
          <t>Submit and review the named deliverable with RTM traceability and approval status; Document review, inspection, certification, audit or traceable QC record</t>
        </is>
      </c>
      <c r="T45" s="6" t="inlineStr">
        <is>
          <t>Offer response: Electrical Power Measurement Methodology</t>
        </is>
      </c>
      <c r="U45" s="6" t="inlineStr">
        <is>
          <t>L0 Tender / Offer; L1 Conceptual Design; L2 Detailed Design</t>
        </is>
      </c>
      <c r="V45" s="6" t="inlineStr">
        <is>
          <t>OFFER-stage evidence; linked standards are contextual; does not prove full RTM compliance</t>
        </is>
      </c>
    </row>
    <row r="46" ht="48" customHeight="1">
      <c r="A46" s="6" t="inlineStr">
        <is>
          <t>OFFER-41</t>
        </is>
      </c>
      <c r="B46" s="6" t="inlineStr">
        <is>
          <t>Spare Parts &amp; Critical Components Strategy</t>
        </is>
      </c>
      <c r="C46" s="6" t="n">
        <v>109</v>
      </c>
      <c r="D46" s="6" t="inlineStr">
        <is>
          <t>4.14.3</t>
        </is>
      </c>
      <c r="E46" s="6" t="inlineStr">
        <is>
          <t>Spare Parts</t>
        </is>
      </c>
      <c r="F46" s="6" t="inlineStr">
        <is>
          <t>8.44</t>
        </is>
      </c>
      <c r="G46" s="6" t="inlineStr">
        <is>
          <t>OPERATIONS_MAINTENANCE</t>
        </is>
      </c>
      <c r="H46" s="6" t="inlineStr">
        <is>
          <t>Spare Parts</t>
        </is>
      </c>
      <c r="I46" s="6" t="inlineStr">
        <is>
          <t>In their Offer, the Applicant shall provide the following lists:</t>
        </is>
      </c>
      <c r="J46" s="6" t="inlineStr">
        <is>
          <t>In their Offer, the Applicant shall provide the following lists:
• Strategic Spare Parts List, indicating all spare parts included in Contingent Part 1, and specifying for each item:
• unit price
• procurement lead time.
• Critical Components List, specifying the unit price, procurement lead time, and shelf life for all cost-relevant and/or operationally critical items that meet any of the following criteria:
• a mean time between failures (MTBF) of less than ten (10) years, or
• a projected replacement rate of two (2) or more times within the QPSs lifetime (RTM-055).</t>
        </is>
      </c>
      <c r="K46" s="6" t="inlineStr">
        <is>
          <t>RTM-560..RTM-562</t>
        </is>
      </c>
      <c r="L46" s="6" t="n"/>
      <c r="M46" s="6" t="n">
        <v>3</v>
      </c>
      <c r="N46" s="6" t="inlineStr">
        <is>
          <t>Exact canonical section, with child/supporting RTMs classified separately where applicable.</t>
        </is>
      </c>
      <c r="O46" s="6" t="inlineStr">
        <is>
          <t>OK</t>
        </is>
      </c>
      <c r="P46" s="6" t="inlineStr">
        <is>
          <t>SCK CEN/90508872 PDF+DOCX (08-Apr-2026)</t>
        </is>
      </c>
      <c r="Q46" s="6" t="inlineStr">
        <is>
          <t>SCK CEN/90508872 §4.14.3; no named external code in OFFER text</t>
        </is>
      </c>
      <c r="R46" s="6" t="inlineStr">
        <is>
          <t>None explicitly named in the OFFER text</t>
        </is>
      </c>
      <c r="S46" s="6" t="inlineStr">
        <is>
          <t>Submit and review the named deliverable with RTM traceability and approval status; RAM/maintenance substantiation and recovery/failure-response evidence</t>
        </is>
      </c>
      <c r="T46" s="6" t="inlineStr">
        <is>
          <t>Offer response: Spare Parts &amp; Critical Components Strategy; List / register / matrix</t>
        </is>
      </c>
      <c r="U46" s="6" t="inlineStr">
        <is>
          <t>L0 Tender / Offer; L1 Conceptual Design; L2 Detailed Design</t>
        </is>
      </c>
      <c r="V46" s="6" t="inlineStr">
        <is>
          <t>OFFER-stage evidence; linked standards are contextual; does not prove full RTM compliance</t>
        </is>
      </c>
    </row>
    <row r="47" ht="48" customHeight="1">
      <c r="A47" s="6" t="inlineStr">
        <is>
          <t>OFFER-42</t>
        </is>
      </c>
      <c r="B47" s="6" t="inlineStr">
        <is>
          <t>After-Sales Service Organization &amp; Pricing</t>
        </is>
      </c>
      <c r="C47" s="6" t="n">
        <v>110</v>
      </c>
      <c r="D47" s="6" t="inlineStr">
        <is>
          <t>4.15</t>
        </is>
      </c>
      <c r="E47" s="6" t="inlineStr">
        <is>
          <t>After-Sales Services</t>
        </is>
      </c>
      <c r="F47" s="6" t="inlineStr">
        <is>
          <t>8.45</t>
        </is>
      </c>
      <c r="G47" s="6" t="inlineStr">
        <is>
          <t>COMMERCIAL</t>
        </is>
      </c>
      <c r="H47" s="6" t="inlineStr">
        <is>
          <t>Warranty</t>
        </is>
      </c>
      <c r="I47" s="6" t="inlineStr">
        <is>
          <t>In the offer, the Applicant shall provide the following information as regards the after-sales service:</t>
        </is>
      </c>
      <c r="J47" s="6" t="inlineStr">
        <is>
          <t>In the offer, the Applicant shall provide the following information as regards the after-sales service:
• Organization of the after-sales service – at least a concise description of the approach to handling customers’ requests and an overview of the available staff must be given.
• Procedure to be followed for requesting after-sales service – at least a comprehensive description of how the helpdesk can be contacted (including all relevant information such as contact data (telephone, email or equivalent) and availability) must be given.</t>
        </is>
      </c>
      <c r="K47" s="6" t="inlineStr">
        <is>
          <t>RTM-563..RTM-565</t>
        </is>
      </c>
      <c r="L47" s="6" t="n"/>
      <c r="M47" s="6" t="n">
        <v>3</v>
      </c>
      <c r="N47" s="6" t="inlineStr">
        <is>
          <t>Exact canonical section, with child/supporting RTMs classified separately where applicable.</t>
        </is>
      </c>
      <c r="O47" s="6" t="inlineStr">
        <is>
          <t>OK</t>
        </is>
      </c>
      <c r="P47" s="6" t="inlineStr">
        <is>
          <t>SCK CEN/90508872 PDF+DOCX (08-Apr-2026)</t>
        </is>
      </c>
      <c r="Q47" s="6" t="inlineStr">
        <is>
          <t>SCK CEN/90508872 §4.15; no named external code in OFFER text</t>
        </is>
      </c>
      <c r="R47" s="6" t="inlineStr">
        <is>
          <t>None explicitly named in the OFFER text</t>
        </is>
      </c>
      <c r="S47" s="6" t="inlineStr">
        <is>
          <t>Submit and review the named deliverable with RTM traceability and approval status; Functional design/configuration review and sequence/interface demonstration; RAM/maintenance substantiation and recovery/failure-response evidence</t>
        </is>
      </c>
      <c r="T47" s="6" t="inlineStr">
        <is>
          <t>Offer response: After-Sales Service Organization &amp; Pricing; Procedure / work instruction</t>
        </is>
      </c>
      <c r="U47" s="6" t="inlineStr">
        <is>
          <t>L0 Tender / Offer; L1 Conceptual Design; L2 Detailed Design</t>
        </is>
      </c>
      <c r="V47" s="6" t="inlineStr">
        <is>
          <t>OFFER-stage evidence; linked standards are contextual; does not prove full RTM compliance</t>
        </is>
      </c>
    </row>
    <row r="48" ht="48" customHeight="1">
      <c r="A48" s="6" t="inlineStr">
        <is>
          <t>OFFER-43</t>
        </is>
      </c>
      <c r="B48" s="6" t="inlineStr">
        <is>
          <t>Maintenance Effort &amp; Intervention Estimation</t>
        </is>
      </c>
      <c r="C48" s="6" t="n">
        <v>110</v>
      </c>
      <c r="D48" s="6" t="inlineStr">
        <is>
          <t>4.15</t>
        </is>
      </c>
      <c r="E48" s="6" t="inlineStr">
        <is>
          <t>After-Sales Services</t>
        </is>
      </c>
      <c r="F48" s="6" t="inlineStr">
        <is>
          <t>8.46</t>
        </is>
      </c>
      <c r="G48" s="6" t="inlineStr">
        <is>
          <t>OPERATIONS_MAINTENANCE</t>
        </is>
      </c>
      <c r="H48" s="6" t="inlineStr">
        <is>
          <t>Maintenance Strategy</t>
        </is>
      </c>
      <c r="I48" s="6" t="inlineStr">
        <is>
          <t>In the offer, the Application shall provide estimates of typical expected hours for typical maintenance activities.</t>
        </is>
      </c>
      <c r="J48" s="6" t="inlineStr">
        <is>
          <t>In the offer, the Application shall provide estimates of typical expected hours for typical maintenance activities.</t>
        </is>
      </c>
      <c r="K48" s="6" t="n"/>
      <c r="L48" s="6" t="inlineStr">
        <is>
          <t>RTM-563..RTM-565</t>
        </is>
      </c>
      <c r="M48" s="6" t="n">
        <v>3</v>
      </c>
      <c r="N48" s="6" t="inlineStr">
        <is>
          <t>Maintenance-hour estimate is OFFER-only; service RTMs are contextual.</t>
        </is>
      </c>
      <c r="O48" s="6" t="inlineStr">
        <is>
          <t>Review — accept context</t>
        </is>
      </c>
      <c r="P48" s="6" t="inlineStr">
        <is>
          <t>SCK CEN/90508872 PDF+DOCX (08-Apr-2026)</t>
        </is>
      </c>
      <c r="Q48" s="6" t="inlineStr">
        <is>
          <t>SCK CEN/90508872 §4.15; no named external code in OFFER text</t>
        </is>
      </c>
      <c r="R48" s="6" t="inlineStr">
        <is>
          <t>None explicitly named in the OFFER text</t>
        </is>
      </c>
      <c r="S48" s="6" t="inlineStr">
        <is>
          <t>Submit and review the named deliverable with RTM traceability and approval status; RAM/maintenance substantiation and recovery/failure-response evidence</t>
        </is>
      </c>
      <c r="T48" s="6" t="inlineStr">
        <is>
          <t>Offer response: Maintenance Effort &amp; Intervention Estimation</t>
        </is>
      </c>
      <c r="U48" s="6" t="inlineStr">
        <is>
          <t>L0 Tender / Offer; L1 Conceptual Design; L2 Detailed Design</t>
        </is>
      </c>
      <c r="V48" s="6" t="inlineStr">
        <is>
          <t>OFFER-stage evidence; linked standards are contextual; does not prove full RTM compliance</t>
        </is>
      </c>
    </row>
    <row r="49" ht="48" customHeight="1">
      <c r="A49" s="6" t="inlineStr">
        <is>
          <t>OFFER-44</t>
        </is>
      </c>
      <c r="B49" s="6" t="inlineStr">
        <is>
          <t>Project Schedule &amp; Milestone Definition</t>
        </is>
      </c>
      <c r="C49" s="6" t="n">
        <v>119</v>
      </c>
      <c r="D49" s="6" t="inlineStr">
        <is>
          <t>6.2</t>
        </is>
      </c>
      <c r="E49" s="6" t="inlineStr">
        <is>
          <t>Provisional Schedule</t>
        </is>
      </c>
      <c r="F49" s="6" t="inlineStr">
        <is>
          <t>8.47</t>
        </is>
      </c>
      <c r="G49" s="6" t="inlineStr">
        <is>
          <t>PROJECT_EXECUTION</t>
        </is>
      </c>
      <c r="H49" s="6" t="inlineStr">
        <is>
          <t>Planning &amp; Scheduling</t>
        </is>
      </c>
      <c r="I49" s="6" t="inlineStr">
        <is>
          <t>In their x, the Applicant shall submit a detailed schedule following these phases according to its own expertise and experience and propose. In doing so, the Applicant shall take into consideration the preliminary schedule in Table 22. The Applicant may add (to a reasonable extent) additional milestones as they think appropriate.</t>
        </is>
      </c>
      <c r="J49" s="6" t="inlineStr">
        <is>
          <t>In their x, the Applicant shall submit a detailed schedule following these phases according to its own expertise and experience and propose. In doing so, the Applicant shall take into consideration the preliminary schedule in Table 22. The Applicant may add (to a reasonable extent) additional milestones as they think appropriate.</t>
        </is>
      </c>
      <c r="K49" s="6" t="n"/>
      <c r="L49" s="6" t="inlineStr">
        <is>
          <t>RTM-614..RTM-620</t>
        </is>
      </c>
      <c r="M49" s="6" t="n">
        <v>7</v>
      </c>
      <c r="N49" s="6" t="inlineStr">
        <is>
          <t>Direct source: Table 22 in §6.2; linked RTMs are supporting phase requirements.</t>
        </is>
      </c>
      <c r="O49" s="6" t="inlineStr">
        <is>
          <t>OK — non-RTM source</t>
        </is>
      </c>
      <c r="P49" s="6" t="inlineStr">
        <is>
          <t>SCK CEN/90508872 PDF+DOCX (08-Apr-2026)</t>
        </is>
      </c>
      <c r="Q49" s="6" t="inlineStr">
        <is>
          <t>SCK CEN/90508872 §6.2; no named external code in OFFER text</t>
        </is>
      </c>
      <c r="R49" s="6" t="inlineStr">
        <is>
          <t>None explicitly named in the OFFER text</t>
        </is>
      </c>
      <c r="S49" s="6" t="inlineStr">
        <is>
          <t>Submit and review the named deliverable with RTM traceability and approval status</t>
        </is>
      </c>
      <c r="T49" s="6" t="inlineStr">
        <is>
          <t>Offer response: Project Schedule &amp; Milestone Definition; Schedule / milestone plan</t>
        </is>
      </c>
      <c r="U49" s="6" t="inlineStr">
        <is>
          <t>L0 Tender / Offer; L1 Conceptual Design; L2 Detailed Design; L3 Procurement &amp; Manufacturing / FAT; L4 Installation; L5 Standalone Commissioning; L6 Site Acceptance Testing</t>
        </is>
      </c>
      <c r="V49" s="6" t="inlineStr">
        <is>
          <t>OFFER-stage evidence; linked standards are contextual; does not prove full RTM compliance</t>
        </is>
      </c>
    </row>
    <row r="50" ht="48" customHeight="1">
      <c r="A50" s="6" t="inlineStr">
        <is>
          <t>OFFER-45</t>
        </is>
      </c>
      <c r="B50" s="6" t="inlineStr">
        <is>
          <t>Project Dashboard &amp; Management Processes</t>
        </is>
      </c>
      <c r="C50" s="6" t="n">
        <v>122</v>
      </c>
      <c r="D50" s="6" t="inlineStr">
        <is>
          <t>7.4.1</t>
        </is>
      </c>
      <c r="E50" s="6" t="inlineStr">
        <is>
          <t>Progress Dashboard</t>
        </is>
      </c>
      <c r="F50" s="6" t="inlineStr">
        <is>
          <t>8.48</t>
        </is>
      </c>
      <c r="G50" s="6" t="inlineStr">
        <is>
          <t>PROJECT_EXECUTION</t>
        </is>
      </c>
      <c r="H50" s="6" t="inlineStr">
        <is>
          <t>Governance</t>
        </is>
      </c>
      <c r="I50" s="6" t="inlineStr">
        <is>
          <t>In the offer, the Applicant shall include a concise description of the dashboard as well as the underlying management processes. This description shall include sufficient detail to demonstrate compliance with the requirements.</t>
        </is>
      </c>
      <c r="J50" s="6" t="inlineStr">
        <is>
          <t>In the offer, the Applicant shall include a concise description of the dashboard as well as the underlying management processes. This description shall include sufficient detail to demonstrate compliance with the requirements.</t>
        </is>
      </c>
      <c r="K50" s="6" t="inlineStr">
        <is>
          <t>RTM-633</t>
        </is>
      </c>
      <c r="L50" s="6" t="n"/>
      <c r="M50" s="6" t="n">
        <v>1</v>
      </c>
      <c r="N50" s="6" t="inlineStr">
        <is>
          <t>Exact canonical section, with child/supporting RTMs classified separately where applicable.</t>
        </is>
      </c>
      <c r="O50" s="6" t="inlineStr">
        <is>
          <t>OK</t>
        </is>
      </c>
      <c r="P50" s="6" t="inlineStr">
        <is>
          <t>SCK CEN/90508872 PDF+DOCX (08-Apr-2026)</t>
        </is>
      </c>
      <c r="Q50" s="6" t="inlineStr">
        <is>
          <t>SCK CEN/90508872 §7.4.1; no named external code in OFFER text</t>
        </is>
      </c>
      <c r="R50" s="6" t="inlineStr">
        <is>
          <t>None explicitly named in the OFFER text</t>
        </is>
      </c>
      <c r="S50" s="6" t="inlineStr">
        <is>
          <t>Submit and review the named deliverable with RTM traceability and approval status; Witnessed FAT/SAT/commissioning test against stated acceptance criteria; Document review, inspection, certification, audit or traceable QC record</t>
        </is>
      </c>
      <c r="T50" s="6" t="inlineStr">
        <is>
          <t>Offer response: Project Dashboard &amp; Management Processes</t>
        </is>
      </c>
      <c r="U50" s="6" t="inlineStr">
        <is>
          <t>L0 Tender / Offer; L1 Conceptual Design; L2 Detailed Design; L3 Procurement &amp; Manufacturing / FAT; L4 Installation; L5 Standalone Commissioning; L6 Site Acceptance Testing</t>
        </is>
      </c>
      <c r="V50" s="6" t="inlineStr">
        <is>
          <t>OFFER-stage evidence; linked standards are contextual; does not prove full RTM compliance</t>
        </is>
      </c>
    </row>
    <row r="51" ht="48" customHeight="1">
      <c r="A51" s="6" t="inlineStr">
        <is>
          <t>OFFER-46</t>
        </is>
      </c>
      <c r="B51" s="6" t="inlineStr">
        <is>
          <t>Risk Assessment &amp; Mitigation Strategy</t>
        </is>
      </c>
      <c r="C51" s="6" t="n">
        <v>123</v>
      </c>
      <c r="D51" s="6" t="inlineStr">
        <is>
          <t>7.5</t>
        </is>
      </c>
      <c r="E51" s="6" t="inlineStr">
        <is>
          <t>Risk Assessment &amp; Management Plan</t>
        </is>
      </c>
      <c r="F51" s="6" t="inlineStr">
        <is>
          <t>8.49</t>
        </is>
      </c>
      <c r="G51" s="6" t="inlineStr">
        <is>
          <t>QUALITY_RISK</t>
        </is>
      </c>
      <c r="H51" s="6" t="inlineStr">
        <is>
          <t>Risk Management</t>
        </is>
      </c>
      <c r="I51" s="6" t="inlineStr">
        <is>
          <t>In the offer, the Applicant shall submit a preliminary Risk Assessment &amp; Management Plan. It shall contain all risks with a severity that are bound to compromise the successful completion of the Contract either in terms of schedule, budget, or technical requirements, irrespective of probability. It shall present a top-level view of the mitigation strategy that the Applicant shall implement during contract execution, for all the risks that have been identified as unacceptable.</t>
        </is>
      </c>
      <c r="J51" s="6" t="inlineStr">
        <is>
          <t>In the offer, the Applicant shall submit a preliminary Risk Assessment &amp; Management Plan. It shall contain all risks with a severity that are bound to compromise the successful completion of the Contract either in terms of schedule, budget, or technical requirements, irrespective of probability. It shall present a top-level view of the mitigation strategy that the Applicant shall implement during contract execution, for all the risks that have been identified as unacceptable.</t>
        </is>
      </c>
      <c r="K51" s="6" t="inlineStr">
        <is>
          <t>RTM-640</t>
        </is>
      </c>
      <c r="L51" s="6" t="n"/>
      <c r="M51" s="6" t="n">
        <v>1</v>
      </c>
      <c r="N51" s="6" t="inlineStr">
        <is>
          <t>Exact canonical section, with child/supporting RTMs classified separately where applicable.</t>
        </is>
      </c>
      <c r="O51" s="6" t="inlineStr">
        <is>
          <t>OK</t>
        </is>
      </c>
      <c r="P51" s="6" t="inlineStr">
        <is>
          <t>SCK CEN/90508872 PDF+DOCX (08-Apr-2026)</t>
        </is>
      </c>
      <c r="Q51" s="6" t="inlineStr">
        <is>
          <t>SCK CEN/90508872 §7.5; no named external code in OFFER text</t>
        </is>
      </c>
      <c r="R51" s="6" t="inlineStr">
        <is>
          <t>None explicitly named in the OFFER text</t>
        </is>
      </c>
      <c r="S51" s="6" t="inlineStr">
        <is>
          <t>Submit and review the named deliverable with RTM traceability and approval status</t>
        </is>
      </c>
      <c r="T51" s="6" t="inlineStr">
        <is>
          <t>Offer response: Risk Assessment &amp; Mitigation Strategy; Risk Assessment / HAZOP / FMECA</t>
        </is>
      </c>
      <c r="U51" s="6" t="inlineStr">
        <is>
          <t>L0 Tender / Offer; L1 Conceptual Design; L2 Detailed Design; L3 Procurement &amp; Manufacturing / FAT; L4 Installation; L5 Standalone Commissioning; L6 Site Acceptance Testing</t>
        </is>
      </c>
      <c r="V51" s="6" t="inlineStr">
        <is>
          <t>OFFER-stage evidence; linked standards are contextual; does not prove full RTM compliance</t>
        </is>
      </c>
    </row>
    <row r="52" ht="48" customHeight="1">
      <c r="A52" s="6" t="inlineStr">
        <is>
          <t>OFFER-47</t>
        </is>
      </c>
      <c r="B52" s="6" t="inlineStr">
        <is>
          <t>Quality Assurance Program (QAP) Definition</t>
        </is>
      </c>
      <c r="C52" s="6" t="n">
        <v>124</v>
      </c>
      <c r="D52" s="6" t="inlineStr">
        <is>
          <t>8</t>
        </is>
      </c>
      <c r="E52" s="6" t="inlineStr">
        <is>
          <t>General Quality Assurance and Control</t>
        </is>
      </c>
      <c r="F52" s="6" t="inlineStr">
        <is>
          <t>8.50</t>
        </is>
      </c>
      <c r="G52" s="6" t="inlineStr">
        <is>
          <t>QUALITY_RISK</t>
        </is>
      </c>
      <c r="H52" s="6" t="inlineStr">
        <is>
          <t>QAP</t>
        </is>
      </c>
      <c r="I52" s="6" t="inlineStr">
        <is>
          <t>In the offer, the Applicant shall:</t>
        </is>
      </c>
      <c r="J52" s="6" t="inlineStr">
        <is>
          <t>In the offer, the Applicant shall:
• submit a preliminary version of the QAP outlining the quality control process that will be implemented during Contract execution.</t>
        </is>
      </c>
      <c r="K52" s="6" t="inlineStr">
        <is>
          <t>RTM-642</t>
        </is>
      </c>
      <c r="L52" s="6" t="inlineStr">
        <is>
          <t>RTM-648..RTM-652</t>
        </is>
      </c>
      <c r="M52" s="6" t="n">
        <v>6</v>
      </c>
      <c r="N52" s="6" t="inlineStr">
        <is>
          <t>Exact canonical section, with child/supporting RTMs classified separately where applicable.</t>
        </is>
      </c>
      <c r="O52" s="6" t="inlineStr">
        <is>
          <t>OK — Review breadth</t>
        </is>
      </c>
      <c r="P52" s="6" t="inlineStr">
        <is>
          <t>SCK CEN/90508872 PDF+DOCX (08-Apr-2026)</t>
        </is>
      </c>
      <c r="Q52" s="6" t="inlineStr">
        <is>
          <t>SCK CEN/90508872 §8; no named external code in OFFER text</t>
        </is>
      </c>
      <c r="R52" s="6" t="inlineStr">
        <is>
          <t>None explicitly named in the OFFER text</t>
        </is>
      </c>
      <c r="S52" s="6" t="inlineStr">
        <is>
          <t>Submit and review the named deliverable with RTM traceability and approval status; Document review, inspection, certification, audit or traceable QC record; Conformity/safety assessment, certification and approved safety evidence</t>
        </is>
      </c>
      <c r="T52" s="6" t="inlineStr">
        <is>
          <t>Offer response: Quality Assurance Program (QAP) Definition; Quality Assurance Plan (QAP)</t>
        </is>
      </c>
      <c r="U52" s="6" t="inlineStr">
        <is>
          <t>L0 Tender / Offer; L1 Conceptual Design; L2 Detailed Design; L3 Procurement &amp; Manufacturing / FAT; L4 Installation; L5 Standalone Commissioning; L6 Site Acceptance Testing</t>
        </is>
      </c>
      <c r="V52" s="6" t="inlineStr">
        <is>
          <t>OFFER-stage evidence; linked standards are contextual; does not prove full RTM compliance</t>
        </is>
      </c>
    </row>
    <row r="53" ht="48" customHeight="1">
      <c r="A53" s="6" t="inlineStr">
        <is>
          <t>OFFER-48</t>
        </is>
      </c>
      <c r="B53" s="6" t="inlineStr">
        <is>
          <t>Detailed Quality Control Procedures</t>
        </is>
      </c>
      <c r="C53" s="6" t="n">
        <v>125</v>
      </c>
      <c r="D53" s="6" t="inlineStr">
        <is>
          <t>8.1.3.1</t>
        </is>
      </c>
      <c r="E53" s="6" t="inlineStr">
        <is>
          <t>Quality Assurance Plan (QAP)</t>
        </is>
      </c>
      <c r="F53" s="6" t="inlineStr">
        <is>
          <t>8.51</t>
        </is>
      </c>
      <c r="G53" s="6" t="inlineStr">
        <is>
          <t>QUALITY_RISK</t>
        </is>
      </c>
      <c r="H53" s="6" t="inlineStr">
        <is>
          <t>QAP</t>
        </is>
      </c>
      <c r="I53" s="6" t="inlineStr">
        <is>
          <t>In their offer, the Applicant shall include a preliminary version of this QAP.</t>
        </is>
      </c>
      <c r="J53" s="6" t="inlineStr">
        <is>
          <t>In their offer, the Applicant shall include a preliminary version of this QAP.</t>
        </is>
      </c>
      <c r="K53" s="6" t="inlineStr">
        <is>
          <t>RTM-650..RTM-652</t>
        </is>
      </c>
      <c r="L53" s="6" t="n"/>
      <c r="M53" s="6" t="n">
        <v>3</v>
      </c>
      <c r="N53" s="6" t="inlineStr">
        <is>
          <t>Exact canonical section, with child/supporting RTMs classified separately where applicable.</t>
        </is>
      </c>
      <c r="O53" s="6" t="inlineStr">
        <is>
          <t>OK</t>
        </is>
      </c>
      <c r="P53" s="6" t="inlineStr">
        <is>
          <t>SCK CEN/90508872 PDF+DOCX (08-Apr-2026)</t>
        </is>
      </c>
      <c r="Q53" s="6" t="inlineStr">
        <is>
          <t>SCK CEN/90508872 §8.1.3.1; no named external code in OFFER text</t>
        </is>
      </c>
      <c r="R53" s="6" t="inlineStr">
        <is>
          <t>None explicitly named in the OFFER text</t>
        </is>
      </c>
      <c r="S53" s="6" t="inlineStr">
        <is>
          <t>Submit and review the named deliverable with RTM traceability and approval status; Document review, inspection, certification, audit or traceable QC record; Conformity/safety assessment, certification and approved safety evidence</t>
        </is>
      </c>
      <c r="T53" s="6" t="inlineStr">
        <is>
          <t>Offer response: Detailed Quality Control Procedures; Quality Assurance Plan (QAP)</t>
        </is>
      </c>
      <c r="U53" s="6" t="inlineStr">
        <is>
          <t>L0 Tender / Offer; L1 Conceptual Design; L2 Detailed Design; L3 Procurement &amp; Manufacturing / FAT; L4 Installation; L5 Standalone Commissioning; L6 Site Acceptance Testing</t>
        </is>
      </c>
      <c r="V53" s="6" t="inlineStr">
        <is>
          <t>OFFER-stage evidence; linked standards are contextual; does not prove full RTM compliance</t>
        </is>
      </c>
    </row>
    <row r="54" ht="48" customHeight="1">
      <c r="A54" s="6" t="inlineStr">
        <is>
          <t>OFFER-49</t>
        </is>
      </c>
      <c r="B54" s="6" t="inlineStr">
        <is>
          <t>Codes, Standards &amp; Compliance Framework</t>
        </is>
      </c>
      <c r="C54" s="6" t="n">
        <v>129</v>
      </c>
      <c r="D54" s="6" t="inlineStr">
        <is>
          <t>9</t>
        </is>
      </c>
      <c r="E54" s="6" t="inlineStr">
        <is>
          <t>Applicable legislation, Codes and Standards</t>
        </is>
      </c>
      <c r="F54" s="6" t="inlineStr">
        <is>
          <t>8.52</t>
        </is>
      </c>
      <c r="G54" s="6" t="inlineStr">
        <is>
          <t>QUALITY_RISK</t>
        </is>
      </c>
      <c r="H54" s="6" t="inlineStr">
        <is>
          <t>Compliance</t>
        </is>
      </c>
      <c r="I54" s="6" t="inlineStr">
        <is>
          <t>In the offer, the Applicant shall include a list of the applied codes, rules and standard for the design, manufacturing, and testing of the QPS.</t>
        </is>
      </c>
      <c r="J54" s="6" t="inlineStr">
        <is>
          <t>In the offer, the Applicant shall include a list of the applied codes, rules and standard for the design, manufacturing, and testing of the QPS.</t>
        </is>
      </c>
      <c r="K54" s="6" t="inlineStr">
        <is>
          <t>RTM-687..RTM-688</t>
        </is>
      </c>
      <c r="L54" s="6" t="inlineStr">
        <is>
          <t>RTM-689..RTM-705</t>
        </is>
      </c>
      <c r="M54" s="6" t="n">
        <v>19</v>
      </c>
      <c r="N54" s="6" t="inlineStr">
        <is>
          <t>Exact canonical section, with child/supporting RTMs classified separately where applicable.</t>
        </is>
      </c>
      <c r="O54" s="6" t="inlineStr">
        <is>
          <t>OK — Review breadth</t>
        </is>
      </c>
      <c r="P54" s="6" t="inlineStr">
        <is>
          <t>SCK CEN/90508872 PDF+DOCX (08-Apr-2026)</t>
        </is>
      </c>
      <c r="Q54" s="6" t="inlineStr">
        <is>
          <t>Linked canonical RTM/section: ISO 9001; EN 13480; EN 13445; PED; EU declaration of conformity; CE marking; Low Voltage Directive 2014/35/EU; Machinery Directive 2006/42/EC; EMC Directive 2014/30/EU; Pressure Equipment Directive 2014/68/EU; EU Eco-design Directive 2009/125/EC; VLAREM II; IEC 60300-3-3 (Reliability-Centered Maintenance); ISO 20815; IEC 60300-3-11; IEC 60300-3-12 (Life-cycle costing); ISO 55000 / 55001 / 55002 (Asset Management); ISO 14224 (Reliability &amp; maintenance data); EN 61000-6-2; EN 61000-6-4; PED 2014/68/EU; ASME VIII-1; API 520/521; EN ISO 4126; ISO 21013-1/2; IEC 61508; IEC 61511; IEC 60204-1 / 61439; IEC 60300-3-3; IEC 62061; ISO 13849-1; ISO 8573-1 Class 0; ASTM D5464</t>
        </is>
      </c>
      <c r="R54" s="6" t="inlineStr">
        <is>
          <t>No individual standard named; Applicant must submit the complete applied list</t>
        </is>
      </c>
      <c r="S54" s="6" t="inlineStr">
        <is>
          <t>Submit and review the named deliverable with RTM traceability and approval status; Witnessed FAT/SAT/commissioning test against stated acceptance criteria; Conformity/safety assessment, certification and approved safety evidence</t>
        </is>
      </c>
      <c r="T54" s="6" t="inlineStr">
        <is>
          <t>Offer response: Codes, Standards &amp; Compliance Framework; List / register / matrix</t>
        </is>
      </c>
      <c r="U54" s="6" t="inlineStr">
        <is>
          <t>L0 Tender / Offer; L3 Procurement &amp; Manufacturing / FAT; L1 Conceptual Design; L2 Detailed Design; L4 Installation; L5 Standalone Commissioning; L6 Site Acceptance Testing</t>
        </is>
      </c>
      <c r="V54" s="6" t="inlineStr">
        <is>
          <t>OFFER-stage evidence; linked standards are contextual; does not prove full RTM compliance</t>
        </is>
      </c>
    </row>
    <row r="55" ht="48" customHeight="1">
      <c r="A55" s="6" t="inlineStr">
        <is>
          <t>OFFER-50</t>
        </is>
      </c>
      <c r="B55" s="6" t="inlineStr">
        <is>
          <t>Warranty Extension Commercial Terms</t>
        </is>
      </c>
      <c r="C55" s="6" t="n">
        <v>132</v>
      </c>
      <c r="D55" s="6" t="inlineStr">
        <is>
          <t>10.2</t>
        </is>
      </c>
      <c r="E55" s="6" t="inlineStr">
        <is>
          <t>Warranty Period</t>
        </is>
      </c>
      <c r="F55" s="6" t="inlineStr">
        <is>
          <t>8.53</t>
        </is>
      </c>
      <c r="G55" s="6" t="inlineStr">
        <is>
          <t>COMMERCIAL</t>
        </is>
      </c>
      <c r="H55" s="6" t="inlineStr">
        <is>
          <t>Warranty</t>
        </is>
      </c>
      <c r="I55" s="6" t="inlineStr">
        <is>
          <t>In the offer, the Applicant shall put forward the price per year to extend the Warranty Period with (an) extra year(s) beyond this minimum of 3 years up to a maximum of 6 years in aggregate (initial Warranty Period + extensions). SCK CEN shall be entitled to impose such additional Warranty Period by issuing a separate purchase order to that extent.</t>
        </is>
      </c>
      <c r="J55" s="6" t="inlineStr">
        <is>
          <t>In the offer, the Applicant shall put forward the price per year to extend the Warranty Period with (an) extra year(s) beyond this minimum of 3 years up to a maximum of 6 years in aggregate (initial Warranty Period + extensions). SCK CEN shall be entitled to impose such additional Warranty Period by issuing a separate purchase order to that extent.</t>
        </is>
      </c>
      <c r="K55" s="6" t="inlineStr">
        <is>
          <t>RTM-708</t>
        </is>
      </c>
      <c r="L55" s="6" t="inlineStr">
        <is>
          <t>RTM-709..RTM-710</t>
        </is>
      </c>
      <c r="M55" s="6" t="n">
        <v>3</v>
      </c>
      <c r="N55" s="6" t="inlineStr">
        <is>
          <t>Warranty-extension price is OFFER-only; warranty RTMs are context.</t>
        </is>
      </c>
      <c r="O55" s="6" t="inlineStr">
        <is>
          <t>OK</t>
        </is>
      </c>
      <c r="P55" s="6" t="inlineStr">
        <is>
          <t>SCK CEN/90508872 PDF+DOCX (08-Apr-2026)</t>
        </is>
      </c>
      <c r="Q55" s="6" t="inlineStr">
        <is>
          <t>SCK CEN/90508872 §10.2; no named external code in OFFER text</t>
        </is>
      </c>
      <c r="R55" s="6" t="inlineStr">
        <is>
          <t>None explicitly named in the OFFER text</t>
        </is>
      </c>
      <c r="S55" s="6" t="inlineStr">
        <is>
          <t>Submit and review the named deliverable with RTM traceability and approval status</t>
        </is>
      </c>
      <c r="T55" s="6" t="inlineStr">
        <is>
          <t>Offer response: Warranty Extension Commercial Terms</t>
        </is>
      </c>
      <c r="U55" s="6" t="inlineStr">
        <is>
          <t>L0 Tender / Offer; Warranty; PAC / Handover; FAC</t>
        </is>
      </c>
      <c r="V55" s="6" t="inlineStr">
        <is>
          <t>OFFER-stage evidence; linked standards are contextual; does not prove full RTM compliance</t>
        </is>
      </c>
    </row>
  </sheetData>
  <mergeCells count="2">
    <mergeCell ref="A1:P1"/>
    <mergeCell ref="A2:P2"/>
  </mergeCells>
  <conditionalFormatting sqref="O6:O55">
    <cfRule type="expression" priority="1" dxfId="94">
      <formula>O6="OK"</formula>
    </cfRule>
    <cfRule type="expression" priority="2" dxfId="95">
      <formula>O6="OK — Review breadth"</formula>
    </cfRule>
    <cfRule type="expression" priority="3" dxfId="96">
      <formula>O6="Review — breadth"</formula>
    </cfRule>
    <cfRule type="expression" priority="4" dxfId="96">
      <formula>O6="Review — accept context"</formula>
    </cfRule>
    <cfRule type="expression" priority="5" dxfId="95">
      <formula>O6="OK — non-RTM source"</formula>
    </cfRule>
  </conditionalFormatting>
  <dataValidations count="1">
    <dataValidation sqref="O6:O55" showDropDown="0" showInputMessage="0" showErrorMessage="0" allowBlank="1" errorTitle="Invalid Review flag" error="Pick one of the 5 standard Review flag values." type="list">
      <formula1>"OK,OK — Review breadth,Review — breadth,Review — accept context,OK — non-RTM source"</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tabColor rgb="001FA7A0"/>
    <outlinePr summaryBelow="1" summaryRight="1"/>
    <pageSetUpPr/>
  </sheetPr>
  <dimension ref="A1:N381"/>
  <sheetViews>
    <sheetView topLeftCell="A1" zoomScale="90" zoomScaleNormal="90" workbookViewId="0">
      <pane ySplit="4" topLeftCell="A5" activePane="bottomLeft" state="frozen"/>
      <selection pane="bottomLeft" activeCell="A1" sqref="A1"/>
    </sheetView>
  </sheetViews>
  <sheetFormatPr baseColWidth="8" defaultRowHeight="14.25"/>
  <cols>
    <col width="12" customWidth="1" min="1" max="1"/>
    <col width="30" customWidth="1" min="2" max="2"/>
    <col width="12" customWidth="1" min="3" max="5"/>
    <col width="13" customWidth="1" min="4" max="4"/>
    <col width="13" customWidth="1" min="5" max="5"/>
    <col width="12" customWidth="1" min="6" max="6"/>
    <col width="10.5" customWidth="1" min="7" max="7"/>
    <col width="18" customWidth="1" min="8" max="8"/>
    <col width="22" customWidth="1" min="9" max="9"/>
    <col width="32.75" customWidth="1" min="10" max="10"/>
    <col width="42" customWidth="1" min="11" max="11"/>
    <col width="44" customWidth="1" min="12" max="13"/>
    <col width="38" customWidth="1" min="14" max="14"/>
  </cols>
  <sheetData>
    <row r="1" ht="32.1" customHeight="1">
      <c r="A1" s="35" t="inlineStr">
        <is>
          <t>OFFER ↔ RTM crosswalk</t>
        </is>
      </c>
    </row>
    <row r="2" ht="30" customHeight="1">
      <c r="A2" s="36" t="inlineStr">
        <is>
          <t>Direct, supporting, contextual and broad-scope relationships remain explicitly classified.  Column L ('Allocation basis') methodology (this phase): where the source text only restated the section number or said 'subject-specific primary allocation' with no further detail, it was rebuilt from fields already on the row (Relation type, RTM Category, OFFER Category, Section) so it names the actual pairing and reason, shown in italic blue like other rule-derived fields in this workbook. Columns M ('QC check') and N ('Source basis') previously had data but no header at all.</t>
        </is>
      </c>
    </row>
    <row r="3" ht="21.95" customHeight="1">
      <c r="A3" s="188">
        <f>HYPERLINK("#START_HERE!A1","Start")</f>
        <v/>
      </c>
      <c r="B3" s="188">
        <f>HYPERLINK("#DASHBOARD!A1","Dashboard")</f>
        <v/>
      </c>
      <c r="C3" s="188">
        <f>HYPERLINK("#OFFER_RANKING!A1","Ranking")</f>
        <v/>
      </c>
      <c r="D3" s="188">
        <f>HYPERLINK("#EVALUATION_INPUT!A1","Evaluate")</f>
        <v/>
      </c>
      <c r="E3" s="188">
        <f>HYPERLINK("#OFFER_CANONICAL!A1","Canonical")</f>
        <v/>
      </c>
      <c r="F3" s="188">
        <f>HYPERLINK("#RTM_CROSSWALK!A1","Crosswalk")</f>
        <v/>
      </c>
      <c r="G3" s="188">
        <f>HYPERLINK("#WEIGHTS_METHOD!A1","Method")</f>
        <v/>
      </c>
      <c r="H3" s="1" t="n"/>
      <c r="I3" s="1" t="n"/>
      <c r="J3" s="1" t="n"/>
      <c r="K3" s="1" t="n"/>
      <c r="L3" s="1" t="n"/>
      <c r="M3" s="1" t="n"/>
      <c r="N3" s="1" t="n"/>
    </row>
    <row r="4" ht="30" customHeight="1">
      <c r="A4" s="123" t="inlineStr">
        <is>
          <t>OFFER ID</t>
        </is>
      </c>
      <c r="B4" s="123" t="inlineStr">
        <is>
          <t>OFFER Title</t>
        </is>
      </c>
      <c r="C4" s="123" t="inlineStr">
        <is>
          <t>OFFER Rank</t>
        </is>
      </c>
      <c r="D4" s="123" t="inlineStr">
        <is>
          <t>OFFER Section</t>
        </is>
      </c>
      <c r="E4" s="123" t="inlineStr">
        <is>
          <t>RTM ID</t>
        </is>
      </c>
      <c r="F4" s="123" t="inlineStr">
        <is>
          <t>RTM Rank</t>
        </is>
      </c>
      <c r="G4" s="123" t="inlineStr">
        <is>
          <t>RTM Section</t>
        </is>
      </c>
      <c r="H4" s="123" t="inlineStr">
        <is>
          <t>RTM Category</t>
        </is>
      </c>
      <c r="I4" s="123" t="inlineStr">
        <is>
          <t>RTM Shall statement</t>
        </is>
      </c>
      <c r="J4" s="123" t="inlineStr">
        <is>
          <t>Relation type</t>
        </is>
      </c>
      <c r="K4" s="123" t="inlineStr">
        <is>
          <t>Coverage note</t>
        </is>
      </c>
      <c r="L4" s="123" t="inlineStr">
        <is>
          <t>Allocation basis</t>
        </is>
      </c>
      <c r="M4" s="93" t="inlineStr">
        <is>
          <t>QC check</t>
        </is>
      </c>
      <c r="N4" s="93" t="inlineStr">
        <is>
          <t>Source basis</t>
        </is>
      </c>
    </row>
    <row r="5" ht="71" customHeight="1">
      <c r="A5" s="124" t="inlineStr">
        <is>
          <t>OFFER-01</t>
        </is>
      </c>
      <c r="B5" s="124" t="inlineStr">
        <is>
          <t>Tender Compliance Confirmation</t>
        </is>
      </c>
      <c r="C5" s="124" t="inlineStr">
        <is>
          <t>24</t>
        </is>
      </c>
      <c r="D5" s="124" t="inlineStr">
        <is>
          <t>4.1</t>
        </is>
      </c>
      <c r="E5" s="124" t="inlineStr">
        <is>
          <t>RTM-001</t>
        </is>
      </c>
      <c r="F5" s="124" t="inlineStr">
        <is>
          <t>242</t>
        </is>
      </c>
      <c r="G5" s="124" t="inlineStr">
        <is>
          <t>4.13</t>
        </is>
      </c>
      <c r="H5" s="124" t="inlineStr">
        <is>
          <t>General Requirements</t>
        </is>
      </c>
      <c r="I5" s="124" t="inlineStr">
        <is>
          <t>The Contractor shall be fully responsible for ensuring that the Deliverables and Services provided fully meet the specified requirements for the Contract.</t>
        </is>
      </c>
      <c r="J5" s="124" t="inlineStr">
        <is>
          <t>Direct — primary evidence anchor</t>
        </is>
      </c>
      <c r="K5" s="124" t="inlineStr">
        <is>
          <t>Partial evidence: OFFER response supports evaluation; it does not replace full RTM compliance.</t>
        </is>
      </c>
      <c r="L5" s="83" t="inlineStr">
        <is>
          <t>RTM-001 (General Requirements) is OFFER-01's (Compliance / Quality) primary technical anchor in §4.13 — the direct classification means this is the main clause being evidenced here, not one of several equally-weighted section-mates.</t>
        </is>
      </c>
      <c r="M5" s="3" t="inlineStr">
        <is>
          <t>OK</t>
        </is>
      </c>
      <c r="N5" s="3" t="inlineStr">
        <is>
          <t>Canonical PDF/DOCX.</t>
        </is>
      </c>
    </row>
    <row r="6" ht="58" customHeight="1">
      <c r="A6" s="125" t="inlineStr">
        <is>
          <t>OFFER-01</t>
        </is>
      </c>
      <c r="B6" s="125" t="inlineStr">
        <is>
          <t>Tender Compliance Confirmation</t>
        </is>
      </c>
      <c r="C6" s="125" t="n">
        <v>24</v>
      </c>
      <c r="D6" s="125" t="inlineStr">
        <is>
          <t>4.1</t>
        </is>
      </c>
      <c r="E6" s="125" t="inlineStr">
        <is>
          <t>RTM-002</t>
        </is>
      </c>
      <c r="F6" s="125" t="n">
        <v>24</v>
      </c>
      <c r="G6" s="125" t="inlineStr">
        <is>
          <t>4.1</t>
        </is>
      </c>
      <c r="H6" s="125" t="inlineStr">
        <is>
          <t>General Requirements</t>
        </is>
      </c>
      <c r="I6" s="125" t="inlineStr">
        <is>
          <t>The Contractor shall be fully responsible for the correct definition and execution of all activities (including, but not limited to, engineering, manufacturing, packaging, transportation, delivery, installation, testing, commissioning, QC, QA) necessary to duly perform the Contract and to ensure that (each item in) the Contractor’s scope of supply and (each activity in) the Contractor’s scope of work duly meet the requirements imposed on them.</t>
        </is>
      </c>
      <c r="J6" s="125" t="inlineStr">
        <is>
          <t>Supporting — shared section</t>
        </is>
      </c>
      <c r="K6" s="125" t="inlineStr">
        <is>
          <t>Partial evidence: OFFER response supports evaluation; it does not replace full RTM compliance.</t>
        </is>
      </c>
      <c r="L6" s="126" t="inlineStr">
        <is>
          <t>RTM-002 (General Requirements) and OFFER-01 (Compliance / Quality) are linked only because both sit in §4.1 — a supporting (shared-section) link, not a dedicated cross-reference to this specific clause.</t>
        </is>
      </c>
      <c r="M6" s="6" t="inlineStr">
        <is>
          <t>OK</t>
        </is>
      </c>
      <c r="N6" s="6" t="inlineStr">
        <is>
          <t>Canonical PDF/DOCX.</t>
        </is>
      </c>
    </row>
    <row r="7" ht="71" customHeight="1">
      <c r="A7" s="6" t="inlineStr">
        <is>
          <t>OFFER-01</t>
        </is>
      </c>
      <c r="B7" s="6" t="inlineStr">
        <is>
          <t>Tender Compliance Confirmation</t>
        </is>
      </c>
      <c r="C7" s="6" t="n">
        <v>24</v>
      </c>
      <c r="D7" s="6" t="inlineStr">
        <is>
          <t>4.1</t>
        </is>
      </c>
      <c r="E7" s="6" t="inlineStr">
        <is>
          <t>RTM-003</t>
        </is>
      </c>
      <c r="F7" s="6" t="n">
        <v>24</v>
      </c>
      <c r="G7" s="6" t="inlineStr">
        <is>
          <t>4.1</t>
        </is>
      </c>
      <c r="H7" s="6" t="inlineStr">
        <is>
          <t>General Requirements</t>
        </is>
      </c>
      <c r="I7" s="6" t="inlineStr">
        <is>
          <t>The Contractor shall be responsible to obtain the corresponding documents for referenced norms, standards, etc.</t>
        </is>
      </c>
      <c r="J7" s="6" t="inlineStr">
        <is>
          <t>Direct — primary evidence anchor</t>
        </is>
      </c>
      <c r="K7" s="6" t="inlineStr">
        <is>
          <t>Partial evidence: OFFER response supports evaluation; it does not replace full RTM compliance.</t>
        </is>
      </c>
      <c r="L7" s="83" t="inlineStr">
        <is>
          <t>RTM-003 (General Requirements) is OFFER-01's (Compliance / Quality) primary technical anchor in §4.1 — the direct classification means this is the main clause being evidenced here, not one of several equally-weighted section-mates.</t>
        </is>
      </c>
      <c r="M7" s="6" t="inlineStr">
        <is>
          <t>OK</t>
        </is>
      </c>
      <c r="N7" s="6" t="inlineStr">
        <is>
          <t>Canonical PDF/DOCX.</t>
        </is>
      </c>
    </row>
    <row r="8" ht="58" customHeight="1">
      <c r="A8" s="125" t="inlineStr">
        <is>
          <t>OFFER-01</t>
        </is>
      </c>
      <c r="B8" s="125" t="inlineStr">
        <is>
          <t>Tender Compliance Confirmation</t>
        </is>
      </c>
      <c r="C8" s="125" t="n">
        <v>24</v>
      </c>
      <c r="D8" s="125" t="inlineStr">
        <is>
          <t>4.1</t>
        </is>
      </c>
      <c r="E8" s="125" t="inlineStr">
        <is>
          <t>RTM-004</t>
        </is>
      </c>
      <c r="F8" s="125" t="n">
        <v>25</v>
      </c>
      <c r="G8" s="125" t="inlineStr">
        <is>
          <t>4.1</t>
        </is>
      </c>
      <c r="H8" s="125" t="inlineStr">
        <is>
          <t>General Requirements</t>
        </is>
      </c>
      <c r="I8" s="125" t="inlineStr">
        <is>
          <t>Any deviations or modifications shall require prior written approval by SCK CEN to be implemented.</t>
        </is>
      </c>
      <c r="J8" s="125" t="inlineStr">
        <is>
          <t>Supporting — shared section</t>
        </is>
      </c>
      <c r="K8" s="125" t="inlineStr">
        <is>
          <t>Partial evidence: OFFER response supports evaluation; it does not replace full RTM compliance.</t>
        </is>
      </c>
      <c r="L8" s="126" t="inlineStr">
        <is>
          <t>RTM-004 (General Requirements) and OFFER-01 (Compliance / Quality) are linked only because both sit in §4.1 — a supporting (shared-section) link, not a dedicated cross-reference to this specific clause.</t>
        </is>
      </c>
      <c r="M8" s="6" t="inlineStr">
        <is>
          <t>OK</t>
        </is>
      </c>
      <c r="N8" s="6" t="inlineStr">
        <is>
          <t>Canonical PDF/DOCX.</t>
        </is>
      </c>
    </row>
    <row r="9" ht="58" customHeight="1">
      <c r="A9" s="6" t="inlineStr">
        <is>
          <t>OFFER-02</t>
        </is>
      </c>
      <c r="B9" s="6" t="inlineStr">
        <is>
          <t>Assumptions, Deviations &amp; Additions Register</t>
        </is>
      </c>
      <c r="C9" s="6" t="n">
        <v>24</v>
      </c>
      <c r="D9" s="6" t="inlineStr">
        <is>
          <t>4.1</t>
        </is>
      </c>
      <c r="E9" s="6" t="inlineStr">
        <is>
          <t>RTM-001</t>
        </is>
      </c>
      <c r="F9" s="6" t="n">
        <v>24</v>
      </c>
      <c r="G9" s="6" t="inlineStr">
        <is>
          <t>4.1</t>
        </is>
      </c>
      <c r="H9" s="6" t="inlineStr">
        <is>
          <t>General Requirements</t>
        </is>
      </c>
      <c r="I9" s="6" t="inlineStr">
        <is>
          <t>The Contractor shall be fully responsible for ensuring that the Deliverables and Services provided fully meet the specified requirements for the Contract.</t>
        </is>
      </c>
      <c r="J9" s="6" t="inlineStr">
        <is>
          <t>Supporting — shared section</t>
        </is>
      </c>
      <c r="K9" s="6" t="inlineStr">
        <is>
          <t>Partial evidence: OFFER response supports evaluation; it does not replace full RTM compliance.</t>
        </is>
      </c>
      <c r="L9" s="83" t="inlineStr">
        <is>
          <t>RTM-001 (General Requirements) and OFFER-02 (Compliance / Quality) are linked only because both sit in §4.1 — a supporting (shared-section) link, not a dedicated cross-reference to this specific clause.</t>
        </is>
      </c>
      <c r="M9" s="6" t="inlineStr">
        <is>
          <t>OK</t>
        </is>
      </c>
      <c r="N9" s="6" t="inlineStr">
        <is>
          <t>Canonical PDF/DOCX.</t>
        </is>
      </c>
    </row>
    <row r="10" ht="58" customHeight="1">
      <c r="A10" s="125" t="inlineStr">
        <is>
          <t>OFFER-02</t>
        </is>
      </c>
      <c r="B10" s="125" t="inlineStr">
        <is>
          <t>Assumptions, Deviations &amp; Additions Register</t>
        </is>
      </c>
      <c r="C10" s="125" t="n">
        <v>24</v>
      </c>
      <c r="D10" s="125" t="inlineStr">
        <is>
          <t>4.1</t>
        </is>
      </c>
      <c r="E10" s="125" t="inlineStr">
        <is>
          <t>RTM-002</t>
        </is>
      </c>
      <c r="F10" s="125" t="n">
        <v>24</v>
      </c>
      <c r="G10" s="125" t="inlineStr">
        <is>
          <t>4.1</t>
        </is>
      </c>
      <c r="H10" s="125" t="inlineStr">
        <is>
          <t>General Requirements</t>
        </is>
      </c>
      <c r="I10" s="125" t="inlineStr">
        <is>
          <t>The Contractor shall be fully responsible for the correct definition and execution of all activities (including, but not limited to, engineering, manufacturing, packaging, transportation, delivery, installation, testing, commissioning, QC, QA) necessary to duly perform the Contract and to ensure that (each item in) the Contractor’s scope of supply and (each activity in) the Contractor’s scope of work duly meet the requirements imposed on them.</t>
        </is>
      </c>
      <c r="J10" s="125" t="inlineStr">
        <is>
          <t>Supporting — shared section</t>
        </is>
      </c>
      <c r="K10" s="125" t="inlineStr">
        <is>
          <t>Partial evidence: OFFER response supports evaluation; it does not replace full RTM compliance.</t>
        </is>
      </c>
      <c r="L10" s="126" t="inlineStr">
        <is>
          <t>RTM-002 (General Requirements) and OFFER-02 (Compliance / Quality) are linked only because both sit in §4.1 — a supporting (shared-section) link, not a dedicated cross-reference to this specific clause.</t>
        </is>
      </c>
      <c r="M10" s="6" t="inlineStr">
        <is>
          <t>OK</t>
        </is>
      </c>
      <c r="N10" s="6" t="inlineStr">
        <is>
          <t>Canonical PDF/DOCX.</t>
        </is>
      </c>
    </row>
    <row r="11" ht="58" customHeight="1">
      <c r="A11" s="6" t="inlineStr">
        <is>
          <t>OFFER-02</t>
        </is>
      </c>
      <c r="B11" s="6" t="inlineStr">
        <is>
          <t>Assumptions, Deviations &amp; Additions Register</t>
        </is>
      </c>
      <c r="C11" s="6" t="n">
        <v>24</v>
      </c>
      <c r="D11" s="6" t="inlineStr">
        <is>
          <t>4.1</t>
        </is>
      </c>
      <c r="E11" s="6" t="inlineStr">
        <is>
          <t>RTM-003</t>
        </is>
      </c>
      <c r="F11" s="6" t="n">
        <v>24</v>
      </c>
      <c r="G11" s="6" t="inlineStr">
        <is>
          <t>4.1</t>
        </is>
      </c>
      <c r="H11" s="6" t="inlineStr">
        <is>
          <t>General Requirements</t>
        </is>
      </c>
      <c r="I11" s="6" t="inlineStr">
        <is>
          <t>The Contractor shall be responsible to obtain the corresponding documents for referenced norms, standards, etc.</t>
        </is>
      </c>
      <c r="J11" s="6" t="inlineStr">
        <is>
          <t>Supporting — shared section</t>
        </is>
      </c>
      <c r="K11" s="6" t="inlineStr">
        <is>
          <t>Partial evidence: OFFER response supports evaluation; it does not replace full RTM compliance.</t>
        </is>
      </c>
      <c r="L11" s="83" t="inlineStr">
        <is>
          <t>RTM-003 (General Requirements) and OFFER-02 (Compliance / Quality) are linked only because both sit in §4.1 — a supporting (shared-section) link, not a dedicated cross-reference to this specific clause.</t>
        </is>
      </c>
      <c r="M11" s="6" t="inlineStr">
        <is>
          <t>OK</t>
        </is>
      </c>
      <c r="N11" s="6" t="inlineStr">
        <is>
          <t>Canonical PDF/DOCX.</t>
        </is>
      </c>
    </row>
    <row r="12" ht="71" customHeight="1">
      <c r="A12" s="125" t="inlineStr">
        <is>
          <t>OFFER-02</t>
        </is>
      </c>
      <c r="B12" s="125" t="inlineStr">
        <is>
          <t>Assumptions, Deviations &amp; Additions Register</t>
        </is>
      </c>
      <c r="C12" s="125" t="n">
        <v>24</v>
      </c>
      <c r="D12" s="125" t="inlineStr">
        <is>
          <t>4.1</t>
        </is>
      </c>
      <c r="E12" s="125" t="inlineStr">
        <is>
          <t>RTM-004</t>
        </is>
      </c>
      <c r="F12" s="125" t="n">
        <v>25</v>
      </c>
      <c r="G12" s="125" t="inlineStr">
        <is>
          <t>4.1</t>
        </is>
      </c>
      <c r="H12" s="125" t="inlineStr">
        <is>
          <t>General Requirements</t>
        </is>
      </c>
      <c r="I12" s="125" t="inlineStr">
        <is>
          <t>Any deviations or modifications shall require prior written approval by SCK CEN to be implemented.</t>
        </is>
      </c>
      <c r="J12" s="125" t="inlineStr">
        <is>
          <t>Direct — primary evidence anchor</t>
        </is>
      </c>
      <c r="K12" s="125" t="inlineStr">
        <is>
          <t>Partial evidence: OFFER response supports evaluation; it does not replace full RTM compliance.</t>
        </is>
      </c>
      <c r="L12" s="126" t="inlineStr">
        <is>
          <t>RTM-004 (General Requirements) is OFFER-02's (Compliance / Quality) primary technical anchor in §4.1 — the direct classification means this is the main clause being evidenced here, not one of several equally-weighted section-mates.</t>
        </is>
      </c>
      <c r="M12" s="6" t="inlineStr">
        <is>
          <t>OK</t>
        </is>
      </c>
      <c r="N12" s="6" t="inlineStr">
        <is>
          <t>Canonical PDF/DOCX.</t>
        </is>
      </c>
    </row>
    <row r="13" ht="58" customHeight="1">
      <c r="A13" s="6" t="inlineStr">
        <is>
          <t>OFFER-03</t>
        </is>
      </c>
      <c r="B13" s="6" t="inlineStr">
        <is>
          <t>Integrated Technical Proposal &amp; Execution Strategy</t>
        </is>
      </c>
      <c r="C13" s="6" t="n">
        <v>25</v>
      </c>
      <c r="D13" s="6" t="inlineStr">
        <is>
          <t>4.1</t>
        </is>
      </c>
      <c r="E13" s="6" t="inlineStr">
        <is>
          <t>RTM-001</t>
        </is>
      </c>
      <c r="F13" s="6" t="n">
        <v>24</v>
      </c>
      <c r="G13" s="6" t="inlineStr">
        <is>
          <t>4.1</t>
        </is>
      </c>
      <c r="H13" s="6" t="inlineStr">
        <is>
          <t>General Requirements</t>
        </is>
      </c>
      <c r="I13" s="6" t="inlineStr">
        <is>
          <t>The Contractor shall be fully responsible for ensuring that the Deliverables and Services provided fully meet the specified requirements for the Contract.</t>
        </is>
      </c>
      <c r="J13" s="6" t="inlineStr">
        <is>
          <t>Supporting — shared section</t>
        </is>
      </c>
      <c r="K13" s="6" t="inlineStr">
        <is>
          <t>Partial evidence: OFFER response supports evaluation; it does not replace full RTM compliance.</t>
        </is>
      </c>
      <c r="L13" s="83" t="inlineStr">
        <is>
          <t>RTM-001 (General Requirements) and OFFER-03 (Compliance / Quality) are linked only because both sit in §4.1 — a supporting (shared-section) link, not a dedicated cross-reference to this specific clause.</t>
        </is>
      </c>
      <c r="M13" s="6" t="inlineStr">
        <is>
          <t>OK</t>
        </is>
      </c>
      <c r="N13" s="6" t="inlineStr">
        <is>
          <t>Canonical PDF/DOCX.</t>
        </is>
      </c>
    </row>
    <row r="14" ht="71" customHeight="1">
      <c r="A14" s="125" t="inlineStr">
        <is>
          <t>OFFER-03</t>
        </is>
      </c>
      <c r="B14" s="125" t="inlineStr">
        <is>
          <t>Integrated Technical Proposal &amp; Execution Strategy</t>
        </is>
      </c>
      <c r="C14" s="125" t="n">
        <v>25</v>
      </c>
      <c r="D14" s="125" t="inlineStr">
        <is>
          <t>4.1</t>
        </is>
      </c>
      <c r="E14" s="125" t="inlineStr">
        <is>
          <t>RTM-002</t>
        </is>
      </c>
      <c r="F14" s="125" t="n">
        <v>24</v>
      </c>
      <c r="G14" s="125" t="inlineStr">
        <is>
          <t>4.1</t>
        </is>
      </c>
      <c r="H14" s="125" t="inlineStr">
        <is>
          <t>General Requirements</t>
        </is>
      </c>
      <c r="I14" s="125" t="inlineStr">
        <is>
          <t>The Contractor shall be fully responsible for the correct definition and execution of all activities (including, but not limited to, engineering, manufacturing, packaging, transportation, delivery, installation, testing, commissioning, QC, QA) necessary to duly perform the Contract and to ensure that (each item in) the Contractor’s scope of supply and (each activity in) the Contractor’s scope of work duly meet the requirements imposed on them.</t>
        </is>
      </c>
      <c r="J14" s="125" t="inlineStr">
        <is>
          <t>Direct — primary evidence anchor</t>
        </is>
      </c>
      <c r="K14" s="125" t="inlineStr">
        <is>
          <t>Partial evidence: OFFER response supports evaluation; it does not replace full RTM compliance.</t>
        </is>
      </c>
      <c r="L14" s="126" t="inlineStr">
        <is>
          <t>RTM-002 (General Requirements) is OFFER-03's (Compliance / Quality) primary technical anchor in §4.1 — the direct classification means this is the main clause being evidenced here, not one of several equally-weighted section-mates.</t>
        </is>
      </c>
      <c r="M14" s="6" t="inlineStr">
        <is>
          <t>OK</t>
        </is>
      </c>
      <c r="N14" s="6" t="inlineStr">
        <is>
          <t>Canonical PDF/DOCX.</t>
        </is>
      </c>
    </row>
    <row r="15" ht="58" customHeight="1">
      <c r="A15" s="6" t="inlineStr">
        <is>
          <t>OFFER-03</t>
        </is>
      </c>
      <c r="B15" s="6" t="inlineStr">
        <is>
          <t>Integrated Technical Proposal &amp; Execution Strategy</t>
        </is>
      </c>
      <c r="C15" s="6" t="n">
        <v>25</v>
      </c>
      <c r="D15" s="6" t="inlineStr">
        <is>
          <t>4.1</t>
        </is>
      </c>
      <c r="E15" s="6" t="inlineStr">
        <is>
          <t>RTM-003</t>
        </is>
      </c>
      <c r="F15" s="6" t="n">
        <v>24</v>
      </c>
      <c r="G15" s="6" t="inlineStr">
        <is>
          <t>4.1</t>
        </is>
      </c>
      <c r="H15" s="6" t="inlineStr">
        <is>
          <t>General Requirements</t>
        </is>
      </c>
      <c r="I15" s="6" t="inlineStr">
        <is>
          <t>The Contractor shall be responsible to obtain the corresponding documents for referenced norms, standards, etc.</t>
        </is>
      </c>
      <c r="J15" s="6" t="inlineStr">
        <is>
          <t>Supporting — shared section</t>
        </is>
      </c>
      <c r="K15" s="6" t="inlineStr">
        <is>
          <t>Partial evidence: OFFER response supports evaluation; it does not replace full RTM compliance.</t>
        </is>
      </c>
      <c r="L15" s="83" t="inlineStr">
        <is>
          <t>RTM-003 (General Requirements) and OFFER-03 (Compliance / Quality) are linked only because both sit in §4.1 — a supporting (shared-section) link, not a dedicated cross-reference to this specific clause.</t>
        </is>
      </c>
      <c r="M15" s="6" t="inlineStr">
        <is>
          <t>OK</t>
        </is>
      </c>
      <c r="N15" s="6" t="inlineStr">
        <is>
          <t>Canonical PDF/DOCX.</t>
        </is>
      </c>
    </row>
    <row r="16" ht="58" customHeight="1">
      <c r="A16" s="125" t="inlineStr">
        <is>
          <t>OFFER-03</t>
        </is>
      </c>
      <c r="B16" s="125" t="inlineStr">
        <is>
          <t>Integrated Technical Proposal &amp; Execution Strategy</t>
        </is>
      </c>
      <c r="C16" s="125" t="n">
        <v>25</v>
      </c>
      <c r="D16" s="125" t="inlineStr">
        <is>
          <t>4.1</t>
        </is>
      </c>
      <c r="E16" s="125" t="inlineStr">
        <is>
          <t>RTM-004</t>
        </is>
      </c>
      <c r="F16" s="125" t="n">
        <v>25</v>
      </c>
      <c r="G16" s="125" t="inlineStr">
        <is>
          <t>4.1</t>
        </is>
      </c>
      <c r="H16" s="125" t="inlineStr">
        <is>
          <t>General Requirements</t>
        </is>
      </c>
      <c r="I16" s="125" t="inlineStr">
        <is>
          <t>Any deviations or modifications shall require prior written approval by SCK CEN to be implemented.</t>
        </is>
      </c>
      <c r="J16" s="125" t="inlineStr">
        <is>
          <t>Supporting — shared section</t>
        </is>
      </c>
      <c r="K16" s="125" t="inlineStr">
        <is>
          <t>Partial evidence: OFFER response supports evaluation; it does not replace full RTM compliance.</t>
        </is>
      </c>
      <c r="L16" s="126" t="inlineStr">
        <is>
          <t>RTM-004 (General Requirements) and OFFER-03 (Compliance / Quality) are linked only because both sit in §4.1 — a supporting (shared-section) link, not a dedicated cross-reference to this specific clause.</t>
        </is>
      </c>
      <c r="M16" s="6" t="inlineStr">
        <is>
          <t>OK</t>
        </is>
      </c>
      <c r="N16" s="6" t="inlineStr">
        <is>
          <t>Canonical PDF/DOCX.</t>
        </is>
      </c>
    </row>
    <row r="17" ht="71" customHeight="1">
      <c r="A17" s="6" t="inlineStr">
        <is>
          <t>OFFER-04</t>
        </is>
      </c>
      <c r="B17" s="6" t="inlineStr">
        <is>
          <t>Cooldown &amp; Thermal Performance Modelling</t>
        </is>
      </c>
      <c r="C17" s="6" t="n">
        <v>29</v>
      </c>
      <c r="D17" s="6" t="inlineStr">
        <is>
          <t>4.2.2.2</t>
        </is>
      </c>
      <c r="E17" s="6" t="inlineStr">
        <is>
          <t>RTM-019</t>
        </is>
      </c>
      <c r="F17" s="6" t="n">
        <v>28</v>
      </c>
      <c r="G17" s="6" t="inlineStr">
        <is>
          <t>4.2.2.2</t>
        </is>
      </c>
      <c r="H17" s="6" t="inlineStr">
        <is>
          <t>Transient Operational Scenarios</t>
        </is>
      </c>
      <c r="I17" s="6" t="inlineStr">
        <is>
          <t>The QPS shall implement the Transient Operational Scenarios defined in Table 4.</t>
        </is>
      </c>
      <c r="J17" s="6" t="inlineStr">
        <is>
          <t>Direct — exact contract section</t>
        </is>
      </c>
      <c r="K17" s="6" t="inlineStr">
        <is>
          <t>Partial evidence: OFFER response supports evaluation; it does not replace full RTM compliance.</t>
        </is>
      </c>
      <c r="L17" s="83" t="inlineStr">
        <is>
          <t>RTM-019 (Transient Operational Scenarios) and OFFER-04 (Performance / Process / Utilities) are linked only because both sit in §4.2.2.2 — a direct (shared-section) link, not a dedicated cross-reference to this specific clause.</t>
        </is>
      </c>
      <c r="M17" s="6" t="inlineStr">
        <is>
          <t>OK</t>
        </is>
      </c>
      <c r="N17" s="6" t="inlineStr">
        <is>
          <t>Canonical PDF/DOCX.</t>
        </is>
      </c>
    </row>
    <row r="18" ht="71" customHeight="1">
      <c r="A18" s="125" t="inlineStr">
        <is>
          <t>OFFER-04</t>
        </is>
      </c>
      <c r="B18" s="125" t="inlineStr">
        <is>
          <t>Cooldown &amp; Thermal Performance Modelling</t>
        </is>
      </c>
      <c r="C18" s="125" t="n">
        <v>29</v>
      </c>
      <c r="D18" s="125" t="inlineStr">
        <is>
          <t>4.2.2.2</t>
        </is>
      </c>
      <c r="E18" s="125" t="inlineStr">
        <is>
          <t>RTM-020</t>
        </is>
      </c>
      <c r="F18" s="125" t="n">
        <v>28</v>
      </c>
      <c r="G18" s="125" t="inlineStr">
        <is>
          <t>4.2.2.2</t>
        </is>
      </c>
      <c r="H18" s="125" t="inlineStr">
        <is>
          <t>Transient Operational Scenarios</t>
        </is>
      </c>
      <c r="I18" s="125" t="inlineStr">
        <is>
          <t>For cooldown and warmup scenarios, the Contractor shall provide and substantiate the following:</t>
        </is>
      </c>
      <c r="J18" s="125" t="inlineStr">
        <is>
          <t>Direct — exact contract section</t>
        </is>
      </c>
      <c r="K18" s="125" t="inlineStr">
        <is>
          <t>Partial evidence: OFFER response supports evaluation; it does not replace full RTM compliance.</t>
        </is>
      </c>
      <c r="L18" s="126" t="inlineStr">
        <is>
          <t>RTM-020 (Transient Operational Scenarios) and OFFER-04 (Performance / Process / Utilities) are linked only because both sit in §4.2.2.2 — a direct (shared-section) link, not a dedicated cross-reference to this specific clause.</t>
        </is>
      </c>
      <c r="M18" s="6" t="inlineStr">
        <is>
          <t>OK</t>
        </is>
      </c>
      <c r="N18" s="6" t="inlineStr">
        <is>
          <t>Canonical PDF/DOCX.</t>
        </is>
      </c>
    </row>
    <row r="19" ht="71" customHeight="1">
      <c r="A19" s="6" t="inlineStr">
        <is>
          <t>OFFER-04</t>
        </is>
      </c>
      <c r="B19" s="6" t="inlineStr">
        <is>
          <t>Cooldown &amp; Thermal Performance Modelling</t>
        </is>
      </c>
      <c r="C19" s="6" t="n">
        <v>29</v>
      </c>
      <c r="D19" s="6" t="inlineStr">
        <is>
          <t>4.2.2.2</t>
        </is>
      </c>
      <c r="E19" s="6" t="inlineStr">
        <is>
          <t>RTM-021</t>
        </is>
      </c>
      <c r="F19" s="6" t="n">
        <v>29</v>
      </c>
      <c r="G19" s="6" t="inlineStr">
        <is>
          <t>4.2.2.2</t>
        </is>
      </c>
      <c r="H19" s="6" t="inlineStr">
        <is>
          <t>Transient Operational Scenarios</t>
        </is>
      </c>
      <c r="I19" s="6" t="inlineStr">
        <is>
          <t>For cooldown and warm-up scenarios, the QPS design shall comply with the following design basis:</t>
        </is>
      </c>
      <c r="J19" s="6" t="inlineStr">
        <is>
          <t>Direct — exact contract section</t>
        </is>
      </c>
      <c r="K19" s="6" t="inlineStr">
        <is>
          <t>Partial evidence: OFFER response supports evaluation; it does not replace full RTM compliance.</t>
        </is>
      </c>
      <c r="L19" s="83" t="inlineStr">
        <is>
          <t>RTM-021 (Transient Operational Scenarios) and OFFER-04 (Performance / Process / Utilities) are linked only because both sit in §4.2.2.2 — a direct (shared-section) link, not a dedicated cross-reference to this specific clause.</t>
        </is>
      </c>
      <c r="M19" s="6" t="inlineStr">
        <is>
          <t>OK</t>
        </is>
      </c>
      <c r="N19" s="6" t="inlineStr">
        <is>
          <t>Canonical PDF/DOCX.</t>
        </is>
      </c>
    </row>
    <row r="20" ht="71" customHeight="1">
      <c r="A20" s="125" t="inlineStr">
        <is>
          <t>OFFER-04</t>
        </is>
      </c>
      <c r="B20" s="125" t="inlineStr">
        <is>
          <t>Cooldown &amp; Thermal Performance Modelling</t>
        </is>
      </c>
      <c r="C20" s="125" t="n">
        <v>29</v>
      </c>
      <c r="D20" s="125" t="inlineStr">
        <is>
          <t>4.2.2.2</t>
        </is>
      </c>
      <c r="E20" s="125" t="inlineStr">
        <is>
          <t>RTM-022</t>
        </is>
      </c>
      <c r="F20" s="125" t="n">
        <v>29</v>
      </c>
      <c r="G20" s="125" t="inlineStr">
        <is>
          <t>4.2.2.2</t>
        </is>
      </c>
      <c r="H20" s="125" t="inlineStr">
        <is>
          <t>Transient Operational Scenarios</t>
        </is>
      </c>
      <c r="I20" s="125" t="inlineStr">
        <is>
          <t>For the 2K-RAMP scenario, the QPS design shall comply with the following design basis:</t>
        </is>
      </c>
      <c r="J20" s="125" t="inlineStr">
        <is>
          <t>Direct — exact contract section</t>
        </is>
      </c>
      <c r="K20" s="125" t="inlineStr">
        <is>
          <t>Partial evidence: OFFER response supports evaluation; it does not replace full RTM compliance.</t>
        </is>
      </c>
      <c r="L20" s="126" t="inlineStr">
        <is>
          <t>RTM-022 (Transient Operational Scenarios) and OFFER-04 (Performance / Process / Utilities) are linked only because both sit in §4.2.2.2 — a direct (shared-section) link, not a dedicated cross-reference to this specific clause.</t>
        </is>
      </c>
      <c r="M20" s="6" t="inlineStr">
        <is>
          <t>OK</t>
        </is>
      </c>
      <c r="N20" s="6" t="inlineStr">
        <is>
          <t>Canonical PDF/DOCX.</t>
        </is>
      </c>
    </row>
    <row r="21" ht="71" customHeight="1">
      <c r="A21" s="6" t="inlineStr">
        <is>
          <t>OFFER-05</t>
        </is>
      </c>
      <c r="B21" s="6" t="inlineStr">
        <is>
          <t>Operational Procedure Strategy (Auto vs Manual)</t>
        </is>
      </c>
      <c r="C21" s="6" t="n">
        <v>31</v>
      </c>
      <c r="D21" s="6" t="inlineStr">
        <is>
          <t>4.2.2.4.1</t>
        </is>
      </c>
      <c r="E21" s="6" t="inlineStr">
        <is>
          <t>RTM-025</t>
        </is>
      </c>
      <c r="F21" s="6" t="n">
        <v>30</v>
      </c>
      <c r="G21" s="6" t="inlineStr">
        <is>
          <t>4.2.2.4.1</t>
        </is>
      </c>
      <c r="H21" s="6" t="inlineStr">
        <is>
          <t>Purging and Conditioning</t>
        </is>
      </c>
      <c r="I21" s="6" t="inlineStr">
        <is>
          <t>The QPS shall implement operational scenarios for purging and conditioning of the QPS.</t>
        </is>
      </c>
      <c r="J21" s="6" t="inlineStr">
        <is>
          <t>Direct — exact contract section</t>
        </is>
      </c>
      <c r="K21" s="6" t="inlineStr">
        <is>
          <t>Partial evidence: OFFER response supports evaluation; it does not replace full RTM compliance.</t>
        </is>
      </c>
      <c r="L21" s="83" t="inlineStr">
        <is>
          <t>RTM-025 (Purging and Conditioning) and OFFER-05 (Controls / Software / Management) are linked only because both sit in §4.2.2.4.1 — a direct (shared-section) link, not a dedicated cross-reference to this specific clause.</t>
        </is>
      </c>
      <c r="M21" s="6" t="inlineStr">
        <is>
          <t>OK</t>
        </is>
      </c>
      <c r="N21" s="6" t="inlineStr">
        <is>
          <t>Canonical PDF/DOCX.</t>
        </is>
      </c>
    </row>
    <row r="22" ht="71" customHeight="1">
      <c r="A22" s="125" t="inlineStr">
        <is>
          <t>OFFER-05</t>
        </is>
      </c>
      <c r="B22" s="125" t="inlineStr">
        <is>
          <t>Operational Procedure Strategy (Auto vs Manual)</t>
        </is>
      </c>
      <c r="C22" s="125" t="n">
        <v>31</v>
      </c>
      <c r="D22" s="125" t="inlineStr">
        <is>
          <t>4.2.2.4.1</t>
        </is>
      </c>
      <c r="E22" s="125" t="inlineStr">
        <is>
          <t>RTM-026</t>
        </is>
      </c>
      <c r="F22" s="125" t="n">
        <v>30</v>
      </c>
      <c r="G22" s="125" t="inlineStr">
        <is>
          <t>4.2.2.4.1</t>
        </is>
      </c>
      <c r="H22" s="125" t="inlineStr">
        <is>
          <t>Purging and Conditioning</t>
        </is>
      </c>
      <c r="I22" s="125" t="inlineStr">
        <is>
          <t>The Contractor shall provide documented procedures for purging and conditioning of the QPS. The procedures shall include, at minimum:</t>
        </is>
      </c>
      <c r="J22" s="125" t="inlineStr">
        <is>
          <t>Direct — exact contract section</t>
        </is>
      </c>
      <c r="K22" s="125" t="inlineStr">
        <is>
          <t>Partial evidence: OFFER response supports evaluation; it does not replace full RTM compliance.</t>
        </is>
      </c>
      <c r="L22" s="126" t="inlineStr">
        <is>
          <t>RTM-026 (Purging and Conditioning) and OFFER-05 (Controls / Software / Management) are linked only because both sit in §4.2.2.4.1 — a direct (shared-section) link, not a dedicated cross-reference to this specific clause.</t>
        </is>
      </c>
      <c r="M22" s="6" t="inlineStr">
        <is>
          <t>OK</t>
        </is>
      </c>
      <c r="N22" s="6" t="inlineStr">
        <is>
          <t>Canonical PDF/DOCX.</t>
        </is>
      </c>
    </row>
    <row r="23" ht="71" customHeight="1">
      <c r="A23" s="6" t="inlineStr">
        <is>
          <t>OFFER-05</t>
        </is>
      </c>
      <c r="B23" s="6" t="inlineStr">
        <is>
          <t>Operational Procedure Strategy (Auto vs Manual)</t>
        </is>
      </c>
      <c r="C23" s="6" t="n">
        <v>31</v>
      </c>
      <c r="D23" s="6" t="inlineStr">
        <is>
          <t>4.2.2.4.1</t>
        </is>
      </c>
      <c r="E23" s="6" t="inlineStr">
        <is>
          <t>RTM-027</t>
        </is>
      </c>
      <c r="F23" s="6" t="n">
        <v>30</v>
      </c>
      <c r="G23" s="6" t="inlineStr">
        <is>
          <t>4.2.2.4.1</t>
        </is>
      </c>
      <c r="H23" s="6" t="inlineStr">
        <is>
          <t>Purging and Conditioning</t>
        </is>
      </c>
      <c r="I23" s="6" t="inlineStr">
        <is>
          <t>The purging and conditioning procedures shall be implemented as:</t>
        </is>
      </c>
      <c r="J23" s="6" t="inlineStr">
        <is>
          <t>Direct — exact contract section</t>
        </is>
      </c>
      <c r="K23" s="6" t="inlineStr">
        <is>
          <t>Partial evidence: OFFER response supports evaluation; it does not replace full RTM compliance.</t>
        </is>
      </c>
      <c r="L23" s="83" t="inlineStr">
        <is>
          <t>RTM-027 (Purging and Conditioning) and OFFER-05 (Controls / Software / Management) are linked only because both sit in §4.2.2.4.1 — a direct (shared-section) link, not a dedicated cross-reference to this specific clause.</t>
        </is>
      </c>
      <c r="M23" s="6" t="inlineStr">
        <is>
          <t>OK</t>
        </is>
      </c>
      <c r="N23" s="6" t="inlineStr">
        <is>
          <t>Canonical PDF/DOCX.</t>
        </is>
      </c>
    </row>
    <row r="24" ht="71" customHeight="1">
      <c r="A24" s="125" t="inlineStr">
        <is>
          <t>OFFER-06</t>
        </is>
      </c>
      <c r="B24" s="125" t="inlineStr">
        <is>
          <t>LHe Filling &amp; Emptying Performance</t>
        </is>
      </c>
      <c r="C24" s="125" t="n">
        <v>31</v>
      </c>
      <c r="D24" s="125" t="inlineStr">
        <is>
          <t>4.2.2.4.3</t>
        </is>
      </c>
      <c r="E24" s="125" t="inlineStr">
        <is>
          <t>RTM-030</t>
        </is>
      </c>
      <c r="F24" s="125" t="n">
        <v>31</v>
      </c>
      <c r="G24" s="125" t="inlineStr">
        <is>
          <t>4.2.2.4.3</t>
        </is>
      </c>
      <c r="H24" s="125" t="inlineStr">
        <is>
          <t>LHe Filling / Emptying</t>
        </is>
      </c>
      <c r="I24" s="125" t="inlineStr">
        <is>
          <t>The QPS shall allow the transfer of helium inventory between the QCELLs and the WSH.</t>
        </is>
      </c>
      <c r="J24" s="125" t="inlineStr">
        <is>
          <t>Direct — exact contract section</t>
        </is>
      </c>
      <c r="K24" s="125" t="inlineStr">
        <is>
          <t>Partial evidence: OFFER response supports evaluation; it does not replace full RTM compliance.</t>
        </is>
      </c>
      <c r="L24" s="126" t="inlineStr">
        <is>
          <t>RTM-030 (LHe Filling / Emptying) and OFFER-06 (Performance / Process / Utilities) are linked only because both sit in §4.2.2.4.3 — a direct (shared-section) link, not a dedicated cross-reference to this specific clause.</t>
        </is>
      </c>
      <c r="M24" s="6" t="inlineStr">
        <is>
          <t>OK</t>
        </is>
      </c>
      <c r="N24" s="6" t="inlineStr">
        <is>
          <t>Canonical PDF/DOCX.</t>
        </is>
      </c>
    </row>
    <row r="25" ht="71" customHeight="1">
      <c r="A25" s="6" t="inlineStr">
        <is>
          <t>OFFER-06</t>
        </is>
      </c>
      <c r="B25" s="6" t="inlineStr">
        <is>
          <t>LHe Filling &amp; Emptying Performance</t>
        </is>
      </c>
      <c r="C25" s="6" t="n">
        <v>31</v>
      </c>
      <c r="D25" s="6" t="inlineStr">
        <is>
          <t>4.2.2.4.3</t>
        </is>
      </c>
      <c r="E25" s="6" t="inlineStr">
        <is>
          <t>RTM-031</t>
        </is>
      </c>
      <c r="F25" s="6" t="n">
        <v>31</v>
      </c>
      <c r="G25" s="6" t="inlineStr">
        <is>
          <t>4.2.2.4.3</t>
        </is>
      </c>
      <c r="H25" s="6" t="inlineStr">
        <is>
          <t>LHe Filling / Emptying</t>
        </is>
      </c>
      <c r="I25" s="6" t="inlineStr">
        <is>
          <t>Within the constraints in RTM-043, the QPS shall accommodate LHe filling and emptying consistent with the indicative demand specified in Table 5.</t>
        </is>
      </c>
      <c r="J25" s="6" t="inlineStr">
        <is>
          <t>Direct — exact contract section</t>
        </is>
      </c>
      <c r="K25" s="6" t="inlineStr">
        <is>
          <t>Partial evidence: OFFER response supports evaluation; it does not replace full RTM compliance.</t>
        </is>
      </c>
      <c r="L25" s="83" t="inlineStr">
        <is>
          <t>RTM-031 (LHe Filling / Emptying) and OFFER-06 (Performance / Process / Utilities) are linked only because both sit in §4.2.2.4.3 — a direct (shared-section) link, not a dedicated cross-reference to this specific clause.</t>
        </is>
      </c>
      <c r="M25" s="6" t="inlineStr">
        <is>
          <t>OK</t>
        </is>
      </c>
      <c r="N25" s="6" t="inlineStr">
        <is>
          <t>Canonical PDF/DOCX.</t>
        </is>
      </c>
    </row>
    <row r="26" ht="71" customHeight="1">
      <c r="A26" s="125" t="inlineStr">
        <is>
          <t>OFFER-06</t>
        </is>
      </c>
      <c r="B26" s="125" t="inlineStr">
        <is>
          <t>LHe Filling &amp; Emptying Performance</t>
        </is>
      </c>
      <c r="C26" s="125" t="n">
        <v>31</v>
      </c>
      <c r="D26" s="125" t="inlineStr">
        <is>
          <t>4.2.2.4.3</t>
        </is>
      </c>
      <c r="E26" s="125" t="inlineStr">
        <is>
          <t>RTM-032</t>
        </is>
      </c>
      <c r="F26" s="125" t="n">
        <v>31</v>
      </c>
      <c r="G26" s="125" t="inlineStr">
        <is>
          <t>4.2.2.4.3</t>
        </is>
      </c>
      <c r="H26" s="125" t="inlineStr">
        <is>
          <t>LHe Filling / Emptying</t>
        </is>
      </c>
      <c r="I26" s="125" t="inlineStr">
        <is>
          <t>During LHe evaporation, the QPS shall include provisions to safely accommodate transiently large helium return flows from the cryogenic users.</t>
        </is>
      </c>
      <c r="J26" s="125" t="inlineStr">
        <is>
          <t>Direct — exact contract section</t>
        </is>
      </c>
      <c r="K26" s="125" t="inlineStr">
        <is>
          <t>Partial evidence: OFFER response supports evaluation; it does not replace full RTM compliance.</t>
        </is>
      </c>
      <c r="L26" s="126" t="inlineStr">
        <is>
          <t>RTM-032 (LHe Filling / Emptying) and OFFER-06 (Performance / Process / Utilities) are linked only because both sit in §4.2.2.4.3 — a direct (shared-section) link, not a dedicated cross-reference to this specific clause.</t>
        </is>
      </c>
      <c r="M26" s="6" t="inlineStr">
        <is>
          <t>OK</t>
        </is>
      </c>
      <c r="N26" s="6" t="inlineStr">
        <is>
          <t>Canonical PDF/DOCX.</t>
        </is>
      </c>
    </row>
    <row r="27" ht="71" customHeight="1">
      <c r="A27" s="6" t="inlineStr">
        <is>
          <t>OFFER-06</t>
        </is>
      </c>
      <c r="B27" s="6" t="inlineStr">
        <is>
          <t>LHe Filling &amp; Emptying Performance</t>
        </is>
      </c>
      <c r="C27" s="6" t="n">
        <v>31</v>
      </c>
      <c r="D27" s="6" t="inlineStr">
        <is>
          <t>4.2.2.4.3</t>
        </is>
      </c>
      <c r="E27" s="6" t="inlineStr">
        <is>
          <t>RTM-033</t>
        </is>
      </c>
      <c r="F27" s="6" t="n">
        <v>31</v>
      </c>
      <c r="G27" s="6" t="inlineStr">
        <is>
          <t>4.2.2.4.3</t>
        </is>
      </c>
      <c r="H27" s="6" t="inlineStr">
        <is>
          <t>LHe Filling / Emptying</t>
        </is>
      </c>
      <c r="I27" s="6" t="inlineStr">
        <is>
          <t>For the scenarios LHe filling and LHe emptying, the Contractor shall define and substantiate the operating limits supported by the QPS. At minimum, the Contractor shall define:</t>
        </is>
      </c>
      <c r="J27" s="6" t="inlineStr">
        <is>
          <t>Direct — exact contract section</t>
        </is>
      </c>
      <c r="K27" s="6" t="inlineStr">
        <is>
          <t>Partial evidence: OFFER response supports evaluation; it does not replace full RTM compliance.</t>
        </is>
      </c>
      <c r="L27" s="83" t="inlineStr">
        <is>
          <t>RTM-033 (LHe Filling / Emptying) and OFFER-06 (Performance / Process / Utilities) are linked only because both sit in §4.2.2.4.3 — a direct (shared-section) link, not a dedicated cross-reference to this specific clause.</t>
        </is>
      </c>
      <c r="M27" s="6" t="inlineStr">
        <is>
          <t>OK</t>
        </is>
      </c>
      <c r="N27" s="6" t="inlineStr">
        <is>
          <t>Canonical PDF/DOCX.</t>
        </is>
      </c>
    </row>
    <row r="28" ht="71" customHeight="1">
      <c r="A28" s="125" t="inlineStr">
        <is>
          <t>OFFER-07</t>
        </is>
      </c>
      <c r="B28" s="125" t="inlineStr">
        <is>
          <t>Header Design Pressure &amp; Temperature Definition</t>
        </is>
      </c>
      <c r="C28" s="125" t="n">
        <v>34</v>
      </c>
      <c r="D28" s="125" t="inlineStr">
        <is>
          <t>4.2.4</t>
        </is>
      </c>
      <c r="E28" s="125" t="inlineStr">
        <is>
          <t>RTM-040</t>
        </is>
      </c>
      <c r="F28" s="125" t="n">
        <v>33</v>
      </c>
      <c r="G28" s="125" t="inlineStr">
        <is>
          <t>4.2.4</t>
        </is>
      </c>
      <c r="H28" s="125" t="inlineStr">
        <is>
          <t>Cooling Capacity</t>
        </is>
      </c>
      <c r="I28" s="125" t="inlineStr">
        <is>
          <t>The QPS shall comply with the Design Cooling Capacity specified in Table 8 in accordance with the Cryogenic User Circuitry Model. To this end, the QPS shall:</t>
        </is>
      </c>
      <c r="J28" s="125" t="inlineStr">
        <is>
          <t>Direct — exact contract section</t>
        </is>
      </c>
      <c r="K28" s="125" t="inlineStr">
        <is>
          <t>Partial evidence: OFFER response supports evaluation; it does not replace full RTM compliance.</t>
        </is>
      </c>
      <c r="L28" s="126" t="inlineStr">
        <is>
          <t>RTM-040 (Cooling Capacity) and OFFER-07 (Performance / Process / Utilities) are linked only because both sit in §4.2.4 — a direct (shared-section) link, not a dedicated cross-reference to this specific clause.</t>
        </is>
      </c>
      <c r="M28" s="6" t="inlineStr">
        <is>
          <t>OK</t>
        </is>
      </c>
      <c r="N28" s="6" t="inlineStr">
        <is>
          <t>Canonical PDF/DOCX.</t>
        </is>
      </c>
    </row>
    <row r="29" ht="71" customHeight="1">
      <c r="A29" s="6" t="inlineStr">
        <is>
          <t>OFFER-07</t>
        </is>
      </c>
      <c r="B29" s="6" t="inlineStr">
        <is>
          <t>Header Design Pressure &amp; Temperature Definition</t>
        </is>
      </c>
      <c r="C29" s="6" t="n">
        <v>34</v>
      </c>
      <c r="D29" s="6" t="inlineStr">
        <is>
          <t>4.2.4</t>
        </is>
      </c>
      <c r="E29" s="6" t="inlineStr">
        <is>
          <t>RTM-041</t>
        </is>
      </c>
      <c r="F29" s="6" t="n">
        <v>34</v>
      </c>
      <c r="G29" s="6" t="inlineStr">
        <is>
          <t>4.2.4</t>
        </is>
      </c>
      <c r="H29" s="6" t="inlineStr">
        <is>
          <t>Cooling Capacity</t>
        </is>
      </c>
      <c r="I29" s="6" t="inlineStr">
        <is>
          <t>The Design Cooling Capacity in Table 8 shall apply at the Design Flow Conditions specified in Table 9 for the corresponding operational scenario and configuration.</t>
        </is>
      </c>
      <c r="J29" s="6" t="inlineStr">
        <is>
          <t>Direct — exact contract section</t>
        </is>
      </c>
      <c r="K29" s="6" t="inlineStr">
        <is>
          <t>Partial evidence: OFFER response supports evaluation; it does not replace full RTM compliance.</t>
        </is>
      </c>
      <c r="L29" s="83" t="inlineStr">
        <is>
          <t>RTM-041 (Cooling Capacity) and OFFER-07 (Performance / Process / Utilities) are linked only because both sit in §4.2.4 — a direct (shared-section) link, not a dedicated cross-reference to this specific clause.</t>
        </is>
      </c>
      <c r="M29" s="6" t="inlineStr">
        <is>
          <t>OK</t>
        </is>
      </c>
      <c r="N29" s="6" t="inlineStr">
        <is>
          <t>Canonical PDF/DOCX.</t>
        </is>
      </c>
    </row>
    <row r="30" ht="71" customHeight="1">
      <c r="A30" s="125" t="inlineStr">
        <is>
          <t>OFFER-07</t>
        </is>
      </c>
      <c r="B30" s="125" t="inlineStr">
        <is>
          <t>Header Design Pressure &amp; Temperature Definition</t>
        </is>
      </c>
      <c r="C30" s="125" t="n">
        <v>34</v>
      </c>
      <c r="D30" s="125" t="inlineStr">
        <is>
          <t>4.2.4</t>
        </is>
      </c>
      <c r="E30" s="125" t="inlineStr">
        <is>
          <t>RTM-042</t>
        </is>
      </c>
      <c r="F30" s="125" t="n">
        <v>34</v>
      </c>
      <c r="G30" s="125" t="inlineStr">
        <is>
          <t>4.2.4</t>
        </is>
      </c>
      <c r="H30" s="125" t="inlineStr">
        <is>
          <t>Cooling Capacity</t>
        </is>
      </c>
      <c r="I30" s="125" t="inlineStr">
        <is>
          <t>The QPS shall be capable of continuous operation at the specified Design Cooling Capacity, while meeting the stability requirements defined in the operational conditions.</t>
        </is>
      </c>
      <c r="J30" s="125" t="inlineStr">
        <is>
          <t>Direct — exact contract section</t>
        </is>
      </c>
      <c r="K30" s="125" t="inlineStr">
        <is>
          <t>Partial evidence: OFFER response supports evaluation; it does not replace full RTM compliance.</t>
        </is>
      </c>
      <c r="L30" s="126" t="inlineStr">
        <is>
          <t>RTM-042 (Cooling Capacity) and OFFER-07 (Performance / Process / Utilities) are linked only because both sit in §4.2.4 — a direct (shared-section) link, not a dedicated cross-reference to this specific clause.</t>
        </is>
      </c>
      <c r="M30" s="6" t="inlineStr">
        <is>
          <t>OK</t>
        </is>
      </c>
      <c r="N30" s="6" t="inlineStr">
        <is>
          <t>Canonical PDF/DOCX.</t>
        </is>
      </c>
    </row>
    <row r="31" ht="71" customHeight="1">
      <c r="A31" s="6" t="inlineStr">
        <is>
          <t>OFFER-07</t>
        </is>
      </c>
      <c r="B31" s="6" t="inlineStr">
        <is>
          <t>Header Design Pressure &amp; Temperature Definition</t>
        </is>
      </c>
      <c r="C31" s="6" t="n">
        <v>34</v>
      </c>
      <c r="D31" s="6" t="inlineStr">
        <is>
          <t>4.2.4</t>
        </is>
      </c>
      <c r="E31" s="6" t="inlineStr">
        <is>
          <t>RTM-043</t>
        </is>
      </c>
      <c r="F31" s="6" t="n">
        <v>34</v>
      </c>
      <c r="G31" s="6" t="inlineStr">
        <is>
          <t>4.2.4</t>
        </is>
      </c>
      <c r="H31" s="6" t="inlineStr">
        <is>
          <t>Cooling Capacity</t>
        </is>
      </c>
      <c r="I31" s="6" t="inlineStr">
        <is>
          <t>The QPS design shall not include additional installed refrigeration or liquefaction capacity beyond that required to meet RTM-040 (Design Cooling Capacity) solely for the purpose of aiding or reducing the duration of Capacity-Constrained Operational Scenarios. Capacity-Constrained Operational Scenarios shall include:</t>
        </is>
      </c>
      <c r="J31" s="6" t="inlineStr">
        <is>
          <t>Direct — exact contract section</t>
        </is>
      </c>
      <c r="K31" s="6" t="inlineStr">
        <is>
          <t>Partial evidence: OFFER response supports evaluation; it does not replace full RTM compliance.</t>
        </is>
      </c>
      <c r="L31" s="83" t="inlineStr">
        <is>
          <t>RTM-043 (Cooling Capacity) and OFFER-07 (Performance / Process / Utilities) are linked only because both sit in §4.2.4 — a direct (shared-section) link, not a dedicated cross-reference to this specific clause.</t>
        </is>
      </c>
      <c r="M31" s="6" t="inlineStr">
        <is>
          <t>OK</t>
        </is>
      </c>
      <c r="N31" s="6" t="inlineStr">
        <is>
          <t>Canonical PDF/DOCX.</t>
        </is>
      </c>
    </row>
    <row r="32" ht="71" customHeight="1">
      <c r="A32" s="125" t="inlineStr">
        <is>
          <t>OFFER-07</t>
        </is>
      </c>
      <c r="B32" s="125" t="inlineStr">
        <is>
          <t>Header Design Pressure &amp; Temperature Definition</t>
        </is>
      </c>
      <c r="C32" s="125" t="n">
        <v>34</v>
      </c>
      <c r="D32" s="125" t="inlineStr">
        <is>
          <t>4.2.4</t>
        </is>
      </c>
      <c r="E32" s="125" t="inlineStr">
        <is>
          <t>RTM-044</t>
        </is>
      </c>
      <c r="F32" s="125" t="n">
        <v>34</v>
      </c>
      <c r="G32" s="125" t="inlineStr">
        <is>
          <t>4.2.4</t>
        </is>
      </c>
      <c r="H32" s="125" t="inlineStr">
        <is>
          <t>Cooling Capacity</t>
        </is>
      </c>
      <c r="I32" s="125" t="inlineStr">
        <is>
          <t>The Contractor shall determine the “QPLANT Maximal Point” in accordance with the following requirements:</t>
        </is>
      </c>
      <c r="J32" s="125" t="inlineStr">
        <is>
          <t>Direct — exact contract section</t>
        </is>
      </c>
      <c r="K32" s="125" t="inlineStr">
        <is>
          <t>Partial evidence: OFFER response supports evaluation; it does not replace full RTM compliance.</t>
        </is>
      </c>
      <c r="L32" s="126" t="inlineStr">
        <is>
          <t>RTM-044 (Cooling Capacity) and OFFER-07 (Performance / Process / Utilities) are linked only because both sit in §4.2.4 — a direct (shared-section) link, not a dedicated cross-reference to this specific clause.</t>
        </is>
      </c>
      <c r="M32" s="6" t="inlineStr">
        <is>
          <t>OK</t>
        </is>
      </c>
      <c r="N32" s="6" t="inlineStr">
        <is>
          <t>Canonical PDF/DOCX.</t>
        </is>
      </c>
    </row>
    <row r="33" ht="84" customHeight="1">
      <c r="A33" s="6" t="inlineStr">
        <is>
          <t>OFFER-08</t>
        </is>
      </c>
      <c r="B33" s="6" t="inlineStr">
        <is>
          <t>LN2 Precooling Design Decision</t>
        </is>
      </c>
      <c r="C33" s="6" t="n">
        <v>35</v>
      </c>
      <c r="D33" s="6" t="inlineStr">
        <is>
          <t>4.2.5</t>
        </is>
      </c>
      <c r="E33" s="6" t="inlineStr">
        <is>
          <t>RTM-045</t>
        </is>
      </c>
      <c r="F33" s="6" t="n">
        <v>35</v>
      </c>
      <c r="G33" s="6" t="inlineStr">
        <is>
          <t>4.2.5</t>
        </is>
      </c>
      <c r="H33" s="6" t="inlineStr">
        <is>
          <t>Liquid Nitrogen Precooling (Optional)</t>
        </is>
      </c>
      <c r="I33" s="6" t="inlineStr">
        <is>
          <t>The QPS design may include integration of liquid nitrogen precooling (LN2 Precooling) within the thermodynamic cycle of the QRB.</t>
        </is>
      </c>
      <c r="J33" s="6" t="inlineStr">
        <is>
          <t>Direct — primary evidence anchor</t>
        </is>
      </c>
      <c r="K33" s="6" t="inlineStr">
        <is>
          <t>Partial evidence: OFFER response supports evaluation; it does not replace full RTM compliance.</t>
        </is>
      </c>
      <c r="L33" s="83" t="inlineStr">
        <is>
          <t>RTM-045 (Liquid Nitrogen Precooling (Optional)) is OFFER-08's (Performance / Process / Utilities) primary technical anchor in §4.2.5 — the direct classification means this is the main clause being evidenced here, not one of several equally-weighted section-mates.</t>
        </is>
      </c>
      <c r="M33" s="6" t="inlineStr">
        <is>
          <t>OK</t>
        </is>
      </c>
      <c r="N33" s="6" t="inlineStr">
        <is>
          <t>Canonical PDF/DOCX.</t>
        </is>
      </c>
    </row>
    <row r="34" ht="71" customHeight="1">
      <c r="A34" s="125" t="inlineStr">
        <is>
          <t>OFFER-08</t>
        </is>
      </c>
      <c r="B34" s="125" t="inlineStr">
        <is>
          <t>LN2 Precooling Design Decision</t>
        </is>
      </c>
      <c r="C34" s="125" t="n">
        <v>35</v>
      </c>
      <c r="D34" s="125" t="inlineStr">
        <is>
          <t>4.2.5</t>
        </is>
      </c>
      <c r="E34" s="125" t="inlineStr">
        <is>
          <t>RTM-046</t>
        </is>
      </c>
      <c r="F34" s="125" t="n">
        <v>35</v>
      </c>
      <c r="G34" s="125" t="inlineStr">
        <is>
          <t>4.2.5</t>
        </is>
      </c>
      <c r="H34" s="125" t="inlineStr">
        <is>
          <t>Liquid Nitrogen Precooling (Optional)</t>
        </is>
      </c>
      <c r="I34" s="125" t="inlineStr">
        <is>
          <t>If LN2 Precooling is implemented, the Contractor shall be responsible to:</t>
        </is>
      </c>
      <c r="J34" s="125" t="inlineStr">
        <is>
          <t>Supporting — shared section</t>
        </is>
      </c>
      <c r="K34" s="125" t="inlineStr">
        <is>
          <t>Partial evidence: OFFER response supports evaluation; it does not replace full RTM compliance.</t>
        </is>
      </c>
      <c r="L34" s="126" t="inlineStr">
        <is>
          <t>RTM-046 (Liquid Nitrogen Precooling (Optional)) and OFFER-08 (Performance / Process / Utilities) are linked only because both sit in §4.2.5 — a supporting (shared-section) link, not a dedicated cross-reference to this specific clause.</t>
        </is>
      </c>
      <c r="M34" s="6" t="inlineStr">
        <is>
          <t>OK</t>
        </is>
      </c>
      <c r="N34" s="6" t="inlineStr">
        <is>
          <t>Canonical PDF/DOCX.</t>
        </is>
      </c>
    </row>
    <row r="35" ht="71" customHeight="1">
      <c r="A35" s="6" t="inlineStr">
        <is>
          <t>OFFER-08</t>
        </is>
      </c>
      <c r="B35" s="6" t="inlineStr">
        <is>
          <t>LN2 Precooling Design Decision</t>
        </is>
      </c>
      <c r="C35" s="6" t="n">
        <v>35</v>
      </c>
      <c r="D35" s="6" t="inlineStr">
        <is>
          <t>4.2.5</t>
        </is>
      </c>
      <c r="E35" s="6" t="inlineStr">
        <is>
          <t>RTM-047</t>
        </is>
      </c>
      <c r="F35" s="6" t="n">
        <v>35</v>
      </c>
      <c r="G35" s="6" t="inlineStr">
        <is>
          <t>4.2.5</t>
        </is>
      </c>
      <c r="H35" s="6" t="inlineStr">
        <is>
          <t>Liquid Nitrogen Precooling (Optional)</t>
        </is>
      </c>
      <c r="I35" s="6" t="inlineStr">
        <is>
          <t>If LN2 Precooling is implemented, it shall:</t>
        </is>
      </c>
      <c r="J35" s="6" t="inlineStr">
        <is>
          <t>Supporting — shared section</t>
        </is>
      </c>
      <c r="K35" s="6" t="inlineStr">
        <is>
          <t>Partial evidence: OFFER response supports evaluation; it does not replace full RTM compliance.</t>
        </is>
      </c>
      <c r="L35" s="83" t="inlineStr">
        <is>
          <t>RTM-047 (Liquid Nitrogen Precooling (Optional)) and OFFER-08 (Performance / Process / Utilities) are linked only because both sit in §4.2.5 — a supporting (shared-section) link, not a dedicated cross-reference to this specific clause.</t>
        </is>
      </c>
      <c r="M35" s="6" t="inlineStr">
        <is>
          <t>OK</t>
        </is>
      </c>
      <c r="N35" s="6" t="inlineStr">
        <is>
          <t>Canonical PDF/DOCX.</t>
        </is>
      </c>
    </row>
    <row r="36" ht="71" customHeight="1">
      <c r="A36" s="125" t="inlineStr">
        <is>
          <t>OFFER-09</t>
        </is>
      </c>
      <c r="B36" s="125" t="inlineStr">
        <is>
          <t>LN2 Techno-Economic Evaluation (CAPEX/OPEX)</t>
        </is>
      </c>
      <c r="C36" s="125" t="n">
        <v>35</v>
      </c>
      <c r="D36" s="125" t="inlineStr">
        <is>
          <t>4.2.5</t>
        </is>
      </c>
      <c r="E36" s="125" t="inlineStr">
        <is>
          <t>RTM-045</t>
        </is>
      </c>
      <c r="F36" s="125" t="n">
        <v>35</v>
      </c>
      <c r="G36" s="125" t="inlineStr">
        <is>
          <t>4.2.5</t>
        </is>
      </c>
      <c r="H36" s="125" t="inlineStr">
        <is>
          <t>Liquid Nitrogen Precooling (Optional)</t>
        </is>
      </c>
      <c r="I36" s="125" t="inlineStr">
        <is>
          <t>The QPS design may include integration of liquid nitrogen precooling (LN2 Precooling) within the thermodynamic cycle of the QRB.</t>
        </is>
      </c>
      <c r="J36" s="125" t="inlineStr">
        <is>
          <t>Contextual — offer-only comparative justification</t>
        </is>
      </c>
      <c r="K36" s="125" t="inlineStr">
        <is>
          <t>The OFFER asks for a techno-economic comparison not stated as a separate RTM; these RTMs provide design context only.</t>
        </is>
      </c>
      <c r="L36" s="126" t="inlineStr">
        <is>
          <t>RTM-045 (Liquid Nitrogen Precooling (Optional)) and OFFER-09 (Performance / Process / Utilities) are linked only because both sit in §4.2.5 — a contextual (shared-section) link, not a dedicated cross-reference to this specific clause.</t>
        </is>
      </c>
      <c r="M36" s="6" t="inlineStr">
        <is>
          <t>Review/accept context</t>
        </is>
      </c>
      <c r="N36" s="6" t="inlineStr">
        <is>
          <t>Canonical PDF/DOCX.</t>
        </is>
      </c>
    </row>
    <row r="37" ht="71" customHeight="1">
      <c r="A37" s="6" t="inlineStr">
        <is>
          <t>OFFER-09</t>
        </is>
      </c>
      <c r="B37" s="6" t="inlineStr">
        <is>
          <t>LN2 Techno-Economic Evaluation (CAPEX/OPEX)</t>
        </is>
      </c>
      <c r="C37" s="6" t="n">
        <v>35</v>
      </c>
      <c r="D37" s="6" t="inlineStr">
        <is>
          <t>4.2.5</t>
        </is>
      </c>
      <c r="E37" s="6" t="inlineStr">
        <is>
          <t>RTM-046</t>
        </is>
      </c>
      <c r="F37" s="6" t="n">
        <v>35</v>
      </c>
      <c r="G37" s="6" t="inlineStr">
        <is>
          <t>4.2.5</t>
        </is>
      </c>
      <c r="H37" s="6" t="inlineStr">
        <is>
          <t>Liquid Nitrogen Precooling (Optional)</t>
        </is>
      </c>
      <c r="I37" s="6" t="inlineStr">
        <is>
          <t>If LN2 Precooling is implemented, the Contractor shall be responsible to:</t>
        </is>
      </c>
      <c r="J37" s="6" t="inlineStr">
        <is>
          <t>Contextual — offer-only comparative justification</t>
        </is>
      </c>
      <c r="K37" s="6" t="inlineStr">
        <is>
          <t>The OFFER asks for a techno-economic comparison not stated as a separate RTM; these RTMs provide design context only.</t>
        </is>
      </c>
      <c r="L37" s="83" t="inlineStr">
        <is>
          <t>RTM-046 (Liquid Nitrogen Precooling (Optional)) and OFFER-09 (Performance / Process / Utilities) are linked only because both sit in §4.2.5 — a contextual (shared-section) link, not a dedicated cross-reference to this specific clause.</t>
        </is>
      </c>
      <c r="M37" s="6" t="inlineStr">
        <is>
          <t>Review/accept context</t>
        </is>
      </c>
      <c r="N37" s="6" t="inlineStr">
        <is>
          <t>Canonical PDF/DOCX.</t>
        </is>
      </c>
    </row>
    <row r="38" ht="71" customHeight="1">
      <c r="A38" s="125" t="inlineStr">
        <is>
          <t>OFFER-09</t>
        </is>
      </c>
      <c r="B38" s="125" t="inlineStr">
        <is>
          <t>LN2 Techno-Economic Evaluation (CAPEX/OPEX)</t>
        </is>
      </c>
      <c r="C38" s="125" t="n">
        <v>35</v>
      </c>
      <c r="D38" s="125" t="inlineStr">
        <is>
          <t>4.2.5</t>
        </is>
      </c>
      <c r="E38" s="125" t="inlineStr">
        <is>
          <t>RTM-047</t>
        </is>
      </c>
      <c r="F38" s="125" t="n">
        <v>35</v>
      </c>
      <c r="G38" s="125" t="inlineStr">
        <is>
          <t>4.2.5</t>
        </is>
      </c>
      <c r="H38" s="125" t="inlineStr">
        <is>
          <t>Liquid Nitrogen Precooling (Optional)</t>
        </is>
      </c>
      <c r="I38" s="125" t="inlineStr">
        <is>
          <t>If LN2 Precooling is implemented, it shall:</t>
        </is>
      </c>
      <c r="J38" s="125" t="inlineStr">
        <is>
          <t>Contextual — offer-only comparative justification</t>
        </is>
      </c>
      <c r="K38" s="125" t="inlineStr">
        <is>
          <t>The OFFER asks for a techno-economic comparison not stated as a separate RTM; these RTMs provide design context only.</t>
        </is>
      </c>
      <c r="L38" s="126" t="inlineStr">
        <is>
          <t>RTM-047 (Liquid Nitrogen Precooling (Optional)) and OFFER-09 (Performance / Process / Utilities) are linked only because both sit in §4.2.5 — a contextual (shared-section) link, not a dedicated cross-reference to this specific clause.</t>
        </is>
      </c>
      <c r="M38" s="6" t="inlineStr">
        <is>
          <t>Review/accept context</t>
        </is>
      </c>
      <c r="N38" s="6" t="inlineStr">
        <is>
          <t>Canonical PDF/DOCX.</t>
        </is>
      </c>
    </row>
    <row r="39" ht="71" customHeight="1">
      <c r="A39" s="6" t="inlineStr">
        <is>
          <t>OFFER-10</t>
        </is>
      </c>
      <c r="B39" s="6" t="inlineStr">
        <is>
          <t>LN2 System Functional &amp; Interface Design</t>
        </is>
      </c>
      <c r="C39" s="6" t="n">
        <v>35</v>
      </c>
      <c r="D39" s="6" t="inlineStr">
        <is>
          <t>4.2.5</t>
        </is>
      </c>
      <c r="E39" s="6" t="inlineStr">
        <is>
          <t>RTM-045</t>
        </is>
      </c>
      <c r="F39" s="6" t="n">
        <v>35</v>
      </c>
      <c r="G39" s="6" t="inlineStr">
        <is>
          <t>4.2.5</t>
        </is>
      </c>
      <c r="H39" s="6" t="inlineStr">
        <is>
          <t>Liquid Nitrogen Precooling (Optional)</t>
        </is>
      </c>
      <c r="I39" s="6" t="inlineStr">
        <is>
          <t>The QPS design may include integration of liquid nitrogen precooling (LN2 Precooling) within the thermodynamic cycle of the QRB.</t>
        </is>
      </c>
      <c r="J39" s="6" t="inlineStr">
        <is>
          <t>Supporting — shared section</t>
        </is>
      </c>
      <c r="K39" s="6" t="inlineStr">
        <is>
          <t>Partial evidence: OFFER response supports evaluation; it does not replace full RTM compliance.</t>
        </is>
      </c>
      <c r="L39" s="83" t="inlineStr">
        <is>
          <t>RTM-045 (Liquid Nitrogen Precooling (Optional)) and OFFER-10 (Performance / Process / Utilities) are linked only because both sit in §4.2.5 — a supporting (shared-section) link, not a dedicated cross-reference to this specific clause.</t>
        </is>
      </c>
      <c r="M39" s="6" t="inlineStr">
        <is>
          <t>OK</t>
        </is>
      </c>
      <c r="N39" s="6" t="inlineStr">
        <is>
          <t>Canonical PDF/DOCX.</t>
        </is>
      </c>
    </row>
    <row r="40" ht="84" customHeight="1">
      <c r="A40" s="125" t="inlineStr">
        <is>
          <t>OFFER-10</t>
        </is>
      </c>
      <c r="B40" s="125" t="inlineStr">
        <is>
          <t>LN2 System Functional &amp; Interface Design</t>
        </is>
      </c>
      <c r="C40" s="125" t="n">
        <v>35</v>
      </c>
      <c r="D40" s="125" t="inlineStr">
        <is>
          <t>4.2.5</t>
        </is>
      </c>
      <c r="E40" s="125" t="inlineStr">
        <is>
          <t>RTM-046</t>
        </is>
      </c>
      <c r="F40" s="125" t="n">
        <v>35</v>
      </c>
      <c r="G40" s="125" t="inlineStr">
        <is>
          <t>4.2.5</t>
        </is>
      </c>
      <c r="H40" s="125" t="inlineStr">
        <is>
          <t>Liquid Nitrogen Precooling (Optional)</t>
        </is>
      </c>
      <c r="I40" s="125" t="inlineStr">
        <is>
          <t>If LN2 Precooling is implemented, the Contractor shall be responsible to:</t>
        </is>
      </c>
      <c r="J40" s="125" t="inlineStr">
        <is>
          <t>Direct — primary evidence anchor</t>
        </is>
      </c>
      <c r="K40" s="125" t="inlineStr">
        <is>
          <t>Partial evidence: OFFER response supports evaluation; it does not replace full RTM compliance.</t>
        </is>
      </c>
      <c r="L40" s="126" t="inlineStr">
        <is>
          <t>RTM-046 (Liquid Nitrogen Precooling (Optional)) is OFFER-10's (Performance / Process / Utilities) primary technical anchor in §4.2.5 — the direct classification means this is the main clause being evidenced here, not one of several equally-weighted section-mates.</t>
        </is>
      </c>
      <c r="M40" s="6" t="inlineStr">
        <is>
          <t>OK</t>
        </is>
      </c>
      <c r="N40" s="6" t="inlineStr">
        <is>
          <t>Canonical PDF/DOCX.</t>
        </is>
      </c>
    </row>
    <row r="41" ht="84" customHeight="1">
      <c r="A41" s="6" t="inlineStr">
        <is>
          <t>OFFER-10</t>
        </is>
      </c>
      <c r="B41" s="6" t="inlineStr">
        <is>
          <t>LN2 System Functional &amp; Interface Design</t>
        </is>
      </c>
      <c r="C41" s="6" t="n">
        <v>35</v>
      </c>
      <c r="D41" s="6" t="inlineStr">
        <is>
          <t>4.2.5</t>
        </is>
      </c>
      <c r="E41" s="6" t="inlineStr">
        <is>
          <t>RTM-047</t>
        </is>
      </c>
      <c r="F41" s="6" t="n">
        <v>35</v>
      </c>
      <c r="G41" s="6" t="inlineStr">
        <is>
          <t>4.2.5</t>
        </is>
      </c>
      <c r="H41" s="6" t="inlineStr">
        <is>
          <t>Liquid Nitrogen Precooling (Optional)</t>
        </is>
      </c>
      <c r="I41" s="6" t="inlineStr">
        <is>
          <t>If LN2 Precooling is implemented, it shall:</t>
        </is>
      </c>
      <c r="J41" s="6" t="inlineStr">
        <is>
          <t>Direct — primary evidence anchor</t>
        </is>
      </c>
      <c r="K41" s="6" t="inlineStr">
        <is>
          <t>Partial evidence: OFFER response supports evaluation; it does not replace full RTM compliance.</t>
        </is>
      </c>
      <c r="L41" s="83" t="inlineStr">
        <is>
          <t>RTM-047 (Liquid Nitrogen Precooling (Optional)) is OFFER-10's (Performance / Process / Utilities) primary technical anchor in §4.2.5 — the direct classification means this is the main clause being evidenced here, not one of several equally-weighted section-mates.</t>
        </is>
      </c>
      <c r="M41" s="6" t="inlineStr">
        <is>
          <t>OK</t>
        </is>
      </c>
      <c r="N41" s="6" t="inlineStr">
        <is>
          <t>Canonical PDF/DOCX.</t>
        </is>
      </c>
    </row>
    <row r="42" ht="71" customHeight="1">
      <c r="A42" s="125" t="inlineStr">
        <is>
          <t>OFFER-11</t>
        </is>
      </c>
      <c r="B42" s="125" t="inlineStr">
        <is>
          <t>Reliability, MTBF &amp; Recovery Strategy</t>
        </is>
      </c>
      <c r="C42" s="125" t="n">
        <v>39</v>
      </c>
      <c r="D42" s="125" t="inlineStr">
        <is>
          <t>4.3.2</t>
        </is>
      </c>
      <c r="E42" s="125" t="inlineStr">
        <is>
          <t>RTM-057</t>
        </is>
      </c>
      <c r="F42" s="125" t="n">
        <v>37</v>
      </c>
      <c r="G42" s="125" t="inlineStr">
        <is>
          <t>4.3.2</t>
        </is>
      </c>
      <c r="H42" s="125" t="inlineStr">
        <is>
          <t>Availability &amp; Reliability</t>
        </is>
      </c>
      <c r="I42" s="125" t="inlineStr">
        <is>
          <t>The QPS shall apply industrially proven technologies and engineering processes with demonstrated operational experience in comparable systems. To this end, the Contractor shall:</t>
        </is>
      </c>
      <c r="J42" s="125" t="inlineStr">
        <is>
          <t>Direct — exact contract section</t>
        </is>
      </c>
      <c r="K42" s="125" t="inlineStr">
        <is>
          <t>Partial evidence: OFFER response supports evaluation; it does not replace full RTM compliance.</t>
        </is>
      </c>
      <c r="L42" s="126" t="inlineStr">
        <is>
          <t>RTM-057 (Availability &amp; Reliability) and OFFER-11 (Reliability / RAM / Service) are linked only because both sit in §4.3.2 — a direct (shared-section) link, not a dedicated cross-reference to this specific clause.</t>
        </is>
      </c>
      <c r="M42" s="6" t="inlineStr">
        <is>
          <t>OK</t>
        </is>
      </c>
      <c r="N42" s="6" t="inlineStr">
        <is>
          <t>Canonical PDF/DOCX.</t>
        </is>
      </c>
    </row>
    <row r="43" ht="71" customHeight="1">
      <c r="A43" s="6" t="inlineStr">
        <is>
          <t>OFFER-11</t>
        </is>
      </c>
      <c r="B43" s="6" t="inlineStr">
        <is>
          <t>Reliability, MTBF &amp; Recovery Strategy</t>
        </is>
      </c>
      <c r="C43" s="6" t="n">
        <v>39</v>
      </c>
      <c r="D43" s="6" t="inlineStr">
        <is>
          <t>4.3.2</t>
        </is>
      </c>
      <c r="E43" s="6" t="inlineStr">
        <is>
          <t>RTM-058</t>
        </is>
      </c>
      <c r="F43" s="6" t="n">
        <v>37</v>
      </c>
      <c r="G43" s="6" t="inlineStr">
        <is>
          <t>4.3.2</t>
        </is>
      </c>
      <c r="H43" s="6" t="inlineStr">
        <is>
          <t>Availability &amp; Reliability</t>
        </is>
      </c>
      <c r="I43" s="6" t="inlineStr">
        <is>
          <t>The Contractor shall perform an Availability &amp; Reliability Assessment for the QPS. To this end, the Contractor shall:</t>
        </is>
      </c>
      <c r="J43" s="6" t="inlineStr">
        <is>
          <t>Direct — exact contract section</t>
        </is>
      </c>
      <c r="K43" s="6" t="inlineStr">
        <is>
          <t>Partial evidence: OFFER response supports evaluation; it does not replace full RTM compliance.</t>
        </is>
      </c>
      <c r="L43" s="83" t="inlineStr">
        <is>
          <t>RTM-058 (Availability &amp; Reliability) and OFFER-11 (Reliability / RAM / Service) are linked only because both sit in §4.3.2 — a direct (shared-section) link, not a dedicated cross-reference to this specific clause.</t>
        </is>
      </c>
      <c r="M43" s="6" t="inlineStr">
        <is>
          <t>OK</t>
        </is>
      </c>
      <c r="N43" s="6" t="inlineStr">
        <is>
          <t>Canonical PDF/DOCX.</t>
        </is>
      </c>
    </row>
    <row r="44" ht="71" customHeight="1">
      <c r="A44" s="125" t="inlineStr">
        <is>
          <t>OFFER-11</t>
        </is>
      </c>
      <c r="B44" s="125" t="inlineStr">
        <is>
          <t>Reliability, MTBF &amp; Recovery Strategy</t>
        </is>
      </c>
      <c r="C44" s="125" t="n">
        <v>39</v>
      </c>
      <c r="D44" s="125" t="inlineStr">
        <is>
          <t>4.3.2</t>
        </is>
      </c>
      <c r="E44" s="125" t="inlineStr">
        <is>
          <t>RTM-059</t>
        </is>
      </c>
      <c r="F44" s="125" t="n">
        <v>37</v>
      </c>
      <c r="G44" s="125" t="inlineStr">
        <is>
          <t>4.3.2</t>
        </is>
      </c>
      <c r="H44" s="125" t="inlineStr">
        <is>
          <t>Availability &amp; Reliability</t>
        </is>
      </c>
      <c r="I44" s="125" t="inlineStr">
        <is>
          <t>The Availability &amp; Reliability Assessment shall be based on a system-level reliability model representing the actual QPS architecture. The model shall, at minimum:</t>
        </is>
      </c>
      <c r="J44" s="125" t="inlineStr">
        <is>
          <t>Direct — exact contract section</t>
        </is>
      </c>
      <c r="K44" s="125" t="inlineStr">
        <is>
          <t>Partial evidence: OFFER response supports evaluation; it does not replace full RTM compliance.</t>
        </is>
      </c>
      <c r="L44" s="126" t="inlineStr">
        <is>
          <t>RTM-059 (Availability &amp; Reliability) and OFFER-11 (Reliability / RAM / Service) are linked only because both sit in §4.3.2 — a direct (shared-section) link, not a dedicated cross-reference to this specific clause.</t>
        </is>
      </c>
      <c r="M44" s="6" t="inlineStr">
        <is>
          <t>OK</t>
        </is>
      </c>
      <c r="N44" s="6" t="inlineStr">
        <is>
          <t>Canonical PDF/DOCX.</t>
        </is>
      </c>
    </row>
    <row r="45" ht="71" customHeight="1">
      <c r="A45" s="6" t="inlineStr">
        <is>
          <t>OFFER-11</t>
        </is>
      </c>
      <c r="B45" s="6" t="inlineStr">
        <is>
          <t>Reliability, MTBF &amp; Recovery Strategy</t>
        </is>
      </c>
      <c r="C45" s="6" t="n">
        <v>39</v>
      </c>
      <c r="D45" s="6" t="inlineStr">
        <is>
          <t>4.3.2</t>
        </is>
      </c>
      <c r="E45" s="6" t="inlineStr">
        <is>
          <t>RTM-060</t>
        </is>
      </c>
      <c r="F45" s="6" t="n">
        <v>38</v>
      </c>
      <c r="G45" s="6" t="inlineStr">
        <is>
          <t>4.3.2</t>
        </is>
      </c>
      <c r="H45" s="6" t="inlineStr">
        <is>
          <t>Availability &amp; Reliability</t>
        </is>
      </c>
      <c r="I45" s="6" t="inlineStr">
        <is>
          <t>The Contractor shall maintain and update the Availability &amp; Reliability Assessment throughout the duration of the Contract. To This end, the Contractor shall:</t>
        </is>
      </c>
      <c r="J45" s="6" t="inlineStr">
        <is>
          <t>Direct — exact contract section</t>
        </is>
      </c>
      <c r="K45" s="6" t="inlineStr">
        <is>
          <t>Partial evidence: OFFER response supports evaluation; it does not replace full RTM compliance.</t>
        </is>
      </c>
      <c r="L45" s="83" t="inlineStr">
        <is>
          <t>RTM-060 (Availability &amp; Reliability) and OFFER-11 (Reliability / RAM / Service) are linked only because both sit in §4.3.2 — a direct (shared-section) link, not a dedicated cross-reference to this specific clause.</t>
        </is>
      </c>
      <c r="M45" s="6" t="inlineStr">
        <is>
          <t>OK</t>
        </is>
      </c>
      <c r="N45" s="6" t="inlineStr">
        <is>
          <t>Canonical PDF/DOCX.</t>
        </is>
      </c>
    </row>
    <row r="46" ht="71" customHeight="1">
      <c r="A46" s="125" t="inlineStr">
        <is>
          <t>OFFER-11</t>
        </is>
      </c>
      <c r="B46" s="125" t="inlineStr">
        <is>
          <t>Reliability, MTBF &amp; Recovery Strategy</t>
        </is>
      </c>
      <c r="C46" s="125" t="n">
        <v>39</v>
      </c>
      <c r="D46" s="125" t="inlineStr">
        <is>
          <t>4.3.2</t>
        </is>
      </c>
      <c r="E46" s="125" t="inlineStr">
        <is>
          <t>RTM-061</t>
        </is>
      </c>
      <c r="F46" s="125" t="n">
        <v>38</v>
      </c>
      <c r="G46" s="125" t="inlineStr">
        <is>
          <t>4.3.2</t>
        </is>
      </c>
      <c r="H46" s="125" t="inlineStr">
        <is>
          <t>Availability &amp; Reliability</t>
        </is>
      </c>
      <c r="I46" s="125" t="inlineStr">
        <is>
          <t>The Contractor shall include the following failure classes in its Availability &amp; Reliability Assessment:</t>
        </is>
      </c>
      <c r="J46" s="125" t="inlineStr">
        <is>
          <t>Direct — exact contract section</t>
        </is>
      </c>
      <c r="K46" s="125" t="inlineStr">
        <is>
          <t>Partial evidence: OFFER response supports evaluation; it does not replace full RTM compliance.</t>
        </is>
      </c>
      <c r="L46" s="126" t="inlineStr">
        <is>
          <t>RTM-061 (Availability &amp; Reliability) and OFFER-11 (Reliability / RAM / Service) are linked only because both sit in §4.3.2 — a direct (shared-section) link, not a dedicated cross-reference to this specific clause.</t>
        </is>
      </c>
      <c r="M46" s="6" t="inlineStr">
        <is>
          <t>OK</t>
        </is>
      </c>
      <c r="N46" s="6" t="inlineStr">
        <is>
          <t>Canonical PDF/DOCX.</t>
        </is>
      </c>
    </row>
    <row r="47" ht="71" customHeight="1">
      <c r="A47" s="6" t="inlineStr">
        <is>
          <t>OFFER-11</t>
        </is>
      </c>
      <c r="B47" s="6" t="inlineStr">
        <is>
          <t>Reliability, MTBF &amp; Recovery Strategy</t>
        </is>
      </c>
      <c r="C47" s="6" t="n">
        <v>39</v>
      </c>
      <c r="D47" s="6" t="inlineStr">
        <is>
          <t>4.3.2</t>
        </is>
      </c>
      <c r="E47" s="6" t="inlineStr">
        <is>
          <t>RTM-062</t>
        </is>
      </c>
      <c r="F47" s="6" t="n">
        <v>38</v>
      </c>
      <c r="G47" s="6" t="inlineStr">
        <is>
          <t>4.3.2</t>
        </is>
      </c>
      <c r="H47" s="6" t="inlineStr">
        <is>
          <t>Availability &amp; Reliability</t>
        </is>
      </c>
      <c r="I47" s="6" t="inlineStr">
        <is>
          <t>The QPS design shall comply with the following availability requirements:</t>
        </is>
      </c>
      <c r="J47" s="6" t="inlineStr">
        <is>
          <t>Direct — exact contract section</t>
        </is>
      </c>
      <c r="K47" s="6" t="inlineStr">
        <is>
          <t>Partial evidence: OFFER response supports evaluation; it does not replace full RTM compliance.</t>
        </is>
      </c>
      <c r="L47" s="83" t="inlineStr">
        <is>
          <t>RTM-062 (Availability &amp; Reliability) and OFFER-11 (Reliability / RAM / Service) are linked only because both sit in §4.3.2 — a direct (shared-section) link, not a dedicated cross-reference to this specific clause.</t>
        </is>
      </c>
      <c r="M47" s="6" t="inlineStr">
        <is>
          <t>OK</t>
        </is>
      </c>
      <c r="N47" s="6" t="inlineStr">
        <is>
          <t>Canonical PDF/DOCX.</t>
        </is>
      </c>
    </row>
    <row r="48" ht="71" customHeight="1">
      <c r="A48" s="125" t="inlineStr">
        <is>
          <t>OFFER-11</t>
        </is>
      </c>
      <c r="B48" s="125" t="inlineStr">
        <is>
          <t>Reliability, MTBF &amp; Recovery Strategy</t>
        </is>
      </c>
      <c r="C48" s="125" t="n">
        <v>39</v>
      </c>
      <c r="D48" s="125" t="inlineStr">
        <is>
          <t>4.3.2</t>
        </is>
      </c>
      <c r="E48" s="125" t="inlineStr">
        <is>
          <t>RTM-063</t>
        </is>
      </c>
      <c r="F48" s="125" t="n">
        <v>38</v>
      </c>
      <c r="G48" s="125" t="inlineStr">
        <is>
          <t>4.3.2</t>
        </is>
      </c>
      <c r="H48" s="125" t="inlineStr">
        <is>
          <t>Availability &amp; Reliability</t>
        </is>
      </c>
      <c r="I48" s="125" t="inlineStr">
        <is>
          <t>The QPS design shall comply with the reliability requirements defined in Table 10.</t>
        </is>
      </c>
      <c r="J48" s="125" t="inlineStr">
        <is>
          <t>Direct — exact contract section</t>
        </is>
      </c>
      <c r="K48" s="125" t="inlineStr">
        <is>
          <t>Partial evidence: OFFER response supports evaluation; it does not replace full RTM compliance.</t>
        </is>
      </c>
      <c r="L48" s="126" t="inlineStr">
        <is>
          <t>RTM-063 (Availability &amp; Reliability) and OFFER-11 (Reliability / RAM / Service) are linked only because both sit in §4.3.2 — a direct (shared-section) link, not a dedicated cross-reference to this specific clause.</t>
        </is>
      </c>
      <c r="M48" s="6" t="inlineStr">
        <is>
          <t>OK</t>
        </is>
      </c>
      <c r="N48" s="6" t="inlineStr">
        <is>
          <t>Canonical PDF/DOCX.</t>
        </is>
      </c>
    </row>
    <row r="49" ht="71" customHeight="1">
      <c r="A49" s="6" t="inlineStr">
        <is>
          <t>OFFER-12</t>
        </is>
      </c>
      <c r="B49" s="6" t="inlineStr">
        <is>
          <t>Performance Efficiency (invCOP) Declaration</t>
        </is>
      </c>
      <c r="C49" s="6" t="n">
        <v>40</v>
      </c>
      <c r="D49" s="6" t="inlineStr">
        <is>
          <t>4.3.4</t>
        </is>
      </c>
      <c r="E49" s="6" t="inlineStr">
        <is>
          <t>RTM-069</t>
        </is>
      </c>
      <c r="F49" s="6" t="n">
        <v>40</v>
      </c>
      <c r="G49" s="6" t="inlineStr">
        <is>
          <t>4.3.4</t>
        </is>
      </c>
      <c r="H49" s="6" t="inlineStr">
        <is>
          <t>Energy-efficiency</t>
        </is>
      </c>
      <c r="I49" s="6" t="inlineStr">
        <is>
          <t>The Contractor shall quantify the energy efficiency of the QPS by means of the inverse Coefficient of Performance (invCOP), as defined in §4.3.4.1. To this end, the Contractor shall:</t>
        </is>
      </c>
      <c r="J49" s="6" t="inlineStr">
        <is>
          <t>Direct — exact contract section</t>
        </is>
      </c>
      <c r="K49" s="6" t="inlineStr">
        <is>
          <t>Partial evidence: OFFER response supports evaluation; it does not replace full RTM compliance.</t>
        </is>
      </c>
      <c r="L49" s="83" t="inlineStr">
        <is>
          <t>RTM-069 (Energy-efficiency) and OFFER-12 (Performance / Process / Utilities) are linked only because both sit in §4.3.4 — a direct (shared-section) link, not a dedicated cross-reference to this specific clause.</t>
        </is>
      </c>
      <c r="M49" s="6" t="inlineStr">
        <is>
          <t>OK</t>
        </is>
      </c>
      <c r="N49" s="6" t="inlineStr">
        <is>
          <t>Canonical PDF/DOCX.</t>
        </is>
      </c>
    </row>
    <row r="50" ht="71" customHeight="1">
      <c r="A50" s="125" t="inlineStr">
        <is>
          <t>OFFER-12</t>
        </is>
      </c>
      <c r="B50" s="125" t="inlineStr">
        <is>
          <t>Performance Efficiency (invCOP) Declaration</t>
        </is>
      </c>
      <c r="C50" s="125" t="n">
        <v>40</v>
      </c>
      <c r="D50" s="125" t="inlineStr">
        <is>
          <t>4.3.4</t>
        </is>
      </c>
      <c r="E50" s="125" t="inlineStr">
        <is>
          <t>RTM-070</t>
        </is>
      </c>
      <c r="F50" s="125" t="n">
        <v>40</v>
      </c>
      <c r="G50" s="125" t="inlineStr">
        <is>
          <t>4.3.4</t>
        </is>
      </c>
      <c r="H50" s="125" t="inlineStr">
        <is>
          <t>Energy-efficiency</t>
        </is>
      </c>
      <c r="I50" s="125" t="inlineStr">
        <is>
          <t>The Contractor shall guarantee and demonstrate compliance of the Contractual invCOP (invCOP_contract) in accordance with RTM-071.</t>
        </is>
      </c>
      <c r="J50" s="125" t="inlineStr">
        <is>
          <t>Direct — exact contract section</t>
        </is>
      </c>
      <c r="K50" s="125" t="inlineStr">
        <is>
          <t>Partial evidence: OFFER response supports evaluation; it does not replace full RTM compliance.</t>
        </is>
      </c>
      <c r="L50" s="126" t="inlineStr">
        <is>
          <t>RTM-070 (Energy-efficiency) and OFFER-12 (Performance / Process / Utilities) are linked only because both sit in §4.3.4 — a direct (shared-section) link, not a dedicated cross-reference to this specific clause.</t>
        </is>
      </c>
      <c r="M50" s="6" t="inlineStr">
        <is>
          <t>OK</t>
        </is>
      </c>
      <c r="N50" s="6" t="inlineStr">
        <is>
          <t>Canonical PDF/DOCX.</t>
        </is>
      </c>
    </row>
    <row r="51" ht="71" customHeight="1">
      <c r="A51" s="6" t="inlineStr">
        <is>
          <t>OFFER-12</t>
        </is>
      </c>
      <c r="B51" s="6" t="inlineStr">
        <is>
          <t>Performance Efficiency (invCOP) Declaration</t>
        </is>
      </c>
      <c r="C51" s="6" t="n">
        <v>40</v>
      </c>
      <c r="D51" s="6" t="inlineStr">
        <is>
          <t>4.3.4</t>
        </is>
      </c>
      <c r="E51" s="6" t="inlineStr">
        <is>
          <t>RTM-071</t>
        </is>
      </c>
      <c r="F51" s="6" t="n">
        <v>40</v>
      </c>
      <c r="G51" s="6" t="inlineStr">
        <is>
          <t>4.3.4</t>
        </is>
      </c>
      <c r="H51" s="6" t="inlineStr">
        <is>
          <t>Energy-efficiency</t>
        </is>
      </c>
      <c r="I51" s="6" t="inlineStr">
        <is>
          <t>The invCOP_contract shall comply with:</t>
        </is>
      </c>
      <c r="J51" s="6" t="inlineStr">
        <is>
          <t>Direct — exact contract section</t>
        </is>
      </c>
      <c r="K51" s="6" t="inlineStr">
        <is>
          <t>Partial evidence: OFFER response supports evaluation; it does not replace full RTM compliance.</t>
        </is>
      </c>
      <c r="L51" s="83" t="inlineStr">
        <is>
          <t>RTM-071 (Energy-efficiency) and OFFER-12 (Performance / Process / Utilities) are linked only because both sit in §4.3.4 — a direct (shared-section) link, not a dedicated cross-reference to this specific clause.</t>
        </is>
      </c>
      <c r="M51" s="6" t="inlineStr">
        <is>
          <t>OK</t>
        </is>
      </c>
      <c r="N51" s="6" t="inlineStr">
        <is>
          <t>Canonical PDF/DOCX.</t>
        </is>
      </c>
    </row>
    <row r="52" ht="71" customHeight="1">
      <c r="A52" s="125" t="inlineStr">
        <is>
          <t>OFFER-12</t>
        </is>
      </c>
      <c r="B52" s="125" t="inlineStr">
        <is>
          <t>Performance Efficiency (invCOP) Declaration</t>
        </is>
      </c>
      <c r="C52" s="125" t="n">
        <v>40</v>
      </c>
      <c r="D52" s="125" t="inlineStr">
        <is>
          <t>4.3.4</t>
        </is>
      </c>
      <c r="E52" s="125" t="inlineStr">
        <is>
          <t>RTM-072</t>
        </is>
      </c>
      <c r="F52" s="125" t="n">
        <v>40</v>
      </c>
      <c r="G52" s="125" t="inlineStr">
        <is>
          <t>4.3.4</t>
        </is>
      </c>
      <c r="H52" s="125" t="inlineStr">
        <is>
          <t>Energy-efficiency</t>
        </is>
      </c>
      <c r="I52" s="125" t="inlineStr">
        <is>
          <t>The Contractor shall evaluate the invCOP for all steady-state operating scenarios, as defined in §4.2.2.1.</t>
        </is>
      </c>
      <c r="J52" s="125" t="inlineStr">
        <is>
          <t>Direct — exact contract section</t>
        </is>
      </c>
      <c r="K52" s="125" t="inlineStr">
        <is>
          <t>Partial evidence: OFFER response supports evaluation; it does not replace full RTM compliance.</t>
        </is>
      </c>
      <c r="L52" s="126" t="inlineStr">
        <is>
          <t>RTM-072 (Energy-efficiency) and OFFER-12 (Performance / Process / Utilities) are linked only because both sit in §4.3.4 — a direct (shared-section) link, not a dedicated cross-reference to this specific clause.</t>
        </is>
      </c>
      <c r="M52" s="6" t="inlineStr">
        <is>
          <t>OK</t>
        </is>
      </c>
      <c r="N52" s="6" t="inlineStr">
        <is>
          <t>Canonical PDF/DOCX.</t>
        </is>
      </c>
    </row>
    <row r="53" ht="42" customHeight="1">
      <c r="A53" s="6" t="inlineStr">
        <is>
          <t>OFFER-12</t>
        </is>
      </c>
      <c r="B53" s="6" t="inlineStr">
        <is>
          <t>Performance Efficiency (invCOP) Declaration</t>
        </is>
      </c>
      <c r="C53" s="6" t="n">
        <v>40</v>
      </c>
      <c r="D53" s="6" t="inlineStr">
        <is>
          <t>4.3.4</t>
        </is>
      </c>
      <c r="E53" s="6" t="inlineStr">
        <is>
          <t>RTM-073</t>
        </is>
      </c>
      <c r="F53" s="6" t="n">
        <v>40</v>
      </c>
      <c r="G53" s="6" t="inlineStr">
        <is>
          <t>4.3.4.1</t>
        </is>
      </c>
      <c r="H53" s="6" t="inlineStr">
        <is>
          <t>Inverse Coefficient of Performance (invCOP)</t>
        </is>
      </c>
      <c r="I53" s="6" t="inlineStr">
        <is>
          <t>The invCOP shall be defined as:</t>
        </is>
      </c>
      <c r="J53" s="6" t="inlineStr">
        <is>
          <t>Supporting — invCOP child section</t>
        </is>
      </c>
      <c r="K53" s="6" t="inlineStr">
        <is>
          <t>Supporting/contextual evidence only; not full RTM fulfilment.</t>
        </is>
      </c>
      <c r="L53" s="6" t="inlineStr">
        <is>
          <t>OFFER-12 is in §4.3.4 and explicitly concerns invCOP in child §4.3.4.1.</t>
        </is>
      </c>
      <c r="M53" s="6" t="inlineStr">
        <is>
          <t>Review breadth</t>
        </is>
      </c>
      <c r="N53" s="6" t="inlineStr">
        <is>
          <t>Canonical PDF/DOCX.</t>
        </is>
      </c>
    </row>
    <row r="54" ht="42" customHeight="1">
      <c r="A54" s="125" t="inlineStr">
        <is>
          <t>OFFER-12</t>
        </is>
      </c>
      <c r="B54" s="125" t="inlineStr">
        <is>
          <t>Performance Efficiency (invCOP) Declaration</t>
        </is>
      </c>
      <c r="C54" s="125" t="n">
        <v>40</v>
      </c>
      <c r="D54" s="125" t="inlineStr">
        <is>
          <t>4.3.4</t>
        </is>
      </c>
      <c r="E54" s="125" t="inlineStr">
        <is>
          <t>RTM-074</t>
        </is>
      </c>
      <c r="F54" s="125" t="n">
        <v>40</v>
      </c>
      <c r="G54" s="125" t="inlineStr">
        <is>
          <t>4.3.4.1</t>
        </is>
      </c>
      <c r="H54" s="125" t="inlineStr">
        <is>
          <t>Inverse Coefficient of Performance (invCOP)</t>
        </is>
      </c>
      <c r="I54" s="125" t="inlineStr">
        <is>
          <t>The equivalent electrical input power (W_elec_eq) shall include the electrical consumption of the totality of the QPS. This shall include, but is not limited to:</t>
        </is>
      </c>
      <c r="J54" s="125" t="inlineStr">
        <is>
          <t>Supporting — invCOP child section</t>
        </is>
      </c>
      <c r="K54" s="125" t="inlineStr">
        <is>
          <t>Supporting/contextual evidence only; not full RTM fulfilment.</t>
        </is>
      </c>
      <c r="L54" s="125" t="inlineStr">
        <is>
          <t>OFFER-12 is in §4.3.4 and explicitly concerns invCOP in child §4.3.4.1.</t>
        </is>
      </c>
      <c r="M54" s="6" t="inlineStr">
        <is>
          <t>Review breadth</t>
        </is>
      </c>
      <c r="N54" s="6" t="inlineStr">
        <is>
          <t>Canonical PDF/DOCX.</t>
        </is>
      </c>
    </row>
    <row r="55" ht="42" customHeight="1">
      <c r="A55" s="6" t="inlineStr">
        <is>
          <t>OFFER-12</t>
        </is>
      </c>
      <c r="B55" s="6" t="inlineStr">
        <is>
          <t>Performance Efficiency (invCOP) Declaration</t>
        </is>
      </c>
      <c r="C55" s="6" t="n">
        <v>40</v>
      </c>
      <c r="D55" s="6" t="inlineStr">
        <is>
          <t>4.3.4</t>
        </is>
      </c>
      <c r="E55" s="6" t="inlineStr">
        <is>
          <t>RTM-075</t>
        </is>
      </c>
      <c r="F55" s="6" t="n">
        <v>41</v>
      </c>
      <c r="G55" s="6" t="inlineStr">
        <is>
          <t>4.3.4.1</t>
        </is>
      </c>
      <c r="H55" s="6" t="inlineStr">
        <is>
          <t>Inverse Coefficient of Performance (invCOP)</t>
        </is>
      </c>
      <c r="I55" s="6" t="inlineStr">
        <is>
          <t>If LN2 Precooling is implemented (§4.2.5), the Contractor shall include an equivalent electrical power contribution in the invCOP calculation based on fixed reference unit prices. To this end, the LN2 consumption shall be converted to an equivalent electrical power (W_LN2_eq) using:</t>
        </is>
      </c>
      <c r="J55" s="6" t="inlineStr">
        <is>
          <t>Supporting — invCOP child section</t>
        </is>
      </c>
      <c r="K55" s="6" t="inlineStr">
        <is>
          <t>Supporting/contextual evidence only; not full RTM fulfilment.</t>
        </is>
      </c>
      <c r="L55" s="6" t="inlineStr">
        <is>
          <t>OFFER-12 is in §4.3.4 and explicitly concerns invCOP in child §4.3.4.1.</t>
        </is>
      </c>
      <c r="M55" s="6" t="inlineStr">
        <is>
          <t>Review breadth</t>
        </is>
      </c>
      <c r="N55" s="6" t="inlineStr">
        <is>
          <t>Canonical PDF/DOCX.</t>
        </is>
      </c>
    </row>
    <row r="56" ht="42" customHeight="1">
      <c r="A56" s="125" t="inlineStr">
        <is>
          <t>OFFER-12</t>
        </is>
      </c>
      <c r="B56" s="125" t="inlineStr">
        <is>
          <t>Performance Efficiency (invCOP) Declaration</t>
        </is>
      </c>
      <c r="C56" s="125" t="n">
        <v>40</v>
      </c>
      <c r="D56" s="125" t="inlineStr">
        <is>
          <t>4.3.4</t>
        </is>
      </c>
      <c r="E56" s="125" t="inlineStr">
        <is>
          <t>RTM-076</t>
        </is>
      </c>
      <c r="F56" s="125" t="n">
        <v>41</v>
      </c>
      <c r="G56" s="125" t="inlineStr">
        <is>
          <t>4.3.4.1</t>
        </is>
      </c>
      <c r="H56" s="125" t="inlineStr">
        <is>
          <t>Inverse Coefficient of Performance (invCOP)</t>
        </is>
      </c>
      <c r="I56" s="125" t="inlineStr">
        <is>
          <t>The equivalent isothermal refrigeration load at 4.5 K (Q_4.5K_eq) shall include the useful refrigeration and liquefaction delivered by the QPS to the Cryogenic Users.</t>
        </is>
      </c>
      <c r="J56" s="125" t="inlineStr">
        <is>
          <t>Supporting — invCOP child section</t>
        </is>
      </c>
      <c r="K56" s="125" t="inlineStr">
        <is>
          <t>Supporting/contextual evidence only; not full RTM fulfilment.</t>
        </is>
      </c>
      <c r="L56" s="125" t="inlineStr">
        <is>
          <t>OFFER-12 is in §4.3.4 and explicitly concerns invCOP in child §4.3.4.1.</t>
        </is>
      </c>
      <c r="M56" s="6" t="inlineStr">
        <is>
          <t>Review breadth</t>
        </is>
      </c>
      <c r="N56" s="6" t="inlineStr">
        <is>
          <t>Canonical PDF/DOCX.</t>
        </is>
      </c>
    </row>
    <row r="57" ht="42" customHeight="1">
      <c r="A57" s="6" t="inlineStr">
        <is>
          <t>OFFER-12</t>
        </is>
      </c>
      <c r="B57" s="6" t="inlineStr">
        <is>
          <t>Performance Efficiency (invCOP) Declaration</t>
        </is>
      </c>
      <c r="C57" s="6" t="n">
        <v>40</v>
      </c>
      <c r="D57" s="6" t="inlineStr">
        <is>
          <t>4.3.4</t>
        </is>
      </c>
      <c r="E57" s="6" t="inlineStr">
        <is>
          <t>RTM-077</t>
        </is>
      </c>
      <c r="F57" s="6" t="n">
        <v>41</v>
      </c>
      <c r="G57" s="6" t="inlineStr">
        <is>
          <t>4.3.4.1</t>
        </is>
      </c>
      <c r="H57" s="6" t="inlineStr">
        <is>
          <t>Inverse Coefficient of Performance (invCOP)</t>
        </is>
      </c>
      <c r="I57" s="6" t="inlineStr">
        <is>
          <t>The invCOP value shall be reported with its associated expanded uncertainty (U_invCOP).</t>
        </is>
      </c>
      <c r="J57" s="6" t="inlineStr">
        <is>
          <t>Supporting — invCOP child section</t>
        </is>
      </c>
      <c r="K57" s="6" t="inlineStr">
        <is>
          <t>Supporting/contextual evidence only; not full RTM fulfilment.</t>
        </is>
      </c>
      <c r="L57" s="6" t="inlineStr">
        <is>
          <t>OFFER-12 is in §4.3.4 and explicitly concerns invCOP in child §4.3.4.1.</t>
        </is>
      </c>
      <c r="M57" s="6" t="inlineStr">
        <is>
          <t>Review breadth</t>
        </is>
      </c>
      <c r="N57" s="6" t="inlineStr">
        <is>
          <t>Canonical PDF/DOCX.</t>
        </is>
      </c>
    </row>
    <row r="58" ht="42" customHeight="1">
      <c r="A58" s="125" t="inlineStr">
        <is>
          <t>OFFER-13</t>
        </is>
      </c>
      <c r="B58" s="125" t="inlineStr">
        <is>
          <t>Main Equipment Technical Specifications</t>
        </is>
      </c>
      <c r="C58" s="125" t="n">
        <v>42</v>
      </c>
      <c r="D58" s="125" t="inlineStr">
        <is>
          <t>4.4</t>
        </is>
      </c>
      <c r="E58" s="125" t="inlineStr">
        <is>
          <t>RTM-141</t>
        </is>
      </c>
      <c r="F58" s="125" t="n">
        <v>49</v>
      </c>
      <c r="G58" s="125" t="inlineStr">
        <is>
          <t>4.4.3.1</t>
        </is>
      </c>
      <c r="H58" s="125" t="inlineStr">
        <is>
          <t>General Requirements</t>
        </is>
      </c>
      <c r="I58" s="125" t="inlineStr">
        <is>
          <t>The Warm Compressor Station (WCS) shall provide helium compression across at least three pressure levels: VLP, LP and HP.</t>
        </is>
      </c>
      <c r="J58" s="125" t="inlineStr">
        <is>
          <t>Broad/contextual — main component specification</t>
        </is>
      </c>
      <c r="K58" s="125" t="inlineStr">
        <is>
          <t>OFFER-13 asks key specifications, not clause-by-clause fulfilment of all subsystem RTMs.</t>
        </is>
      </c>
      <c r="L58" s="125" t="inlineStr">
        <is>
          <t>Selected top-level main-component sections under §4.4.</t>
        </is>
      </c>
      <c r="M58" s="6" t="inlineStr">
        <is>
          <t>Review breadth</t>
        </is>
      </c>
      <c r="N58" s="6" t="inlineStr">
        <is>
          <t>Canonical PDF/DOCX.</t>
        </is>
      </c>
    </row>
    <row r="59" ht="42" customHeight="1">
      <c r="A59" s="6" t="inlineStr">
        <is>
          <t>OFFER-13</t>
        </is>
      </c>
      <c r="B59" s="6" t="inlineStr">
        <is>
          <t>Main Equipment Technical Specifications</t>
        </is>
      </c>
      <c r="C59" s="6" t="n">
        <v>42</v>
      </c>
      <c r="D59" s="6" t="inlineStr">
        <is>
          <t>4.4</t>
        </is>
      </c>
      <c r="E59" s="6" t="inlineStr">
        <is>
          <t>RTM-142</t>
        </is>
      </c>
      <c r="F59" s="6" t="n">
        <v>49</v>
      </c>
      <c r="G59" s="6" t="inlineStr">
        <is>
          <t>4.4.3.1</t>
        </is>
      </c>
      <c r="H59" s="6" t="inlineStr">
        <is>
          <t>General Requirements</t>
        </is>
      </c>
      <c r="I59" s="6" t="inlineStr">
        <is>
          <t>The WCS shall comprise the warm compression equipment required to establish and maintain pressure levels, including at minimum:</t>
        </is>
      </c>
      <c r="J59" s="6" t="inlineStr">
        <is>
          <t>Broad/contextual — main component specification</t>
        </is>
      </c>
      <c r="K59" s="6" t="inlineStr">
        <is>
          <t>OFFER-13 asks key specifications, not clause-by-clause fulfilment of all subsystem RTMs.</t>
        </is>
      </c>
      <c r="L59" s="6" t="inlineStr">
        <is>
          <t>Selected top-level main-component sections under §4.4.</t>
        </is>
      </c>
      <c r="M59" s="6" t="inlineStr">
        <is>
          <t>Review breadth</t>
        </is>
      </c>
      <c r="N59" s="6" t="inlineStr">
        <is>
          <t>Canonical PDF/DOCX.</t>
        </is>
      </c>
    </row>
    <row r="60" ht="42" customHeight="1">
      <c r="A60" s="125" t="inlineStr">
        <is>
          <t>OFFER-13</t>
        </is>
      </c>
      <c r="B60" s="125" t="inlineStr">
        <is>
          <t>Main Equipment Technical Specifications</t>
        </is>
      </c>
      <c r="C60" s="125" t="n">
        <v>42</v>
      </c>
      <c r="D60" s="125" t="inlineStr">
        <is>
          <t>4.4</t>
        </is>
      </c>
      <c r="E60" s="125" t="inlineStr">
        <is>
          <t>RTM-143</t>
        </is>
      </c>
      <c r="F60" s="125" t="n">
        <v>49</v>
      </c>
      <c r="G60" s="125" t="inlineStr">
        <is>
          <t>4.4.3.1</t>
        </is>
      </c>
      <c r="H60" s="125" t="inlineStr">
        <is>
          <t>General Requirements</t>
        </is>
      </c>
      <c r="I60" s="125" t="inlineStr">
        <is>
          <t>Each compression stage shall include at least three compressors.</t>
        </is>
      </c>
      <c r="J60" s="125" t="inlineStr">
        <is>
          <t>Broad/contextual — main component specification</t>
        </is>
      </c>
      <c r="K60" s="125" t="inlineStr">
        <is>
          <t>OFFER-13 asks key specifications, not clause-by-clause fulfilment of all subsystem RTMs.</t>
        </is>
      </c>
      <c r="L60" s="125" t="inlineStr">
        <is>
          <t>Selected top-level main-component sections under §4.4.</t>
        </is>
      </c>
      <c r="M60" s="6" t="inlineStr">
        <is>
          <t>Review breadth</t>
        </is>
      </c>
      <c r="N60" s="6" t="inlineStr">
        <is>
          <t>Canonical PDF/DOCX.</t>
        </is>
      </c>
    </row>
    <row r="61" ht="42" customHeight="1">
      <c r="A61" s="6" t="inlineStr">
        <is>
          <t>OFFER-13</t>
        </is>
      </c>
      <c r="B61" s="6" t="inlineStr">
        <is>
          <t>Main Equipment Technical Specifications</t>
        </is>
      </c>
      <c r="C61" s="6" t="n">
        <v>42</v>
      </c>
      <c r="D61" s="6" t="inlineStr">
        <is>
          <t>4.4</t>
        </is>
      </c>
      <c r="E61" s="6" t="inlineStr">
        <is>
          <t>RTM-144</t>
        </is>
      </c>
      <c r="F61" s="6" t="n">
        <v>49</v>
      </c>
      <c r="G61" s="6" t="inlineStr">
        <is>
          <t>4.4.3.1</t>
        </is>
      </c>
      <c r="H61" s="6" t="inlineStr">
        <is>
          <t>General Requirements</t>
        </is>
      </c>
      <c r="I61" s="6" t="inlineStr">
        <is>
          <t>Each compressor motor shall be equipped with a variable frequency drive (VFD) rated for full load current of the motor.</t>
        </is>
      </c>
      <c r="J61" s="6" t="inlineStr">
        <is>
          <t>Broad/contextual — main component specification</t>
        </is>
      </c>
      <c r="K61" s="6" t="inlineStr">
        <is>
          <t>OFFER-13 asks key specifications, not clause-by-clause fulfilment of all subsystem RTMs.</t>
        </is>
      </c>
      <c r="L61" s="6" t="inlineStr">
        <is>
          <t>Selected top-level main-component sections under §4.4.</t>
        </is>
      </c>
      <c r="M61" s="6" t="inlineStr">
        <is>
          <t>Review breadth</t>
        </is>
      </c>
      <c r="N61" s="6" t="inlineStr">
        <is>
          <t>Canonical PDF/DOCX.</t>
        </is>
      </c>
    </row>
    <row r="62" ht="42" customHeight="1">
      <c r="A62" s="125" t="inlineStr">
        <is>
          <t>OFFER-13</t>
        </is>
      </c>
      <c r="B62" s="125" t="inlineStr">
        <is>
          <t>Main Equipment Technical Specifications</t>
        </is>
      </c>
      <c r="C62" s="125" t="n">
        <v>42</v>
      </c>
      <c r="D62" s="125" t="inlineStr">
        <is>
          <t>4.4</t>
        </is>
      </c>
      <c r="E62" s="125" t="inlineStr">
        <is>
          <t>RTM-145</t>
        </is>
      </c>
      <c r="F62" s="125" t="n">
        <v>49</v>
      </c>
      <c r="G62" s="125" t="inlineStr">
        <is>
          <t>4.4.3.1</t>
        </is>
      </c>
      <c r="H62" s="125" t="inlineStr">
        <is>
          <t>General Requirements</t>
        </is>
      </c>
      <c r="I62" s="125" t="inlineStr">
        <is>
          <t>The efficiency class of Motors and VFDs shall comply with Regulation (EU) 2019/1781.</t>
        </is>
      </c>
      <c r="J62" s="125" t="inlineStr">
        <is>
          <t>Broad/contextual — main component specification</t>
        </is>
      </c>
      <c r="K62" s="125" t="inlineStr">
        <is>
          <t>OFFER-13 asks key specifications, not clause-by-clause fulfilment of all subsystem RTMs.</t>
        </is>
      </c>
      <c r="L62" s="125" t="inlineStr">
        <is>
          <t>Selected top-level main-component sections under §4.4.</t>
        </is>
      </c>
      <c r="M62" s="6" t="inlineStr">
        <is>
          <t>Review breadth</t>
        </is>
      </c>
      <c r="N62" s="6" t="inlineStr">
        <is>
          <t>Canonical PDF/DOCX.</t>
        </is>
      </c>
    </row>
    <row r="63" ht="42" customHeight="1">
      <c r="A63" s="6" t="inlineStr">
        <is>
          <t>OFFER-13</t>
        </is>
      </c>
      <c r="B63" s="6" t="inlineStr">
        <is>
          <t>Main Equipment Technical Specifications</t>
        </is>
      </c>
      <c r="C63" s="6" t="n">
        <v>42</v>
      </c>
      <c r="D63" s="6" t="inlineStr">
        <is>
          <t>4.4</t>
        </is>
      </c>
      <c r="E63" s="6" t="inlineStr">
        <is>
          <t>RTM-146</t>
        </is>
      </c>
      <c r="F63" s="6" t="n">
        <v>49</v>
      </c>
      <c r="G63" s="6" t="inlineStr">
        <is>
          <t>4.4.3.1</t>
        </is>
      </c>
      <c r="H63" s="6" t="inlineStr">
        <is>
          <t>General Requirements</t>
        </is>
      </c>
      <c r="I63" s="6" t="inlineStr">
        <is>
          <t>The maximum vibration levels of the compressors and other rotating machines shall comply with ISO 2372 or its successor ISO 20816.</t>
        </is>
      </c>
      <c r="J63" s="6" t="inlineStr">
        <is>
          <t>Broad/contextual — main component specification</t>
        </is>
      </c>
      <c r="K63" s="6" t="inlineStr">
        <is>
          <t>OFFER-13 asks key specifications, not clause-by-clause fulfilment of all subsystem RTMs.</t>
        </is>
      </c>
      <c r="L63" s="6" t="inlineStr">
        <is>
          <t>Selected top-level main-component sections under §4.4.</t>
        </is>
      </c>
      <c r="M63" s="6" t="inlineStr">
        <is>
          <t>Review breadth</t>
        </is>
      </c>
      <c r="N63" s="6" t="inlineStr">
        <is>
          <t>Canonical PDF/DOCX.</t>
        </is>
      </c>
    </row>
    <row r="64" ht="42" customHeight="1">
      <c r="A64" s="125" t="inlineStr">
        <is>
          <t>OFFER-13</t>
        </is>
      </c>
      <c r="B64" s="125" t="inlineStr">
        <is>
          <t>Main Equipment Technical Specifications</t>
        </is>
      </c>
      <c r="C64" s="125" t="n">
        <v>42</v>
      </c>
      <c r="D64" s="125" t="inlineStr">
        <is>
          <t>4.4</t>
        </is>
      </c>
      <c r="E64" s="125" t="inlineStr">
        <is>
          <t>RTM-147</t>
        </is>
      </c>
      <c r="F64" s="125" t="n">
        <v>49</v>
      </c>
      <c r="G64" s="125" t="inlineStr">
        <is>
          <t>4.4.3.1</t>
        </is>
      </c>
      <c r="H64" s="125" t="inlineStr">
        <is>
          <t>General Requirements</t>
        </is>
      </c>
      <c r="I64" s="125" t="inlineStr">
        <is>
          <t>The sound pressure level of each compressor shall not exceed 80 dB at 1 m while in any steady-state operating condition.</t>
        </is>
      </c>
      <c r="J64" s="125" t="inlineStr">
        <is>
          <t>Broad/contextual — main component specification</t>
        </is>
      </c>
      <c r="K64" s="125" t="inlineStr">
        <is>
          <t>OFFER-13 asks key specifications, not clause-by-clause fulfilment of all subsystem RTMs.</t>
        </is>
      </c>
      <c r="L64" s="125" t="inlineStr">
        <is>
          <t>Selected top-level main-component sections under §4.4.</t>
        </is>
      </c>
      <c r="M64" s="6" t="inlineStr">
        <is>
          <t>Review breadth</t>
        </is>
      </c>
      <c r="N64" s="6" t="inlineStr">
        <is>
          <t>Canonical PDF/DOCX.</t>
        </is>
      </c>
    </row>
    <row r="65" ht="42" customHeight="1">
      <c r="A65" s="6" t="inlineStr">
        <is>
          <t>OFFER-13</t>
        </is>
      </c>
      <c r="B65" s="6" t="inlineStr">
        <is>
          <t>Main Equipment Technical Specifications</t>
        </is>
      </c>
      <c r="C65" s="6" t="n">
        <v>42</v>
      </c>
      <c r="D65" s="6" t="inlineStr">
        <is>
          <t>4.4</t>
        </is>
      </c>
      <c r="E65" s="6" t="inlineStr">
        <is>
          <t>RTM-148</t>
        </is>
      </c>
      <c r="F65" s="6" t="n">
        <v>49</v>
      </c>
      <c r="G65" s="6" t="inlineStr">
        <is>
          <t>4.4.3.2</t>
        </is>
      </c>
      <c r="H65" s="6" t="inlineStr">
        <is>
          <t>Compressors requirements</t>
        </is>
      </c>
      <c r="I65" s="6" t="inlineStr">
        <is>
          <t>The compressor control strategy shall comply with the following requirements:</t>
        </is>
      </c>
      <c r="J65" s="6" t="inlineStr">
        <is>
          <t>Broad/contextual — main component specification</t>
        </is>
      </c>
      <c r="K65" s="6" t="inlineStr">
        <is>
          <t>OFFER-13 asks key specifications, not clause-by-clause fulfilment of all subsystem RTMs.</t>
        </is>
      </c>
      <c r="L65" s="6" t="inlineStr">
        <is>
          <t>Selected top-level main-component sections under §4.4.</t>
        </is>
      </c>
      <c r="M65" s="6" t="inlineStr">
        <is>
          <t>Review breadth</t>
        </is>
      </c>
      <c r="N65" s="6" t="inlineStr">
        <is>
          <t>Canonical PDF/DOCX.</t>
        </is>
      </c>
    </row>
    <row r="66" ht="42" customHeight="1">
      <c r="A66" s="125" t="inlineStr">
        <is>
          <t>OFFER-13</t>
        </is>
      </c>
      <c r="B66" s="125" t="inlineStr">
        <is>
          <t>Main Equipment Technical Specifications</t>
        </is>
      </c>
      <c r="C66" s="125" t="n">
        <v>42</v>
      </c>
      <c r="D66" s="125" t="inlineStr">
        <is>
          <t>4.4</t>
        </is>
      </c>
      <c r="E66" s="125" t="inlineStr">
        <is>
          <t>RTM-149</t>
        </is>
      </c>
      <c r="F66" s="125" t="n">
        <v>49</v>
      </c>
      <c r="G66" s="125" t="inlineStr">
        <is>
          <t>4.4.3.2</t>
        </is>
      </c>
      <c r="H66" s="125" t="inlineStr">
        <is>
          <t>Compressors requirements</t>
        </is>
      </c>
      <c r="I66" s="125" t="inlineStr">
        <is>
          <t>Each compressor shall be capable of stable turndown to ≤ 30 % of the rated mass flow, without surge or recycle, over the specified operating-pressure range.</t>
        </is>
      </c>
      <c r="J66" s="125" t="inlineStr">
        <is>
          <t>Broad/contextual — main component specification</t>
        </is>
      </c>
      <c r="K66" s="125" t="inlineStr">
        <is>
          <t>OFFER-13 asks key specifications, not clause-by-clause fulfilment of all subsystem RTMs.</t>
        </is>
      </c>
      <c r="L66" s="125" t="inlineStr">
        <is>
          <t>Selected top-level main-component sections under §4.4.</t>
        </is>
      </c>
      <c r="M66" s="6" t="inlineStr">
        <is>
          <t>Review breadth</t>
        </is>
      </c>
      <c r="N66" s="6" t="inlineStr">
        <is>
          <t>Canonical PDF/DOCX.</t>
        </is>
      </c>
    </row>
    <row r="67" ht="42" customHeight="1">
      <c r="A67" s="6" t="inlineStr">
        <is>
          <t>OFFER-13</t>
        </is>
      </c>
      <c r="B67" s="6" t="inlineStr">
        <is>
          <t>Main Equipment Technical Specifications</t>
        </is>
      </c>
      <c r="C67" s="6" t="n">
        <v>42</v>
      </c>
      <c r="D67" s="6" t="inlineStr">
        <is>
          <t>4.4</t>
        </is>
      </c>
      <c r="E67" s="6" t="inlineStr">
        <is>
          <t>RTM-150</t>
        </is>
      </c>
      <c r="F67" s="6" t="n">
        <v>50</v>
      </c>
      <c r="G67" s="6" t="inlineStr">
        <is>
          <t>4.4.3.2</t>
        </is>
      </c>
      <c r="H67" s="6" t="inlineStr">
        <is>
          <t>Compressors requirements</t>
        </is>
      </c>
      <c r="I67" s="6" t="inlineStr">
        <is>
          <t>Each compressor shall include:</t>
        </is>
      </c>
      <c r="J67" s="6" t="inlineStr">
        <is>
          <t>Broad/contextual — main component specification</t>
        </is>
      </c>
      <c r="K67" s="6" t="inlineStr">
        <is>
          <t>OFFER-13 asks key specifications, not clause-by-clause fulfilment of all subsystem RTMs.</t>
        </is>
      </c>
      <c r="L67" s="6" t="inlineStr">
        <is>
          <t>Selected top-level main-component sections under §4.4.</t>
        </is>
      </c>
      <c r="M67" s="6" t="inlineStr">
        <is>
          <t>Review breadth</t>
        </is>
      </c>
      <c r="N67" s="6" t="inlineStr">
        <is>
          <t>Canonical PDF/DOCX.</t>
        </is>
      </c>
    </row>
    <row r="68" ht="42" customHeight="1">
      <c r="A68" s="125" t="inlineStr">
        <is>
          <t>OFFER-13</t>
        </is>
      </c>
      <c r="B68" s="125" t="inlineStr">
        <is>
          <t>Main Equipment Technical Specifications</t>
        </is>
      </c>
      <c r="C68" s="125" t="n">
        <v>42</v>
      </c>
      <c r="D68" s="125" t="inlineStr">
        <is>
          <t>4.4</t>
        </is>
      </c>
      <c r="E68" s="125" t="inlineStr">
        <is>
          <t>RTM-151</t>
        </is>
      </c>
      <c r="F68" s="125" t="n">
        <v>50</v>
      </c>
      <c r="G68" s="125" t="inlineStr">
        <is>
          <t>4.4.3.2</t>
        </is>
      </c>
      <c r="H68" s="125" t="inlineStr">
        <is>
          <t>Compressors requirements</t>
        </is>
      </c>
      <c r="I68" s="125" t="inlineStr">
        <is>
          <t>Downstream of the bulk oil separator, the oil concentration in the helium stream shall not exceed 100 ppm(w).</t>
        </is>
      </c>
      <c r="J68" s="125" t="inlineStr">
        <is>
          <t>Broad/contextual — main component specification</t>
        </is>
      </c>
      <c r="K68" s="125" t="inlineStr">
        <is>
          <t>OFFER-13 asks key specifications, not clause-by-clause fulfilment of all subsystem RTMs.</t>
        </is>
      </c>
      <c r="L68" s="125" t="inlineStr">
        <is>
          <t>Selected top-level main-component sections under §4.4.</t>
        </is>
      </c>
      <c r="M68" s="6" t="inlineStr">
        <is>
          <t>Review breadth</t>
        </is>
      </c>
      <c r="N68" s="6" t="inlineStr">
        <is>
          <t>Canonical PDF/DOCX.</t>
        </is>
      </c>
    </row>
    <row r="69" ht="42" customHeight="1">
      <c r="A69" s="6" t="inlineStr">
        <is>
          <t>OFFER-13</t>
        </is>
      </c>
      <c r="B69" s="6" t="inlineStr">
        <is>
          <t>Main Equipment Technical Specifications</t>
        </is>
      </c>
      <c r="C69" s="6" t="n">
        <v>42</v>
      </c>
      <c r="D69" s="6" t="inlineStr">
        <is>
          <t>4.4</t>
        </is>
      </c>
      <c r="E69" s="6" t="inlineStr">
        <is>
          <t>RTM-152</t>
        </is>
      </c>
      <c r="F69" s="6" t="n">
        <v>50</v>
      </c>
      <c r="G69" s="6" t="inlineStr">
        <is>
          <t>4.4.3.2</t>
        </is>
      </c>
      <c r="H69" s="6" t="inlineStr">
        <is>
          <t>Compressors requirements</t>
        </is>
      </c>
      <c r="I69" s="6" t="inlineStr">
        <is>
          <t>The flexible coupling between the electric motor and the HP compressor shall comply with API 671 / ISO 10441, or an equivalent standard.</t>
        </is>
      </c>
      <c r="J69" s="6" t="inlineStr">
        <is>
          <t>Broad/contextual — main component specification</t>
        </is>
      </c>
      <c r="K69" s="6" t="inlineStr">
        <is>
          <t>OFFER-13 asks key specifications, not clause-by-clause fulfilment of all subsystem RTMs.</t>
        </is>
      </c>
      <c r="L69" s="6" t="inlineStr">
        <is>
          <t>Selected top-level main-component sections under §4.4.</t>
        </is>
      </c>
      <c r="M69" s="6" t="inlineStr">
        <is>
          <t>Review breadth</t>
        </is>
      </c>
      <c r="N69" s="6" t="inlineStr">
        <is>
          <t>Canonical PDF/DOCX.</t>
        </is>
      </c>
    </row>
    <row r="70" ht="42" customHeight="1">
      <c r="A70" s="125" t="inlineStr">
        <is>
          <t>OFFER-13</t>
        </is>
      </c>
      <c r="B70" s="125" t="inlineStr">
        <is>
          <t>Main Equipment Technical Specifications</t>
        </is>
      </c>
      <c r="C70" s="125" t="n">
        <v>42</v>
      </c>
      <c r="D70" s="125" t="inlineStr">
        <is>
          <t>4.4</t>
        </is>
      </c>
      <c r="E70" s="125" t="inlineStr">
        <is>
          <t>RTM-193</t>
        </is>
      </c>
      <c r="F70" s="125" t="n">
        <v>55</v>
      </c>
      <c r="G70" s="125" t="inlineStr">
        <is>
          <t>4.4.4.1</t>
        </is>
      </c>
      <c r="H70" s="125" t="inlineStr">
        <is>
          <t>General Requirements</t>
        </is>
      </c>
      <c r="I70" s="125" t="inlineStr">
        <is>
          <t>The QPS shall include a Refrigeration Cold Box Station (QRB) responsible for producing the cooling power required by the cryogenic users and distributing the corresponding cryogenic flows to the QDB.</t>
        </is>
      </c>
      <c r="J70" s="125" t="inlineStr">
        <is>
          <t>Broad/contextual — main component specification</t>
        </is>
      </c>
      <c r="K70" s="125" t="inlineStr">
        <is>
          <t>OFFER-13 asks key specifications, not clause-by-clause fulfilment of all subsystem RTMs.</t>
        </is>
      </c>
      <c r="L70" s="125" t="inlineStr">
        <is>
          <t>Selected top-level main-component sections under §4.4.</t>
        </is>
      </c>
      <c r="M70" s="6" t="inlineStr">
        <is>
          <t>Review breadth</t>
        </is>
      </c>
      <c r="N70" s="6" t="inlineStr">
        <is>
          <t>Canonical PDF/DOCX.</t>
        </is>
      </c>
    </row>
    <row r="71" ht="42" customHeight="1">
      <c r="A71" s="6" t="inlineStr">
        <is>
          <t>OFFER-13</t>
        </is>
      </c>
      <c r="B71" s="6" t="inlineStr">
        <is>
          <t>Main Equipment Technical Specifications</t>
        </is>
      </c>
      <c r="C71" s="6" t="n">
        <v>42</v>
      </c>
      <c r="D71" s="6" t="inlineStr">
        <is>
          <t>4.4</t>
        </is>
      </c>
      <c r="E71" s="6" t="inlineStr">
        <is>
          <t>RTM-194</t>
        </is>
      </c>
      <c r="F71" s="6" t="n">
        <v>55</v>
      </c>
      <c r="G71" s="6" t="inlineStr">
        <is>
          <t>4.4.4.1</t>
        </is>
      </c>
      <c r="H71" s="6" t="inlineStr">
        <is>
          <t>General Requirements</t>
        </is>
      </c>
      <c r="I71" s="6" t="inlineStr">
        <is>
          <t>The QRB shall comprise, at minimum, the following subsystems:</t>
        </is>
      </c>
      <c r="J71" s="6" t="inlineStr">
        <is>
          <t>Broad/contextual — main component specification</t>
        </is>
      </c>
      <c r="K71" s="6" t="inlineStr">
        <is>
          <t>OFFER-13 asks key specifications, not clause-by-clause fulfilment of all subsystem RTMs.</t>
        </is>
      </c>
      <c r="L71" s="6" t="inlineStr">
        <is>
          <t>Selected top-level main-component sections under §4.4.</t>
        </is>
      </c>
      <c r="M71" s="6" t="inlineStr">
        <is>
          <t>Review breadth</t>
        </is>
      </c>
      <c r="N71" s="6" t="inlineStr">
        <is>
          <t>Canonical PDF/DOCX.</t>
        </is>
      </c>
    </row>
    <row r="72" ht="42" customHeight="1">
      <c r="A72" s="125" t="inlineStr">
        <is>
          <t>OFFER-13</t>
        </is>
      </c>
      <c r="B72" s="125" t="inlineStr">
        <is>
          <t>Main Equipment Technical Specifications</t>
        </is>
      </c>
      <c r="C72" s="125" t="n">
        <v>42</v>
      </c>
      <c r="D72" s="125" t="inlineStr">
        <is>
          <t>4.4</t>
        </is>
      </c>
      <c r="E72" s="125" t="inlineStr">
        <is>
          <t>RTM-195</t>
        </is>
      </c>
      <c r="F72" s="125" t="n">
        <v>55</v>
      </c>
      <c r="G72" s="125" t="inlineStr">
        <is>
          <t>4.4.4.1</t>
        </is>
      </c>
      <c r="H72" s="125" t="inlineStr">
        <is>
          <t>General Requirements</t>
        </is>
      </c>
      <c r="I72" s="125" t="inlineStr">
        <is>
          <t>The cold box unit shall contain, at minimum, the following internal components:</t>
        </is>
      </c>
      <c r="J72" s="125" t="inlineStr">
        <is>
          <t>Broad/contextual — main component specification</t>
        </is>
      </c>
      <c r="K72" s="125" t="inlineStr">
        <is>
          <t>OFFER-13 asks key specifications, not clause-by-clause fulfilment of all subsystem RTMs.</t>
        </is>
      </c>
      <c r="L72" s="125" t="inlineStr">
        <is>
          <t>Selected top-level main-component sections under §4.4.</t>
        </is>
      </c>
      <c r="M72" s="6" t="inlineStr">
        <is>
          <t>Review breadth</t>
        </is>
      </c>
      <c r="N72" s="6" t="inlineStr">
        <is>
          <t>Canonical PDF/DOCX.</t>
        </is>
      </c>
    </row>
    <row r="73" ht="42" customHeight="1">
      <c r="A73" s="6" t="inlineStr">
        <is>
          <t>OFFER-13</t>
        </is>
      </c>
      <c r="B73" s="6" t="inlineStr">
        <is>
          <t>Main Equipment Technical Specifications</t>
        </is>
      </c>
      <c r="C73" s="6" t="n">
        <v>42</v>
      </c>
      <c r="D73" s="6" t="inlineStr">
        <is>
          <t>4.4</t>
        </is>
      </c>
      <c r="E73" s="6" t="inlineStr">
        <is>
          <t>RTM-196</t>
        </is>
      </c>
      <c r="F73" s="6" t="n">
        <v>55</v>
      </c>
      <c r="G73" s="6" t="inlineStr">
        <is>
          <t>4.4.4.1</t>
        </is>
      </c>
      <c r="H73" s="6" t="inlineStr">
        <is>
          <t>General Requirements</t>
        </is>
      </c>
      <c r="I73" s="6" t="inlineStr">
        <is>
          <t>The Contractor shall be responsible to define the arrangement and orientation of the cold box unit.</t>
        </is>
      </c>
      <c r="J73" s="6" t="inlineStr">
        <is>
          <t>Broad/contextual — main component specification</t>
        </is>
      </c>
      <c r="K73" s="6" t="inlineStr">
        <is>
          <t>OFFER-13 asks key specifications, not clause-by-clause fulfilment of all subsystem RTMs.</t>
        </is>
      </c>
      <c r="L73" s="6" t="inlineStr">
        <is>
          <t>Selected top-level main-component sections under §4.4.</t>
        </is>
      </c>
      <c r="M73" s="6" t="inlineStr">
        <is>
          <t>Review breadth</t>
        </is>
      </c>
      <c r="N73" s="6" t="inlineStr">
        <is>
          <t>Canonical PDF/DOCX.</t>
        </is>
      </c>
    </row>
    <row r="74" ht="42" customHeight="1">
      <c r="A74" s="125" t="inlineStr">
        <is>
          <t>OFFER-13</t>
        </is>
      </c>
      <c r="B74" s="125" t="inlineStr">
        <is>
          <t>Main Equipment Technical Specifications</t>
        </is>
      </c>
      <c r="C74" s="125" t="n">
        <v>42</v>
      </c>
      <c r="D74" s="125" t="inlineStr">
        <is>
          <t>4.4</t>
        </is>
      </c>
      <c r="E74" s="125" t="inlineStr">
        <is>
          <t>RTM-197</t>
        </is>
      </c>
      <c r="F74" s="125" t="n">
        <v>55</v>
      </c>
      <c r="G74" s="125" t="inlineStr">
        <is>
          <t>4.4.4.1</t>
        </is>
      </c>
      <c r="H74" s="125" t="inlineStr">
        <is>
          <t>General Requirements</t>
        </is>
      </c>
      <c r="I74" s="125" t="inlineStr">
        <is>
          <t>The interface between the QRB and the WCS shall comply with the following requirements on the QRB side of the interface</t>
        </is>
      </c>
      <c r="J74" s="125" t="inlineStr">
        <is>
          <t>Broad/contextual — main component specification</t>
        </is>
      </c>
      <c r="K74" s="125" t="inlineStr">
        <is>
          <t>OFFER-13 asks key specifications, not clause-by-clause fulfilment of all subsystem RTMs.</t>
        </is>
      </c>
      <c r="L74" s="125" t="inlineStr">
        <is>
          <t>Selected top-level main-component sections under §4.4.</t>
        </is>
      </c>
      <c r="M74" s="6" t="inlineStr">
        <is>
          <t>Review breadth</t>
        </is>
      </c>
      <c r="N74" s="6" t="inlineStr">
        <is>
          <t>Canonical PDF/DOCX.</t>
        </is>
      </c>
    </row>
    <row r="75" ht="42" customHeight="1">
      <c r="A75" s="6" t="inlineStr">
        <is>
          <t>OFFER-13</t>
        </is>
      </c>
      <c r="B75" s="6" t="inlineStr">
        <is>
          <t>Main Equipment Technical Specifications</t>
        </is>
      </c>
      <c r="C75" s="6" t="n">
        <v>42</v>
      </c>
      <c r="D75" s="6" t="inlineStr">
        <is>
          <t>4.4</t>
        </is>
      </c>
      <c r="E75" s="6" t="inlineStr">
        <is>
          <t>RTM-236</t>
        </is>
      </c>
      <c r="F75" s="6" t="n">
        <v>60</v>
      </c>
      <c r="G75" s="6" t="inlineStr">
        <is>
          <t>4.4.5.1</t>
        </is>
      </c>
      <c r="H75" s="6" t="inlineStr">
        <is>
          <t>WSH Configuration</t>
        </is>
      </c>
      <c r="I75" s="6" t="inlineStr">
        <is>
          <t>The Contractor shall supply the Warm Helium Storage (WSH) (Figure 9). The WSH shall be implemented in one of the following configurations:</t>
        </is>
      </c>
      <c r="J75" s="6" t="inlineStr">
        <is>
          <t>Broad/contextual — main component specification</t>
        </is>
      </c>
      <c r="K75" s="6" t="inlineStr">
        <is>
          <t>OFFER-13 asks key specifications, not clause-by-clause fulfilment of all subsystem RTMs.</t>
        </is>
      </c>
      <c r="L75" s="6" t="inlineStr">
        <is>
          <t>Selected top-level main-component sections under §4.4.</t>
        </is>
      </c>
      <c r="M75" s="6" t="inlineStr">
        <is>
          <t>Review breadth</t>
        </is>
      </c>
      <c r="N75" s="6" t="inlineStr">
        <is>
          <t>Canonical PDF/DOCX.</t>
        </is>
      </c>
    </row>
    <row r="76" ht="42" customHeight="1">
      <c r="A76" s="125" t="inlineStr">
        <is>
          <t>OFFER-13</t>
        </is>
      </c>
      <c r="B76" s="125" t="inlineStr">
        <is>
          <t>Main Equipment Technical Specifications</t>
        </is>
      </c>
      <c r="C76" s="125" t="n">
        <v>42</v>
      </c>
      <c r="D76" s="125" t="inlineStr">
        <is>
          <t>4.4</t>
        </is>
      </c>
      <c r="E76" s="125" t="inlineStr">
        <is>
          <t>RTM-237</t>
        </is>
      </c>
      <c r="F76" s="125" t="n">
        <v>60</v>
      </c>
      <c r="G76" s="125" t="inlineStr">
        <is>
          <t>4.4.5.1</t>
        </is>
      </c>
      <c r="H76" s="125" t="inlineStr">
        <is>
          <t>WSH Configuration</t>
        </is>
      </c>
      <c r="I76" s="125" t="inlineStr">
        <is>
          <t>The configuration WSH_FixedScope shall be extendable to WSH_FullScope by means of adding Helium gas storage vessels only.</t>
        </is>
      </c>
      <c r="J76" s="125" t="inlineStr">
        <is>
          <t>Broad/contextual — main component specification</t>
        </is>
      </c>
      <c r="K76" s="125" t="inlineStr">
        <is>
          <t>OFFER-13 asks key specifications, not clause-by-clause fulfilment of all subsystem RTMs.</t>
        </is>
      </c>
      <c r="L76" s="125" t="inlineStr">
        <is>
          <t>Selected top-level main-component sections under §4.4.</t>
        </is>
      </c>
      <c r="M76" s="6" t="inlineStr">
        <is>
          <t>Review breadth</t>
        </is>
      </c>
      <c r="N76" s="6" t="inlineStr">
        <is>
          <t>Canonical PDF/DOCX.</t>
        </is>
      </c>
    </row>
    <row r="77" ht="42" customHeight="1">
      <c r="A77" s="6" t="inlineStr">
        <is>
          <t>OFFER-13</t>
        </is>
      </c>
      <c r="B77" s="6" t="inlineStr">
        <is>
          <t>Main Equipment Technical Specifications</t>
        </is>
      </c>
      <c r="C77" s="6" t="n">
        <v>42</v>
      </c>
      <c r="D77" s="6" t="inlineStr">
        <is>
          <t>4.4</t>
        </is>
      </c>
      <c r="E77" s="6" t="inlineStr">
        <is>
          <t>RTM-238</t>
        </is>
      </c>
      <c r="F77" s="6" t="n">
        <v>60</v>
      </c>
      <c r="G77" s="6" t="inlineStr">
        <is>
          <t>4.4.5.1</t>
        </is>
      </c>
      <c r="H77" s="6" t="inlineStr">
        <is>
          <t>WSH Configuration</t>
        </is>
      </c>
      <c r="I77" s="6" t="inlineStr">
        <is>
          <t>If WSH_FixedScope is implemented, the Contractor shall:</t>
        </is>
      </c>
      <c r="J77" s="6" t="inlineStr">
        <is>
          <t>Broad/contextual — main component specification</t>
        </is>
      </c>
      <c r="K77" s="6" t="inlineStr">
        <is>
          <t>OFFER-13 asks key specifications, not clause-by-clause fulfilment of all subsystem RTMs.</t>
        </is>
      </c>
      <c r="L77" s="6" t="inlineStr">
        <is>
          <t>Selected top-level main-component sections under §4.4.</t>
        </is>
      </c>
      <c r="M77" s="6" t="inlineStr">
        <is>
          <t>Review breadth</t>
        </is>
      </c>
      <c r="N77" s="6" t="inlineStr">
        <is>
          <t>Canonical PDF/DOCX.</t>
        </is>
      </c>
    </row>
    <row r="78" ht="42" customHeight="1">
      <c r="A78" s="125" t="inlineStr">
        <is>
          <t>OFFER-13</t>
        </is>
      </c>
      <c r="B78" s="125" t="inlineStr">
        <is>
          <t>Main Equipment Technical Specifications</t>
        </is>
      </c>
      <c r="C78" s="125" t="n">
        <v>42</v>
      </c>
      <c r="D78" s="125" t="inlineStr">
        <is>
          <t>4.4</t>
        </is>
      </c>
      <c r="E78" s="125" t="inlineStr">
        <is>
          <t>RTM-239</t>
        </is>
      </c>
      <c r="F78" s="125" t="n">
        <v>61</v>
      </c>
      <c r="G78" s="125" t="inlineStr">
        <is>
          <t>4.4.5.2</t>
        </is>
      </c>
      <c r="H78" s="125" t="inlineStr">
        <is>
          <t>WSH Requirements</t>
        </is>
      </c>
      <c r="I78" s="125" t="inlineStr">
        <is>
          <t>The WSH shall fulfil, at minimum, the following functions:</t>
        </is>
      </c>
      <c r="J78" s="125" t="inlineStr">
        <is>
          <t>Broad/contextual — main component specification</t>
        </is>
      </c>
      <c r="K78" s="125" t="inlineStr">
        <is>
          <t>OFFER-13 asks key specifications, not clause-by-clause fulfilment of all subsystem RTMs.</t>
        </is>
      </c>
      <c r="L78" s="125" t="inlineStr">
        <is>
          <t>Selected top-level main-component sections under §4.4.</t>
        </is>
      </c>
      <c r="M78" s="6" t="inlineStr">
        <is>
          <t>Review breadth</t>
        </is>
      </c>
      <c r="N78" s="6" t="inlineStr">
        <is>
          <t>Canonical PDF/DOCX.</t>
        </is>
      </c>
    </row>
    <row r="79" ht="42" customHeight="1">
      <c r="A79" s="6" t="inlineStr">
        <is>
          <t>OFFER-13</t>
        </is>
      </c>
      <c r="B79" s="6" t="inlineStr">
        <is>
          <t>Main Equipment Technical Specifications</t>
        </is>
      </c>
      <c r="C79" s="6" t="n">
        <v>42</v>
      </c>
      <c r="D79" s="6" t="inlineStr">
        <is>
          <t>4.4</t>
        </is>
      </c>
      <c r="E79" s="6" t="inlineStr">
        <is>
          <t>RTM-240</t>
        </is>
      </c>
      <c r="F79" s="6" t="n">
        <v>61</v>
      </c>
      <c r="G79" s="6" t="inlineStr">
        <is>
          <t>4.4.5.2</t>
        </is>
      </c>
      <c r="H79" s="6" t="inlineStr">
        <is>
          <t>WSH Requirements</t>
        </is>
      </c>
      <c r="I79" s="6" t="inlineStr">
        <is>
          <t>The WSH shall include, at minimum:</t>
        </is>
      </c>
      <c r="J79" s="6" t="inlineStr">
        <is>
          <t>Broad/contextual — main component specification</t>
        </is>
      </c>
      <c r="K79" s="6" t="inlineStr">
        <is>
          <t>OFFER-13 asks key specifications, not clause-by-clause fulfilment of all subsystem RTMs.</t>
        </is>
      </c>
      <c r="L79" s="6" t="inlineStr">
        <is>
          <t>Selected top-level main-component sections under §4.4.</t>
        </is>
      </c>
      <c r="M79" s="6" t="inlineStr">
        <is>
          <t>Review breadth</t>
        </is>
      </c>
      <c r="N79" s="6" t="inlineStr">
        <is>
          <t>Canonical PDF/DOCX.</t>
        </is>
      </c>
    </row>
    <row r="80" ht="42" customHeight="1">
      <c r="A80" s="125" t="inlineStr">
        <is>
          <t>OFFER-13</t>
        </is>
      </c>
      <c r="B80" s="125" t="inlineStr">
        <is>
          <t>Main Equipment Technical Specifications</t>
        </is>
      </c>
      <c r="C80" s="125" t="n">
        <v>42</v>
      </c>
      <c r="D80" s="125" t="inlineStr">
        <is>
          <t>4.4</t>
        </is>
      </c>
      <c r="E80" s="125" t="inlineStr">
        <is>
          <t>RTM-241</t>
        </is>
      </c>
      <c r="F80" s="125" t="n">
        <v>61</v>
      </c>
      <c r="G80" s="125" t="inlineStr">
        <is>
          <t>4.4.5.2</t>
        </is>
      </c>
      <c r="H80" s="125" t="inlineStr">
        <is>
          <t>WSH Requirements</t>
        </is>
      </c>
      <c r="I80" s="125" t="inlineStr">
        <is>
          <t>The WSH shall be dimensioned to store the total helium inventory of the QPS and the QPS Users. This shall include at least the following Design Values:</t>
        </is>
      </c>
      <c r="J80" s="125" t="inlineStr">
        <is>
          <t>Broad/contextual — main component specification</t>
        </is>
      </c>
      <c r="K80" s="125" t="inlineStr">
        <is>
          <t>OFFER-13 asks key specifications, not clause-by-clause fulfilment of all subsystem RTMs.</t>
        </is>
      </c>
      <c r="L80" s="125" t="inlineStr">
        <is>
          <t>Selected top-level main-component sections under §4.4.</t>
        </is>
      </c>
      <c r="M80" s="6" t="inlineStr">
        <is>
          <t>Review breadth</t>
        </is>
      </c>
      <c r="N80" s="6" t="inlineStr">
        <is>
          <t>Canonical PDF/DOCX.</t>
        </is>
      </c>
    </row>
    <row r="81" ht="42" customHeight="1">
      <c r="A81" s="6" t="inlineStr">
        <is>
          <t>OFFER-13</t>
        </is>
      </c>
      <c r="B81" s="6" t="inlineStr">
        <is>
          <t>Main Equipment Technical Specifications</t>
        </is>
      </c>
      <c r="C81" s="6" t="n">
        <v>42</v>
      </c>
      <c r="D81" s="6" t="inlineStr">
        <is>
          <t>4.4</t>
        </is>
      </c>
      <c r="E81" s="6" t="inlineStr">
        <is>
          <t>RTM-242</t>
        </is>
      </c>
      <c r="F81" s="6" t="n">
        <v>61</v>
      </c>
      <c r="G81" s="6" t="inlineStr">
        <is>
          <t>4.4.5.2</t>
        </is>
      </c>
      <c r="H81" s="6" t="inlineStr">
        <is>
          <t>WSH Requirements</t>
        </is>
      </c>
      <c r="I81" s="6" t="inlineStr">
        <is>
          <t>The WSH shall consist of at least three (3) helium storage vessels.</t>
        </is>
      </c>
      <c r="J81" s="6" t="inlineStr">
        <is>
          <t>Broad/contextual — main component specification</t>
        </is>
      </c>
      <c r="K81" s="6" t="inlineStr">
        <is>
          <t>OFFER-13 asks key specifications, not clause-by-clause fulfilment of all subsystem RTMs.</t>
        </is>
      </c>
      <c r="L81" s="6" t="inlineStr">
        <is>
          <t>Selected top-level main-component sections under §4.4.</t>
        </is>
      </c>
      <c r="M81" s="6" t="inlineStr">
        <is>
          <t>Review breadth</t>
        </is>
      </c>
      <c r="N81" s="6" t="inlineStr">
        <is>
          <t>Canonical PDF/DOCX.</t>
        </is>
      </c>
    </row>
    <row r="82" ht="42" customHeight="1">
      <c r="A82" s="125" t="inlineStr">
        <is>
          <t>OFFER-13</t>
        </is>
      </c>
      <c r="B82" s="125" t="inlineStr">
        <is>
          <t>Main Equipment Technical Specifications</t>
        </is>
      </c>
      <c r="C82" s="125" t="n">
        <v>42</v>
      </c>
      <c r="D82" s="125" t="inlineStr">
        <is>
          <t>4.4</t>
        </is>
      </c>
      <c r="E82" s="125" t="inlineStr">
        <is>
          <t>RTM-243</t>
        </is>
      </c>
      <c r="F82" s="125" t="n">
        <v>61</v>
      </c>
      <c r="G82" s="125" t="inlineStr">
        <is>
          <t>4.4.5.2</t>
        </is>
      </c>
      <c r="H82" s="125" t="inlineStr">
        <is>
          <t>WSH Requirements</t>
        </is>
      </c>
      <c r="I82" s="125" t="inlineStr">
        <is>
          <t>Each Helium storage vessel shall:</t>
        </is>
      </c>
      <c r="J82" s="125" t="inlineStr">
        <is>
          <t>Broad/contextual — main component specification</t>
        </is>
      </c>
      <c r="K82" s="125" t="inlineStr">
        <is>
          <t>OFFER-13 asks key specifications, not clause-by-clause fulfilment of all subsystem RTMs.</t>
        </is>
      </c>
      <c r="L82" s="125" t="inlineStr">
        <is>
          <t>Selected top-level main-component sections under §4.4.</t>
        </is>
      </c>
      <c r="M82" s="6" t="inlineStr">
        <is>
          <t>Review breadth</t>
        </is>
      </c>
      <c r="N82" s="6" t="inlineStr">
        <is>
          <t>Canonical PDF/DOCX.</t>
        </is>
      </c>
    </row>
    <row r="83" ht="42" customHeight="1">
      <c r="A83" s="6" t="inlineStr">
        <is>
          <t>OFFER-13</t>
        </is>
      </c>
      <c r="B83" s="6" t="inlineStr">
        <is>
          <t>Main Equipment Technical Specifications</t>
        </is>
      </c>
      <c r="C83" s="6" t="n">
        <v>42</v>
      </c>
      <c r="D83" s="6" t="inlineStr">
        <is>
          <t>4.4</t>
        </is>
      </c>
      <c r="E83" s="6" t="inlineStr">
        <is>
          <t>RTM-244</t>
        </is>
      </c>
      <c r="F83" s="6" t="n">
        <v>61</v>
      </c>
      <c r="G83" s="6" t="inlineStr">
        <is>
          <t>4.4.5.2</t>
        </is>
      </c>
      <c r="H83" s="6" t="inlineStr">
        <is>
          <t>WSH Requirements</t>
        </is>
      </c>
      <c r="I83" s="6" t="inlineStr">
        <is>
          <t>Each Helium storage vessel shall be equipped with:</t>
        </is>
      </c>
      <c r="J83" s="6" t="inlineStr">
        <is>
          <t>Broad/contextual — main component specification</t>
        </is>
      </c>
      <c r="K83" s="6" t="inlineStr">
        <is>
          <t>OFFER-13 asks key specifications, not clause-by-clause fulfilment of all subsystem RTMs.</t>
        </is>
      </c>
      <c r="L83" s="6" t="inlineStr">
        <is>
          <t>Selected top-level main-component sections under §4.4.</t>
        </is>
      </c>
      <c r="M83" s="6" t="inlineStr">
        <is>
          <t>Review breadth</t>
        </is>
      </c>
      <c r="N83" s="6" t="inlineStr">
        <is>
          <t>Canonical PDF/DOCX.</t>
        </is>
      </c>
    </row>
    <row r="84" ht="42" customHeight="1">
      <c r="A84" s="125" t="inlineStr">
        <is>
          <t>OFFER-13</t>
        </is>
      </c>
      <c r="B84" s="125" t="inlineStr">
        <is>
          <t>Main Equipment Technical Specifications</t>
        </is>
      </c>
      <c r="C84" s="125" t="n">
        <v>42</v>
      </c>
      <c r="D84" s="125" t="inlineStr">
        <is>
          <t>4.4</t>
        </is>
      </c>
      <c r="E84" s="125" t="inlineStr">
        <is>
          <t>RTM-245</t>
        </is>
      </c>
      <c r="F84" s="125" t="n">
        <v>61</v>
      </c>
      <c r="G84" s="125" t="inlineStr">
        <is>
          <t>4.4.5.2</t>
        </is>
      </c>
      <c r="H84" s="125" t="inlineStr">
        <is>
          <t>WSH Requirements</t>
        </is>
      </c>
      <c r="I84" s="125" t="inlineStr">
        <is>
          <t>The WSH shall be equipped with:</t>
        </is>
      </c>
      <c r="J84" s="125" t="inlineStr">
        <is>
          <t>Broad/contextual — main component specification</t>
        </is>
      </c>
      <c r="K84" s="125" t="inlineStr">
        <is>
          <t>OFFER-13 asks key specifications, not clause-by-clause fulfilment of all subsystem RTMs.</t>
        </is>
      </c>
      <c r="L84" s="125" t="inlineStr">
        <is>
          <t>Selected top-level main-component sections under §4.4.</t>
        </is>
      </c>
      <c r="M84" s="6" t="inlineStr">
        <is>
          <t>Review breadth</t>
        </is>
      </c>
      <c r="N84" s="6" t="inlineStr">
        <is>
          <t>Canonical PDF/DOCX.</t>
        </is>
      </c>
    </row>
    <row r="85" ht="42" customHeight="1">
      <c r="A85" s="6" t="inlineStr">
        <is>
          <t>OFFER-13</t>
        </is>
      </c>
      <c r="B85" s="6" t="inlineStr">
        <is>
          <t>Main Equipment Technical Specifications</t>
        </is>
      </c>
      <c r="C85" s="6" t="n">
        <v>42</v>
      </c>
      <c r="D85" s="6" t="inlineStr">
        <is>
          <t>4.4</t>
        </is>
      </c>
      <c r="E85" s="6" t="inlineStr">
        <is>
          <t>RTM-246</t>
        </is>
      </c>
      <c r="F85" s="6" t="n">
        <v>61</v>
      </c>
      <c r="G85" s="6" t="inlineStr">
        <is>
          <t>4.4.5.2</t>
        </is>
      </c>
      <c r="H85" s="6" t="inlineStr">
        <is>
          <t>WSH Requirements</t>
        </is>
      </c>
      <c r="I85" s="6" t="inlineStr">
        <is>
          <t>The WSH design shall allow for controlled connection to the WCS lines. This shall include the capability for:</t>
        </is>
      </c>
      <c r="J85" s="6" t="inlineStr">
        <is>
          <t>Broad/contextual — main component specification</t>
        </is>
      </c>
      <c r="K85" s="6" t="inlineStr">
        <is>
          <t>OFFER-13 asks key specifications, not clause-by-clause fulfilment of all subsystem RTMs.</t>
        </is>
      </c>
      <c r="L85" s="6" t="inlineStr">
        <is>
          <t>Selected top-level main-component sections under §4.4.</t>
        </is>
      </c>
      <c r="M85" s="6" t="inlineStr">
        <is>
          <t>Review breadth</t>
        </is>
      </c>
      <c r="N85" s="6" t="inlineStr">
        <is>
          <t>Canonical PDF/DOCX.</t>
        </is>
      </c>
    </row>
    <row r="86" ht="42" customHeight="1">
      <c r="A86" s="125" t="inlineStr">
        <is>
          <t>OFFER-13</t>
        </is>
      </c>
      <c r="B86" s="125" t="inlineStr">
        <is>
          <t>Main Equipment Technical Specifications</t>
        </is>
      </c>
      <c r="C86" s="125" t="n">
        <v>42</v>
      </c>
      <c r="D86" s="125" t="inlineStr">
        <is>
          <t>4.4</t>
        </is>
      </c>
      <c r="E86" s="125" t="inlineStr">
        <is>
          <t>RTM-247</t>
        </is>
      </c>
      <c r="F86" s="125" t="n">
        <v>61</v>
      </c>
      <c r="G86" s="125" t="inlineStr">
        <is>
          <t>4.4.5.2</t>
        </is>
      </c>
      <c r="H86" s="125" t="inlineStr">
        <is>
          <t>WSH Requirements</t>
        </is>
      </c>
      <c r="I86" s="125" t="inlineStr">
        <is>
          <t>The WSH shall include a gas-management warm panel.</t>
        </is>
      </c>
      <c r="J86" s="125" t="inlineStr">
        <is>
          <t>Broad/contextual — main component specification</t>
        </is>
      </c>
      <c r="K86" s="125" t="inlineStr">
        <is>
          <t>OFFER-13 asks key specifications, not clause-by-clause fulfilment of all subsystem RTMs.</t>
        </is>
      </c>
      <c r="L86" s="125" t="inlineStr">
        <is>
          <t>Selected top-level main-component sections under §4.4.</t>
        </is>
      </c>
      <c r="M86" s="6" t="inlineStr">
        <is>
          <t>Review breadth</t>
        </is>
      </c>
      <c r="N86" s="6" t="inlineStr">
        <is>
          <t>Canonical PDF/DOCX.</t>
        </is>
      </c>
    </row>
    <row r="87" ht="42" customHeight="1">
      <c r="A87" s="6" t="inlineStr">
        <is>
          <t>OFFER-13</t>
        </is>
      </c>
      <c r="B87" s="6" t="inlineStr">
        <is>
          <t>Main Equipment Technical Specifications</t>
        </is>
      </c>
      <c r="C87" s="6" t="n">
        <v>42</v>
      </c>
      <c r="D87" s="6" t="inlineStr">
        <is>
          <t>4.4</t>
        </is>
      </c>
      <c r="E87" s="6" t="inlineStr">
        <is>
          <t>RTM-248</t>
        </is>
      </c>
      <c r="F87" s="6" t="n">
        <v>62</v>
      </c>
      <c r="G87" s="6" t="inlineStr">
        <is>
          <t>4.4.5.2</t>
        </is>
      </c>
      <c r="H87" s="6" t="inlineStr">
        <is>
          <t>WSH Requirements</t>
        </is>
      </c>
      <c r="I87" s="6" t="inlineStr">
        <is>
          <t>The Contractor shall propose the final layout, volume, and positioning of the WSH during the Conceptual Design phase.</t>
        </is>
      </c>
      <c r="J87" s="6" t="inlineStr">
        <is>
          <t>Broad/contextual — main component specification</t>
        </is>
      </c>
      <c r="K87" s="6" t="inlineStr">
        <is>
          <t>OFFER-13 asks key specifications, not clause-by-clause fulfilment of all subsystem RTMs.</t>
        </is>
      </c>
      <c r="L87" s="6" t="inlineStr">
        <is>
          <t>Selected top-level main-component sections under §4.4.</t>
        </is>
      </c>
      <c r="M87" s="6" t="inlineStr">
        <is>
          <t>Review breadth</t>
        </is>
      </c>
      <c r="N87" s="6" t="inlineStr">
        <is>
          <t>Canonical PDF/DOCX.</t>
        </is>
      </c>
    </row>
    <row r="88" ht="42" customHeight="1">
      <c r="A88" s="125" t="inlineStr">
        <is>
          <t>OFFER-13</t>
        </is>
      </c>
      <c r="B88" s="125" t="inlineStr">
        <is>
          <t>Main Equipment Technical Specifications</t>
        </is>
      </c>
      <c r="C88" s="125" t="n">
        <v>42</v>
      </c>
      <c r="D88" s="125" t="inlineStr">
        <is>
          <t>4.4</t>
        </is>
      </c>
      <c r="E88" s="125" t="inlineStr">
        <is>
          <t>RTM-249</t>
        </is>
      </c>
      <c r="F88" s="125" t="n">
        <v>62</v>
      </c>
      <c r="G88" s="125" t="inlineStr">
        <is>
          <t>4.4.6</t>
        </is>
      </c>
      <c r="H88" s="125" t="inlineStr">
        <is>
          <t>Liquid Nitrogen Storage (QSN)</t>
        </is>
      </c>
      <c r="I88" s="125" t="inlineStr">
        <is>
          <t>If LN2 Precooling is implemented (§4.2.5), the Contractor shall supply the Liquid Nitrogen Storage (QSN).</t>
        </is>
      </c>
      <c r="J88" s="125" t="inlineStr">
        <is>
          <t>Broad/contextual — main component specification</t>
        </is>
      </c>
      <c r="K88" s="125" t="inlineStr">
        <is>
          <t>OFFER-13 asks key specifications, not clause-by-clause fulfilment of all subsystem RTMs.</t>
        </is>
      </c>
      <c r="L88" s="125" t="inlineStr">
        <is>
          <t>Selected top-level main-component sections under §4.4.</t>
        </is>
      </c>
      <c r="M88" s="6" t="inlineStr">
        <is>
          <t>Review breadth</t>
        </is>
      </c>
      <c r="N88" s="6" t="inlineStr">
        <is>
          <t>Canonical PDF/DOCX.</t>
        </is>
      </c>
    </row>
    <row r="89" ht="42" customHeight="1">
      <c r="A89" s="6" t="inlineStr">
        <is>
          <t>OFFER-13</t>
        </is>
      </c>
      <c r="B89" s="6" t="inlineStr">
        <is>
          <t>Main Equipment Technical Specifications</t>
        </is>
      </c>
      <c r="C89" s="6" t="n">
        <v>42</v>
      </c>
      <c r="D89" s="6" t="inlineStr">
        <is>
          <t>4.4</t>
        </is>
      </c>
      <c r="E89" s="6" t="inlineStr">
        <is>
          <t>RTM-250</t>
        </is>
      </c>
      <c r="F89" s="6" t="n">
        <v>62</v>
      </c>
      <c r="G89" s="6" t="inlineStr">
        <is>
          <t>4.4.6</t>
        </is>
      </c>
      <c r="H89" s="6" t="inlineStr">
        <is>
          <t>Liquid Nitrogen Storage (QSN)</t>
        </is>
      </c>
      <c r="I89" s="6" t="inlineStr">
        <is>
          <t>The Contractor shall size the QSN.</t>
        </is>
      </c>
      <c r="J89" s="6" t="inlineStr">
        <is>
          <t>Broad/contextual — main component specification</t>
        </is>
      </c>
      <c r="K89" s="6" t="inlineStr">
        <is>
          <t>OFFER-13 asks key specifications, not clause-by-clause fulfilment of all subsystem RTMs.</t>
        </is>
      </c>
      <c r="L89" s="6" t="inlineStr">
        <is>
          <t>Selected top-level main-component sections under §4.4.</t>
        </is>
      </c>
      <c r="M89" s="6" t="inlineStr">
        <is>
          <t>Review breadth</t>
        </is>
      </c>
      <c r="N89" s="6" t="inlineStr">
        <is>
          <t>Canonical PDF/DOCX.</t>
        </is>
      </c>
    </row>
    <row r="90" ht="42" customHeight="1">
      <c r="A90" s="125" t="inlineStr">
        <is>
          <t>OFFER-13</t>
        </is>
      </c>
      <c r="B90" s="125" t="inlineStr">
        <is>
          <t>Main Equipment Technical Specifications</t>
        </is>
      </c>
      <c r="C90" s="125" t="n">
        <v>42</v>
      </c>
      <c r="D90" s="125" t="inlineStr">
        <is>
          <t>4.4</t>
        </is>
      </c>
      <c r="E90" s="125" t="inlineStr">
        <is>
          <t>RTM-251</t>
        </is>
      </c>
      <c r="F90" s="125" t="n">
        <v>62</v>
      </c>
      <c r="G90" s="125" t="inlineStr">
        <is>
          <t>4.4.6</t>
        </is>
      </c>
      <c r="H90" s="125" t="inlineStr">
        <is>
          <t>Liquid Nitrogen Storage (QSN)</t>
        </is>
      </c>
      <c r="I90" s="125" t="inlineStr">
        <is>
          <t>The QSN shall include, at minimum:</t>
        </is>
      </c>
      <c r="J90" s="125" t="inlineStr">
        <is>
          <t>Broad/contextual — main component specification</t>
        </is>
      </c>
      <c r="K90" s="125" t="inlineStr">
        <is>
          <t>OFFER-13 asks key specifications, not clause-by-clause fulfilment of all subsystem RTMs.</t>
        </is>
      </c>
      <c r="L90" s="125" t="inlineStr">
        <is>
          <t>Selected top-level main-component sections under §4.4.</t>
        </is>
      </c>
      <c r="M90" s="6" t="inlineStr">
        <is>
          <t>Review breadth</t>
        </is>
      </c>
      <c r="N90" s="6" t="inlineStr">
        <is>
          <t>Canonical PDF/DOCX.</t>
        </is>
      </c>
    </row>
    <row r="91" ht="42" customHeight="1">
      <c r="A91" s="6" t="inlineStr">
        <is>
          <t>OFFER-13</t>
        </is>
      </c>
      <c r="B91" s="6" t="inlineStr">
        <is>
          <t>Main Equipment Technical Specifications</t>
        </is>
      </c>
      <c r="C91" s="6" t="n">
        <v>42</v>
      </c>
      <c r="D91" s="6" t="inlineStr">
        <is>
          <t>4.4</t>
        </is>
      </c>
      <c r="E91" s="6" t="inlineStr">
        <is>
          <t>RTM-252</t>
        </is>
      </c>
      <c r="F91" s="6" t="n">
        <v>62</v>
      </c>
      <c r="G91" s="6" t="inlineStr">
        <is>
          <t>4.4.7</t>
        </is>
      </c>
      <c r="H91" s="6" t="inlineStr">
        <is>
          <t>Helium Inventory Management</t>
        </is>
      </c>
      <c r="I91" s="6" t="inlineStr">
        <is>
          <t>The QPS shall minimize helium loss under all operating conditions, including failure modes.</t>
        </is>
      </c>
      <c r="J91" s="6" t="inlineStr">
        <is>
          <t>Broad/contextual — main component specification</t>
        </is>
      </c>
      <c r="K91" s="6" t="inlineStr">
        <is>
          <t>OFFER-13 asks key specifications, not clause-by-clause fulfilment of all subsystem RTMs.</t>
        </is>
      </c>
      <c r="L91" s="6" t="inlineStr">
        <is>
          <t>Selected top-level main-component sections under §4.4.</t>
        </is>
      </c>
      <c r="M91" s="6" t="inlineStr">
        <is>
          <t>Review breadth</t>
        </is>
      </c>
      <c r="N91" s="6" t="inlineStr">
        <is>
          <t>Canonical PDF/DOCX.</t>
        </is>
      </c>
    </row>
    <row r="92" ht="42" customHeight="1">
      <c r="A92" s="125" t="inlineStr">
        <is>
          <t>OFFER-13</t>
        </is>
      </c>
      <c r="B92" s="125" t="inlineStr">
        <is>
          <t>Main Equipment Technical Specifications</t>
        </is>
      </c>
      <c r="C92" s="125" t="n">
        <v>42</v>
      </c>
      <c r="D92" s="125" t="inlineStr">
        <is>
          <t>4.4</t>
        </is>
      </c>
      <c r="E92" s="125" t="inlineStr">
        <is>
          <t>RTM-253</t>
        </is>
      </c>
      <c r="F92" s="125" t="n">
        <v>62</v>
      </c>
      <c r="G92" s="125" t="inlineStr">
        <is>
          <t>4.4.7</t>
        </is>
      </c>
      <c r="H92" s="125" t="inlineStr">
        <is>
          <t>Helium Inventory Management</t>
        </is>
      </c>
      <c r="I92" s="125" t="inlineStr">
        <is>
          <t>In normal operation, the QPS shall lose no more than 1 Nm³ of helium per day.</t>
        </is>
      </c>
      <c r="J92" s="125" t="inlineStr">
        <is>
          <t>Broad/contextual — main component specification</t>
        </is>
      </c>
      <c r="K92" s="125" t="inlineStr">
        <is>
          <t>OFFER-13 asks key specifications, not clause-by-clause fulfilment of all subsystem RTMs.</t>
        </is>
      </c>
      <c r="L92" s="125" t="inlineStr">
        <is>
          <t>Selected top-level main-component sections under §4.4.</t>
        </is>
      </c>
      <c r="M92" s="6" t="inlineStr">
        <is>
          <t>Review breadth</t>
        </is>
      </c>
      <c r="N92" s="6" t="inlineStr">
        <is>
          <t>Canonical PDF/DOCX.</t>
        </is>
      </c>
    </row>
    <row r="93" ht="42" customHeight="1">
      <c r="A93" s="6" t="inlineStr">
        <is>
          <t>OFFER-13</t>
        </is>
      </c>
      <c r="B93" s="6" t="inlineStr">
        <is>
          <t>Main Equipment Technical Specifications</t>
        </is>
      </c>
      <c r="C93" s="6" t="n">
        <v>42</v>
      </c>
      <c r="D93" s="6" t="inlineStr">
        <is>
          <t>4.4</t>
        </is>
      </c>
      <c r="E93" s="6" t="inlineStr">
        <is>
          <t>RTM-254</t>
        </is>
      </c>
      <c r="F93" s="6" t="n">
        <v>62</v>
      </c>
      <c r="G93" s="6" t="inlineStr">
        <is>
          <t>4.4.7</t>
        </is>
      </c>
      <c r="H93" s="6" t="inlineStr">
        <is>
          <t>Helium Inventory Management</t>
        </is>
      </c>
      <c r="I93" s="6" t="inlineStr">
        <is>
          <t>The Contractor shall implement a helium leak-detection and monitoring system in accordance with EN 13185:2001, Clause 6.2, or an equivalent methodology.</t>
        </is>
      </c>
      <c r="J93" s="6" t="inlineStr">
        <is>
          <t>Broad/contextual — main component specification</t>
        </is>
      </c>
      <c r="K93" s="6" t="inlineStr">
        <is>
          <t>OFFER-13 asks key specifications, not clause-by-clause fulfilment of all subsystem RTMs.</t>
        </is>
      </c>
      <c r="L93" s="6" t="inlineStr">
        <is>
          <t>Selected top-level main-component sections under §4.4.</t>
        </is>
      </c>
      <c r="M93" s="6" t="inlineStr">
        <is>
          <t>Review breadth</t>
        </is>
      </c>
      <c r="N93" s="6" t="inlineStr">
        <is>
          <t>Canonical PDF/DOCX.</t>
        </is>
      </c>
    </row>
    <row r="94" ht="42" customHeight="1">
      <c r="A94" s="125" t="inlineStr">
        <is>
          <t>OFFER-13</t>
        </is>
      </c>
      <c r="B94" s="125" t="inlineStr">
        <is>
          <t>Main Equipment Technical Specifications</t>
        </is>
      </c>
      <c r="C94" s="125" t="n">
        <v>42</v>
      </c>
      <c r="D94" s="125" t="inlineStr">
        <is>
          <t>4.4</t>
        </is>
      </c>
      <c r="E94" s="125" t="inlineStr">
        <is>
          <t>RTM-255</t>
        </is>
      </c>
      <c r="F94" s="125" t="n">
        <v>62</v>
      </c>
      <c r="G94" s="125" t="inlineStr">
        <is>
          <t>4.4.7</t>
        </is>
      </c>
      <c r="H94" s="125" t="inlineStr">
        <is>
          <t>Helium Inventory Management</t>
        </is>
      </c>
      <c r="I94" s="125" t="inlineStr">
        <is>
          <t>The Contractor shall qualify the QPS for leak-tightness under operational and standby conditions.</t>
        </is>
      </c>
      <c r="J94" s="125" t="inlineStr">
        <is>
          <t>Broad/contextual — main component specification</t>
        </is>
      </c>
      <c r="K94" s="125" t="inlineStr">
        <is>
          <t>OFFER-13 asks key specifications, not clause-by-clause fulfilment of all subsystem RTMs.</t>
        </is>
      </c>
      <c r="L94" s="125" t="inlineStr">
        <is>
          <t>Selected top-level main-component sections under §4.4.</t>
        </is>
      </c>
      <c r="M94" s="6" t="inlineStr">
        <is>
          <t>Review breadth</t>
        </is>
      </c>
      <c r="N94" s="6" t="inlineStr">
        <is>
          <t>Canonical PDF/DOCX.</t>
        </is>
      </c>
    </row>
    <row r="95" ht="42" customHeight="1">
      <c r="A95" s="6" t="inlineStr">
        <is>
          <t>OFFER-13</t>
        </is>
      </c>
      <c r="B95" s="6" t="inlineStr">
        <is>
          <t>Main Equipment Technical Specifications</t>
        </is>
      </c>
      <c r="C95" s="6" t="n">
        <v>42</v>
      </c>
      <c r="D95" s="6" t="inlineStr">
        <is>
          <t>4.4</t>
        </is>
      </c>
      <c r="E95" s="6" t="inlineStr">
        <is>
          <t>RTM-256</t>
        </is>
      </c>
      <c r="F95" s="6" t="n">
        <v>62</v>
      </c>
      <c r="G95" s="6" t="inlineStr">
        <is>
          <t>4.4.7</t>
        </is>
      </c>
      <c r="H95" s="6" t="inlineStr">
        <is>
          <t>Helium Inventory Management</t>
        </is>
      </c>
      <c r="I95" s="6" t="inlineStr">
        <is>
          <t>The QPLANT shall be dimensioned on the basis of the helium inventory required by the Cryogenic Users, as specified in</t>
        </is>
      </c>
      <c r="J95" s="6" t="inlineStr">
        <is>
          <t>Broad/contextual — main component specification</t>
        </is>
      </c>
      <c r="K95" s="6" t="inlineStr">
        <is>
          <t>OFFER-13 asks key specifications, not clause-by-clause fulfilment of all subsystem RTMs.</t>
        </is>
      </c>
      <c r="L95" s="6" t="inlineStr">
        <is>
          <t>Selected top-level main-component sections under §4.4.</t>
        </is>
      </c>
      <c r="M95" s="6" t="inlineStr">
        <is>
          <t>Review breadth</t>
        </is>
      </c>
      <c r="N95" s="6" t="inlineStr">
        <is>
          <t>Canonical PDF/DOCX.</t>
        </is>
      </c>
    </row>
    <row r="96" ht="42" customHeight="1">
      <c r="A96" s="125" t="inlineStr">
        <is>
          <t>OFFER-13</t>
        </is>
      </c>
      <c r="B96" s="125" t="inlineStr">
        <is>
          <t>Main Equipment Technical Specifications</t>
        </is>
      </c>
      <c r="C96" s="125" t="n">
        <v>42</v>
      </c>
      <c r="D96" s="125" t="inlineStr">
        <is>
          <t>4.4</t>
        </is>
      </c>
      <c r="E96" s="125" t="inlineStr">
        <is>
          <t>RTM-257</t>
        </is>
      </c>
      <c r="F96" s="125" t="n">
        <v>62</v>
      </c>
      <c r="G96" s="125" t="inlineStr">
        <is>
          <t>4.4.7</t>
        </is>
      </c>
      <c r="H96" s="125" t="inlineStr">
        <is>
          <t>Helium Inventory Management</t>
        </is>
      </c>
      <c r="I96" s="125" t="inlineStr">
        <is>
          <t>Table 17.</t>
        </is>
      </c>
      <c r="J96" s="125" t="inlineStr">
        <is>
          <t>Broad/contextual — main component specification</t>
        </is>
      </c>
      <c r="K96" s="125" t="inlineStr">
        <is>
          <t>OFFER-13 asks key specifications, not clause-by-clause fulfilment of all subsystem RTMs.</t>
        </is>
      </c>
      <c r="L96" s="125" t="inlineStr">
        <is>
          <t>Selected top-level main-component sections under §4.4.</t>
        </is>
      </c>
      <c r="M96" s="6" t="inlineStr">
        <is>
          <t>Review breadth</t>
        </is>
      </c>
      <c r="N96" s="6" t="inlineStr">
        <is>
          <t>Canonical PDF/DOCX.</t>
        </is>
      </c>
    </row>
    <row r="97" ht="42" customHeight="1">
      <c r="A97" s="6" t="inlineStr">
        <is>
          <t>OFFER-13</t>
        </is>
      </c>
      <c r="B97" s="6" t="inlineStr">
        <is>
          <t>Main Equipment Technical Specifications</t>
        </is>
      </c>
      <c r="C97" s="6" t="n">
        <v>42</v>
      </c>
      <c r="D97" s="6" t="inlineStr">
        <is>
          <t>4.4</t>
        </is>
      </c>
      <c r="E97" s="6" t="inlineStr">
        <is>
          <t>RTM-263</t>
        </is>
      </c>
      <c r="F97" s="6" t="n">
        <v>64</v>
      </c>
      <c r="G97" s="6" t="inlineStr">
        <is>
          <t>4.4.8</t>
        </is>
      </c>
      <c r="H97" s="6" t="inlineStr">
        <is>
          <t>External Helium Withdrawal and Recovery</t>
        </is>
      </c>
      <c r="I97" s="6" t="inlineStr">
        <is>
          <t>The QPS design shall include a Dewar Filling Station that allows External Dewar Users to (sporadically) withdraw LHe via dewars and to return GHe via a dedicated warm return line. To this end, the QPS shall include</t>
        </is>
      </c>
      <c r="J97" s="6" t="inlineStr">
        <is>
          <t>Broad/contextual — main component specification</t>
        </is>
      </c>
      <c r="K97" s="6" t="inlineStr">
        <is>
          <t>OFFER-13 asks key specifications, not clause-by-clause fulfilment of all subsystem RTMs.</t>
        </is>
      </c>
      <c r="L97" s="6" t="inlineStr">
        <is>
          <t>Selected top-level main-component sections under §4.4.</t>
        </is>
      </c>
      <c r="M97" s="6" t="inlineStr">
        <is>
          <t>Review breadth</t>
        </is>
      </c>
      <c r="N97" s="6" t="inlineStr">
        <is>
          <t>Canonical PDF/DOCX.</t>
        </is>
      </c>
    </row>
    <row r="98" ht="42" customHeight="1">
      <c r="A98" s="125" t="inlineStr">
        <is>
          <t>OFFER-13</t>
        </is>
      </c>
      <c r="B98" s="125" t="inlineStr">
        <is>
          <t>Main Equipment Technical Specifications</t>
        </is>
      </c>
      <c r="C98" s="125" t="n">
        <v>42</v>
      </c>
      <c r="D98" s="125" t="inlineStr">
        <is>
          <t>4.4</t>
        </is>
      </c>
      <c r="E98" s="125" t="inlineStr">
        <is>
          <t>RTM-264</t>
        </is>
      </c>
      <c r="F98" s="125" t="n">
        <v>64</v>
      </c>
      <c r="G98" s="125" t="inlineStr">
        <is>
          <t>4.4.8</t>
        </is>
      </c>
      <c r="H98" s="125" t="inlineStr">
        <is>
          <t>External Helium Withdrawal and Recovery</t>
        </is>
      </c>
      <c r="I98" s="125" t="inlineStr">
        <is>
          <t>The QPS shall serve the External Dewar Users using the installed cooling capacity as specified in §4.2.4.</t>
        </is>
      </c>
      <c r="J98" s="125" t="inlineStr">
        <is>
          <t>Broad/contextual — main component specification</t>
        </is>
      </c>
      <c r="K98" s="125" t="inlineStr">
        <is>
          <t>OFFER-13 asks key specifications, not clause-by-clause fulfilment of all subsystem RTMs.</t>
        </is>
      </c>
      <c r="L98" s="125" t="inlineStr">
        <is>
          <t>Selected top-level main-component sections under §4.4.</t>
        </is>
      </c>
      <c r="M98" s="6" t="inlineStr">
        <is>
          <t>Review breadth</t>
        </is>
      </c>
      <c r="N98" s="6" t="inlineStr">
        <is>
          <t>Canonical PDF/DOCX.</t>
        </is>
      </c>
    </row>
    <row r="99" ht="42" customHeight="1">
      <c r="A99" s="6" t="inlineStr">
        <is>
          <t>OFFER-13</t>
        </is>
      </c>
      <c r="B99" s="6" t="inlineStr">
        <is>
          <t>Main Equipment Technical Specifications</t>
        </is>
      </c>
      <c r="C99" s="6" t="n">
        <v>42</v>
      </c>
      <c r="D99" s="6" t="inlineStr">
        <is>
          <t>4.4</t>
        </is>
      </c>
      <c r="E99" s="6" t="inlineStr">
        <is>
          <t>RTM-265</t>
        </is>
      </c>
      <c r="F99" s="6" t="n">
        <v>64</v>
      </c>
      <c r="G99" s="6" t="inlineStr">
        <is>
          <t>4.4.8</t>
        </is>
      </c>
      <c r="H99" s="6" t="inlineStr">
        <is>
          <t>External Helium Withdrawal and Recovery</t>
        </is>
      </c>
      <c r="I99" s="6" t="inlineStr">
        <is>
          <t>The QPS shall include all necessary equipment to protect its integrity, operational stability, and helium purity against disturbances originating from External LHe User systems.</t>
        </is>
      </c>
      <c r="J99" s="6" t="inlineStr">
        <is>
          <t>Broad/contextual — main component specification</t>
        </is>
      </c>
      <c r="K99" s="6" t="inlineStr">
        <is>
          <t>OFFER-13 asks key specifications, not clause-by-clause fulfilment of all subsystem RTMs.</t>
        </is>
      </c>
      <c r="L99" s="6" t="inlineStr">
        <is>
          <t>Selected top-level main-component sections under §4.4.</t>
        </is>
      </c>
      <c r="M99" s="6" t="inlineStr">
        <is>
          <t>Review breadth</t>
        </is>
      </c>
      <c r="N99" s="6" t="inlineStr">
        <is>
          <t>Canonical PDF/DOCX.</t>
        </is>
      </c>
    </row>
    <row r="100" ht="42" customHeight="1">
      <c r="A100" s="125" t="inlineStr">
        <is>
          <t>OFFER-13</t>
        </is>
      </c>
      <c r="B100" s="125" t="inlineStr">
        <is>
          <t>Main Equipment Technical Specifications</t>
        </is>
      </c>
      <c r="C100" s="125" t="n">
        <v>42</v>
      </c>
      <c r="D100" s="125" t="inlineStr">
        <is>
          <t>4.4</t>
        </is>
      </c>
      <c r="E100" s="125" t="inlineStr">
        <is>
          <t>RTM-266</t>
        </is>
      </c>
      <c r="F100" s="125" t="n">
        <v>64</v>
      </c>
      <c r="G100" s="125" t="inlineStr">
        <is>
          <t>4.4.8</t>
        </is>
      </c>
      <c r="H100" s="125" t="inlineStr">
        <is>
          <t>External Helium Withdrawal and Recovery</t>
        </is>
      </c>
      <c r="I100" s="125" t="inlineStr">
        <is>
          <t>The Dewar Filling Station and the interface to line G20 shall be located within the Coldbox Room.</t>
        </is>
      </c>
      <c r="J100" s="125" t="inlineStr">
        <is>
          <t>Broad/contextual — main component specification</t>
        </is>
      </c>
      <c r="K100" s="125" t="inlineStr">
        <is>
          <t>OFFER-13 asks key specifications, not clause-by-clause fulfilment of all subsystem RTMs.</t>
        </is>
      </c>
      <c r="L100" s="125" t="inlineStr">
        <is>
          <t>Selected top-level main-component sections under §4.4.</t>
        </is>
      </c>
      <c r="M100" s="6" t="inlineStr">
        <is>
          <t>Review breadth</t>
        </is>
      </c>
      <c r="N100" s="6" t="inlineStr">
        <is>
          <t>Canonical PDF/DOCX.</t>
        </is>
      </c>
    </row>
    <row r="101" ht="42" customHeight="1">
      <c r="A101" s="6" t="inlineStr">
        <is>
          <t>OFFER-13</t>
        </is>
      </c>
      <c r="B101" s="6" t="inlineStr">
        <is>
          <t>Main Equipment Technical Specifications</t>
        </is>
      </c>
      <c r="C101" s="6" t="n">
        <v>42</v>
      </c>
      <c r="D101" s="6" t="inlineStr">
        <is>
          <t>4.4</t>
        </is>
      </c>
      <c r="E101" s="6" t="inlineStr">
        <is>
          <t>RTM-267</t>
        </is>
      </c>
      <c r="F101" s="6" t="n">
        <v>64</v>
      </c>
      <c r="G101" s="6" t="inlineStr">
        <is>
          <t>4.4.8</t>
        </is>
      </c>
      <c r="H101" s="6" t="inlineStr">
        <is>
          <t>External Helium Withdrawal and Recovery</t>
        </is>
      </c>
      <c r="I101" s="6" t="inlineStr">
        <is>
          <t>The Contractor shall substantiate the design of the Dewar Filling Station in the Engineering File. At minimum, the substantiation shall include:</t>
        </is>
      </c>
      <c r="J101" s="6" t="inlineStr">
        <is>
          <t>Broad/contextual — main component specification</t>
        </is>
      </c>
      <c r="K101" s="6" t="inlineStr">
        <is>
          <t>OFFER-13 asks key specifications, not clause-by-clause fulfilment of all subsystem RTMs.</t>
        </is>
      </c>
      <c r="L101" s="6" t="inlineStr">
        <is>
          <t>Selected top-level main-component sections under §4.4.</t>
        </is>
      </c>
      <c r="M101" s="6" t="inlineStr">
        <is>
          <t>Review breadth</t>
        </is>
      </c>
      <c r="N101" s="6" t="inlineStr">
        <is>
          <t>Canonical PDF/DOCX.</t>
        </is>
      </c>
    </row>
    <row r="102" ht="71" customHeight="1">
      <c r="A102" s="125" t="inlineStr">
        <is>
          <t>OFFER-14</t>
        </is>
      </c>
      <c r="B102" s="125" t="inlineStr">
        <is>
          <t>Expansion Joint Design &amp; Risk Justification</t>
        </is>
      </c>
      <c r="C102" s="125" t="n">
        <v>42</v>
      </c>
      <c r="D102" s="125" t="inlineStr">
        <is>
          <t>4.4.1.1</t>
        </is>
      </c>
      <c r="E102" s="125" t="inlineStr">
        <is>
          <t>RTM-079</t>
        </is>
      </c>
      <c r="F102" s="125" t="n">
        <v>42</v>
      </c>
      <c r="G102" s="125" t="inlineStr">
        <is>
          <t>4.4.1.1</t>
        </is>
      </c>
      <c r="H102" s="125" t="inlineStr">
        <is>
          <t>Bellows, joints, and seals</t>
        </is>
      </c>
      <c r="I102" s="125" t="inlineStr">
        <is>
          <t>The Contractor shall request approval from SCK CEN for the use of any mechanical Part, intended for thermal compensation at cryogenic temperatures, that forms part of the cryogenic process piping.</t>
        </is>
      </c>
      <c r="J102" s="125" t="inlineStr">
        <is>
          <t>Direct — exact contract section</t>
        </is>
      </c>
      <c r="K102" s="125" t="inlineStr">
        <is>
          <t>Partial evidence: OFFER response supports evaluation; it does not replace full RTM compliance.</t>
        </is>
      </c>
      <c r="L102" s="126" t="inlineStr">
        <is>
          <t>RTM-079 (Bellows, joints, and seals) and OFFER-14 (Configuration / Layout / Support) are linked only because both sit in §4.4.1.1 — a direct (shared-section) link, not a dedicated cross-reference to this specific clause.</t>
        </is>
      </c>
      <c r="M102" s="6" t="inlineStr">
        <is>
          <t>OK</t>
        </is>
      </c>
      <c r="N102" s="6" t="inlineStr">
        <is>
          <t>Canonical PDF/DOCX.</t>
        </is>
      </c>
    </row>
    <row r="103" ht="71" customHeight="1">
      <c r="A103" s="6" t="inlineStr">
        <is>
          <t>OFFER-15</t>
        </is>
      </c>
      <c r="B103" s="6" t="inlineStr">
        <is>
          <t>Compressor Noise Emission Specification</t>
        </is>
      </c>
      <c r="C103" s="6" t="n">
        <v>49</v>
      </c>
      <c r="D103" s="6" t="inlineStr">
        <is>
          <t>4.4.3.1</t>
        </is>
      </c>
      <c r="E103" s="6" t="inlineStr">
        <is>
          <t>RTM-141</t>
        </is>
      </c>
      <c r="F103" s="6" t="n">
        <v>49</v>
      </c>
      <c r="G103" s="6" t="inlineStr">
        <is>
          <t>4.4.3.1</t>
        </is>
      </c>
      <c r="H103" s="6" t="inlineStr">
        <is>
          <t>General Requirements</t>
        </is>
      </c>
      <c r="I103" s="6" t="inlineStr">
        <is>
          <t>The Warm Compressor Station (WCS) shall provide helium compression across at least three pressure levels: VLP, LP and HP.</t>
        </is>
      </c>
      <c r="J103" s="6" t="inlineStr">
        <is>
          <t>Direct — exact contract section</t>
        </is>
      </c>
      <c r="K103" s="6" t="inlineStr">
        <is>
          <t>Partial evidence: OFFER response supports evaluation; it does not replace full RTM compliance.</t>
        </is>
      </c>
      <c r="L103" s="83" t="inlineStr">
        <is>
          <t>RTM-141 (General Requirements) and OFFER-15 (Configuration / Layout / Support) are linked only because both sit in §4.4.3.1 — a direct (shared-section) link, not a dedicated cross-reference to this specific clause.</t>
        </is>
      </c>
      <c r="M103" s="6" t="inlineStr">
        <is>
          <t>OK</t>
        </is>
      </c>
      <c r="N103" s="6" t="inlineStr">
        <is>
          <t>Canonical PDF/DOCX.</t>
        </is>
      </c>
    </row>
    <row r="104" ht="71" customHeight="1">
      <c r="A104" s="125" t="inlineStr">
        <is>
          <t>OFFER-15</t>
        </is>
      </c>
      <c r="B104" s="125" t="inlineStr">
        <is>
          <t>Compressor Noise Emission Specification</t>
        </is>
      </c>
      <c r="C104" s="125" t="n">
        <v>49</v>
      </c>
      <c r="D104" s="125" t="inlineStr">
        <is>
          <t>4.4.3.1</t>
        </is>
      </c>
      <c r="E104" s="125" t="inlineStr">
        <is>
          <t>RTM-142</t>
        </is>
      </c>
      <c r="F104" s="125" t="n">
        <v>49</v>
      </c>
      <c r="G104" s="125" t="inlineStr">
        <is>
          <t>4.4.3.1</t>
        </is>
      </c>
      <c r="H104" s="125" t="inlineStr">
        <is>
          <t>General Requirements</t>
        </is>
      </c>
      <c r="I104" s="125" t="inlineStr">
        <is>
          <t>The WCS shall comprise the warm compression equipment required to establish and maintain pressure levels, including at minimum:</t>
        </is>
      </c>
      <c r="J104" s="125" t="inlineStr">
        <is>
          <t>Direct — exact contract section</t>
        </is>
      </c>
      <c r="K104" s="125" t="inlineStr">
        <is>
          <t>Partial evidence: OFFER response supports evaluation; it does not replace full RTM compliance.</t>
        </is>
      </c>
      <c r="L104" s="126" t="inlineStr">
        <is>
          <t>RTM-142 (General Requirements) and OFFER-15 (Configuration / Layout / Support) are linked only because both sit in §4.4.3.1 — a direct (shared-section) link, not a dedicated cross-reference to this specific clause.</t>
        </is>
      </c>
      <c r="M104" s="6" t="inlineStr">
        <is>
          <t>OK</t>
        </is>
      </c>
      <c r="N104" s="6" t="inlineStr">
        <is>
          <t>Canonical PDF/DOCX.</t>
        </is>
      </c>
    </row>
    <row r="105" ht="71" customHeight="1">
      <c r="A105" s="6" t="inlineStr">
        <is>
          <t>OFFER-15</t>
        </is>
      </c>
      <c r="B105" s="6" t="inlineStr">
        <is>
          <t>Compressor Noise Emission Specification</t>
        </is>
      </c>
      <c r="C105" s="6" t="n">
        <v>49</v>
      </c>
      <c r="D105" s="6" t="inlineStr">
        <is>
          <t>4.4.3.1</t>
        </is>
      </c>
      <c r="E105" s="6" t="inlineStr">
        <is>
          <t>RTM-143</t>
        </is>
      </c>
      <c r="F105" s="6" t="n">
        <v>49</v>
      </c>
      <c r="G105" s="6" t="inlineStr">
        <is>
          <t>4.4.3.1</t>
        </is>
      </c>
      <c r="H105" s="6" t="inlineStr">
        <is>
          <t>General Requirements</t>
        </is>
      </c>
      <c r="I105" s="6" t="inlineStr">
        <is>
          <t>Each compression stage shall include at least three compressors.</t>
        </is>
      </c>
      <c r="J105" s="6" t="inlineStr">
        <is>
          <t>Direct — exact contract section</t>
        </is>
      </c>
      <c r="K105" s="6" t="inlineStr">
        <is>
          <t>Partial evidence: OFFER response supports evaluation; it does not replace full RTM compliance.</t>
        </is>
      </c>
      <c r="L105" s="83" t="inlineStr">
        <is>
          <t>RTM-143 (General Requirements) and OFFER-15 (Configuration / Layout / Support) are linked only because both sit in §4.4.3.1 — a direct (shared-section) link, not a dedicated cross-reference to this specific clause.</t>
        </is>
      </c>
      <c r="M105" s="6" t="inlineStr">
        <is>
          <t>OK</t>
        </is>
      </c>
      <c r="N105" s="6" t="inlineStr">
        <is>
          <t>Canonical PDF/DOCX.</t>
        </is>
      </c>
    </row>
    <row r="106" ht="71" customHeight="1">
      <c r="A106" s="125" t="inlineStr">
        <is>
          <t>OFFER-15</t>
        </is>
      </c>
      <c r="B106" s="125" t="inlineStr">
        <is>
          <t>Compressor Noise Emission Specification</t>
        </is>
      </c>
      <c r="C106" s="125" t="n">
        <v>49</v>
      </c>
      <c r="D106" s="125" t="inlineStr">
        <is>
          <t>4.4.3.1</t>
        </is>
      </c>
      <c r="E106" s="125" t="inlineStr">
        <is>
          <t>RTM-144</t>
        </is>
      </c>
      <c r="F106" s="125" t="n">
        <v>49</v>
      </c>
      <c r="G106" s="125" t="inlineStr">
        <is>
          <t>4.4.3.1</t>
        </is>
      </c>
      <c r="H106" s="125" t="inlineStr">
        <is>
          <t>General Requirements</t>
        </is>
      </c>
      <c r="I106" s="125" t="inlineStr">
        <is>
          <t>Each compressor motor shall be equipped with a variable frequency drive (VFD) rated for full load current of the motor.</t>
        </is>
      </c>
      <c r="J106" s="125" t="inlineStr">
        <is>
          <t>Direct — exact contract section</t>
        </is>
      </c>
      <c r="K106" s="125" t="inlineStr">
        <is>
          <t>Partial evidence: OFFER response supports evaluation; it does not replace full RTM compliance.</t>
        </is>
      </c>
      <c r="L106" s="126" t="inlineStr">
        <is>
          <t>RTM-144 (General Requirements) and OFFER-15 (Configuration / Layout / Support) are linked only because both sit in §4.4.3.1 — a direct (shared-section) link, not a dedicated cross-reference to this specific clause.</t>
        </is>
      </c>
      <c r="M106" s="6" t="inlineStr">
        <is>
          <t>OK</t>
        </is>
      </c>
      <c r="N106" s="6" t="inlineStr">
        <is>
          <t>Canonical PDF/DOCX.</t>
        </is>
      </c>
    </row>
    <row r="107" ht="71" customHeight="1">
      <c r="A107" s="6" t="inlineStr">
        <is>
          <t>OFFER-15</t>
        </is>
      </c>
      <c r="B107" s="6" t="inlineStr">
        <is>
          <t>Compressor Noise Emission Specification</t>
        </is>
      </c>
      <c r="C107" s="6" t="n">
        <v>49</v>
      </c>
      <c r="D107" s="6" t="inlineStr">
        <is>
          <t>4.4.3.1</t>
        </is>
      </c>
      <c r="E107" s="6" t="inlineStr">
        <is>
          <t>RTM-145</t>
        </is>
      </c>
      <c r="F107" s="6" t="n">
        <v>49</v>
      </c>
      <c r="G107" s="6" t="inlineStr">
        <is>
          <t>4.4.3.1</t>
        </is>
      </c>
      <c r="H107" s="6" t="inlineStr">
        <is>
          <t>General Requirements</t>
        </is>
      </c>
      <c r="I107" s="6" t="inlineStr">
        <is>
          <t>The efficiency class of Motors and VFDs shall comply with Regulation (EU) 2019/1781.</t>
        </is>
      </c>
      <c r="J107" s="6" t="inlineStr">
        <is>
          <t>Direct — exact contract section</t>
        </is>
      </c>
      <c r="K107" s="6" t="inlineStr">
        <is>
          <t>Partial evidence: OFFER response supports evaluation; it does not replace full RTM compliance.</t>
        </is>
      </c>
      <c r="L107" s="83" t="inlineStr">
        <is>
          <t>RTM-145 (General Requirements) and OFFER-15 (Configuration / Layout / Support) are linked only because both sit in §4.4.3.1 — a direct (shared-section) link, not a dedicated cross-reference to this specific clause.</t>
        </is>
      </c>
      <c r="M107" s="6" t="inlineStr">
        <is>
          <t>OK</t>
        </is>
      </c>
      <c r="N107" s="6" t="inlineStr">
        <is>
          <t>Canonical PDF/DOCX.</t>
        </is>
      </c>
    </row>
    <row r="108" ht="71" customHeight="1">
      <c r="A108" s="125" t="inlineStr">
        <is>
          <t>OFFER-15</t>
        </is>
      </c>
      <c r="B108" s="125" t="inlineStr">
        <is>
          <t>Compressor Noise Emission Specification</t>
        </is>
      </c>
      <c r="C108" s="125" t="n">
        <v>49</v>
      </c>
      <c r="D108" s="125" t="inlineStr">
        <is>
          <t>4.4.3.1</t>
        </is>
      </c>
      <c r="E108" s="125" t="inlineStr">
        <is>
          <t>RTM-146</t>
        </is>
      </c>
      <c r="F108" s="125" t="n">
        <v>49</v>
      </c>
      <c r="G108" s="125" t="inlineStr">
        <is>
          <t>4.4.3.1</t>
        </is>
      </c>
      <c r="H108" s="125" t="inlineStr">
        <is>
          <t>General Requirements</t>
        </is>
      </c>
      <c r="I108" s="125" t="inlineStr">
        <is>
          <t>The maximum vibration levels of the compressors and other rotating machines shall comply with ISO 2372 or its successor ISO 20816.</t>
        </is>
      </c>
      <c r="J108" s="125" t="inlineStr">
        <is>
          <t>Direct — exact contract section</t>
        </is>
      </c>
      <c r="K108" s="125" t="inlineStr">
        <is>
          <t>Partial evidence: OFFER response supports evaluation; it does not replace full RTM compliance.</t>
        </is>
      </c>
      <c r="L108" s="126" t="inlineStr">
        <is>
          <t>RTM-146 (General Requirements) and OFFER-15 (Configuration / Layout / Support) are linked only because both sit in §4.4.3.1 — a direct (shared-section) link, not a dedicated cross-reference to this specific clause.</t>
        </is>
      </c>
      <c r="M108" s="6" t="inlineStr">
        <is>
          <t>OK</t>
        </is>
      </c>
      <c r="N108" s="6" t="inlineStr">
        <is>
          <t>Canonical PDF/DOCX.</t>
        </is>
      </c>
    </row>
    <row r="109" ht="71" customHeight="1">
      <c r="A109" s="6" t="inlineStr">
        <is>
          <t>OFFER-15</t>
        </is>
      </c>
      <c r="B109" s="6" t="inlineStr">
        <is>
          <t>Compressor Noise Emission Specification</t>
        </is>
      </c>
      <c r="C109" s="6" t="n">
        <v>49</v>
      </c>
      <c r="D109" s="6" t="inlineStr">
        <is>
          <t>4.4.3.1</t>
        </is>
      </c>
      <c r="E109" s="6" t="inlineStr">
        <is>
          <t>RTM-147</t>
        </is>
      </c>
      <c r="F109" s="6" t="n">
        <v>49</v>
      </c>
      <c r="G109" s="6" t="inlineStr">
        <is>
          <t>4.4.3.1</t>
        </is>
      </c>
      <c r="H109" s="6" t="inlineStr">
        <is>
          <t>General Requirements</t>
        </is>
      </c>
      <c r="I109" s="6" t="inlineStr">
        <is>
          <t>The sound pressure level of each compressor shall not exceed 80 dB at 1 m while in any steady-state operating condition.</t>
        </is>
      </c>
      <c r="J109" s="6" t="inlineStr">
        <is>
          <t>Direct — exact contract section</t>
        </is>
      </c>
      <c r="K109" s="6" t="inlineStr">
        <is>
          <t>Partial evidence: OFFER response supports evaluation; it does not replace full RTM compliance.</t>
        </is>
      </c>
      <c r="L109" s="83" t="inlineStr">
        <is>
          <t>RTM-147 (General Requirements) and OFFER-15 (Configuration / Layout / Support) are linked only because both sit in §4.4.3.1 — a direct (shared-section) link, not a dedicated cross-reference to this specific clause.</t>
        </is>
      </c>
      <c r="M109" s="6" t="inlineStr">
        <is>
          <t>OK</t>
        </is>
      </c>
      <c r="N109" s="6" t="inlineStr">
        <is>
          <t>Canonical PDF/DOCX.</t>
        </is>
      </c>
    </row>
    <row r="110" ht="71" customHeight="1">
      <c r="A110" s="125" t="inlineStr">
        <is>
          <t>OFFER-16</t>
        </is>
      </c>
      <c r="B110" s="125" t="inlineStr">
        <is>
          <t>Compressor Configuration &amp; Operating Limits</t>
        </is>
      </c>
      <c r="C110" s="125" t="n">
        <v>50</v>
      </c>
      <c r="D110" s="125" t="inlineStr">
        <is>
          <t>4.4.3.2</t>
        </is>
      </c>
      <c r="E110" s="125" t="inlineStr">
        <is>
          <t>RTM-148</t>
        </is>
      </c>
      <c r="F110" s="125" t="n">
        <v>49</v>
      </c>
      <c r="G110" s="125" t="inlineStr">
        <is>
          <t>4.4.3.2</t>
        </is>
      </c>
      <c r="H110" s="125" t="inlineStr">
        <is>
          <t>Compressors requirements</t>
        </is>
      </c>
      <c r="I110" s="125" t="inlineStr">
        <is>
          <t>The compressor control strategy shall comply with the following requirements:</t>
        </is>
      </c>
      <c r="J110" s="125" t="inlineStr">
        <is>
          <t>Direct — exact contract section</t>
        </is>
      </c>
      <c r="K110" s="125" t="inlineStr">
        <is>
          <t>Partial evidence: OFFER response supports evaluation; it does not replace full RTM compliance.</t>
        </is>
      </c>
      <c r="L110" s="126" t="inlineStr">
        <is>
          <t>RTM-148 (Compressors requirements) and OFFER-16 (Configuration / Layout / Support) are linked only because both sit in §4.4.3.2 — a direct (shared-section) link, not a dedicated cross-reference to this specific clause.</t>
        </is>
      </c>
      <c r="M110" s="6" t="inlineStr">
        <is>
          <t>OK</t>
        </is>
      </c>
      <c r="N110" s="6" t="inlineStr">
        <is>
          <t>Canonical PDF/DOCX.</t>
        </is>
      </c>
    </row>
    <row r="111" ht="71" customHeight="1">
      <c r="A111" s="6" t="inlineStr">
        <is>
          <t>OFFER-16</t>
        </is>
      </c>
      <c r="B111" s="6" t="inlineStr">
        <is>
          <t>Compressor Configuration &amp; Operating Limits</t>
        </is>
      </c>
      <c r="C111" s="6" t="n">
        <v>50</v>
      </c>
      <c r="D111" s="6" t="inlineStr">
        <is>
          <t>4.4.3.2</t>
        </is>
      </c>
      <c r="E111" s="6" t="inlineStr">
        <is>
          <t>RTM-149</t>
        </is>
      </c>
      <c r="F111" s="6" t="n">
        <v>49</v>
      </c>
      <c r="G111" s="6" t="inlineStr">
        <is>
          <t>4.4.3.2</t>
        </is>
      </c>
      <c r="H111" s="6" t="inlineStr">
        <is>
          <t>Compressors requirements</t>
        </is>
      </c>
      <c r="I111" s="6" t="inlineStr">
        <is>
          <t>Each compressor shall be capable of stable turndown to ≤ 30 % of the rated mass flow, without surge or recycle, over the specified operating-pressure range.</t>
        </is>
      </c>
      <c r="J111" s="6" t="inlineStr">
        <is>
          <t>Direct — exact contract section</t>
        </is>
      </c>
      <c r="K111" s="6" t="inlineStr">
        <is>
          <t>Partial evidence: OFFER response supports evaluation; it does not replace full RTM compliance.</t>
        </is>
      </c>
      <c r="L111" s="83" t="inlineStr">
        <is>
          <t>RTM-149 (Compressors requirements) and OFFER-16 (Configuration / Layout / Support) are linked only because both sit in §4.4.3.2 — a direct (shared-section) link, not a dedicated cross-reference to this specific clause.</t>
        </is>
      </c>
      <c r="M111" s="6" t="inlineStr">
        <is>
          <t>OK</t>
        </is>
      </c>
      <c r="N111" s="6" t="inlineStr">
        <is>
          <t>Canonical PDF/DOCX.</t>
        </is>
      </c>
    </row>
    <row r="112" ht="71" customHeight="1">
      <c r="A112" s="125" t="inlineStr">
        <is>
          <t>OFFER-16</t>
        </is>
      </c>
      <c r="B112" s="125" t="inlineStr">
        <is>
          <t>Compressor Configuration &amp; Operating Limits</t>
        </is>
      </c>
      <c r="C112" s="125" t="n">
        <v>50</v>
      </c>
      <c r="D112" s="125" t="inlineStr">
        <is>
          <t>4.4.3.2</t>
        </is>
      </c>
      <c r="E112" s="125" t="inlineStr">
        <is>
          <t>RTM-150</t>
        </is>
      </c>
      <c r="F112" s="125" t="n">
        <v>50</v>
      </c>
      <c r="G112" s="125" t="inlineStr">
        <is>
          <t>4.4.3.2</t>
        </is>
      </c>
      <c r="H112" s="125" t="inlineStr">
        <is>
          <t>Compressors requirements</t>
        </is>
      </c>
      <c r="I112" s="125" t="inlineStr">
        <is>
          <t>Each compressor shall include:</t>
        </is>
      </c>
      <c r="J112" s="125" t="inlineStr">
        <is>
          <t>Direct — exact contract section</t>
        </is>
      </c>
      <c r="K112" s="125" t="inlineStr">
        <is>
          <t>Partial evidence: OFFER response supports evaluation; it does not replace full RTM compliance.</t>
        </is>
      </c>
      <c r="L112" s="126" t="inlineStr">
        <is>
          <t>RTM-150 (Compressors requirements) and OFFER-16 (Configuration / Layout / Support) are linked only because both sit in §4.4.3.2 — a direct (shared-section) link, not a dedicated cross-reference to this specific clause.</t>
        </is>
      </c>
      <c r="M112" s="6" t="inlineStr">
        <is>
          <t>OK</t>
        </is>
      </c>
      <c r="N112" s="6" t="inlineStr">
        <is>
          <t>Canonical PDF/DOCX.</t>
        </is>
      </c>
    </row>
    <row r="113" ht="71" customHeight="1">
      <c r="A113" s="6" t="inlineStr">
        <is>
          <t>OFFER-16</t>
        </is>
      </c>
      <c r="B113" s="6" t="inlineStr">
        <is>
          <t>Compressor Configuration &amp; Operating Limits</t>
        </is>
      </c>
      <c r="C113" s="6" t="n">
        <v>50</v>
      </c>
      <c r="D113" s="6" t="inlineStr">
        <is>
          <t>4.4.3.2</t>
        </is>
      </c>
      <c r="E113" s="6" t="inlineStr">
        <is>
          <t>RTM-151</t>
        </is>
      </c>
      <c r="F113" s="6" t="n">
        <v>50</v>
      </c>
      <c r="G113" s="6" t="inlineStr">
        <is>
          <t>4.4.3.2</t>
        </is>
      </c>
      <c r="H113" s="6" t="inlineStr">
        <is>
          <t>Compressors requirements</t>
        </is>
      </c>
      <c r="I113" s="6" t="inlineStr">
        <is>
          <t>Downstream of the bulk oil separator, the oil concentration in the helium stream shall not exceed 100 ppm(w).</t>
        </is>
      </c>
      <c r="J113" s="6" t="inlineStr">
        <is>
          <t>Direct — exact contract section</t>
        </is>
      </c>
      <c r="K113" s="6" t="inlineStr">
        <is>
          <t>Partial evidence: OFFER response supports evaluation; it does not replace full RTM compliance.</t>
        </is>
      </c>
      <c r="L113" s="83" t="inlineStr">
        <is>
          <t>RTM-151 (Compressors requirements) and OFFER-16 (Configuration / Layout / Support) are linked only because both sit in §4.4.3.2 — a direct (shared-section) link, not a dedicated cross-reference to this specific clause.</t>
        </is>
      </c>
      <c r="M113" s="6" t="inlineStr">
        <is>
          <t>OK</t>
        </is>
      </c>
      <c r="N113" s="6" t="inlineStr">
        <is>
          <t>Canonical PDF/DOCX.</t>
        </is>
      </c>
    </row>
    <row r="114" ht="71" customHeight="1">
      <c r="A114" s="125" t="inlineStr">
        <is>
          <t>OFFER-16</t>
        </is>
      </c>
      <c r="B114" s="125" t="inlineStr">
        <is>
          <t>Compressor Configuration &amp; Operating Limits</t>
        </is>
      </c>
      <c r="C114" s="125" t="n">
        <v>50</v>
      </c>
      <c r="D114" s="125" t="inlineStr">
        <is>
          <t>4.4.3.2</t>
        </is>
      </c>
      <c r="E114" s="125" t="inlineStr">
        <is>
          <t>RTM-152</t>
        </is>
      </c>
      <c r="F114" s="125" t="n">
        <v>50</v>
      </c>
      <c r="G114" s="125" t="inlineStr">
        <is>
          <t>4.4.3.2</t>
        </is>
      </c>
      <c r="H114" s="125" t="inlineStr">
        <is>
          <t>Compressors requirements</t>
        </is>
      </c>
      <c r="I114" s="125" t="inlineStr">
        <is>
          <t>The flexible coupling between the electric motor and the HP compressor shall comply with API 671 / ISO 10441, or an equivalent standard.</t>
        </is>
      </c>
      <c r="J114" s="125" t="inlineStr">
        <is>
          <t>Direct — exact contract section</t>
        </is>
      </c>
      <c r="K114" s="125" t="inlineStr">
        <is>
          <t>Partial evidence: OFFER response supports evaluation; it does not replace full RTM compliance.</t>
        </is>
      </c>
      <c r="L114" s="126" t="inlineStr">
        <is>
          <t>RTM-152 (Compressors requirements) and OFFER-16 (Configuration / Layout / Support) are linked only because both sit in §4.4.3.2 — a direct (shared-section) link, not a dedicated cross-reference to this specific clause.</t>
        </is>
      </c>
      <c r="M114" s="6" t="inlineStr">
        <is>
          <t>OK</t>
        </is>
      </c>
      <c r="N114" s="6" t="inlineStr">
        <is>
          <t>Canonical PDF/DOCX.</t>
        </is>
      </c>
    </row>
    <row r="115" ht="71" customHeight="1">
      <c r="A115" s="6" t="inlineStr">
        <is>
          <t>OFFER-17</t>
        </is>
      </c>
      <c r="B115" s="6" t="inlineStr">
        <is>
          <t>Preliminary 3D Plant Layout Model</t>
        </is>
      </c>
      <c r="C115" s="6" t="n">
        <v>55</v>
      </c>
      <c r="D115" s="6" t="inlineStr">
        <is>
          <t>4.4.4.1</t>
        </is>
      </c>
      <c r="E115" s="6" t="inlineStr">
        <is>
          <t>RTM-193</t>
        </is>
      </c>
      <c r="F115" s="6" t="n">
        <v>55</v>
      </c>
      <c r="G115" s="6" t="inlineStr">
        <is>
          <t>4.4.4.1</t>
        </is>
      </c>
      <c r="H115" s="6" t="inlineStr">
        <is>
          <t>General Requirements</t>
        </is>
      </c>
      <c r="I115" s="6" t="inlineStr">
        <is>
          <t>The QPS shall include a Refrigeration Cold Box Station (QRB) responsible for producing the cooling power required by the cryogenic users and distributing the corresponding cryogenic flows to the QDB.</t>
        </is>
      </c>
      <c r="J115" s="6" t="inlineStr">
        <is>
          <t>Direct — exact contract section</t>
        </is>
      </c>
      <c r="K115" s="6" t="inlineStr">
        <is>
          <t>Partial evidence: OFFER response supports evaluation; it does not replace full RTM compliance.</t>
        </is>
      </c>
      <c r="L115" s="83" t="inlineStr">
        <is>
          <t>RTM-193 (General Requirements) and OFFER-17 (Configuration / Layout / Support) are linked only because both sit in §4.4.4.1 — a direct (shared-section) link, not a dedicated cross-reference to this specific clause.</t>
        </is>
      </c>
      <c r="M115" s="6" t="inlineStr">
        <is>
          <t>OK</t>
        </is>
      </c>
      <c r="N115" s="6" t="inlineStr">
        <is>
          <t>Canonical PDF/DOCX.</t>
        </is>
      </c>
    </row>
    <row r="116" ht="71" customHeight="1">
      <c r="A116" s="125" t="inlineStr">
        <is>
          <t>OFFER-17</t>
        </is>
      </c>
      <c r="B116" s="125" t="inlineStr">
        <is>
          <t>Preliminary 3D Plant Layout Model</t>
        </is>
      </c>
      <c r="C116" s="125" t="n">
        <v>55</v>
      </c>
      <c r="D116" s="125" t="inlineStr">
        <is>
          <t>4.4.4.1</t>
        </is>
      </c>
      <c r="E116" s="125" t="inlineStr">
        <is>
          <t>RTM-194</t>
        </is>
      </c>
      <c r="F116" s="125" t="n">
        <v>55</v>
      </c>
      <c r="G116" s="125" t="inlineStr">
        <is>
          <t>4.4.4.1</t>
        </is>
      </c>
      <c r="H116" s="125" t="inlineStr">
        <is>
          <t>General Requirements</t>
        </is>
      </c>
      <c r="I116" s="125" t="inlineStr">
        <is>
          <t>The QRB shall comprise, at minimum, the following subsystems:</t>
        </is>
      </c>
      <c r="J116" s="125" t="inlineStr">
        <is>
          <t>Direct — exact contract section</t>
        </is>
      </c>
      <c r="K116" s="125" t="inlineStr">
        <is>
          <t>Partial evidence: OFFER response supports evaluation; it does not replace full RTM compliance.</t>
        </is>
      </c>
      <c r="L116" s="126" t="inlineStr">
        <is>
          <t>RTM-194 (General Requirements) and OFFER-17 (Configuration / Layout / Support) are linked only because both sit in §4.4.4.1 — a direct (shared-section) link, not a dedicated cross-reference to this specific clause.</t>
        </is>
      </c>
      <c r="M116" s="6" t="inlineStr">
        <is>
          <t>OK</t>
        </is>
      </c>
      <c r="N116" s="6" t="inlineStr">
        <is>
          <t>Canonical PDF/DOCX.</t>
        </is>
      </c>
    </row>
    <row r="117" ht="71" customHeight="1">
      <c r="A117" s="6" t="inlineStr">
        <is>
          <t>OFFER-17</t>
        </is>
      </c>
      <c r="B117" s="6" t="inlineStr">
        <is>
          <t>Preliminary 3D Plant Layout Model</t>
        </is>
      </c>
      <c r="C117" s="6" t="n">
        <v>55</v>
      </c>
      <c r="D117" s="6" t="inlineStr">
        <is>
          <t>4.4.4.1</t>
        </is>
      </c>
      <c r="E117" s="6" t="inlineStr">
        <is>
          <t>RTM-195</t>
        </is>
      </c>
      <c r="F117" s="6" t="n">
        <v>55</v>
      </c>
      <c r="G117" s="6" t="inlineStr">
        <is>
          <t>4.4.4.1</t>
        </is>
      </c>
      <c r="H117" s="6" t="inlineStr">
        <is>
          <t>General Requirements</t>
        </is>
      </c>
      <c r="I117" s="6" t="inlineStr">
        <is>
          <t>The cold box unit shall contain, at minimum, the following internal components:</t>
        </is>
      </c>
      <c r="J117" s="6" t="inlineStr">
        <is>
          <t>Direct — exact contract section</t>
        </is>
      </c>
      <c r="K117" s="6" t="inlineStr">
        <is>
          <t>Partial evidence: OFFER response supports evaluation; it does not replace full RTM compliance.</t>
        </is>
      </c>
      <c r="L117" s="83" t="inlineStr">
        <is>
          <t>RTM-195 (General Requirements) and OFFER-17 (Configuration / Layout / Support) are linked only because both sit in §4.4.4.1 — a direct (shared-section) link, not a dedicated cross-reference to this specific clause.</t>
        </is>
      </c>
      <c r="M117" s="6" t="inlineStr">
        <is>
          <t>OK</t>
        </is>
      </c>
      <c r="N117" s="6" t="inlineStr">
        <is>
          <t>Canonical PDF/DOCX.</t>
        </is>
      </c>
    </row>
    <row r="118" ht="71" customHeight="1">
      <c r="A118" s="125" t="inlineStr">
        <is>
          <t>OFFER-17</t>
        </is>
      </c>
      <c r="B118" s="125" t="inlineStr">
        <is>
          <t>Preliminary 3D Plant Layout Model</t>
        </is>
      </c>
      <c r="C118" s="125" t="n">
        <v>55</v>
      </c>
      <c r="D118" s="125" t="inlineStr">
        <is>
          <t>4.4.4.1</t>
        </is>
      </c>
      <c r="E118" s="125" t="inlineStr">
        <is>
          <t>RTM-196</t>
        </is>
      </c>
      <c r="F118" s="125" t="n">
        <v>55</v>
      </c>
      <c r="G118" s="125" t="inlineStr">
        <is>
          <t>4.4.4.1</t>
        </is>
      </c>
      <c r="H118" s="125" t="inlineStr">
        <is>
          <t>General Requirements</t>
        </is>
      </c>
      <c r="I118" s="125" t="inlineStr">
        <is>
          <t>The Contractor shall be responsible to define the arrangement and orientation of the cold box unit.</t>
        </is>
      </c>
      <c r="J118" s="125" t="inlineStr">
        <is>
          <t>Direct — exact contract section</t>
        </is>
      </c>
      <c r="K118" s="125" t="inlineStr">
        <is>
          <t>Partial evidence: OFFER response supports evaluation; it does not replace full RTM compliance.</t>
        </is>
      </c>
      <c r="L118" s="126" t="inlineStr">
        <is>
          <t>RTM-196 (General Requirements) and OFFER-17 (Configuration / Layout / Support) are linked only because both sit in §4.4.4.1 — a direct (shared-section) link, not a dedicated cross-reference to this specific clause.</t>
        </is>
      </c>
      <c r="M118" s="6" t="inlineStr">
        <is>
          <t>OK</t>
        </is>
      </c>
      <c r="N118" s="6" t="inlineStr">
        <is>
          <t>Canonical PDF/DOCX.</t>
        </is>
      </c>
    </row>
    <row r="119" ht="71" customHeight="1">
      <c r="A119" s="6" t="inlineStr">
        <is>
          <t>OFFER-17</t>
        </is>
      </c>
      <c r="B119" s="6" t="inlineStr">
        <is>
          <t>Preliminary 3D Plant Layout Model</t>
        </is>
      </c>
      <c r="C119" s="6" t="n">
        <v>55</v>
      </c>
      <c r="D119" s="6" t="inlineStr">
        <is>
          <t>4.4.4.1</t>
        </is>
      </c>
      <c r="E119" s="6" t="inlineStr">
        <is>
          <t>RTM-197</t>
        </is>
      </c>
      <c r="F119" s="6" t="n">
        <v>55</v>
      </c>
      <c r="G119" s="6" t="inlineStr">
        <is>
          <t>4.4.4.1</t>
        </is>
      </c>
      <c r="H119" s="6" t="inlineStr">
        <is>
          <t>General Requirements</t>
        </is>
      </c>
      <c r="I119" s="6" t="inlineStr">
        <is>
          <t>The interface between the QRB and the WCS shall comply with the following requirements on the QRB side of the interface</t>
        </is>
      </c>
      <c r="J119" s="6" t="inlineStr">
        <is>
          <t>Direct — exact contract section</t>
        </is>
      </c>
      <c r="K119" s="6" t="inlineStr">
        <is>
          <t>Partial evidence: OFFER response supports evaluation; it does not replace full RTM compliance.</t>
        </is>
      </c>
      <c r="L119" s="83" t="inlineStr">
        <is>
          <t>RTM-197 (General Requirements) and OFFER-17 (Configuration / Layout / Support) are linked only because both sit in §4.4.4.1 — a direct (shared-section) link, not a dedicated cross-reference to this specific clause.</t>
        </is>
      </c>
      <c r="M119" s="6" t="inlineStr">
        <is>
          <t>OK</t>
        </is>
      </c>
      <c r="N119" s="6" t="inlineStr">
        <is>
          <t>Canonical PDF/DOCX.</t>
        </is>
      </c>
    </row>
    <row r="120" ht="71" customHeight="1">
      <c r="A120" s="125" t="inlineStr">
        <is>
          <t>OFFER-18</t>
        </is>
      </c>
      <c r="B120" s="125" t="inlineStr">
        <is>
          <t>MPHX Technology Selection</t>
        </is>
      </c>
      <c r="C120" s="125" t="n">
        <v>56</v>
      </c>
      <c r="D120" s="125" t="inlineStr">
        <is>
          <t>4.4.4.2.2</t>
        </is>
      </c>
      <c r="E120" s="125" t="inlineStr">
        <is>
          <t>RTM-202</t>
        </is>
      </c>
      <c r="F120" s="125" t="n">
        <v>56</v>
      </c>
      <c r="G120" s="125" t="inlineStr">
        <is>
          <t>4.4.4.2.2</t>
        </is>
      </c>
      <c r="H120" s="125" t="inlineStr">
        <is>
          <t>Main Process Heat Exchangers (MPHX)</t>
        </is>
      </c>
      <c r="I120" s="125" t="inlineStr">
        <is>
          <t>The QPS Contractor shall be responsible for the selection, sizing, and detailed design of all Main Process Heat Exchangers (MPHX) installed inside the QRB.</t>
        </is>
      </c>
      <c r="J120" s="125" t="inlineStr">
        <is>
          <t>Direct — exact contract section</t>
        </is>
      </c>
      <c r="K120" s="125" t="inlineStr">
        <is>
          <t>Partial evidence: OFFER response supports evaluation; it does not replace full RTM compliance.</t>
        </is>
      </c>
      <c r="L120" s="126" t="inlineStr">
        <is>
          <t>RTM-202 (Main Process Heat Exchangers (MPHX)) and OFFER-18 (Performance / Process / Utilities) are linked only because both sit in §4.4.4.2.2 — a direct (shared-section) link, not a dedicated cross-reference to this specific clause.</t>
        </is>
      </c>
      <c r="M120" s="6" t="inlineStr">
        <is>
          <t>OK</t>
        </is>
      </c>
      <c r="N120" s="6" t="inlineStr">
        <is>
          <t>Canonical PDF/DOCX.</t>
        </is>
      </c>
    </row>
    <row r="121" ht="71" customHeight="1">
      <c r="A121" s="6" t="inlineStr">
        <is>
          <t>OFFER-18</t>
        </is>
      </c>
      <c r="B121" s="6" t="inlineStr">
        <is>
          <t>MPHX Technology Selection</t>
        </is>
      </c>
      <c r="C121" s="6" t="n">
        <v>56</v>
      </c>
      <c r="D121" s="6" t="inlineStr">
        <is>
          <t>4.4.4.2.2</t>
        </is>
      </c>
      <c r="E121" s="6" t="inlineStr">
        <is>
          <t>RTM-203</t>
        </is>
      </c>
      <c r="F121" s="6" t="n">
        <v>56</v>
      </c>
      <c r="G121" s="6" t="inlineStr">
        <is>
          <t>4.4.4.2.2</t>
        </is>
      </c>
      <c r="H121" s="6" t="inlineStr">
        <is>
          <t>Main Process Heat Exchangers (MPHX)</t>
        </is>
      </c>
      <c r="I121" s="6" t="inlineStr">
        <is>
          <t>The selected MPHXs shall ensure suitability for cryogenic helium service, including at minimum:</t>
        </is>
      </c>
      <c r="J121" s="6" t="inlineStr">
        <is>
          <t>Direct — exact contract section</t>
        </is>
      </c>
      <c r="K121" s="6" t="inlineStr">
        <is>
          <t>Partial evidence: OFFER response supports evaluation; it does not replace full RTM compliance.</t>
        </is>
      </c>
      <c r="L121" s="83" t="inlineStr">
        <is>
          <t>RTM-203 (Main Process Heat Exchangers (MPHX)) and OFFER-18 (Performance / Process / Utilities) are linked only because both sit in §4.4.4.2.2 — a direct (shared-section) link, not a dedicated cross-reference to this specific clause.</t>
        </is>
      </c>
      <c r="M121" s="6" t="inlineStr">
        <is>
          <t>OK</t>
        </is>
      </c>
      <c r="N121" s="6" t="inlineStr">
        <is>
          <t>Canonical PDF/DOCX.</t>
        </is>
      </c>
    </row>
    <row r="122" ht="71" customHeight="1">
      <c r="A122" s="125" t="inlineStr">
        <is>
          <t>OFFER-18</t>
        </is>
      </c>
      <c r="B122" s="125" t="inlineStr">
        <is>
          <t>MPHX Technology Selection</t>
        </is>
      </c>
      <c r="C122" s="125" t="n">
        <v>56</v>
      </c>
      <c r="D122" s="125" t="inlineStr">
        <is>
          <t>4.4.4.2.2</t>
        </is>
      </c>
      <c r="E122" s="125" t="inlineStr">
        <is>
          <t>RTM-204</t>
        </is>
      </c>
      <c r="F122" s="125" t="n">
        <v>56</v>
      </c>
      <c r="G122" s="125" t="inlineStr">
        <is>
          <t>4.4.4.2.2</t>
        </is>
      </c>
      <c r="H122" s="125" t="inlineStr">
        <is>
          <t>Main Process Heat Exchangers (MPHX)</t>
        </is>
      </c>
      <c r="I122" s="125" t="inlineStr">
        <is>
          <t>The selected MPHX shall comply with the following manufacturing requirements:</t>
        </is>
      </c>
      <c r="J122" s="125" t="inlineStr">
        <is>
          <t>Direct — exact contract section</t>
        </is>
      </c>
      <c r="K122" s="125" t="inlineStr">
        <is>
          <t>Partial evidence: OFFER response supports evaluation; it does not replace full RTM compliance.</t>
        </is>
      </c>
      <c r="L122" s="126" t="inlineStr">
        <is>
          <t>RTM-204 (Main Process Heat Exchangers (MPHX)) and OFFER-18 (Performance / Process / Utilities) are linked only because both sit in §4.4.4.2.2 — a direct (shared-section) link, not a dedicated cross-reference to this specific clause.</t>
        </is>
      </c>
      <c r="M122" s="6" t="inlineStr">
        <is>
          <t>OK</t>
        </is>
      </c>
      <c r="N122" s="6" t="inlineStr">
        <is>
          <t>Canonical PDF/DOCX.</t>
        </is>
      </c>
    </row>
    <row r="123" ht="71" customHeight="1">
      <c r="A123" s="6" t="inlineStr">
        <is>
          <t>OFFER-18</t>
        </is>
      </c>
      <c r="B123" s="6" t="inlineStr">
        <is>
          <t>MPHX Technology Selection</t>
        </is>
      </c>
      <c r="C123" s="6" t="n">
        <v>56</v>
      </c>
      <c r="D123" s="6" t="inlineStr">
        <is>
          <t>4.4.4.2.2</t>
        </is>
      </c>
      <c r="E123" s="6" t="inlineStr">
        <is>
          <t>RTM-205</t>
        </is>
      </c>
      <c r="F123" s="6" t="n">
        <v>56</v>
      </c>
      <c r="G123" s="6" t="inlineStr">
        <is>
          <t>4.4.4.2.2</t>
        </is>
      </c>
      <c r="H123" s="6" t="inlineStr">
        <is>
          <t>Main Process Heat Exchangers (MPHX)</t>
        </is>
      </c>
      <c r="I123" s="6" t="inlineStr">
        <is>
          <t>For MPHXs operating below 20 K, each heat exchanger shall be arranged vertically with the warm end at the top to avoid density-driven maldistribution.</t>
        </is>
      </c>
      <c r="J123" s="6" t="inlineStr">
        <is>
          <t>Direct — exact contract section</t>
        </is>
      </c>
      <c r="K123" s="6" t="inlineStr">
        <is>
          <t>Partial evidence: OFFER response supports evaluation; it does not replace full RTM compliance.</t>
        </is>
      </c>
      <c r="L123" s="83" t="inlineStr">
        <is>
          <t>RTM-205 (Main Process Heat Exchangers (MPHX)) and OFFER-18 (Performance / Process / Utilities) are linked only because both sit in §4.4.4.2.2 — a direct (shared-section) link, not a dedicated cross-reference to this specific clause.</t>
        </is>
      </c>
      <c r="M123" s="6" t="inlineStr">
        <is>
          <t>OK</t>
        </is>
      </c>
      <c r="N123" s="6" t="inlineStr">
        <is>
          <t>Canonical PDF/DOCX.</t>
        </is>
      </c>
    </row>
    <row r="124" ht="71" customHeight="1">
      <c r="A124" s="125" t="inlineStr">
        <is>
          <t>OFFER-18</t>
        </is>
      </c>
      <c r="B124" s="125" t="inlineStr">
        <is>
          <t>MPHX Technology Selection</t>
        </is>
      </c>
      <c r="C124" s="125" t="n">
        <v>56</v>
      </c>
      <c r="D124" s="125" t="inlineStr">
        <is>
          <t>4.4.4.2.2</t>
        </is>
      </c>
      <c r="E124" s="125" t="inlineStr">
        <is>
          <t>RTM-206</t>
        </is>
      </c>
      <c r="F124" s="125" t="n">
        <v>56</v>
      </c>
      <c r="G124" s="125" t="inlineStr">
        <is>
          <t>4.4.4.2.2</t>
        </is>
      </c>
      <c r="H124" s="125" t="inlineStr">
        <is>
          <t>Main Process Heat Exchangers (MPHX)</t>
        </is>
      </c>
      <c r="I124" s="125" t="inlineStr">
        <is>
          <t>For MPHXs operating between 300 K and 80 K, the design shall incorporate provisions for controlled warm-up and regeneration of the high-pressure side to remove frozen moisture and impurities.</t>
        </is>
      </c>
      <c r="J124" s="125" t="inlineStr">
        <is>
          <t>Direct — exact contract section</t>
        </is>
      </c>
      <c r="K124" s="125" t="inlineStr">
        <is>
          <t>Partial evidence: OFFER response supports evaluation; it does not replace full RTM compliance.</t>
        </is>
      </c>
      <c r="L124" s="126" t="inlineStr">
        <is>
          <t>RTM-206 (Main Process Heat Exchangers (MPHX)) and OFFER-18 (Performance / Process / Utilities) are linked only because both sit in §4.4.4.2.2 — a direct (shared-section) link, not a dedicated cross-reference to this specific clause.</t>
        </is>
      </c>
      <c r="M124" s="6" t="inlineStr">
        <is>
          <t>OK</t>
        </is>
      </c>
      <c r="N124" s="6" t="inlineStr">
        <is>
          <t>Canonical PDF/DOCX.</t>
        </is>
      </c>
    </row>
    <row r="125" ht="71" customHeight="1">
      <c r="A125" s="6" t="inlineStr">
        <is>
          <t>OFFER-18</t>
        </is>
      </c>
      <c r="B125" s="6" t="inlineStr">
        <is>
          <t>MPHX Technology Selection</t>
        </is>
      </c>
      <c r="C125" s="6" t="n">
        <v>56</v>
      </c>
      <c r="D125" s="6" t="inlineStr">
        <is>
          <t>4.4.4.2.2</t>
        </is>
      </c>
      <c r="E125" s="6" t="inlineStr">
        <is>
          <t>RTM-207</t>
        </is>
      </c>
      <c r="F125" s="6" t="n">
        <v>56</v>
      </c>
      <c r="G125" s="6" t="inlineStr">
        <is>
          <t>4.4.4.2.2</t>
        </is>
      </c>
      <c r="H125" s="6" t="inlineStr">
        <is>
          <t>Main Process Heat Exchangers (MPHX)</t>
        </is>
      </c>
      <c r="I125" s="6" t="inlineStr">
        <is>
          <t>Each MPHXs shall incorporate instrumentation to measure the differential pressure between inlet and outlet to monitor the evolution of pressure drop during operation.</t>
        </is>
      </c>
      <c r="J125" s="6" t="inlineStr">
        <is>
          <t>Direct — exact contract section</t>
        </is>
      </c>
      <c r="K125" s="6" t="inlineStr">
        <is>
          <t>Partial evidence: OFFER response supports evaluation; it does not replace full RTM compliance.</t>
        </is>
      </c>
      <c r="L125" s="83" t="inlineStr">
        <is>
          <t>RTM-207 (Main Process Heat Exchangers (MPHX)) and OFFER-18 (Performance / Process / Utilities) are linked only because both sit in §4.4.4.2.2 — a direct (shared-section) link, not a dedicated cross-reference to this specific clause.</t>
        </is>
      </c>
      <c r="M125" s="6" t="inlineStr">
        <is>
          <t>OK</t>
        </is>
      </c>
      <c r="N125" s="6" t="inlineStr">
        <is>
          <t>Canonical PDF/DOCX.</t>
        </is>
      </c>
    </row>
    <row r="126" ht="71" customHeight="1">
      <c r="A126" s="125" t="inlineStr">
        <is>
          <t>OFFER-18</t>
        </is>
      </c>
      <c r="B126" s="125" t="inlineStr">
        <is>
          <t>MPHX Technology Selection</t>
        </is>
      </c>
      <c r="C126" s="125" t="n">
        <v>56</v>
      </c>
      <c r="D126" s="125" t="inlineStr">
        <is>
          <t>4.4.4.2.2</t>
        </is>
      </c>
      <c r="E126" s="125" t="inlineStr">
        <is>
          <t>RTM-208</t>
        </is>
      </c>
      <c r="F126" s="125" t="n">
        <v>56</v>
      </c>
      <c r="G126" s="125" t="inlineStr">
        <is>
          <t>4.4.4.2.2</t>
        </is>
      </c>
      <c r="H126" s="125" t="inlineStr">
        <is>
          <t>Main Process Heat Exchangers (MPHX)</t>
        </is>
      </c>
      <c r="I126" s="125" t="inlineStr">
        <is>
          <t>If LN2 Precooling is implemented (§4.2.5), the design shall include a dedicated MPHX between the nitrogen circuit and the HP helium stream, including at minimum:</t>
        </is>
      </c>
      <c r="J126" s="125" t="inlineStr">
        <is>
          <t>Direct — exact contract section</t>
        </is>
      </c>
      <c r="K126" s="125" t="inlineStr">
        <is>
          <t>Partial evidence: OFFER response supports evaluation; it does not replace full RTM compliance.</t>
        </is>
      </c>
      <c r="L126" s="126" t="inlineStr">
        <is>
          <t>RTM-208 (Main Process Heat Exchangers (MPHX)) and OFFER-18 (Performance / Process / Utilities) are linked only because both sit in §4.4.4.2.2 — a direct (shared-section) link, not a dedicated cross-reference to this specific clause.</t>
        </is>
      </c>
      <c r="M126" s="6" t="inlineStr">
        <is>
          <t>OK</t>
        </is>
      </c>
      <c r="N126" s="6" t="inlineStr">
        <is>
          <t>Canonical PDF/DOCX.</t>
        </is>
      </c>
    </row>
    <row r="127" ht="71" customHeight="1">
      <c r="A127" s="6" t="inlineStr">
        <is>
          <t>OFFER-18</t>
        </is>
      </c>
      <c r="B127" s="6" t="inlineStr">
        <is>
          <t>MPHX Technology Selection</t>
        </is>
      </c>
      <c r="C127" s="6" t="n">
        <v>56</v>
      </c>
      <c r="D127" s="6" t="inlineStr">
        <is>
          <t>4.4.4.2.2</t>
        </is>
      </c>
      <c r="E127" s="6" t="inlineStr">
        <is>
          <t>RTM-209</t>
        </is>
      </c>
      <c r="F127" s="6" t="n">
        <v>56</v>
      </c>
      <c r="G127" s="6" t="inlineStr">
        <is>
          <t>4.4.4.2.2</t>
        </is>
      </c>
      <c r="H127" s="6" t="inlineStr">
        <is>
          <t>Main Process Heat Exchangers (MPHX)</t>
        </is>
      </c>
      <c r="I127" s="6" t="inlineStr">
        <is>
          <t>For each MPHX, the Contractor shall:</t>
        </is>
      </c>
      <c r="J127" s="6" t="inlineStr">
        <is>
          <t>Direct — exact contract section</t>
        </is>
      </c>
      <c r="K127" s="6" t="inlineStr">
        <is>
          <t>Partial evidence: OFFER response supports evaluation; it does not replace full RTM compliance.</t>
        </is>
      </c>
      <c r="L127" s="83" t="inlineStr">
        <is>
          <t>RTM-209 (Main Process Heat Exchangers (MPHX)) and OFFER-18 (Performance / Process / Utilities) are linked only because both sit in §4.4.4.2.2 — a direct (shared-section) link, not a dedicated cross-reference to this specific clause.</t>
        </is>
      </c>
      <c r="M127" s="6" t="inlineStr">
        <is>
          <t>OK</t>
        </is>
      </c>
      <c r="N127" s="6" t="inlineStr">
        <is>
          <t>Canonical PDF/DOCX.</t>
        </is>
      </c>
    </row>
    <row r="128" ht="71" customHeight="1">
      <c r="A128" s="125" t="inlineStr">
        <is>
          <t>OFFER-19</t>
        </is>
      </c>
      <c r="B128" s="125" t="inlineStr">
        <is>
          <t>Warm Storage Heater (WSH) Design &amp; Layout</t>
        </is>
      </c>
      <c r="C128" s="125" t="n">
        <v>62</v>
      </c>
      <c r="D128" s="125" t="inlineStr">
        <is>
          <t>4.4.5.2</t>
        </is>
      </c>
      <c r="E128" s="125" t="inlineStr">
        <is>
          <t>RTM-239</t>
        </is>
      </c>
      <c r="F128" s="125" t="n">
        <v>61</v>
      </c>
      <c r="G128" s="125" t="inlineStr">
        <is>
          <t>4.4.5.2</t>
        </is>
      </c>
      <c r="H128" s="125" t="inlineStr">
        <is>
          <t>WSH Requirements</t>
        </is>
      </c>
      <c r="I128" s="125" t="inlineStr">
        <is>
          <t>The WSH shall fulfil, at minimum, the following functions:</t>
        </is>
      </c>
      <c r="J128" s="125" t="inlineStr">
        <is>
          <t>Direct — exact contract section</t>
        </is>
      </c>
      <c r="K128" s="125" t="inlineStr">
        <is>
          <t>Partial evidence: OFFER response supports evaluation; it does not replace full RTM compliance.</t>
        </is>
      </c>
      <c r="L128" s="126" t="inlineStr">
        <is>
          <t>RTM-239 (WSH Requirements) and OFFER-19 (Performance / Process / Utilities) are linked only because both sit in §4.4.5.2 — a direct (shared-section) link, not a dedicated cross-reference to this specific clause.</t>
        </is>
      </c>
      <c r="M128" s="6" t="inlineStr">
        <is>
          <t>OK</t>
        </is>
      </c>
      <c r="N128" s="6" t="inlineStr">
        <is>
          <t>Canonical PDF/DOCX.</t>
        </is>
      </c>
    </row>
    <row r="129" ht="71" customHeight="1">
      <c r="A129" s="6" t="inlineStr">
        <is>
          <t>OFFER-19</t>
        </is>
      </c>
      <c r="B129" s="6" t="inlineStr">
        <is>
          <t>Warm Storage Heater (WSH) Design &amp; Layout</t>
        </is>
      </c>
      <c r="C129" s="6" t="n">
        <v>62</v>
      </c>
      <c r="D129" s="6" t="inlineStr">
        <is>
          <t>4.4.5.2</t>
        </is>
      </c>
      <c r="E129" s="6" t="inlineStr">
        <is>
          <t>RTM-240</t>
        </is>
      </c>
      <c r="F129" s="6" t="n">
        <v>61</v>
      </c>
      <c r="G129" s="6" t="inlineStr">
        <is>
          <t>4.4.5.2</t>
        </is>
      </c>
      <c r="H129" s="6" t="inlineStr">
        <is>
          <t>WSH Requirements</t>
        </is>
      </c>
      <c r="I129" s="6" t="inlineStr">
        <is>
          <t>The WSH shall include, at minimum:</t>
        </is>
      </c>
      <c r="J129" s="6" t="inlineStr">
        <is>
          <t>Direct — exact contract section</t>
        </is>
      </c>
      <c r="K129" s="6" t="inlineStr">
        <is>
          <t>Partial evidence: OFFER response supports evaluation; it does not replace full RTM compliance.</t>
        </is>
      </c>
      <c r="L129" s="83" t="inlineStr">
        <is>
          <t>RTM-240 (WSH Requirements) and OFFER-19 (Performance / Process / Utilities) are linked only because both sit in §4.4.5.2 — a direct (shared-section) link, not a dedicated cross-reference to this specific clause.</t>
        </is>
      </c>
      <c r="M129" s="6" t="inlineStr">
        <is>
          <t>OK</t>
        </is>
      </c>
      <c r="N129" s="6" t="inlineStr">
        <is>
          <t>Canonical PDF/DOCX.</t>
        </is>
      </c>
    </row>
    <row r="130" ht="71" customHeight="1">
      <c r="A130" s="125" t="inlineStr">
        <is>
          <t>OFFER-19</t>
        </is>
      </c>
      <c r="B130" s="125" t="inlineStr">
        <is>
          <t>Warm Storage Heater (WSH) Design &amp; Layout</t>
        </is>
      </c>
      <c r="C130" s="125" t="n">
        <v>62</v>
      </c>
      <c r="D130" s="125" t="inlineStr">
        <is>
          <t>4.4.5.2</t>
        </is>
      </c>
      <c r="E130" s="125" t="inlineStr">
        <is>
          <t>RTM-241</t>
        </is>
      </c>
      <c r="F130" s="125" t="n">
        <v>61</v>
      </c>
      <c r="G130" s="125" t="inlineStr">
        <is>
          <t>4.4.5.2</t>
        </is>
      </c>
      <c r="H130" s="125" t="inlineStr">
        <is>
          <t>WSH Requirements</t>
        </is>
      </c>
      <c r="I130" s="125" t="inlineStr">
        <is>
          <t>The WSH shall be dimensioned to store the total helium inventory of the QPS and the QPS Users. This shall include at least the following Design Values:</t>
        </is>
      </c>
      <c r="J130" s="125" t="inlineStr">
        <is>
          <t>Direct — exact contract section</t>
        </is>
      </c>
      <c r="K130" s="125" t="inlineStr">
        <is>
          <t>Partial evidence: OFFER response supports evaluation; it does not replace full RTM compliance.</t>
        </is>
      </c>
      <c r="L130" s="126" t="inlineStr">
        <is>
          <t>RTM-241 (WSH Requirements) and OFFER-19 (Performance / Process / Utilities) are linked only because both sit in §4.4.5.2 — a direct (shared-section) link, not a dedicated cross-reference to this specific clause.</t>
        </is>
      </c>
      <c r="M130" s="6" t="inlineStr">
        <is>
          <t>OK</t>
        </is>
      </c>
      <c r="N130" s="6" t="inlineStr">
        <is>
          <t>Canonical PDF/DOCX.</t>
        </is>
      </c>
    </row>
    <row r="131" ht="71" customHeight="1">
      <c r="A131" s="6" t="inlineStr">
        <is>
          <t>OFFER-19</t>
        </is>
      </c>
      <c r="B131" s="6" t="inlineStr">
        <is>
          <t>Warm Storage Heater (WSH) Design &amp; Layout</t>
        </is>
      </c>
      <c r="C131" s="6" t="n">
        <v>62</v>
      </c>
      <c r="D131" s="6" t="inlineStr">
        <is>
          <t>4.4.5.2</t>
        </is>
      </c>
      <c r="E131" s="6" t="inlineStr">
        <is>
          <t>RTM-242</t>
        </is>
      </c>
      <c r="F131" s="6" t="n">
        <v>61</v>
      </c>
      <c r="G131" s="6" t="inlineStr">
        <is>
          <t>4.4.5.2</t>
        </is>
      </c>
      <c r="H131" s="6" t="inlineStr">
        <is>
          <t>WSH Requirements</t>
        </is>
      </c>
      <c r="I131" s="6" t="inlineStr">
        <is>
          <t>The WSH shall consist of at least three (3) helium storage vessels.</t>
        </is>
      </c>
      <c r="J131" s="6" t="inlineStr">
        <is>
          <t>Direct — exact contract section</t>
        </is>
      </c>
      <c r="K131" s="6" t="inlineStr">
        <is>
          <t>Partial evidence: OFFER response supports evaluation; it does not replace full RTM compliance.</t>
        </is>
      </c>
      <c r="L131" s="83" t="inlineStr">
        <is>
          <t>RTM-242 (WSH Requirements) and OFFER-19 (Performance / Process / Utilities) are linked only because both sit in §4.4.5.2 — a direct (shared-section) link, not a dedicated cross-reference to this specific clause.</t>
        </is>
      </c>
      <c r="M131" s="6" t="inlineStr">
        <is>
          <t>OK</t>
        </is>
      </c>
      <c r="N131" s="6" t="inlineStr">
        <is>
          <t>Canonical PDF/DOCX.</t>
        </is>
      </c>
    </row>
    <row r="132" ht="71" customHeight="1">
      <c r="A132" s="125" t="inlineStr">
        <is>
          <t>OFFER-19</t>
        </is>
      </c>
      <c r="B132" s="125" t="inlineStr">
        <is>
          <t>Warm Storage Heater (WSH) Design &amp; Layout</t>
        </is>
      </c>
      <c r="C132" s="125" t="n">
        <v>62</v>
      </c>
      <c r="D132" s="125" t="inlineStr">
        <is>
          <t>4.4.5.2</t>
        </is>
      </c>
      <c r="E132" s="125" t="inlineStr">
        <is>
          <t>RTM-243</t>
        </is>
      </c>
      <c r="F132" s="125" t="n">
        <v>61</v>
      </c>
      <c r="G132" s="125" t="inlineStr">
        <is>
          <t>4.4.5.2</t>
        </is>
      </c>
      <c r="H132" s="125" t="inlineStr">
        <is>
          <t>WSH Requirements</t>
        </is>
      </c>
      <c r="I132" s="125" t="inlineStr">
        <is>
          <t>Each Helium storage vessel shall:</t>
        </is>
      </c>
      <c r="J132" s="125" t="inlineStr">
        <is>
          <t>Direct — exact contract section</t>
        </is>
      </c>
      <c r="K132" s="125" t="inlineStr">
        <is>
          <t>Partial evidence: OFFER response supports evaluation; it does not replace full RTM compliance.</t>
        </is>
      </c>
      <c r="L132" s="126" t="inlineStr">
        <is>
          <t>RTM-243 (WSH Requirements) and OFFER-19 (Performance / Process / Utilities) are linked only because both sit in §4.4.5.2 — a direct (shared-section) link, not a dedicated cross-reference to this specific clause.</t>
        </is>
      </c>
      <c r="M132" s="6" t="inlineStr">
        <is>
          <t>OK</t>
        </is>
      </c>
      <c r="N132" s="6" t="inlineStr">
        <is>
          <t>Canonical PDF/DOCX.</t>
        </is>
      </c>
    </row>
    <row r="133" ht="71" customHeight="1">
      <c r="A133" s="6" t="inlineStr">
        <is>
          <t>OFFER-19</t>
        </is>
      </c>
      <c r="B133" s="6" t="inlineStr">
        <is>
          <t>Warm Storage Heater (WSH) Design &amp; Layout</t>
        </is>
      </c>
      <c r="C133" s="6" t="n">
        <v>62</v>
      </c>
      <c r="D133" s="6" t="inlineStr">
        <is>
          <t>4.4.5.2</t>
        </is>
      </c>
      <c r="E133" s="6" t="inlineStr">
        <is>
          <t>RTM-244</t>
        </is>
      </c>
      <c r="F133" s="6" t="n">
        <v>61</v>
      </c>
      <c r="G133" s="6" t="inlineStr">
        <is>
          <t>4.4.5.2</t>
        </is>
      </c>
      <c r="H133" s="6" t="inlineStr">
        <is>
          <t>WSH Requirements</t>
        </is>
      </c>
      <c r="I133" s="6" t="inlineStr">
        <is>
          <t>Each Helium storage vessel shall be equipped with:</t>
        </is>
      </c>
      <c r="J133" s="6" t="inlineStr">
        <is>
          <t>Direct — exact contract section</t>
        </is>
      </c>
      <c r="K133" s="6" t="inlineStr">
        <is>
          <t>Partial evidence: OFFER response supports evaluation; it does not replace full RTM compliance.</t>
        </is>
      </c>
      <c r="L133" s="83" t="inlineStr">
        <is>
          <t>RTM-244 (WSH Requirements) and OFFER-19 (Performance / Process / Utilities) are linked only because both sit in §4.4.5.2 — a direct (shared-section) link, not a dedicated cross-reference to this specific clause.</t>
        </is>
      </c>
      <c r="M133" s="6" t="inlineStr">
        <is>
          <t>OK</t>
        </is>
      </c>
      <c r="N133" s="6" t="inlineStr">
        <is>
          <t>Canonical PDF/DOCX.</t>
        </is>
      </c>
    </row>
    <row r="134" ht="71" customHeight="1">
      <c r="A134" s="125" t="inlineStr">
        <is>
          <t>OFFER-19</t>
        </is>
      </c>
      <c r="B134" s="125" t="inlineStr">
        <is>
          <t>Warm Storage Heater (WSH) Design &amp; Layout</t>
        </is>
      </c>
      <c r="C134" s="125" t="n">
        <v>62</v>
      </c>
      <c r="D134" s="125" t="inlineStr">
        <is>
          <t>4.4.5.2</t>
        </is>
      </c>
      <c r="E134" s="125" t="inlineStr">
        <is>
          <t>RTM-245</t>
        </is>
      </c>
      <c r="F134" s="125" t="n">
        <v>61</v>
      </c>
      <c r="G134" s="125" t="inlineStr">
        <is>
          <t>4.4.5.2</t>
        </is>
      </c>
      <c r="H134" s="125" t="inlineStr">
        <is>
          <t>WSH Requirements</t>
        </is>
      </c>
      <c r="I134" s="125" t="inlineStr">
        <is>
          <t>The WSH shall be equipped with:</t>
        </is>
      </c>
      <c r="J134" s="125" t="inlineStr">
        <is>
          <t>Direct — exact contract section</t>
        </is>
      </c>
      <c r="K134" s="125" t="inlineStr">
        <is>
          <t>Partial evidence: OFFER response supports evaluation; it does not replace full RTM compliance.</t>
        </is>
      </c>
      <c r="L134" s="126" t="inlineStr">
        <is>
          <t>RTM-245 (WSH Requirements) and OFFER-19 (Performance / Process / Utilities) are linked only because both sit in §4.4.5.2 — a direct (shared-section) link, not a dedicated cross-reference to this specific clause.</t>
        </is>
      </c>
      <c r="M134" s="6" t="inlineStr">
        <is>
          <t>OK</t>
        </is>
      </c>
      <c r="N134" s="6" t="inlineStr">
        <is>
          <t>Canonical PDF/DOCX.</t>
        </is>
      </c>
    </row>
    <row r="135" ht="71" customHeight="1">
      <c r="A135" s="6" t="inlineStr">
        <is>
          <t>OFFER-19</t>
        </is>
      </c>
      <c r="B135" s="6" t="inlineStr">
        <is>
          <t>Warm Storage Heater (WSH) Design &amp; Layout</t>
        </is>
      </c>
      <c r="C135" s="6" t="n">
        <v>62</v>
      </c>
      <c r="D135" s="6" t="inlineStr">
        <is>
          <t>4.4.5.2</t>
        </is>
      </c>
      <c r="E135" s="6" t="inlineStr">
        <is>
          <t>RTM-246</t>
        </is>
      </c>
      <c r="F135" s="6" t="n">
        <v>61</v>
      </c>
      <c r="G135" s="6" t="inlineStr">
        <is>
          <t>4.4.5.2</t>
        </is>
      </c>
      <c r="H135" s="6" t="inlineStr">
        <is>
          <t>WSH Requirements</t>
        </is>
      </c>
      <c r="I135" s="6" t="inlineStr">
        <is>
          <t>The WSH design shall allow for controlled connection to the WCS lines. This shall include the capability for:</t>
        </is>
      </c>
      <c r="J135" s="6" t="inlineStr">
        <is>
          <t>Direct — exact contract section</t>
        </is>
      </c>
      <c r="K135" s="6" t="inlineStr">
        <is>
          <t>Partial evidence: OFFER response supports evaluation; it does not replace full RTM compliance.</t>
        </is>
      </c>
      <c r="L135" s="83" t="inlineStr">
        <is>
          <t>RTM-246 (WSH Requirements) and OFFER-19 (Performance / Process / Utilities) are linked only because both sit in §4.4.5.2 — a direct (shared-section) link, not a dedicated cross-reference to this specific clause.</t>
        </is>
      </c>
      <c r="M135" s="6" t="inlineStr">
        <is>
          <t>OK</t>
        </is>
      </c>
      <c r="N135" s="6" t="inlineStr">
        <is>
          <t>Canonical PDF/DOCX.</t>
        </is>
      </c>
    </row>
    <row r="136" ht="71" customHeight="1">
      <c r="A136" s="125" t="inlineStr">
        <is>
          <t>OFFER-19</t>
        </is>
      </c>
      <c r="B136" s="125" t="inlineStr">
        <is>
          <t>Warm Storage Heater (WSH) Design &amp; Layout</t>
        </is>
      </c>
      <c r="C136" s="125" t="n">
        <v>62</v>
      </c>
      <c r="D136" s="125" t="inlineStr">
        <is>
          <t>4.4.5.2</t>
        </is>
      </c>
      <c r="E136" s="125" t="inlineStr">
        <is>
          <t>RTM-247</t>
        </is>
      </c>
      <c r="F136" s="125" t="n">
        <v>61</v>
      </c>
      <c r="G136" s="125" t="inlineStr">
        <is>
          <t>4.4.5.2</t>
        </is>
      </c>
      <c r="H136" s="125" t="inlineStr">
        <is>
          <t>WSH Requirements</t>
        </is>
      </c>
      <c r="I136" s="125" t="inlineStr">
        <is>
          <t>The WSH shall include a gas-management warm panel.</t>
        </is>
      </c>
      <c r="J136" s="125" t="inlineStr">
        <is>
          <t>Direct — exact contract section</t>
        </is>
      </c>
      <c r="K136" s="125" t="inlineStr">
        <is>
          <t>Partial evidence: OFFER response supports evaluation; it does not replace full RTM compliance.</t>
        </is>
      </c>
      <c r="L136" s="126" t="inlineStr">
        <is>
          <t>RTM-247 (WSH Requirements) and OFFER-19 (Performance / Process / Utilities) are linked only because both sit in §4.4.5.2 — a direct (shared-section) link, not a dedicated cross-reference to this specific clause.</t>
        </is>
      </c>
      <c r="M136" s="6" t="inlineStr">
        <is>
          <t>OK</t>
        </is>
      </c>
      <c r="N136" s="6" t="inlineStr">
        <is>
          <t>Canonical PDF/DOCX.</t>
        </is>
      </c>
    </row>
    <row r="137" ht="71" customHeight="1">
      <c r="A137" s="6" t="inlineStr">
        <is>
          <t>OFFER-19</t>
        </is>
      </c>
      <c r="B137" s="6" t="inlineStr">
        <is>
          <t>Warm Storage Heater (WSH) Design &amp; Layout</t>
        </is>
      </c>
      <c r="C137" s="6" t="n">
        <v>62</v>
      </c>
      <c r="D137" s="6" t="inlineStr">
        <is>
          <t>4.4.5.2</t>
        </is>
      </c>
      <c r="E137" s="6" t="inlineStr">
        <is>
          <t>RTM-248</t>
        </is>
      </c>
      <c r="F137" s="6" t="n">
        <v>62</v>
      </c>
      <c r="G137" s="6" t="inlineStr">
        <is>
          <t>4.4.5.2</t>
        </is>
      </c>
      <c r="H137" s="6" t="inlineStr">
        <is>
          <t>WSH Requirements</t>
        </is>
      </c>
      <c r="I137" s="6" t="inlineStr">
        <is>
          <t>The Contractor shall propose the final layout, volume, and positioning of the WSH during the Conceptual Design phase.</t>
        </is>
      </c>
      <c r="J137" s="6" t="inlineStr">
        <is>
          <t>Direct — exact contract section</t>
        </is>
      </c>
      <c r="K137" s="6" t="inlineStr">
        <is>
          <t>Partial evidence: OFFER response supports evaluation; it does not replace full RTM compliance.</t>
        </is>
      </c>
      <c r="L137" s="83" t="inlineStr">
        <is>
          <t>RTM-248 (WSH Requirements) and OFFER-19 (Performance / Process / Utilities) are linked only because both sit in §4.4.5.2 — a direct (shared-section) link, not a dedicated cross-reference to this specific clause.</t>
        </is>
      </c>
      <c r="M137" s="6" t="inlineStr">
        <is>
          <t>OK</t>
        </is>
      </c>
      <c r="N137" s="6" t="inlineStr">
        <is>
          <t>Canonical PDF/DOCX.</t>
        </is>
      </c>
    </row>
    <row r="138" ht="71" customHeight="1">
      <c r="A138" s="125" t="inlineStr">
        <is>
          <t>OFFER-20</t>
        </is>
      </c>
      <c r="B138" s="125" t="inlineStr">
        <is>
          <t>Helium Leak Detection &amp; Loss Management</t>
        </is>
      </c>
      <c r="C138" s="125" t="n">
        <v>63</v>
      </c>
      <c r="D138" s="125" t="inlineStr">
        <is>
          <t>4.4.7</t>
        </is>
      </c>
      <c r="E138" s="125" t="inlineStr">
        <is>
          <t>RTM-252</t>
        </is>
      </c>
      <c r="F138" s="125" t="n">
        <v>62</v>
      </c>
      <c r="G138" s="125" t="inlineStr">
        <is>
          <t>4.4.7</t>
        </is>
      </c>
      <c r="H138" s="125" t="inlineStr">
        <is>
          <t>Helium Inventory Management</t>
        </is>
      </c>
      <c r="I138" s="125" t="inlineStr">
        <is>
          <t>The QPS shall minimize helium loss under all operating conditions, including failure modes.</t>
        </is>
      </c>
      <c r="J138" s="125" t="inlineStr">
        <is>
          <t>Direct — exact contract section</t>
        </is>
      </c>
      <c r="K138" s="125" t="inlineStr">
        <is>
          <t>Partial evidence: OFFER response supports evaluation; it does not replace full RTM compliance.</t>
        </is>
      </c>
      <c r="L138" s="126" t="inlineStr">
        <is>
          <t>RTM-252 (Helium Inventory Management) and OFFER-20 (Reliability / RAM / Service) are linked only because both sit in §4.4.7 — a direct (shared-section) link, not a dedicated cross-reference to this specific clause.</t>
        </is>
      </c>
      <c r="M138" s="6" t="inlineStr">
        <is>
          <t>OK</t>
        </is>
      </c>
      <c r="N138" s="6" t="inlineStr">
        <is>
          <t>Canonical PDF/DOCX.</t>
        </is>
      </c>
    </row>
    <row r="139" ht="71" customHeight="1">
      <c r="A139" s="6" t="inlineStr">
        <is>
          <t>OFFER-20</t>
        </is>
      </c>
      <c r="B139" s="6" t="inlineStr">
        <is>
          <t>Helium Leak Detection &amp; Loss Management</t>
        </is>
      </c>
      <c r="C139" s="6" t="n">
        <v>63</v>
      </c>
      <c r="D139" s="6" t="inlineStr">
        <is>
          <t>4.4.7</t>
        </is>
      </c>
      <c r="E139" s="6" t="inlineStr">
        <is>
          <t>RTM-253</t>
        </is>
      </c>
      <c r="F139" s="6" t="n">
        <v>62</v>
      </c>
      <c r="G139" s="6" t="inlineStr">
        <is>
          <t>4.4.7</t>
        </is>
      </c>
      <c r="H139" s="6" t="inlineStr">
        <is>
          <t>Helium Inventory Management</t>
        </is>
      </c>
      <c r="I139" s="6" t="inlineStr">
        <is>
          <t>In normal operation, the QPS shall lose no more than 1 Nm³ of helium per day.</t>
        </is>
      </c>
      <c r="J139" s="6" t="inlineStr">
        <is>
          <t>Direct — exact contract section</t>
        </is>
      </c>
      <c r="K139" s="6" t="inlineStr">
        <is>
          <t>Partial evidence: OFFER response supports evaluation; it does not replace full RTM compliance.</t>
        </is>
      </c>
      <c r="L139" s="83" t="inlineStr">
        <is>
          <t>RTM-253 (Helium Inventory Management) and OFFER-20 (Reliability / RAM / Service) are linked only because both sit in §4.4.7 — a direct (shared-section) link, not a dedicated cross-reference to this specific clause.</t>
        </is>
      </c>
      <c r="M139" s="6" t="inlineStr">
        <is>
          <t>OK</t>
        </is>
      </c>
      <c r="N139" s="6" t="inlineStr">
        <is>
          <t>Canonical PDF/DOCX.</t>
        </is>
      </c>
    </row>
    <row r="140" ht="71" customHeight="1">
      <c r="A140" s="125" t="inlineStr">
        <is>
          <t>OFFER-20</t>
        </is>
      </c>
      <c r="B140" s="125" t="inlineStr">
        <is>
          <t>Helium Leak Detection &amp; Loss Management</t>
        </is>
      </c>
      <c r="C140" s="125" t="n">
        <v>63</v>
      </c>
      <c r="D140" s="125" t="inlineStr">
        <is>
          <t>4.4.7</t>
        </is>
      </c>
      <c r="E140" s="125" t="inlineStr">
        <is>
          <t>RTM-254</t>
        </is>
      </c>
      <c r="F140" s="125" t="n">
        <v>62</v>
      </c>
      <c r="G140" s="125" t="inlineStr">
        <is>
          <t>4.4.7</t>
        </is>
      </c>
      <c r="H140" s="125" t="inlineStr">
        <is>
          <t>Helium Inventory Management</t>
        </is>
      </c>
      <c r="I140" s="125" t="inlineStr">
        <is>
          <t>The Contractor shall implement a helium leak-detection and monitoring system in accordance with EN 13185:2001, Clause 6.2, or an equivalent methodology.</t>
        </is>
      </c>
      <c r="J140" s="125" t="inlineStr">
        <is>
          <t>Direct — exact contract section</t>
        </is>
      </c>
      <c r="K140" s="125" t="inlineStr">
        <is>
          <t>Partial evidence: OFFER response supports evaluation; it does not replace full RTM compliance.</t>
        </is>
      </c>
      <c r="L140" s="126" t="inlineStr">
        <is>
          <t>RTM-254 (Helium Inventory Management) and OFFER-20 (Reliability / RAM / Service) are linked only because both sit in §4.4.7 — a direct (shared-section) link, not a dedicated cross-reference to this specific clause.</t>
        </is>
      </c>
      <c r="M140" s="6" t="inlineStr">
        <is>
          <t>OK</t>
        </is>
      </c>
      <c r="N140" s="6" t="inlineStr">
        <is>
          <t>Canonical PDF/DOCX.</t>
        </is>
      </c>
    </row>
    <row r="141" ht="71" customHeight="1">
      <c r="A141" s="6" t="inlineStr">
        <is>
          <t>OFFER-20</t>
        </is>
      </c>
      <c r="B141" s="6" t="inlineStr">
        <is>
          <t>Helium Leak Detection &amp; Loss Management</t>
        </is>
      </c>
      <c r="C141" s="6" t="n">
        <v>63</v>
      </c>
      <c r="D141" s="6" t="inlineStr">
        <is>
          <t>4.4.7</t>
        </is>
      </c>
      <c r="E141" s="6" t="inlineStr">
        <is>
          <t>RTM-255</t>
        </is>
      </c>
      <c r="F141" s="6" t="n">
        <v>62</v>
      </c>
      <c r="G141" s="6" t="inlineStr">
        <is>
          <t>4.4.7</t>
        </is>
      </c>
      <c r="H141" s="6" t="inlineStr">
        <is>
          <t>Helium Inventory Management</t>
        </is>
      </c>
      <c r="I141" s="6" t="inlineStr">
        <is>
          <t>The Contractor shall qualify the QPS for leak-tightness under operational and standby conditions.</t>
        </is>
      </c>
      <c r="J141" s="6" t="inlineStr">
        <is>
          <t>Direct — exact contract section</t>
        </is>
      </c>
      <c r="K141" s="6" t="inlineStr">
        <is>
          <t>Partial evidence: OFFER response supports evaluation; it does not replace full RTM compliance.</t>
        </is>
      </c>
      <c r="L141" s="83" t="inlineStr">
        <is>
          <t>RTM-255 (Helium Inventory Management) and OFFER-20 (Reliability / RAM / Service) are linked only because both sit in §4.4.7 — a direct (shared-section) link, not a dedicated cross-reference to this specific clause.</t>
        </is>
      </c>
      <c r="M141" s="6" t="inlineStr">
        <is>
          <t>OK</t>
        </is>
      </c>
      <c r="N141" s="6" t="inlineStr">
        <is>
          <t>Canonical PDF/DOCX.</t>
        </is>
      </c>
    </row>
    <row r="142" ht="71" customHeight="1">
      <c r="A142" s="125" t="inlineStr">
        <is>
          <t>OFFER-20</t>
        </is>
      </c>
      <c r="B142" s="125" t="inlineStr">
        <is>
          <t>Helium Leak Detection &amp; Loss Management</t>
        </is>
      </c>
      <c r="C142" s="125" t="n">
        <v>63</v>
      </c>
      <c r="D142" s="125" t="inlineStr">
        <is>
          <t>4.4.7</t>
        </is>
      </c>
      <c r="E142" s="125" t="inlineStr">
        <is>
          <t>RTM-256</t>
        </is>
      </c>
      <c r="F142" s="125" t="n">
        <v>62</v>
      </c>
      <c r="G142" s="125" t="inlineStr">
        <is>
          <t>4.4.7</t>
        </is>
      </c>
      <c r="H142" s="125" t="inlineStr">
        <is>
          <t>Helium Inventory Management</t>
        </is>
      </c>
      <c r="I142" s="125" t="inlineStr">
        <is>
          <t>The QPLANT shall be dimensioned on the basis of the helium inventory required by the Cryogenic Users, as specified in</t>
        </is>
      </c>
      <c r="J142" s="125" t="inlineStr">
        <is>
          <t>Direct — exact contract section</t>
        </is>
      </c>
      <c r="K142" s="125" t="inlineStr">
        <is>
          <t>Partial evidence: OFFER response supports evaluation; it does not replace full RTM compliance.</t>
        </is>
      </c>
      <c r="L142" s="126" t="inlineStr">
        <is>
          <t>RTM-256 (Helium Inventory Management) and OFFER-20 (Reliability / RAM / Service) are linked only because both sit in §4.4.7 — a direct (shared-section) link, not a dedicated cross-reference to this specific clause.</t>
        </is>
      </c>
      <c r="M142" s="6" t="inlineStr">
        <is>
          <t>OK</t>
        </is>
      </c>
      <c r="N142" s="6" t="inlineStr">
        <is>
          <t>Canonical PDF/DOCX.</t>
        </is>
      </c>
    </row>
    <row r="143" ht="71" customHeight="1">
      <c r="A143" s="6" t="inlineStr">
        <is>
          <t>OFFER-20</t>
        </is>
      </c>
      <c r="B143" s="6" t="inlineStr">
        <is>
          <t>Helium Leak Detection &amp; Loss Management</t>
        </is>
      </c>
      <c r="C143" s="6" t="n">
        <v>63</v>
      </c>
      <c r="D143" s="6" t="inlineStr">
        <is>
          <t>4.4.7</t>
        </is>
      </c>
      <c r="E143" s="6" t="inlineStr">
        <is>
          <t>RTM-257</t>
        </is>
      </c>
      <c r="F143" s="6" t="n">
        <v>62</v>
      </c>
      <c r="G143" s="6" t="inlineStr">
        <is>
          <t>4.4.7</t>
        </is>
      </c>
      <c r="H143" s="6" t="inlineStr">
        <is>
          <t>Helium Inventory Management</t>
        </is>
      </c>
      <c r="I143" s="6" t="inlineStr">
        <is>
          <t>Table 17.</t>
        </is>
      </c>
      <c r="J143" s="6" t="inlineStr">
        <is>
          <t>Direct — exact contract section</t>
        </is>
      </c>
      <c r="K143" s="6" t="inlineStr">
        <is>
          <t>Partial evidence: OFFER response supports evaluation; it does not replace full RTM compliance.</t>
        </is>
      </c>
      <c r="L143" s="83" t="inlineStr">
        <is>
          <t>RTM-257 (Helium Inventory Management) and OFFER-20 (Reliability / RAM / Service) are linked only because both sit in §4.4.7 — a direct (shared-section) link, not a dedicated cross-reference to this specific clause.</t>
        </is>
      </c>
      <c r="M143" s="6" t="inlineStr">
        <is>
          <t>OK</t>
        </is>
      </c>
      <c r="N143" s="6" t="inlineStr">
        <is>
          <t>Canonical PDF/DOCX.</t>
        </is>
      </c>
    </row>
    <row r="144" ht="42" customHeight="1">
      <c r="A144" s="125" t="inlineStr">
        <is>
          <t>OFFER-20</t>
        </is>
      </c>
      <c r="B144" s="125" t="inlineStr">
        <is>
          <t>Helium Leak Detection &amp; Loss Management</t>
        </is>
      </c>
      <c r="C144" s="125" t="n">
        <v>63</v>
      </c>
      <c r="D144" s="125" t="inlineStr">
        <is>
          <t>4.4.7</t>
        </is>
      </c>
      <c r="E144" s="125" t="inlineStr">
        <is>
          <t>RTM-258</t>
        </is>
      </c>
      <c r="F144" s="125" t="n">
        <v>63</v>
      </c>
      <c r="G144" s="125" t="inlineStr">
        <is>
          <t>4.4.7.1</t>
        </is>
      </c>
      <c r="H144" s="125" t="inlineStr">
        <is>
          <t>LOOP</t>
        </is>
      </c>
      <c r="I144" s="125" t="inlineStr">
        <is>
          <t>In case of LOOP, the QPS shall use the limited services (as defined in the respective sections) to avoid helium inventory loss while maintaining the safety of the installation.</t>
        </is>
      </c>
      <c r="J144" s="125" t="inlineStr">
        <is>
          <t>Supporting — helium inventory child sections</t>
        </is>
      </c>
      <c r="K144" s="125" t="inlineStr">
        <is>
          <t>Supporting/contextual evidence only; not full RTM fulfilment.</t>
        </is>
      </c>
      <c r="L144" s="125" t="inlineStr">
        <is>
          <t>Leak/loss and monitoring evidence spans the helium-inventory child sections.</t>
        </is>
      </c>
      <c r="M144" s="6" t="inlineStr">
        <is>
          <t>Review breadth</t>
        </is>
      </c>
      <c r="N144" s="6" t="inlineStr">
        <is>
          <t>Canonical PDF/DOCX.</t>
        </is>
      </c>
    </row>
    <row r="145" ht="42" customHeight="1">
      <c r="A145" s="6" t="inlineStr">
        <is>
          <t>OFFER-20</t>
        </is>
      </c>
      <c r="B145" s="6" t="inlineStr">
        <is>
          <t>Helium Leak Detection &amp; Loss Management</t>
        </is>
      </c>
      <c r="C145" s="6" t="n">
        <v>63</v>
      </c>
      <c r="D145" s="6" t="inlineStr">
        <is>
          <t>4.4.7</t>
        </is>
      </c>
      <c r="E145" s="6" t="inlineStr">
        <is>
          <t>RTM-259</t>
        </is>
      </c>
      <c r="F145" s="6" t="n">
        <v>63</v>
      </c>
      <c r="G145" s="6" t="inlineStr">
        <is>
          <t>4.4.7.2</t>
        </is>
      </c>
      <c r="H145" s="6" t="inlineStr">
        <is>
          <t>Purging</t>
        </is>
      </c>
      <c r="I145" s="6" t="inlineStr">
        <is>
          <t>The Contractor shall install all equipment and connections necessary to allow purging and conditioning of the QPS.</t>
        </is>
      </c>
      <c r="J145" s="6" t="inlineStr">
        <is>
          <t>Supporting — helium inventory child sections</t>
        </is>
      </c>
      <c r="K145" s="6" t="inlineStr">
        <is>
          <t>Supporting/contextual evidence only; not full RTM fulfilment.</t>
        </is>
      </c>
      <c r="L145" s="6" t="inlineStr">
        <is>
          <t>Leak/loss and monitoring evidence spans the helium-inventory child sections.</t>
        </is>
      </c>
      <c r="M145" s="6" t="inlineStr">
        <is>
          <t>Review breadth</t>
        </is>
      </c>
      <c r="N145" s="6" t="inlineStr">
        <is>
          <t>Canonical PDF/DOCX.</t>
        </is>
      </c>
    </row>
    <row r="146" ht="42" customHeight="1">
      <c r="A146" s="125" t="inlineStr">
        <is>
          <t>OFFER-20</t>
        </is>
      </c>
      <c r="B146" s="125" t="inlineStr">
        <is>
          <t>Helium Leak Detection &amp; Loss Management</t>
        </is>
      </c>
      <c r="C146" s="125" t="n">
        <v>63</v>
      </c>
      <c r="D146" s="125" t="inlineStr">
        <is>
          <t>4.4.7</t>
        </is>
      </c>
      <c r="E146" s="125" t="inlineStr">
        <is>
          <t>RTM-260</t>
        </is>
      </c>
      <c r="F146" s="125" t="n">
        <v>64</v>
      </c>
      <c r="G146" s="125" t="inlineStr">
        <is>
          <t>4.4.7.3</t>
        </is>
      </c>
      <c r="H146" s="125" t="inlineStr">
        <is>
          <t>Abnormal conditions</t>
        </is>
      </c>
      <c r="I146" s="125" t="inlineStr">
        <is>
          <t>In case of QPS internal abnormal events, including those leading to abnormal conditions for the Cryogenic Users, no more than 1 % of the total helium inventory shall be lost.</t>
        </is>
      </c>
      <c r="J146" s="125" t="inlineStr">
        <is>
          <t>Supporting — helium inventory child sections</t>
        </is>
      </c>
      <c r="K146" s="125" t="inlineStr">
        <is>
          <t>Supporting/contextual evidence only; not full RTM fulfilment.</t>
        </is>
      </c>
      <c r="L146" s="125" t="inlineStr">
        <is>
          <t>Leak/loss and monitoring evidence spans the helium-inventory child sections.</t>
        </is>
      </c>
      <c r="M146" s="6" t="inlineStr">
        <is>
          <t>Review breadth</t>
        </is>
      </c>
      <c r="N146" s="6" t="inlineStr">
        <is>
          <t>Canonical PDF/DOCX.</t>
        </is>
      </c>
    </row>
    <row r="147" ht="42" customHeight="1">
      <c r="A147" s="6" t="inlineStr">
        <is>
          <t>OFFER-20</t>
        </is>
      </c>
      <c r="B147" s="6" t="inlineStr">
        <is>
          <t>Helium Leak Detection &amp; Loss Management</t>
        </is>
      </c>
      <c r="C147" s="6" t="n">
        <v>63</v>
      </c>
      <c r="D147" s="6" t="inlineStr">
        <is>
          <t>4.4.7</t>
        </is>
      </c>
      <c r="E147" s="6" t="inlineStr">
        <is>
          <t>RTM-261</t>
        </is>
      </c>
      <c r="F147" s="6" t="n">
        <v>64</v>
      </c>
      <c r="G147" s="6" t="inlineStr">
        <is>
          <t>4.4.7.3</t>
        </is>
      </c>
      <c r="H147" s="6" t="inlineStr">
        <is>
          <t>Abnormal conditions</t>
        </is>
      </c>
      <c r="I147" s="6" t="inlineStr">
        <is>
          <t>In case of abnormal conditions at the Cryogenic Users, the QPS shall cope, without loss of inventory, with a helium flow returning through line QRB.S of:</t>
        </is>
      </c>
      <c r="J147" s="6" t="inlineStr">
        <is>
          <t>Supporting — helium inventory child sections</t>
        </is>
      </c>
      <c r="K147" s="6" t="inlineStr">
        <is>
          <t>Supporting/contextual evidence only; not full RTM fulfilment.</t>
        </is>
      </c>
      <c r="L147" s="6" t="inlineStr">
        <is>
          <t>Leak/loss and monitoring evidence spans the helium-inventory child sections.</t>
        </is>
      </c>
      <c r="M147" s="6" t="inlineStr">
        <is>
          <t>Review breadth</t>
        </is>
      </c>
      <c r="N147" s="6" t="inlineStr">
        <is>
          <t>Canonical PDF/DOCX.</t>
        </is>
      </c>
    </row>
    <row r="148" ht="42" customHeight="1">
      <c r="A148" s="125" t="inlineStr">
        <is>
          <t>OFFER-20</t>
        </is>
      </c>
      <c r="B148" s="125" t="inlineStr">
        <is>
          <t>Helium Leak Detection &amp; Loss Management</t>
        </is>
      </c>
      <c r="C148" s="125" t="n">
        <v>63</v>
      </c>
      <c r="D148" s="125" t="inlineStr">
        <is>
          <t>4.4.7</t>
        </is>
      </c>
      <c r="E148" s="125" t="inlineStr">
        <is>
          <t>RTM-262</t>
        </is>
      </c>
      <c r="F148" s="125" t="n">
        <v>64</v>
      </c>
      <c r="G148" s="125" t="inlineStr">
        <is>
          <t>4.4.7.3</t>
        </is>
      </c>
      <c r="H148" s="125" t="inlineStr">
        <is>
          <t>Abnormal conditions</t>
        </is>
      </c>
      <c r="I148" s="125" t="inlineStr">
        <is>
          <t>The QPS shall have a procedure to recover normal helium circulation once the initiated abnormal event is resolved.</t>
        </is>
      </c>
      <c r="J148" s="125" t="inlineStr">
        <is>
          <t>Supporting — helium inventory child sections</t>
        </is>
      </c>
      <c r="K148" s="125" t="inlineStr">
        <is>
          <t>Supporting/contextual evidence only; not full RTM fulfilment.</t>
        </is>
      </c>
      <c r="L148" s="125" t="inlineStr">
        <is>
          <t>Leak/loss and monitoring evidence spans the helium-inventory child sections.</t>
        </is>
      </c>
      <c r="M148" s="6" t="inlineStr">
        <is>
          <t>Review breadth</t>
        </is>
      </c>
      <c r="N148" s="6" t="inlineStr">
        <is>
          <t>Canonical PDF/DOCX.</t>
        </is>
      </c>
    </row>
    <row r="149" ht="58" customHeight="1">
      <c r="A149" s="6" t="inlineStr">
        <is>
          <t>OFFER-21</t>
        </is>
      </c>
      <c r="B149" s="6" t="inlineStr">
        <is>
          <t>LOOP Strategy &amp; Critical Load Management</t>
        </is>
      </c>
      <c r="C149" s="6" t="n">
        <v>63</v>
      </c>
      <c r="D149" s="6" t="inlineStr">
        <is>
          <t>4.4.7.1</t>
        </is>
      </c>
      <c r="E149" s="6" t="inlineStr">
        <is>
          <t>RTM-258</t>
        </is>
      </c>
      <c r="F149" s="6" t="n">
        <v>63</v>
      </c>
      <c r="G149" s="6" t="inlineStr">
        <is>
          <t>4.4.7.1</t>
        </is>
      </c>
      <c r="H149" s="6" t="inlineStr">
        <is>
          <t>LOOP</t>
        </is>
      </c>
      <c r="I149" s="6" t="inlineStr">
        <is>
          <t>In case of LOOP, the QPS shall use the limited services (as defined in the respective sections) to avoid helium inventory loss while maintaining the safety of the installation.</t>
        </is>
      </c>
      <c r="J149" s="6" t="inlineStr">
        <is>
          <t>Direct — exact contract section</t>
        </is>
      </c>
      <c r="K149" s="6" t="inlineStr">
        <is>
          <t>Partial evidence: OFFER response supports evaluation; it does not replace full RTM compliance.</t>
        </is>
      </c>
      <c r="L149" s="83" t="inlineStr">
        <is>
          <t>RTM-258 (LOOP) and OFFER-21 (Reliability / RAM / Service) are linked only because both sit in §4.4.7.1 — a direct (shared-section) link, not a dedicated cross-reference to this specific clause.</t>
        </is>
      </c>
      <c r="M149" s="6" t="inlineStr">
        <is>
          <t>OK</t>
        </is>
      </c>
      <c r="N149" s="6" t="inlineStr">
        <is>
          <t>Canonical PDF/DOCX.</t>
        </is>
      </c>
    </row>
    <row r="150" ht="58" customHeight="1">
      <c r="A150" s="125" t="inlineStr">
        <is>
          <t>OFFER-22</t>
        </is>
      </c>
      <c r="B150" s="125" t="inlineStr">
        <is>
          <t>Helium Recovery System Design</t>
        </is>
      </c>
      <c r="C150" s="125" t="n">
        <v>64</v>
      </c>
      <c r="D150" s="125" t="inlineStr">
        <is>
          <t>4.4.7.3</t>
        </is>
      </c>
      <c r="E150" s="125" t="inlineStr">
        <is>
          <t>RTM-260</t>
        </is>
      </c>
      <c r="F150" s="125" t="n">
        <v>64</v>
      </c>
      <c r="G150" s="125" t="inlineStr">
        <is>
          <t>4.4.7.3</t>
        </is>
      </c>
      <c r="H150" s="125" t="inlineStr">
        <is>
          <t>Abnormal conditions</t>
        </is>
      </c>
      <c r="I150" s="125" t="inlineStr">
        <is>
          <t>In case of QPS internal abnormal events, including those leading to abnormal conditions for the Cryogenic Users, no more than 1 % of the total helium inventory shall be lost.</t>
        </is>
      </c>
      <c r="J150" s="125" t="inlineStr">
        <is>
          <t>Direct — exact contract section</t>
        </is>
      </c>
      <c r="K150" s="125" t="inlineStr">
        <is>
          <t>Partial evidence: OFFER response supports evaluation; it does not replace full RTM compliance.</t>
        </is>
      </c>
      <c r="L150" s="126" t="inlineStr">
        <is>
          <t>RTM-260 (Abnormal conditions) and OFFER-22 (Reliability / RAM / Service) are linked only because both sit in §4.4.7.3 — a direct (shared-section) link, not a dedicated cross-reference to this specific clause.</t>
        </is>
      </c>
      <c r="M150" s="6" t="inlineStr">
        <is>
          <t>OK</t>
        </is>
      </c>
      <c r="N150" s="6" t="inlineStr">
        <is>
          <t>Canonical PDF/DOCX.</t>
        </is>
      </c>
    </row>
    <row r="151" ht="58" customHeight="1">
      <c r="A151" s="6" t="inlineStr">
        <is>
          <t>OFFER-22</t>
        </is>
      </c>
      <c r="B151" s="6" t="inlineStr">
        <is>
          <t>Helium Recovery System Design</t>
        </is>
      </c>
      <c r="C151" s="6" t="n">
        <v>64</v>
      </c>
      <c r="D151" s="6" t="inlineStr">
        <is>
          <t>4.4.7.3</t>
        </is>
      </c>
      <c r="E151" s="6" t="inlineStr">
        <is>
          <t>RTM-261</t>
        </is>
      </c>
      <c r="F151" s="6" t="n">
        <v>64</v>
      </c>
      <c r="G151" s="6" t="inlineStr">
        <is>
          <t>4.4.7.3</t>
        </is>
      </c>
      <c r="H151" s="6" t="inlineStr">
        <is>
          <t>Abnormal conditions</t>
        </is>
      </c>
      <c r="I151" s="6" t="inlineStr">
        <is>
          <t>In case of abnormal conditions at the Cryogenic Users, the QPS shall cope, without loss of inventory, with a helium flow returning through line QRB.S of:</t>
        </is>
      </c>
      <c r="J151" s="6" t="inlineStr">
        <is>
          <t>Direct — exact contract section</t>
        </is>
      </c>
      <c r="K151" s="6" t="inlineStr">
        <is>
          <t>Partial evidence: OFFER response supports evaluation; it does not replace full RTM compliance.</t>
        </is>
      </c>
      <c r="L151" s="83" t="inlineStr">
        <is>
          <t>RTM-261 (Abnormal conditions) and OFFER-22 (Reliability / RAM / Service) are linked only because both sit in §4.4.7.3 — a direct (shared-section) link, not a dedicated cross-reference to this specific clause.</t>
        </is>
      </c>
      <c r="M151" s="6" t="inlineStr">
        <is>
          <t>OK</t>
        </is>
      </c>
      <c r="N151" s="6" t="inlineStr">
        <is>
          <t>Canonical PDF/DOCX.</t>
        </is>
      </c>
    </row>
    <row r="152" ht="58" customHeight="1">
      <c r="A152" s="125" t="inlineStr">
        <is>
          <t>OFFER-22</t>
        </is>
      </c>
      <c r="B152" s="125" t="inlineStr">
        <is>
          <t>Helium Recovery System Design</t>
        </is>
      </c>
      <c r="C152" s="125" t="n">
        <v>64</v>
      </c>
      <c r="D152" s="125" t="inlineStr">
        <is>
          <t>4.4.7.3</t>
        </is>
      </c>
      <c r="E152" s="125" t="inlineStr">
        <is>
          <t>RTM-262</t>
        </is>
      </c>
      <c r="F152" s="125" t="n">
        <v>64</v>
      </c>
      <c r="G152" s="125" t="inlineStr">
        <is>
          <t>4.4.7.3</t>
        </is>
      </c>
      <c r="H152" s="125" t="inlineStr">
        <is>
          <t>Abnormal conditions</t>
        </is>
      </c>
      <c r="I152" s="125" t="inlineStr">
        <is>
          <t>The QPS shall have a procedure to recover normal helium circulation once the initiated abnormal event is resolved.</t>
        </is>
      </c>
      <c r="J152" s="125" t="inlineStr">
        <is>
          <t>Direct — exact contract section</t>
        </is>
      </c>
      <c r="K152" s="125" t="inlineStr">
        <is>
          <t>Partial evidence: OFFER response supports evaluation; it does not replace full RTM compliance.</t>
        </is>
      </c>
      <c r="L152" s="126" t="inlineStr">
        <is>
          <t>RTM-262 (Abnormal conditions) and OFFER-22 (Reliability / RAM / Service) are linked only because both sit in §4.4.7.3 — a direct (shared-section) link, not a dedicated cross-reference to this specific clause.</t>
        </is>
      </c>
      <c r="M152" s="6" t="inlineStr">
        <is>
          <t>OK</t>
        </is>
      </c>
      <c r="N152" s="6" t="inlineStr">
        <is>
          <t>Canonical PDF/DOCX.</t>
        </is>
      </c>
    </row>
    <row r="153" ht="71" customHeight="1">
      <c r="A153" s="6" t="inlineStr">
        <is>
          <t>OFFER-23</t>
        </is>
      </c>
      <c r="B153" s="6" t="inlineStr">
        <is>
          <t>User Configuration Filling Performance</t>
        </is>
      </c>
      <c r="C153" s="6" t="n">
        <v>65</v>
      </c>
      <c r="D153" s="6" t="inlineStr">
        <is>
          <t>4.4.8.1</t>
        </is>
      </c>
      <c r="E153" s="6" t="inlineStr">
        <is>
          <t>RTM-268</t>
        </is>
      </c>
      <c r="F153" s="6" t="n">
        <v>65</v>
      </c>
      <c r="G153" s="6" t="inlineStr">
        <is>
          <t>4.4.8.1</t>
        </is>
      </c>
      <c r="H153" s="6" t="inlineStr">
        <is>
          <t>Dewar Filling Station</t>
        </is>
      </c>
      <c r="I153" s="6" t="inlineStr">
        <is>
          <t>The Dewar Filling Station shall be designed to accommodate a mobile dewar with a nominal capacity of up to 500L.</t>
        </is>
      </c>
      <c r="J153" s="6" t="inlineStr">
        <is>
          <t>Direct — exact contract section</t>
        </is>
      </c>
      <c r="K153" s="6" t="inlineStr">
        <is>
          <t>Partial evidence: OFFER response supports evaluation; it does not replace full RTM compliance.</t>
        </is>
      </c>
      <c r="L153" s="83" t="inlineStr">
        <is>
          <t>RTM-268 (Dewar Filling Station) and OFFER-23 (Performance / Process / Utilities) are linked only because both sit in §4.4.8.1 — a direct (shared-section) link, not a dedicated cross-reference to this specific clause.</t>
        </is>
      </c>
      <c r="M153" s="6" t="inlineStr">
        <is>
          <t>OK</t>
        </is>
      </c>
      <c r="N153" s="6" t="inlineStr">
        <is>
          <t>Canonical PDF/DOCX.</t>
        </is>
      </c>
    </row>
    <row r="154" ht="71" customHeight="1">
      <c r="A154" s="125" t="inlineStr">
        <is>
          <t>OFFER-23</t>
        </is>
      </c>
      <c r="B154" s="125" t="inlineStr">
        <is>
          <t>User Configuration Filling Performance</t>
        </is>
      </c>
      <c r="C154" s="125" t="n">
        <v>65</v>
      </c>
      <c r="D154" s="125" t="inlineStr">
        <is>
          <t>4.4.8.1</t>
        </is>
      </c>
      <c r="E154" s="125" t="inlineStr">
        <is>
          <t>RTM-269</t>
        </is>
      </c>
      <c r="F154" s="125" t="n">
        <v>65</v>
      </c>
      <c r="G154" s="125" t="inlineStr">
        <is>
          <t>4.4.8.1</t>
        </is>
      </c>
      <c r="H154" s="125" t="inlineStr">
        <is>
          <t>Dewar Filling Station</t>
        </is>
      </c>
      <c r="I154" s="125" t="inlineStr">
        <is>
          <t>Within the operational and boundary constraints defined in RTM-264, the Dewar Filling Station shall be designed to accommodate the following LHe filling requirements:</t>
        </is>
      </c>
      <c r="J154" s="125" t="inlineStr">
        <is>
          <t>Direct — exact contract section</t>
        </is>
      </c>
      <c r="K154" s="125" t="inlineStr">
        <is>
          <t>Partial evidence: OFFER response supports evaluation; it does not replace full RTM compliance.</t>
        </is>
      </c>
      <c r="L154" s="126" t="inlineStr">
        <is>
          <t>RTM-269 (Dewar Filling Station) and OFFER-23 (Performance / Process / Utilities) are linked only because both sit in §4.4.8.1 — a direct (shared-section) link, not a dedicated cross-reference to this specific clause.</t>
        </is>
      </c>
      <c r="M154" s="6" t="inlineStr">
        <is>
          <t>OK</t>
        </is>
      </c>
      <c r="N154" s="6" t="inlineStr">
        <is>
          <t>Canonical PDF/DOCX.</t>
        </is>
      </c>
    </row>
    <row r="155" ht="71" customHeight="1">
      <c r="A155" s="6" t="inlineStr">
        <is>
          <t>OFFER-23</t>
        </is>
      </c>
      <c r="B155" s="6" t="inlineStr">
        <is>
          <t>User Configuration Filling Performance</t>
        </is>
      </c>
      <c r="C155" s="6" t="n">
        <v>65</v>
      </c>
      <c r="D155" s="6" t="inlineStr">
        <is>
          <t>4.4.8.1</t>
        </is>
      </c>
      <c r="E155" s="6" t="inlineStr">
        <is>
          <t>RTM-270</t>
        </is>
      </c>
      <c r="F155" s="6" t="n">
        <v>65</v>
      </c>
      <c r="G155" s="6" t="inlineStr">
        <is>
          <t>4.4.8.1</t>
        </is>
      </c>
      <c r="H155" s="6" t="inlineStr">
        <is>
          <t>Dewar Filling Station</t>
        </is>
      </c>
      <c r="I155" s="6" t="inlineStr">
        <is>
          <t>The Contractor shall quantify and substantiate the total helium demand associated with dewar filling activities, including all contributions arising from:</t>
        </is>
      </c>
      <c r="J155" s="6" t="inlineStr">
        <is>
          <t>Direct — exact contract section</t>
        </is>
      </c>
      <c r="K155" s="6" t="inlineStr">
        <is>
          <t>Partial evidence: OFFER response supports evaluation; it does not replace full RTM compliance.</t>
        </is>
      </c>
      <c r="L155" s="83" t="inlineStr">
        <is>
          <t>RTM-270 (Dewar Filling Station) and OFFER-23 (Performance / Process / Utilities) are linked only because both sit in §4.4.8.1 — a direct (shared-section) link, not a dedicated cross-reference to this specific clause.</t>
        </is>
      </c>
      <c r="M155" s="6" t="inlineStr">
        <is>
          <t>OK</t>
        </is>
      </c>
      <c r="N155" s="6" t="inlineStr">
        <is>
          <t>Canonical PDF/DOCX.</t>
        </is>
      </c>
    </row>
    <row r="156" ht="71" customHeight="1">
      <c r="A156" s="125" t="inlineStr">
        <is>
          <t>OFFER-23</t>
        </is>
      </c>
      <c r="B156" s="125" t="inlineStr">
        <is>
          <t>User Configuration Filling Performance</t>
        </is>
      </c>
      <c r="C156" s="125" t="n">
        <v>65</v>
      </c>
      <c r="D156" s="125" t="inlineStr">
        <is>
          <t>4.4.8.1</t>
        </is>
      </c>
      <c r="E156" s="125" t="inlineStr">
        <is>
          <t>RTM-271</t>
        </is>
      </c>
      <c r="F156" s="125" t="n">
        <v>65</v>
      </c>
      <c r="G156" s="125" t="inlineStr">
        <is>
          <t>4.4.8.1</t>
        </is>
      </c>
      <c r="H156" s="125" t="inlineStr">
        <is>
          <t>Dewar Filling Station</t>
        </is>
      </c>
      <c r="I156" s="125" t="inlineStr">
        <is>
          <t>The Contractor shall demonstrate that the Dewar filling operations do not adversely affect the availability, operational stability, or reliability of the QPS. At minimum, the Contractor shall:</t>
        </is>
      </c>
      <c r="J156" s="125" t="inlineStr">
        <is>
          <t>Direct — exact contract section</t>
        </is>
      </c>
      <c r="K156" s="125" t="inlineStr">
        <is>
          <t>Partial evidence: OFFER response supports evaluation; it does not replace full RTM compliance.</t>
        </is>
      </c>
      <c r="L156" s="126" t="inlineStr">
        <is>
          <t>RTM-271 (Dewar Filling Station) and OFFER-23 (Performance / Process / Utilities) are linked only because both sit in §4.4.8.1 — a direct (shared-section) link, not a dedicated cross-reference to this specific clause.</t>
        </is>
      </c>
      <c r="M156" s="6" t="inlineStr">
        <is>
          <t>OK</t>
        </is>
      </c>
      <c r="N156" s="6" t="inlineStr">
        <is>
          <t>Canonical PDF/DOCX.</t>
        </is>
      </c>
    </row>
    <row r="157" ht="71" customHeight="1">
      <c r="A157" s="6" t="inlineStr">
        <is>
          <t>OFFER-23</t>
        </is>
      </c>
      <c r="B157" s="6" t="inlineStr">
        <is>
          <t>User Configuration Filling Performance</t>
        </is>
      </c>
      <c r="C157" s="6" t="n">
        <v>65</v>
      </c>
      <c r="D157" s="6" t="inlineStr">
        <is>
          <t>4.4.8.1</t>
        </is>
      </c>
      <c r="E157" s="6" t="inlineStr">
        <is>
          <t>RTM-272</t>
        </is>
      </c>
      <c r="F157" s="6" t="n">
        <v>65</v>
      </c>
      <c r="G157" s="6" t="inlineStr">
        <is>
          <t>4.4.8.1</t>
        </is>
      </c>
      <c r="H157" s="6" t="inlineStr">
        <is>
          <t>Dewar Filling Station</t>
        </is>
      </c>
      <c r="I157" s="6" t="inlineStr">
        <is>
          <t>The Contractor shall assume that the dewar has no instrumentation.</t>
        </is>
      </c>
      <c r="J157" s="6" t="inlineStr">
        <is>
          <t>Direct — exact contract section</t>
        </is>
      </c>
      <c r="K157" s="6" t="inlineStr">
        <is>
          <t>Partial evidence: OFFER response supports evaluation; it does not replace full RTM compliance.</t>
        </is>
      </c>
      <c r="L157" s="83" t="inlineStr">
        <is>
          <t>RTM-272 (Dewar Filling Station) and OFFER-23 (Performance / Process / Utilities) are linked only because both sit in §4.4.8.1 — a direct (shared-section) link, not a dedicated cross-reference to this specific clause.</t>
        </is>
      </c>
      <c r="M157" s="6" t="inlineStr">
        <is>
          <t>OK</t>
        </is>
      </c>
      <c r="N157" s="6" t="inlineStr">
        <is>
          <t>Canonical PDF/DOCX.</t>
        </is>
      </c>
    </row>
    <row r="158" ht="71" customHeight="1">
      <c r="A158" s="125" t="inlineStr">
        <is>
          <t>OFFER-24</t>
        </is>
      </c>
      <c r="B158" s="125" t="inlineStr">
        <is>
          <t>Helium Purity Acceptance Criteria</t>
        </is>
      </c>
      <c r="C158" s="125" t="n">
        <v>66</v>
      </c>
      <c r="D158" s="125" t="inlineStr">
        <is>
          <t>4.4.8.2</t>
        </is>
      </c>
      <c r="E158" s="125" t="inlineStr">
        <is>
          <t>RTM-273</t>
        </is>
      </c>
      <c r="F158" s="125" t="n">
        <v>65</v>
      </c>
      <c r="G158" s="125" t="inlineStr">
        <is>
          <t>4.4.8.2</t>
        </is>
      </c>
      <c r="H158" s="125" t="inlineStr">
        <is>
          <t>Warm GHe Recovery from WGR-MAC</t>
        </is>
      </c>
      <c r="I158" s="125" t="inlineStr">
        <is>
          <t>The QPLANT shall autonomously determine the acceptance or rejection of the GHe returning via line QRB.G20. To this end, the QPLANT shall include all instrumentation, control functions, and interlocks necessary to monitor the interface conditions and to execute acceptance or rejection decisions, without any reliance on the external system.</t>
        </is>
      </c>
      <c r="J158" s="125" t="inlineStr">
        <is>
          <t>Direct — exact contract section</t>
        </is>
      </c>
      <c r="K158" s="125" t="inlineStr">
        <is>
          <t>Partial evidence: OFFER response supports evaluation; it does not replace full RTM compliance.</t>
        </is>
      </c>
      <c r="L158" s="126" t="inlineStr">
        <is>
          <t>RTM-273 (Warm GHe Recovery from WGR-MAC) and OFFER-24 (Performance / Process / Utilities) are linked only because both sit in §4.4.8.2 — a direct (shared-section) link, not a dedicated cross-reference to this specific clause.</t>
        </is>
      </c>
      <c r="M158" s="6" t="inlineStr">
        <is>
          <t>OK</t>
        </is>
      </c>
      <c r="N158" s="6" t="inlineStr">
        <is>
          <t>Canonical PDF/DOCX.</t>
        </is>
      </c>
    </row>
    <row r="159" ht="71" customHeight="1">
      <c r="A159" s="6" t="inlineStr">
        <is>
          <t>OFFER-24</t>
        </is>
      </c>
      <c r="B159" s="6" t="inlineStr">
        <is>
          <t>Helium Purity Acceptance Criteria</t>
        </is>
      </c>
      <c r="C159" s="6" t="n">
        <v>66</v>
      </c>
      <c r="D159" s="6" t="inlineStr">
        <is>
          <t>4.4.8.2</t>
        </is>
      </c>
      <c r="E159" s="6" t="inlineStr">
        <is>
          <t>RTM-274</t>
        </is>
      </c>
      <c r="F159" s="6" t="n">
        <v>65</v>
      </c>
      <c r="G159" s="6" t="inlineStr">
        <is>
          <t>4.4.8.2</t>
        </is>
      </c>
      <c r="H159" s="6" t="inlineStr">
        <is>
          <t>Warm GHe Recovery from WGR-MAC</t>
        </is>
      </c>
      <c r="I159" s="6" t="inlineStr">
        <is>
          <t>The QPLANT shall be designed for interfacing with line QRB.G20 under the following fluid conditions</t>
        </is>
      </c>
      <c r="J159" s="6" t="inlineStr">
        <is>
          <t>Direct — exact contract section</t>
        </is>
      </c>
      <c r="K159" s="6" t="inlineStr">
        <is>
          <t>Partial evidence: OFFER response supports evaluation; it does not replace full RTM compliance.</t>
        </is>
      </c>
      <c r="L159" s="83" t="inlineStr">
        <is>
          <t>RTM-274 (Warm GHe Recovery from WGR-MAC) and OFFER-24 (Performance / Process / Utilities) are linked only because both sit in §4.4.8.2 — a direct (shared-section) link, not a dedicated cross-reference to this specific clause.</t>
        </is>
      </c>
      <c r="M159" s="6" t="inlineStr">
        <is>
          <t>OK</t>
        </is>
      </c>
      <c r="N159" s="6" t="inlineStr">
        <is>
          <t>Canonical PDF/DOCX.</t>
        </is>
      </c>
    </row>
    <row r="160" ht="71" customHeight="1">
      <c r="A160" s="125" t="inlineStr">
        <is>
          <t>OFFER-24</t>
        </is>
      </c>
      <c r="B160" s="125" t="inlineStr">
        <is>
          <t>Helium Purity Acceptance Criteria</t>
        </is>
      </c>
      <c r="C160" s="125" t="n">
        <v>66</v>
      </c>
      <c r="D160" s="125" t="inlineStr">
        <is>
          <t>4.4.8.2</t>
        </is>
      </c>
      <c r="E160" s="125" t="inlineStr">
        <is>
          <t>RTM-275</t>
        </is>
      </c>
      <c r="F160" s="125" t="n">
        <v>66</v>
      </c>
      <c r="G160" s="125" t="inlineStr">
        <is>
          <t>4.4.8.2</t>
        </is>
      </c>
      <c r="H160" s="125" t="inlineStr">
        <is>
          <t>Warm GHe Recovery from WGR-MAC</t>
        </is>
      </c>
      <c r="I160" s="125" t="inlineStr">
        <is>
          <t>The Contractor shall specify the helium purity acceptance criteria for the GHe returning via line QRB.G20, such that acceptance of the returned helium does not require any additional purification or gas clean-up by the QPLANT. At minimum, the acceptance criteria shall specify:</t>
        </is>
      </c>
      <c r="J160" s="125" t="inlineStr">
        <is>
          <t>Direct — exact contract section</t>
        </is>
      </c>
      <c r="K160" s="125" t="inlineStr">
        <is>
          <t>Partial evidence: OFFER response supports evaluation; it does not replace full RTM compliance.</t>
        </is>
      </c>
      <c r="L160" s="126" t="inlineStr">
        <is>
          <t>RTM-275 (Warm GHe Recovery from WGR-MAC) and OFFER-24 (Performance / Process / Utilities) are linked only because both sit in §4.4.8.2 — a direct (shared-section) link, not a dedicated cross-reference to this specific clause.</t>
        </is>
      </c>
      <c r="M160" s="6" t="inlineStr">
        <is>
          <t>OK</t>
        </is>
      </c>
      <c r="N160" s="6" t="inlineStr">
        <is>
          <t>Canonical PDF/DOCX.</t>
        </is>
      </c>
    </row>
    <row r="161" ht="71" customHeight="1">
      <c r="A161" s="6" t="inlineStr">
        <is>
          <t>OFFER-24</t>
        </is>
      </c>
      <c r="B161" s="6" t="inlineStr">
        <is>
          <t>Helium Purity Acceptance Criteria</t>
        </is>
      </c>
      <c r="C161" s="6" t="n">
        <v>66</v>
      </c>
      <c r="D161" s="6" t="inlineStr">
        <is>
          <t>4.4.8.2</t>
        </is>
      </c>
      <c r="E161" s="6" t="inlineStr">
        <is>
          <t>RTM-276</t>
        </is>
      </c>
      <c r="F161" s="6" t="n">
        <v>66</v>
      </c>
      <c r="G161" s="6" t="inlineStr">
        <is>
          <t>4.4.8.2</t>
        </is>
      </c>
      <c r="H161" s="6" t="inlineStr">
        <is>
          <t>Warm GHe Recovery from WGR-MAC</t>
        </is>
      </c>
      <c r="I161" s="6" t="inlineStr">
        <is>
          <t>The QPLANT shall accept the returning helium only when the following conditions are simultaneously satisfied:</t>
        </is>
      </c>
      <c r="J161" s="6" t="inlineStr">
        <is>
          <t>Direct — exact contract section</t>
        </is>
      </c>
      <c r="K161" s="6" t="inlineStr">
        <is>
          <t>Partial evidence: OFFER response supports evaluation; it does not replace full RTM compliance.</t>
        </is>
      </c>
      <c r="L161" s="83" t="inlineStr">
        <is>
          <t>RTM-276 (Warm GHe Recovery from WGR-MAC) and OFFER-24 (Performance / Process / Utilities) are linked only because both sit in §4.4.8.2 — a direct (shared-section) link, not a dedicated cross-reference to this specific clause.</t>
        </is>
      </c>
      <c r="M161" s="6" t="inlineStr">
        <is>
          <t>OK</t>
        </is>
      </c>
      <c r="N161" s="6" t="inlineStr">
        <is>
          <t>Canonical PDF/DOCX.</t>
        </is>
      </c>
    </row>
    <row r="162" ht="71" customHeight="1">
      <c r="A162" s="125" t="inlineStr">
        <is>
          <t>OFFER-24</t>
        </is>
      </c>
      <c r="B162" s="125" t="inlineStr">
        <is>
          <t>Helium Purity Acceptance Criteria</t>
        </is>
      </c>
      <c r="C162" s="125" t="n">
        <v>66</v>
      </c>
      <c r="D162" s="125" t="inlineStr">
        <is>
          <t>4.4.8.2</t>
        </is>
      </c>
      <c r="E162" s="125" t="inlineStr">
        <is>
          <t>RTM-277</t>
        </is>
      </c>
      <c r="F162" s="125" t="n">
        <v>66</v>
      </c>
      <c r="G162" s="125" t="inlineStr">
        <is>
          <t>4.4.8.2</t>
        </is>
      </c>
      <c r="H162" s="125" t="inlineStr">
        <is>
          <t>Warm GHe Recovery from WGR-MAC</t>
        </is>
      </c>
      <c r="I162" s="125" t="inlineStr">
        <is>
          <t>Upon rejection, the QPLANT shall vent the returning helium to the atmosphere via an outdoor discharge point, located outside the Coldbox room.</t>
        </is>
      </c>
      <c r="J162" s="125" t="inlineStr">
        <is>
          <t>Direct — exact contract section</t>
        </is>
      </c>
      <c r="K162" s="125" t="inlineStr">
        <is>
          <t>Partial evidence: OFFER response supports evaluation; it does not replace full RTM compliance.</t>
        </is>
      </c>
      <c r="L162" s="126" t="inlineStr">
        <is>
          <t>RTM-277 (Warm GHe Recovery from WGR-MAC) and OFFER-24 (Performance / Process / Utilities) are linked only because both sit in §4.4.8.2 — a direct (shared-section) link, not a dedicated cross-reference to this specific clause.</t>
        </is>
      </c>
      <c r="M162" s="6" t="inlineStr">
        <is>
          <t>OK</t>
        </is>
      </c>
      <c r="N162" s="6" t="inlineStr">
        <is>
          <t>Canonical PDF/DOCX.</t>
        </is>
      </c>
    </row>
    <row r="163" ht="71" customHeight="1">
      <c r="A163" s="6" t="inlineStr">
        <is>
          <t>OFFER-24</t>
        </is>
      </c>
      <c r="B163" s="6" t="inlineStr">
        <is>
          <t>Helium Purity Acceptance Criteria</t>
        </is>
      </c>
      <c r="C163" s="6" t="n">
        <v>66</v>
      </c>
      <c r="D163" s="6" t="inlineStr">
        <is>
          <t>4.4.8.2</t>
        </is>
      </c>
      <c r="E163" s="6" t="inlineStr">
        <is>
          <t>RTM-278</t>
        </is>
      </c>
      <c r="F163" s="6" t="n">
        <v>66</v>
      </c>
      <c r="G163" s="6" t="inlineStr">
        <is>
          <t>4.4.8.2</t>
        </is>
      </c>
      <c r="H163" s="6" t="inlineStr">
        <is>
          <t>Warm GHe Recovery from WGR-MAC</t>
        </is>
      </c>
      <c r="I163" s="6" t="inlineStr">
        <is>
          <t>Upon acceptance, the QPLANT shall continuously monitor the acceptance criteria and shall immediately reject the returning helium if the acceptance criteria are no longer met.</t>
        </is>
      </c>
      <c r="J163" s="6" t="inlineStr">
        <is>
          <t>Direct — exact contract section</t>
        </is>
      </c>
      <c r="K163" s="6" t="inlineStr">
        <is>
          <t>Partial evidence: OFFER response supports evaluation; it does not replace full RTM compliance.</t>
        </is>
      </c>
      <c r="L163" s="83" t="inlineStr">
        <is>
          <t>RTM-278 (Warm GHe Recovery from WGR-MAC) and OFFER-24 (Performance / Process / Utilities) are linked only because both sit in §4.4.8.2 — a direct (shared-section) link, not a dedicated cross-reference to this specific clause.</t>
        </is>
      </c>
      <c r="M163" s="6" t="inlineStr">
        <is>
          <t>OK</t>
        </is>
      </c>
      <c r="N163" s="6" t="inlineStr">
        <is>
          <t>Canonical PDF/DOCX.</t>
        </is>
      </c>
    </row>
    <row r="164" ht="71" customHeight="1">
      <c r="A164" s="125" t="inlineStr">
        <is>
          <t>OFFER-24</t>
        </is>
      </c>
      <c r="B164" s="125" t="inlineStr">
        <is>
          <t>Helium Purity Acceptance Criteria</t>
        </is>
      </c>
      <c r="C164" s="125" t="n">
        <v>66</v>
      </c>
      <c r="D164" s="125" t="inlineStr">
        <is>
          <t>4.4.8.2</t>
        </is>
      </c>
      <c r="E164" s="125" t="inlineStr">
        <is>
          <t>RTM-279</t>
        </is>
      </c>
      <c r="F164" s="125" t="n">
        <v>66</v>
      </c>
      <c r="G164" s="125" t="inlineStr">
        <is>
          <t>4.4.8.2</t>
        </is>
      </c>
      <c r="H164" s="125" t="inlineStr">
        <is>
          <t>Warm GHe Recovery from WGR-MAC</t>
        </is>
      </c>
      <c r="I164" s="125" t="inlineStr">
        <is>
          <t>The QPLANT shall include at the interface with line QRB.G20, at minimum:</t>
        </is>
      </c>
      <c r="J164" s="125" t="inlineStr">
        <is>
          <t>Direct — exact contract section</t>
        </is>
      </c>
      <c r="K164" s="125" t="inlineStr">
        <is>
          <t>Partial evidence: OFFER response supports evaluation; it does not replace full RTM compliance.</t>
        </is>
      </c>
      <c r="L164" s="126" t="inlineStr">
        <is>
          <t>RTM-279 (Warm GHe Recovery from WGR-MAC) and OFFER-24 (Performance / Process / Utilities) are linked only because both sit in §4.4.8.2 — a direct (shared-section) link, not a dedicated cross-reference to this specific clause.</t>
        </is>
      </c>
      <c r="M164" s="6" t="inlineStr">
        <is>
          <t>OK</t>
        </is>
      </c>
      <c r="N164" s="6" t="inlineStr">
        <is>
          <t>Canonical PDF/DOCX.</t>
        </is>
      </c>
    </row>
    <row r="165" ht="71" customHeight="1">
      <c r="A165" s="6" t="inlineStr">
        <is>
          <t>OFFER-24</t>
        </is>
      </c>
      <c r="B165" s="6" t="inlineStr">
        <is>
          <t>Helium Purity Acceptance Criteria</t>
        </is>
      </c>
      <c r="C165" s="6" t="n">
        <v>66</v>
      </c>
      <c r="D165" s="6" t="inlineStr">
        <is>
          <t>4.4.8.2</t>
        </is>
      </c>
      <c r="E165" s="6" t="inlineStr">
        <is>
          <t>RTM-280</t>
        </is>
      </c>
      <c r="F165" s="6" t="n">
        <v>66</v>
      </c>
      <c r="G165" s="6" t="inlineStr">
        <is>
          <t>4.4.8.2</t>
        </is>
      </c>
      <c r="H165" s="6" t="inlineStr">
        <is>
          <t>Warm GHe Recovery from WGR-MAC</t>
        </is>
      </c>
      <c r="I165" s="6" t="inlineStr">
        <is>
          <t>The QPLANT shall include manual vent and purge valves at the interface with line QRB.G20 to allow drying and conditioning, controlled depressurisation, and safe warm-up of the interface and connected user line.</t>
        </is>
      </c>
      <c r="J165" s="6" t="inlineStr">
        <is>
          <t>Direct — exact contract section</t>
        </is>
      </c>
      <c r="K165" s="6" t="inlineStr">
        <is>
          <t>Partial evidence: OFFER response supports evaluation; it does not replace full RTM compliance.</t>
        </is>
      </c>
      <c r="L165" s="83" t="inlineStr">
        <is>
          <t>RTM-280 (Warm GHe Recovery from WGR-MAC) and OFFER-24 (Performance / Process / Utilities) are linked only because both sit in §4.4.8.2 — a direct (shared-section) link, not a dedicated cross-reference to this specific clause.</t>
        </is>
      </c>
      <c r="M165" s="6" t="inlineStr">
        <is>
          <t>OK</t>
        </is>
      </c>
      <c r="N165" s="6" t="inlineStr">
        <is>
          <t>Canonical PDF/DOCX.</t>
        </is>
      </c>
    </row>
    <row r="166" ht="58" customHeight="1">
      <c r="A166" s="125" t="inlineStr">
        <is>
          <t>OFFER-25</t>
        </is>
      </c>
      <c r="B166" s="125" t="inlineStr">
        <is>
          <t>Supplier Experience &amp; Reference Justification</t>
        </is>
      </c>
      <c r="C166" s="125" t="n">
        <v>74</v>
      </c>
      <c r="D166" s="125" t="inlineStr">
        <is>
          <t>4.6.4.5</t>
        </is>
      </c>
      <c r="E166" s="125" t="inlineStr">
        <is>
          <t>RTM-321</t>
        </is>
      </c>
      <c r="F166" s="125" t="n">
        <v>74</v>
      </c>
      <c r="G166" s="125" t="inlineStr">
        <is>
          <t>4.6.4.5</t>
        </is>
      </c>
      <c r="H166" s="125" t="inlineStr">
        <is>
          <t>Security</t>
        </is>
      </c>
      <c r="I166" s="125" t="inlineStr">
        <is>
          <t>The Contractor shall maintain an Information Security Management System (ISMS) in accordance with ISO 27001. In their offer the Applicant shall deliver, for this ISMS, either (1) an ISO 27001 certification issued by an accredited certification body and The Statement of Applicability and the applicable scope or, (2) a brief mapping statement explaining how equivalent assurances will be provided.</t>
        </is>
      </c>
      <c r="J166" s="125" t="inlineStr">
        <is>
          <t>Direct — exact contract section</t>
        </is>
      </c>
      <c r="K166" s="125" t="inlineStr">
        <is>
          <t>Partial evidence: OFFER response supports evaluation; it does not replace full RTM compliance.</t>
        </is>
      </c>
      <c r="L166" s="126" t="inlineStr">
        <is>
          <t>RTM-321 (Security) and OFFER-25 (Controls / Software / Management) are linked only because both sit in §4.6.4.5 — a direct (shared-section) link, not a dedicated cross-reference to this specific clause.</t>
        </is>
      </c>
      <c r="M166" s="6" t="inlineStr">
        <is>
          <t>OK</t>
        </is>
      </c>
      <c r="N166" s="6" t="inlineStr">
        <is>
          <t>Canonical PDF/DOCX.</t>
        </is>
      </c>
    </row>
    <row r="167" ht="58" customHeight="1">
      <c r="A167" s="6" t="inlineStr">
        <is>
          <t>OFFER-25</t>
        </is>
      </c>
      <c r="B167" s="6" t="inlineStr">
        <is>
          <t>Supplier Experience &amp; Reference Justification</t>
        </is>
      </c>
      <c r="C167" s="6" t="n">
        <v>74</v>
      </c>
      <c r="D167" s="6" t="inlineStr">
        <is>
          <t>4.6.4.5</t>
        </is>
      </c>
      <c r="E167" s="6" t="inlineStr">
        <is>
          <t>RTM-322</t>
        </is>
      </c>
      <c r="F167" s="6" t="n">
        <v>74</v>
      </c>
      <c r="G167" s="6" t="inlineStr">
        <is>
          <t>4.6.4.5</t>
        </is>
      </c>
      <c r="H167" s="6" t="inlineStr">
        <is>
          <t>Security</t>
        </is>
      </c>
      <c r="I167" s="6" t="inlineStr">
        <is>
          <t>The Contractor shall comply with the SCK CEN cybersecurity policy framework which, for this procurement, is defined as the requirements, from the “CCB Cyber Fundamentals requirements” (CyFun) at assurance level IMPORTANT, which SCK CEN identifies as obligations for the Contractor.
The Contractor shall provide a completed SCK CEN CyFun Supplier Control Response Matrix (which will be provided by SCK CEN during the Contract execution) stating for each relevant control: (1) Compliance status (Compliant / Partially compliant / Not compliant / Not applicable), (2) Description of implementation and boundary conditions, (3) Any deviations/risks and proposed compensating controls.</t>
        </is>
      </c>
      <c r="J167" s="6" t="inlineStr">
        <is>
          <t>Direct — exact contract section</t>
        </is>
      </c>
      <c r="K167" s="6" t="inlineStr">
        <is>
          <t>Partial evidence: OFFER response supports evaluation; it does not replace full RTM compliance.</t>
        </is>
      </c>
      <c r="L167" s="83" t="inlineStr">
        <is>
          <t>RTM-322 (Security) and OFFER-25 (Controls / Software / Management) are linked only because both sit in §4.6.4.5 — a direct (shared-section) link, not a dedicated cross-reference to this specific clause.</t>
        </is>
      </c>
      <c r="M167" s="6" t="inlineStr">
        <is>
          <t>OK</t>
        </is>
      </c>
      <c r="N167" s="6" t="inlineStr">
        <is>
          <t>Canonical PDF/DOCX.</t>
        </is>
      </c>
    </row>
    <row r="168" ht="58" customHeight="1">
      <c r="A168" s="125" t="inlineStr">
        <is>
          <t>OFFER-25</t>
        </is>
      </c>
      <c r="B168" s="125" t="inlineStr">
        <is>
          <t>Supplier Experience &amp; Reference Justification</t>
        </is>
      </c>
      <c r="C168" s="125" t="n">
        <v>74</v>
      </c>
      <c r="D168" s="125" t="inlineStr">
        <is>
          <t>4.6.4.5</t>
        </is>
      </c>
      <c r="E168" s="125" t="inlineStr">
        <is>
          <t>RTM-323</t>
        </is>
      </c>
      <c r="F168" s="125" t="n">
        <v>74</v>
      </c>
      <c r="G168" s="125" t="inlineStr">
        <is>
          <t>4.6.4.5</t>
        </is>
      </c>
      <c r="H168" s="125" t="inlineStr">
        <is>
          <t>Security</t>
        </is>
      </c>
      <c r="I168" s="125" t="inlineStr">
        <is>
          <t>Where the proposed delivered product and/or installed system is claimed to be certified to IEC 62443-3-3 Security Level (SL 2, 3 or 4 ), the Applicant shall provide with the offer (1) certification document(s) (certificate or assessment report) from a recognized scheme/provider, and (2) a version and configuration declaration confirming that any delivered version/configuration matches the IEC 62443-3-3 SL(2/3/4) certified scope or identification of deviations and their implications.</t>
        </is>
      </c>
      <c r="J168" s="125" t="inlineStr">
        <is>
          <t>Direct — exact contract section</t>
        </is>
      </c>
      <c r="K168" s="125" t="inlineStr">
        <is>
          <t>Partial evidence: OFFER response supports evaluation; it does not replace full RTM compliance.</t>
        </is>
      </c>
      <c r="L168" s="126" t="inlineStr">
        <is>
          <t>RTM-323 (Security) and OFFER-25 (Controls / Software / Management) are linked only because both sit in §4.6.4.5 — a direct (shared-section) link, not a dedicated cross-reference to this specific clause.</t>
        </is>
      </c>
      <c r="M168" s="6" t="inlineStr">
        <is>
          <t>OK</t>
        </is>
      </c>
      <c r="N168" s="6" t="inlineStr">
        <is>
          <t>Canonical PDF/DOCX.</t>
        </is>
      </c>
    </row>
    <row r="169" ht="58" customHeight="1">
      <c r="A169" s="6" t="inlineStr">
        <is>
          <t>OFFER-25</t>
        </is>
      </c>
      <c r="B169" s="6" t="inlineStr">
        <is>
          <t>Supplier Experience &amp; Reference Justification</t>
        </is>
      </c>
      <c r="C169" s="6" t="n">
        <v>74</v>
      </c>
      <c r="D169" s="6" t="inlineStr">
        <is>
          <t>4.6.4.5</t>
        </is>
      </c>
      <c r="E169" s="6" t="inlineStr">
        <is>
          <t>RTM-324</t>
        </is>
      </c>
      <c r="F169" s="6" t="n">
        <v>75</v>
      </c>
      <c r="G169" s="6" t="inlineStr">
        <is>
          <t>4.6.4.5</t>
        </is>
      </c>
      <c r="H169" s="6" t="inlineStr">
        <is>
          <t>Security</t>
        </is>
      </c>
      <c r="I169" s="6" t="inlineStr">
        <is>
          <t>The Contractor shall document the system's security features and their alignment with the requested standards and framework or the Contractor’s proposed equivalent assurances. This documentation shall be provided to SCK CEN for review and approval before implementation at MINERVA site.
Any material gaps against mandatory scoped CyFun controls must be remediated prior to SAT (or within an agreed corrective action plan), subject to SCK CEN approval.</t>
        </is>
      </c>
      <c r="J169" s="6" t="inlineStr">
        <is>
          <t>Direct — exact contract section</t>
        </is>
      </c>
      <c r="K169" s="6" t="inlineStr">
        <is>
          <t>Partial evidence: OFFER response supports evaluation; it does not replace full RTM compliance.</t>
        </is>
      </c>
      <c r="L169" s="83" t="inlineStr">
        <is>
          <t>RTM-324 (Security) and OFFER-25 (Controls / Software / Management) are linked only because both sit in §4.6.4.5 — a direct (shared-section) link, not a dedicated cross-reference to this specific clause.</t>
        </is>
      </c>
      <c r="M169" s="6" t="inlineStr">
        <is>
          <t>OK</t>
        </is>
      </c>
      <c r="N169" s="6" t="inlineStr">
        <is>
          <t>Canonical PDF/DOCX.</t>
        </is>
      </c>
    </row>
    <row r="170" ht="58" customHeight="1">
      <c r="A170" s="125" t="inlineStr">
        <is>
          <t>OFFER-25</t>
        </is>
      </c>
      <c r="B170" s="125" t="inlineStr">
        <is>
          <t>Supplier Experience &amp; Reference Justification</t>
        </is>
      </c>
      <c r="C170" s="125" t="n">
        <v>74</v>
      </c>
      <c r="D170" s="125" t="inlineStr">
        <is>
          <t>4.6.4.5</t>
        </is>
      </c>
      <c r="E170" s="125" t="inlineStr">
        <is>
          <t>RTM-325</t>
        </is>
      </c>
      <c r="F170" s="125" t="n">
        <v>75</v>
      </c>
      <c r="G170" s="125" t="inlineStr">
        <is>
          <t>4.6.4.5</t>
        </is>
      </c>
      <c r="H170" s="125" t="inlineStr">
        <is>
          <t>Security</t>
        </is>
      </c>
      <c r="I170" s="125" t="inlineStr">
        <is>
          <t>Where infrastructure or tools are required for, or related to, the security of the system, the Contractor shall work with the SCK CEN to integrate with SCK CEN’s existing infrastructure and tooling. This includes, but is not limited to, tools and infrastructure for: Network security, Endpoint security, Identity and access management, Monitoring and analysis, or Data security.</t>
        </is>
      </c>
      <c r="J170" s="125" t="inlineStr">
        <is>
          <t>Direct — exact contract section</t>
        </is>
      </c>
      <c r="K170" s="125" t="inlineStr">
        <is>
          <t>Partial evidence: OFFER response supports evaluation; it does not replace full RTM compliance.</t>
        </is>
      </c>
      <c r="L170" s="126" t="inlineStr">
        <is>
          <t>RTM-325 (Security) and OFFER-25 (Controls / Software / Management) are linked only because both sit in §4.6.4.5 — a direct (shared-section) link, not a dedicated cross-reference to this specific clause.</t>
        </is>
      </c>
      <c r="M170" s="6" t="inlineStr">
        <is>
          <t>OK</t>
        </is>
      </c>
      <c r="N170" s="6" t="inlineStr">
        <is>
          <t>Canonical PDF/DOCX.</t>
        </is>
      </c>
    </row>
    <row r="171" ht="58" customHeight="1">
      <c r="A171" s="6" t="inlineStr">
        <is>
          <t>OFFER-25</t>
        </is>
      </c>
      <c r="B171" s="6" t="inlineStr">
        <is>
          <t>Supplier Experience &amp; Reference Justification</t>
        </is>
      </c>
      <c r="C171" s="6" t="n">
        <v>74</v>
      </c>
      <c r="D171" s="6" t="inlineStr">
        <is>
          <t>4.6.4.5</t>
        </is>
      </c>
      <c r="E171" s="6" t="inlineStr">
        <is>
          <t>RTM-326</t>
        </is>
      </c>
      <c r="F171" s="6" t="n">
        <v>75</v>
      </c>
      <c r="G171" s="6" t="inlineStr">
        <is>
          <t>4.6.4.5</t>
        </is>
      </c>
      <c r="H171" s="6" t="inlineStr">
        <is>
          <t>Security</t>
        </is>
      </c>
      <c r="I171" s="6" t="inlineStr">
        <is>
          <t>If the Contractor requires remote access to the plant, they shall utilize the standard solution provided by SCK CEN. Access will be granted with restricted permissions to ensure that only necessary functions are available, safeguarding the integrity and security of the plant's systems. The Applicant is responsible for adhering to the defined access protocols and ensuring compliance with SCK CEN’s security policies.</t>
        </is>
      </c>
      <c r="J171" s="6" t="inlineStr">
        <is>
          <t>Direct — exact contract section</t>
        </is>
      </c>
      <c r="K171" s="6" t="inlineStr">
        <is>
          <t>Partial evidence: OFFER response supports evaluation; it does not replace full RTM compliance.</t>
        </is>
      </c>
      <c r="L171" s="83" t="inlineStr">
        <is>
          <t>RTM-326 (Security) and OFFER-25 (Controls / Software / Management) are linked only because both sit in §4.6.4.5 — a direct (shared-section) link, not a dedicated cross-reference to this specific clause.</t>
        </is>
      </c>
      <c r="M171" s="6" t="inlineStr">
        <is>
          <t>OK</t>
        </is>
      </c>
      <c r="N171" s="6" t="inlineStr">
        <is>
          <t>Canonical PDF/DOCX.</t>
        </is>
      </c>
    </row>
    <row r="172" ht="58" customHeight="1">
      <c r="A172" s="125" t="inlineStr">
        <is>
          <t>OFFER-25</t>
        </is>
      </c>
      <c r="B172" s="125" t="inlineStr">
        <is>
          <t>Supplier Experience &amp; Reference Justification</t>
        </is>
      </c>
      <c r="C172" s="125" t="n">
        <v>74</v>
      </c>
      <c r="D172" s="125" t="inlineStr">
        <is>
          <t>4.6.4.5</t>
        </is>
      </c>
      <c r="E172" s="125" t="inlineStr">
        <is>
          <t>RTM-327</t>
        </is>
      </c>
      <c r="F172" s="125" t="n">
        <v>75</v>
      </c>
      <c r="G172" s="125" t="inlineStr">
        <is>
          <t>4.6.4.5</t>
        </is>
      </c>
      <c r="H172" s="125" t="inlineStr">
        <is>
          <t>Security</t>
        </is>
      </c>
      <c r="I172" s="125" t="inlineStr">
        <is>
          <t>The Contractor shall identify all products with digital elements (as per the EU Cyber Resilience Act (CRA)), which are used in the system. For each of these the Contractor shall (1) verify that Commercial Off-The-Shelf (COTS) products have a valid CE marking, and (2) provide technical documentation and a Declaration of Conformity to show compliance with the CRA for custom-built products. For both the documentation shall be provided to SCK CEN for review and approval prior to SAT.</t>
        </is>
      </c>
      <c r="J172" s="125" t="inlineStr">
        <is>
          <t>Direct — exact contract section</t>
        </is>
      </c>
      <c r="K172" s="125" t="inlineStr">
        <is>
          <t>Partial evidence: OFFER response supports evaluation; it does not replace full RTM compliance.</t>
        </is>
      </c>
      <c r="L172" s="126" t="inlineStr">
        <is>
          <t>RTM-327 (Security) and OFFER-25 (Controls / Software / Management) are linked only because both sit in §4.6.4.5 — a direct (shared-section) link, not a dedicated cross-reference to this specific clause.</t>
        </is>
      </c>
      <c r="M172" s="6" t="inlineStr">
        <is>
          <t>OK</t>
        </is>
      </c>
      <c r="N172" s="6" t="inlineStr">
        <is>
          <t>Canonical PDF/DOCX.</t>
        </is>
      </c>
    </row>
    <row r="173" ht="71" customHeight="1">
      <c r="A173" s="6" t="inlineStr">
        <is>
          <t>OFFER-26</t>
        </is>
      </c>
      <c r="B173" s="6" t="inlineStr">
        <is>
          <t>Software Architecture &amp; Development Scope</t>
        </is>
      </c>
      <c r="C173" s="6" t="n">
        <v>76</v>
      </c>
      <c r="D173" s="6" t="inlineStr">
        <is>
          <t>4.6.7</t>
        </is>
      </c>
      <c r="E173" s="6" t="inlineStr">
        <is>
          <t>RTM-334</t>
        </is>
      </c>
      <c r="F173" s="6" t="n">
        <v>76</v>
      </c>
      <c r="G173" s="6" t="inlineStr">
        <is>
          <t>4.6.7</t>
        </is>
      </c>
      <c r="H173" s="6" t="inlineStr">
        <is>
          <t>Software development</t>
        </is>
      </c>
      <c r="I173" s="6" t="inlineStr">
        <is>
          <t>The Contractor shall provide a list of all development tools, environments, and version compatibility requirements necessary to edit, build, deploy, and restore the delivered control software at the time of Plant Acceptance.</t>
        </is>
      </c>
      <c r="J173" s="6" t="inlineStr">
        <is>
          <t>Direct — primary evidence anchor</t>
        </is>
      </c>
      <c r="K173" s="6" t="inlineStr">
        <is>
          <t>Partial evidence: OFFER response supports evaluation; it does not replace full RTM compliance.</t>
        </is>
      </c>
      <c r="L173" s="83" t="inlineStr">
        <is>
          <t>RTM-334 (Software development) is OFFER-26's (Controls / Software / Management) primary technical anchor in §4.6.7 — the direct classification means this is the main clause being evidenced here, not one of several equally-weighted section-mates.</t>
        </is>
      </c>
      <c r="M173" s="6" t="inlineStr">
        <is>
          <t>OK</t>
        </is>
      </c>
      <c r="N173" s="6" t="inlineStr">
        <is>
          <t>Canonical PDF/DOCX.</t>
        </is>
      </c>
    </row>
    <row r="174" ht="71" customHeight="1">
      <c r="A174" s="125" t="inlineStr">
        <is>
          <t>OFFER-26</t>
        </is>
      </c>
      <c r="B174" s="125" t="inlineStr">
        <is>
          <t>Software Architecture &amp; Development Scope</t>
        </is>
      </c>
      <c r="C174" s="125" t="n">
        <v>76</v>
      </c>
      <c r="D174" s="125" t="inlineStr">
        <is>
          <t>4.6.7</t>
        </is>
      </c>
      <c r="E174" s="125" t="inlineStr">
        <is>
          <t>RTM-335</t>
        </is>
      </c>
      <c r="F174" s="125" t="n">
        <v>76</v>
      </c>
      <c r="G174" s="125" t="inlineStr">
        <is>
          <t>4.6.7</t>
        </is>
      </c>
      <c r="H174" s="125" t="inlineStr">
        <is>
          <t>Software development</t>
        </is>
      </c>
      <c r="I174" s="125" t="inlineStr">
        <is>
          <t>The Contractor shall identify all third-party or vendor software licenses required for modification or deployment of the control software.</t>
        </is>
      </c>
      <c r="J174" s="125" t="inlineStr">
        <is>
          <t>Direct — primary evidence anchor</t>
        </is>
      </c>
      <c r="K174" s="125" t="inlineStr">
        <is>
          <t>Partial evidence: OFFER response supports evaluation; it does not replace full RTM compliance.</t>
        </is>
      </c>
      <c r="L174" s="126" t="inlineStr">
        <is>
          <t>RTM-335 (Software development) is OFFER-26's (Controls / Software / Management) primary technical anchor in §4.6.7 — the direct classification means this is the main clause being evidenced here, not one of several equally-weighted section-mates.</t>
        </is>
      </c>
      <c r="M174" s="6" t="inlineStr">
        <is>
          <t>OK</t>
        </is>
      </c>
      <c r="N174" s="6" t="inlineStr">
        <is>
          <t>Canonical PDF/DOCX.</t>
        </is>
      </c>
    </row>
    <row r="175" ht="71" customHeight="1">
      <c r="A175" s="6" t="inlineStr">
        <is>
          <t>OFFER-26</t>
        </is>
      </c>
      <c r="B175" s="6" t="inlineStr">
        <is>
          <t>Software Architecture &amp; Development Scope</t>
        </is>
      </c>
      <c r="C175" s="6" t="n">
        <v>76</v>
      </c>
      <c r="D175" s="6" t="inlineStr">
        <is>
          <t>4.6.7</t>
        </is>
      </c>
      <c r="E175" s="6" t="inlineStr">
        <is>
          <t>RTM-336</t>
        </is>
      </c>
      <c r="F175" s="6" t="n">
        <v>76</v>
      </c>
      <c r="G175" s="6" t="inlineStr">
        <is>
          <t>4.6.7</t>
        </is>
      </c>
      <c r="H175" s="6" t="inlineStr">
        <is>
          <t>Software development</t>
        </is>
      </c>
      <c r="I175" s="6" t="inlineStr">
        <is>
          <t>The Contractor shall not rely on undisclosed, inaccessible, or in-house proprietary tools that prevent reasonable modification, maintenance, or restoration of the delivered system.</t>
        </is>
      </c>
      <c r="J175" s="6" t="inlineStr">
        <is>
          <t>Direct — primary evidence anchor</t>
        </is>
      </c>
      <c r="K175" s="6" t="inlineStr">
        <is>
          <t>Partial evidence: OFFER response supports evaluation; it does not replace full RTM compliance.</t>
        </is>
      </c>
      <c r="L175" s="83" t="inlineStr">
        <is>
          <t>RTM-336 (Software development) is OFFER-26's (Controls / Software / Management) primary technical anchor in §4.6.7 — the direct classification means this is the main clause being evidenced here, not one of several equally-weighted section-mates.</t>
        </is>
      </c>
      <c r="M175" s="6" t="inlineStr">
        <is>
          <t>OK</t>
        </is>
      </c>
      <c r="N175" s="6" t="inlineStr">
        <is>
          <t>Canonical PDF/DOCX.</t>
        </is>
      </c>
    </row>
    <row r="176" ht="71" customHeight="1">
      <c r="A176" s="125" t="inlineStr">
        <is>
          <t>OFFER-26</t>
        </is>
      </c>
      <c r="B176" s="125" t="inlineStr">
        <is>
          <t>Software Architecture &amp; Development Scope</t>
        </is>
      </c>
      <c r="C176" s="125" t="n">
        <v>76</v>
      </c>
      <c r="D176" s="125" t="inlineStr">
        <is>
          <t>4.6.7</t>
        </is>
      </c>
      <c r="E176" s="125" t="inlineStr">
        <is>
          <t>RTM-337</t>
        </is>
      </c>
      <c r="F176" s="125" t="n">
        <v>76</v>
      </c>
      <c r="G176" s="125" t="inlineStr">
        <is>
          <t>4.6.7</t>
        </is>
      </c>
      <c r="H176" s="125" t="inlineStr">
        <is>
          <t>Software development</t>
        </is>
      </c>
      <c r="I176" s="125" t="inlineStr">
        <is>
          <t>The Contractor may exclude from editable source-code delivery software components containing proprietary intellectual property, including software related to turboexpander control, cold compressor control, protection, interlocks, or performance optimization. Still all applicable clauses from the GSHRC (see [AD_04], e.g., ESCROW) remain valid. For each excluded software component, the Contractor shall:</t>
        </is>
      </c>
      <c r="J176" s="125" t="inlineStr">
        <is>
          <t>Direct — primary evidence anchor</t>
        </is>
      </c>
      <c r="K176" s="125" t="inlineStr">
        <is>
          <t>Partial evidence: OFFER response supports evaluation; it does not replace full RTM compliance.</t>
        </is>
      </c>
      <c r="L176" s="126" t="inlineStr">
        <is>
          <t>RTM-337 (Software development) is OFFER-26's (Controls / Software / Management) primary technical anchor in §4.6.7 — the direct classification means this is the main clause being evidenced here, not one of several equally-weighted section-mates.</t>
        </is>
      </c>
      <c r="M176" s="6" t="inlineStr">
        <is>
          <t>OK</t>
        </is>
      </c>
      <c r="N176" s="6" t="inlineStr">
        <is>
          <t>Canonical PDF/DOCX.</t>
        </is>
      </c>
    </row>
    <row r="177" ht="71" customHeight="1">
      <c r="A177" s="6" t="inlineStr">
        <is>
          <t>OFFER-26</t>
        </is>
      </c>
      <c r="B177" s="6" t="inlineStr">
        <is>
          <t>Software Architecture &amp; Development Scope</t>
        </is>
      </c>
      <c r="C177" s="6" t="n">
        <v>76</v>
      </c>
      <c r="D177" s="6" t="inlineStr">
        <is>
          <t>4.6.7</t>
        </is>
      </c>
      <c r="E177" s="6" t="inlineStr">
        <is>
          <t>RTM-338</t>
        </is>
      </c>
      <c r="F177" s="6" t="n">
        <v>76</v>
      </c>
      <c r="G177" s="6" t="inlineStr">
        <is>
          <t>4.6.7</t>
        </is>
      </c>
      <c r="H177" s="6" t="inlineStr">
        <is>
          <t>Software development</t>
        </is>
      </c>
      <c r="I177" s="6" t="inlineStr">
        <is>
          <t>Excluded components shall not prevent operation, monitoring, integration, or modification of the overall QPS:CIS and may be delivered in compiled or parameterized form only if their interfaces, configuration options, and integration points are fully documented and remain usable and configurable by SCK CEN within the QPLANT:CIS</t>
        </is>
      </c>
      <c r="J177" s="6" t="inlineStr">
        <is>
          <t>Direct — primary evidence anchor</t>
        </is>
      </c>
      <c r="K177" s="6" t="inlineStr">
        <is>
          <t>Partial evidence: OFFER response supports evaluation; it does not replace full RTM compliance.</t>
        </is>
      </c>
      <c r="L177" s="83" t="inlineStr">
        <is>
          <t>RTM-338 (Software development) is OFFER-26's (Controls / Software / Management) primary technical anchor in §4.6.7 — the direct classification means this is the main clause being evidenced here, not one of several equally-weighted section-mates.</t>
        </is>
      </c>
      <c r="M177" s="6" t="inlineStr">
        <is>
          <t>OK</t>
        </is>
      </c>
      <c r="N177" s="6" t="inlineStr">
        <is>
          <t>Canonical PDF/DOCX.</t>
        </is>
      </c>
    </row>
    <row r="178" ht="71" customHeight="1">
      <c r="A178" s="125" t="inlineStr">
        <is>
          <t>OFFER-26</t>
        </is>
      </c>
      <c r="B178" s="125" t="inlineStr">
        <is>
          <t>Software Architecture &amp; Development Scope</t>
        </is>
      </c>
      <c r="C178" s="125" t="n">
        <v>76</v>
      </c>
      <c r="D178" s="125" t="inlineStr">
        <is>
          <t>4.6.7</t>
        </is>
      </c>
      <c r="E178" s="125" t="inlineStr">
        <is>
          <t>RTM-339</t>
        </is>
      </c>
      <c r="F178" s="125" t="n">
        <v>76</v>
      </c>
      <c r="G178" s="125" t="inlineStr">
        <is>
          <t>4.6.7</t>
        </is>
      </c>
      <c r="H178" s="125" t="inlineStr">
        <is>
          <t>Software development</t>
        </is>
      </c>
      <c r="I178" s="125" t="inlineStr">
        <is>
          <t>The Contractor shall provide the following as part of Control System Dossier:</t>
        </is>
      </c>
      <c r="J178" s="125" t="inlineStr">
        <is>
          <t>Direct — primary evidence anchor</t>
        </is>
      </c>
      <c r="K178" s="125" t="inlineStr">
        <is>
          <t>Partial evidence: OFFER response supports evaluation; it does not replace full RTM compliance.</t>
        </is>
      </c>
      <c r="L178" s="126" t="inlineStr">
        <is>
          <t>RTM-339 (Software development) is OFFER-26's (Controls / Software / Management) primary technical anchor in §4.6.7 — the direct classification means this is the main clause being evidenced here, not one of several equally-weighted section-mates.</t>
        </is>
      </c>
      <c r="M178" s="6" t="inlineStr">
        <is>
          <t>OK</t>
        </is>
      </c>
      <c r="N178" s="6" t="inlineStr">
        <is>
          <t>Canonical PDF/DOCX.</t>
        </is>
      </c>
    </row>
    <row r="179" ht="71" customHeight="1">
      <c r="A179" s="6" t="inlineStr">
        <is>
          <t>OFFER-26</t>
        </is>
      </c>
      <c r="B179" s="6" t="inlineStr">
        <is>
          <t>Software Architecture &amp; Development Scope</t>
        </is>
      </c>
      <c r="C179" s="6" t="n">
        <v>76</v>
      </c>
      <c r="D179" s="6" t="inlineStr">
        <is>
          <t>4.6.7</t>
        </is>
      </c>
      <c r="E179" s="6" t="inlineStr">
        <is>
          <t>RTM-340</t>
        </is>
      </c>
      <c r="F179" s="6" t="n">
        <v>76</v>
      </c>
      <c r="G179" s="6" t="inlineStr">
        <is>
          <t>4.6.7</t>
        </is>
      </c>
      <c r="H179" s="6" t="inlineStr">
        <is>
          <t>Software development</t>
        </is>
      </c>
      <c r="I179" s="6" t="inlineStr">
        <is>
          <t>The use of Instruction List (IL) is highly discouraged. Higher-level languages like Structured Text (ST) are highly recommended for better clarity, maintainability, and portability of PLC programs. Therefore, the Contractor is strongly advised to avoid new implementations in IL and to migrate any existing IL-based code to ST or other recommended IEC 61131-3 languages whenever possible.</t>
        </is>
      </c>
      <c r="J179" s="6" t="inlineStr">
        <is>
          <t>Supporting — shared section</t>
        </is>
      </c>
      <c r="K179" s="6" t="inlineStr">
        <is>
          <t>Partial evidence: OFFER response supports evaluation; it does not replace full RTM compliance.</t>
        </is>
      </c>
      <c r="L179" s="83" t="inlineStr">
        <is>
          <t>RTM-340 (Software development) and OFFER-26 (Controls / Software / Management) are linked only because both sit in §4.6.7 — a supporting (shared-section) link, not a dedicated cross-reference to this specific clause.</t>
        </is>
      </c>
      <c r="M179" s="6" t="inlineStr">
        <is>
          <t>OK</t>
        </is>
      </c>
      <c r="N179" s="6" t="inlineStr">
        <is>
          <t>Canonical PDF/DOCX.</t>
        </is>
      </c>
    </row>
    <row r="180" ht="71" customHeight="1">
      <c r="A180" s="125" t="inlineStr">
        <is>
          <t>OFFER-26</t>
        </is>
      </c>
      <c r="B180" s="125" t="inlineStr">
        <is>
          <t>Software Architecture &amp; Development Scope</t>
        </is>
      </c>
      <c r="C180" s="125" t="n">
        <v>76</v>
      </c>
      <c r="D180" s="125" t="inlineStr">
        <is>
          <t>4.6.7</t>
        </is>
      </c>
      <c r="E180" s="125" t="inlineStr">
        <is>
          <t>RTM-341</t>
        </is>
      </c>
      <c r="F180" s="125" t="n">
        <v>76</v>
      </c>
      <c r="G180" s="125" t="inlineStr">
        <is>
          <t>4.6.7</t>
        </is>
      </c>
      <c r="H180" s="125" t="inlineStr">
        <is>
          <t>Software development</t>
        </is>
      </c>
      <c r="I180" s="125" t="inlineStr">
        <is>
          <t>When the Software Component includes human readable information (for example, but not limited to: HMI, logging, source code), it shall be in English.</t>
        </is>
      </c>
      <c r="J180" s="125" t="inlineStr">
        <is>
          <t>Supporting — shared section</t>
        </is>
      </c>
      <c r="K180" s="125" t="inlineStr">
        <is>
          <t>Partial evidence: OFFER response supports evaluation; it does not replace full RTM compliance.</t>
        </is>
      </c>
      <c r="L180" s="126" t="inlineStr">
        <is>
          <t>RTM-341 (Software development) and OFFER-26 (Controls / Software / Management) are linked only because both sit in §4.6.7 — a supporting (shared-section) link, not a dedicated cross-reference to this specific clause.</t>
        </is>
      </c>
      <c r="M180" s="6" t="inlineStr">
        <is>
          <t>OK</t>
        </is>
      </c>
      <c r="N180" s="6" t="inlineStr">
        <is>
          <t>Canonical PDF/DOCX.</t>
        </is>
      </c>
    </row>
    <row r="181" ht="71" customHeight="1">
      <c r="A181" s="6" t="inlineStr">
        <is>
          <t>OFFER-26</t>
        </is>
      </c>
      <c r="B181" s="6" t="inlineStr">
        <is>
          <t>Software Architecture &amp; Development Scope</t>
        </is>
      </c>
      <c r="C181" s="6" t="n">
        <v>76</v>
      </c>
      <c r="D181" s="6" t="inlineStr">
        <is>
          <t>4.6.7</t>
        </is>
      </c>
      <c r="E181" s="6" t="inlineStr">
        <is>
          <t>RTM-342</t>
        </is>
      </c>
      <c r="F181" s="6" t="n">
        <v>76</v>
      </c>
      <c r="G181" s="6" t="inlineStr">
        <is>
          <t>4.6.7</t>
        </is>
      </c>
      <c r="H181" s="6" t="inlineStr">
        <is>
          <t>Software development</t>
        </is>
      </c>
      <c r="I181" s="6" t="inlineStr">
        <is>
          <t>The Contractor shall develop a functional analysis and a detailed description of all control scenarios including interfaces. The detailed description shall also include a program sequence plan (functions and procedures used in the program). For each software module, functional block, component, or data block, the Contractor shall provide a detailed description of the logical conditions and input states that govern the activation, value assignment, or change of each output parameter.</t>
        </is>
      </c>
      <c r="J181" s="6" t="inlineStr">
        <is>
          <t>Supporting — shared section</t>
        </is>
      </c>
      <c r="K181" s="6" t="inlineStr">
        <is>
          <t>Partial evidence: OFFER response supports evaluation; it does not replace full RTM compliance.</t>
        </is>
      </c>
      <c r="L181" s="83" t="inlineStr">
        <is>
          <t>RTM-342 (Software development) and OFFER-26 (Controls / Software / Management) are linked only because both sit in §4.6.7 — a supporting (shared-section) link, not a dedicated cross-reference to this specific clause.</t>
        </is>
      </c>
      <c r="M181" s="6" t="inlineStr">
        <is>
          <t>OK</t>
        </is>
      </c>
      <c r="N181" s="6" t="inlineStr">
        <is>
          <t>Canonical PDF/DOCX.</t>
        </is>
      </c>
    </row>
    <row r="182" ht="71" customHeight="1">
      <c r="A182" s="125" t="inlineStr">
        <is>
          <t>OFFER-26</t>
        </is>
      </c>
      <c r="B182" s="125" t="inlineStr">
        <is>
          <t>Software Architecture &amp; Development Scope</t>
        </is>
      </c>
      <c r="C182" s="125" t="n">
        <v>76</v>
      </c>
      <c r="D182" s="125" t="inlineStr">
        <is>
          <t>4.6.7</t>
        </is>
      </c>
      <c r="E182" s="125" t="inlineStr">
        <is>
          <t>RTM-343</t>
        </is>
      </c>
      <c r="F182" s="125" t="n">
        <v>77</v>
      </c>
      <c r="G182" s="125" t="inlineStr">
        <is>
          <t>4.6.7</t>
        </is>
      </c>
      <c r="H182" s="125" t="inlineStr">
        <is>
          <t>Software development</t>
        </is>
      </c>
      <c r="I182" s="125" t="inlineStr">
        <is>
          <t>Each Software Component and Hardware Node shall include a unique version identifier that uniquely represents the build date and unique version identifier, automatically generated during the build process to ensure traceability; this identifier shall be retrievable in a consistent and read-only manner through the MCS control and monitoring interface.</t>
        </is>
      </c>
      <c r="J182" s="125" t="inlineStr">
        <is>
          <t>Supporting — shared section</t>
        </is>
      </c>
      <c r="K182" s="125" t="inlineStr">
        <is>
          <t>Partial evidence: OFFER response supports evaluation; it does not replace full RTM compliance.</t>
        </is>
      </c>
      <c r="L182" s="126" t="inlineStr">
        <is>
          <t>RTM-343 (Software development) and OFFER-26 (Controls / Software / Management) are linked only because both sit in §4.6.7 — a supporting (shared-section) link, not a dedicated cross-reference to this specific clause.</t>
        </is>
      </c>
      <c r="M182" s="6" t="inlineStr">
        <is>
          <t>OK</t>
        </is>
      </c>
      <c r="N182" s="6" t="inlineStr">
        <is>
          <t>Canonical PDF/DOCX.</t>
        </is>
      </c>
    </row>
    <row r="183" ht="71" customHeight="1">
      <c r="A183" s="6" t="inlineStr">
        <is>
          <t>OFFER-26</t>
        </is>
      </c>
      <c r="B183" s="6" t="inlineStr">
        <is>
          <t>Software Architecture &amp; Development Scope</t>
        </is>
      </c>
      <c r="C183" s="6" t="n">
        <v>76</v>
      </c>
      <c r="D183" s="6" t="inlineStr">
        <is>
          <t>4.6.7</t>
        </is>
      </c>
      <c r="E183" s="6" t="inlineStr">
        <is>
          <t>RTM-344</t>
        </is>
      </c>
      <c r="F183" s="6" t="n">
        <v>77</v>
      </c>
      <c r="G183" s="6" t="inlineStr">
        <is>
          <t>4.6.7</t>
        </is>
      </c>
      <c r="H183" s="6" t="inlineStr">
        <is>
          <t>Software development</t>
        </is>
      </c>
      <c r="I183" s="6" t="inlineStr">
        <is>
          <t>Configuration files and parameter sets shall be provided with version identification, configuration records, and change history sufficient to establish traceability of the delivered baseline.</t>
        </is>
      </c>
      <c r="J183" s="6" t="inlineStr">
        <is>
          <t>Supporting — shared section</t>
        </is>
      </c>
      <c r="K183" s="6" t="inlineStr">
        <is>
          <t>Partial evidence: OFFER response supports evaluation; it does not replace full RTM compliance.</t>
        </is>
      </c>
      <c r="L183" s="83" t="inlineStr">
        <is>
          <t>RTM-344 (Software development) and OFFER-26 (Controls / Software / Management) are linked only because both sit in §4.6.7 — a supporting (shared-section) link, not a dedicated cross-reference to this specific clause.</t>
        </is>
      </c>
      <c r="M183" s="6" t="inlineStr">
        <is>
          <t>OK</t>
        </is>
      </c>
      <c r="N183" s="6" t="inlineStr">
        <is>
          <t>Canonical PDF/DOCX.</t>
        </is>
      </c>
    </row>
    <row r="184" ht="71" customHeight="1">
      <c r="A184" s="125" t="inlineStr">
        <is>
          <t>OFFER-26</t>
        </is>
      </c>
      <c r="B184" s="125" t="inlineStr">
        <is>
          <t>Software Architecture &amp; Development Scope</t>
        </is>
      </c>
      <c r="C184" s="125" t="n">
        <v>76</v>
      </c>
      <c r="D184" s="125" t="inlineStr">
        <is>
          <t>4.6.7</t>
        </is>
      </c>
      <c r="E184" s="125" t="inlineStr">
        <is>
          <t>RTM-345</t>
        </is>
      </c>
      <c r="F184" s="125" t="n">
        <v>77</v>
      </c>
      <c r="G184" s="125" t="inlineStr">
        <is>
          <t>4.6.7</t>
        </is>
      </c>
      <c r="H184" s="125" t="inlineStr">
        <is>
          <t>Software development</t>
        </is>
      </c>
      <c r="I184" s="125" t="inlineStr">
        <is>
          <t>The Contractor shall provide a complete and final listing of all operational setpoints, control-loop tuning parameters, and mode-dependent configuration values used to achieve the specified QPLANT performance.</t>
        </is>
      </c>
      <c r="J184" s="125" t="inlineStr">
        <is>
          <t>Supporting — shared section</t>
        </is>
      </c>
      <c r="K184" s="125" t="inlineStr">
        <is>
          <t>Partial evidence: OFFER response supports evaluation; it does not replace full RTM compliance.</t>
        </is>
      </c>
      <c r="L184" s="126" t="inlineStr">
        <is>
          <t>RTM-345 (Software development) and OFFER-26 (Controls / Software / Management) are linked only because both sit in §4.6.7 — a supporting (shared-section) link, not a dedicated cross-reference to this specific clause.</t>
        </is>
      </c>
      <c r="M184" s="6" t="inlineStr">
        <is>
          <t>OK</t>
        </is>
      </c>
      <c r="N184" s="6" t="inlineStr">
        <is>
          <t>Canonical PDF/DOCX.</t>
        </is>
      </c>
    </row>
    <row r="185" ht="71" customHeight="1">
      <c r="A185" s="6" t="inlineStr">
        <is>
          <t>OFFER-27</t>
        </is>
      </c>
      <c r="B185" s="6" t="inlineStr">
        <is>
          <t>Programming Standards &amp; Language Strategy</t>
        </is>
      </c>
      <c r="C185" s="6" t="n">
        <v>76</v>
      </c>
      <c r="D185" s="6" t="inlineStr">
        <is>
          <t>4.6.7</t>
        </is>
      </c>
      <c r="E185" s="6" t="inlineStr">
        <is>
          <t>RTM-334</t>
        </is>
      </c>
      <c r="F185" s="6" t="n">
        <v>76</v>
      </c>
      <c r="G185" s="6" t="inlineStr">
        <is>
          <t>4.6.7</t>
        </is>
      </c>
      <c r="H185" s="6" t="inlineStr">
        <is>
          <t>Software development</t>
        </is>
      </c>
      <c r="I185" s="6" t="inlineStr">
        <is>
          <t>The Contractor shall provide a list of all development tools, environments, and version compatibility requirements necessary to edit, build, deploy, and restore the delivered control software at the time of Plant Acceptance.</t>
        </is>
      </c>
      <c r="J185" s="6" t="inlineStr">
        <is>
          <t>Supporting — shared section</t>
        </is>
      </c>
      <c r="K185" s="6" t="inlineStr">
        <is>
          <t>Partial evidence: OFFER response supports evaluation; it does not replace full RTM compliance.</t>
        </is>
      </c>
      <c r="L185" s="83" t="inlineStr">
        <is>
          <t>RTM-334 (Software development) and OFFER-27 (Controls / Software / Management) are linked only because both sit in §4.6.7 — a supporting (shared-section) link, not a dedicated cross-reference to this specific clause.</t>
        </is>
      </c>
      <c r="M185" s="6" t="inlineStr">
        <is>
          <t>OK</t>
        </is>
      </c>
      <c r="N185" s="6" t="inlineStr">
        <is>
          <t>Canonical PDF/DOCX.</t>
        </is>
      </c>
    </row>
    <row r="186" ht="71" customHeight="1">
      <c r="A186" s="125" t="inlineStr">
        <is>
          <t>OFFER-27</t>
        </is>
      </c>
      <c r="B186" s="125" t="inlineStr">
        <is>
          <t>Programming Standards &amp; Language Strategy</t>
        </is>
      </c>
      <c r="C186" s="125" t="n">
        <v>76</v>
      </c>
      <c r="D186" s="125" t="inlineStr">
        <is>
          <t>4.6.7</t>
        </is>
      </c>
      <c r="E186" s="125" t="inlineStr">
        <is>
          <t>RTM-335</t>
        </is>
      </c>
      <c r="F186" s="125" t="n">
        <v>76</v>
      </c>
      <c r="G186" s="125" t="inlineStr">
        <is>
          <t>4.6.7</t>
        </is>
      </c>
      <c r="H186" s="125" t="inlineStr">
        <is>
          <t>Software development</t>
        </is>
      </c>
      <c r="I186" s="125" t="inlineStr">
        <is>
          <t>The Contractor shall identify all third-party or vendor software licenses required for modification or deployment of the control software.</t>
        </is>
      </c>
      <c r="J186" s="125" t="inlineStr">
        <is>
          <t>Supporting — shared section</t>
        </is>
      </c>
      <c r="K186" s="125" t="inlineStr">
        <is>
          <t>Partial evidence: OFFER response supports evaluation; it does not replace full RTM compliance.</t>
        </is>
      </c>
      <c r="L186" s="126" t="inlineStr">
        <is>
          <t>RTM-335 (Software development) and OFFER-27 (Controls / Software / Management) are linked only because both sit in §4.6.7 — a supporting (shared-section) link, not a dedicated cross-reference to this specific clause.</t>
        </is>
      </c>
      <c r="M186" s="6" t="inlineStr">
        <is>
          <t>OK</t>
        </is>
      </c>
      <c r="N186" s="6" t="inlineStr">
        <is>
          <t>Canonical PDF/DOCX.</t>
        </is>
      </c>
    </row>
    <row r="187" ht="71" customHeight="1">
      <c r="A187" s="6" t="inlineStr">
        <is>
          <t>OFFER-27</t>
        </is>
      </c>
      <c r="B187" s="6" t="inlineStr">
        <is>
          <t>Programming Standards &amp; Language Strategy</t>
        </is>
      </c>
      <c r="C187" s="6" t="n">
        <v>76</v>
      </c>
      <c r="D187" s="6" t="inlineStr">
        <is>
          <t>4.6.7</t>
        </is>
      </c>
      <c r="E187" s="6" t="inlineStr">
        <is>
          <t>RTM-336</t>
        </is>
      </c>
      <c r="F187" s="6" t="n">
        <v>76</v>
      </c>
      <c r="G187" s="6" t="inlineStr">
        <is>
          <t>4.6.7</t>
        </is>
      </c>
      <c r="H187" s="6" t="inlineStr">
        <is>
          <t>Software development</t>
        </is>
      </c>
      <c r="I187" s="6" t="inlineStr">
        <is>
          <t>The Contractor shall not rely on undisclosed, inaccessible, or in-house proprietary tools that prevent reasonable modification, maintenance, or restoration of the delivered system.</t>
        </is>
      </c>
      <c r="J187" s="6" t="inlineStr">
        <is>
          <t>Supporting — shared section</t>
        </is>
      </c>
      <c r="K187" s="6" t="inlineStr">
        <is>
          <t>Partial evidence: OFFER response supports evaluation; it does not replace full RTM compliance.</t>
        </is>
      </c>
      <c r="L187" s="83" t="inlineStr">
        <is>
          <t>RTM-336 (Software development) and OFFER-27 (Controls / Software / Management) are linked only because both sit in §4.6.7 — a supporting (shared-section) link, not a dedicated cross-reference to this specific clause.</t>
        </is>
      </c>
      <c r="M187" s="6" t="inlineStr">
        <is>
          <t>OK</t>
        </is>
      </c>
      <c r="N187" s="6" t="inlineStr">
        <is>
          <t>Canonical PDF/DOCX.</t>
        </is>
      </c>
    </row>
    <row r="188" ht="71" customHeight="1">
      <c r="A188" s="125" t="inlineStr">
        <is>
          <t>OFFER-27</t>
        </is>
      </c>
      <c r="B188" s="125" t="inlineStr">
        <is>
          <t>Programming Standards &amp; Language Strategy</t>
        </is>
      </c>
      <c r="C188" s="125" t="n">
        <v>76</v>
      </c>
      <c r="D188" s="125" t="inlineStr">
        <is>
          <t>4.6.7</t>
        </is>
      </c>
      <c r="E188" s="125" t="inlineStr">
        <is>
          <t>RTM-337</t>
        </is>
      </c>
      <c r="F188" s="125" t="n">
        <v>76</v>
      </c>
      <c r="G188" s="125" t="inlineStr">
        <is>
          <t>4.6.7</t>
        </is>
      </c>
      <c r="H188" s="125" t="inlineStr">
        <is>
          <t>Software development</t>
        </is>
      </c>
      <c r="I188" s="125" t="inlineStr">
        <is>
          <t>The Contractor may exclude from editable source-code delivery software components containing proprietary intellectual property, including software related to turboexpander control, cold compressor control, protection, interlocks, or performance optimization. Still all applicable clauses from the GSHRC (see [AD_04], e.g., ESCROW) remain valid. For each excluded software component, the Contractor shall:</t>
        </is>
      </c>
      <c r="J188" s="125" t="inlineStr">
        <is>
          <t>Supporting — shared section</t>
        </is>
      </c>
      <c r="K188" s="125" t="inlineStr">
        <is>
          <t>Partial evidence: OFFER response supports evaluation; it does not replace full RTM compliance.</t>
        </is>
      </c>
      <c r="L188" s="126" t="inlineStr">
        <is>
          <t>RTM-337 (Software development) and OFFER-27 (Controls / Software / Management) are linked only because both sit in §4.6.7 — a supporting (shared-section) link, not a dedicated cross-reference to this specific clause.</t>
        </is>
      </c>
      <c r="M188" s="6" t="inlineStr">
        <is>
          <t>OK</t>
        </is>
      </c>
      <c r="N188" s="6" t="inlineStr">
        <is>
          <t>Canonical PDF/DOCX.</t>
        </is>
      </c>
    </row>
    <row r="189" ht="71" customHeight="1">
      <c r="A189" s="6" t="inlineStr">
        <is>
          <t>OFFER-27</t>
        </is>
      </c>
      <c r="B189" s="6" t="inlineStr">
        <is>
          <t>Programming Standards &amp; Language Strategy</t>
        </is>
      </c>
      <c r="C189" s="6" t="n">
        <v>76</v>
      </c>
      <c r="D189" s="6" t="inlineStr">
        <is>
          <t>4.6.7</t>
        </is>
      </c>
      <c r="E189" s="6" t="inlineStr">
        <is>
          <t>RTM-338</t>
        </is>
      </c>
      <c r="F189" s="6" t="n">
        <v>76</v>
      </c>
      <c r="G189" s="6" t="inlineStr">
        <is>
          <t>4.6.7</t>
        </is>
      </c>
      <c r="H189" s="6" t="inlineStr">
        <is>
          <t>Software development</t>
        </is>
      </c>
      <c r="I189" s="6" t="inlineStr">
        <is>
          <t>Excluded components shall not prevent operation, monitoring, integration, or modification of the overall QPS:CIS and may be delivered in compiled or parameterized form only if their interfaces, configuration options, and integration points are fully documented and remain usable and configurable by SCK CEN within the QPLANT:CIS</t>
        </is>
      </c>
      <c r="J189" s="6" t="inlineStr">
        <is>
          <t>Supporting — shared section</t>
        </is>
      </c>
      <c r="K189" s="6" t="inlineStr">
        <is>
          <t>Partial evidence: OFFER response supports evaluation; it does not replace full RTM compliance.</t>
        </is>
      </c>
      <c r="L189" s="83" t="inlineStr">
        <is>
          <t>RTM-338 (Software development) and OFFER-27 (Controls / Software / Management) are linked only because both sit in §4.6.7 — a supporting (shared-section) link, not a dedicated cross-reference to this specific clause.</t>
        </is>
      </c>
      <c r="M189" s="6" t="inlineStr">
        <is>
          <t>OK</t>
        </is>
      </c>
      <c r="N189" s="6" t="inlineStr">
        <is>
          <t>Canonical PDF/DOCX.</t>
        </is>
      </c>
    </row>
    <row r="190" ht="71" customHeight="1">
      <c r="A190" s="125" t="inlineStr">
        <is>
          <t>OFFER-27</t>
        </is>
      </c>
      <c r="B190" s="125" t="inlineStr">
        <is>
          <t>Programming Standards &amp; Language Strategy</t>
        </is>
      </c>
      <c r="C190" s="125" t="n">
        <v>76</v>
      </c>
      <c r="D190" s="125" t="inlineStr">
        <is>
          <t>4.6.7</t>
        </is>
      </c>
      <c r="E190" s="125" t="inlineStr">
        <is>
          <t>RTM-339</t>
        </is>
      </c>
      <c r="F190" s="125" t="n">
        <v>76</v>
      </c>
      <c r="G190" s="125" t="inlineStr">
        <is>
          <t>4.6.7</t>
        </is>
      </c>
      <c r="H190" s="125" t="inlineStr">
        <is>
          <t>Software development</t>
        </is>
      </c>
      <c r="I190" s="125" t="inlineStr">
        <is>
          <t>The Contractor shall provide the following as part of Control System Dossier:</t>
        </is>
      </c>
      <c r="J190" s="125" t="inlineStr">
        <is>
          <t>Supporting — shared section</t>
        </is>
      </c>
      <c r="K190" s="125" t="inlineStr">
        <is>
          <t>Partial evidence: OFFER response supports evaluation; it does not replace full RTM compliance.</t>
        </is>
      </c>
      <c r="L190" s="126" t="inlineStr">
        <is>
          <t>RTM-339 (Software development) and OFFER-27 (Controls / Software / Management) are linked only because both sit in §4.6.7 — a supporting (shared-section) link, not a dedicated cross-reference to this specific clause.</t>
        </is>
      </c>
      <c r="M190" s="6" t="inlineStr">
        <is>
          <t>OK</t>
        </is>
      </c>
      <c r="N190" s="6" t="inlineStr">
        <is>
          <t>Canonical PDF/DOCX.</t>
        </is>
      </c>
    </row>
    <row r="191" ht="71" customHeight="1">
      <c r="A191" s="6" t="inlineStr">
        <is>
          <t>OFFER-27</t>
        </is>
      </c>
      <c r="B191" s="6" t="inlineStr">
        <is>
          <t>Programming Standards &amp; Language Strategy</t>
        </is>
      </c>
      <c r="C191" s="6" t="n">
        <v>76</v>
      </c>
      <c r="D191" s="6" t="inlineStr">
        <is>
          <t>4.6.7</t>
        </is>
      </c>
      <c r="E191" s="6" t="inlineStr">
        <is>
          <t>RTM-340</t>
        </is>
      </c>
      <c r="F191" s="6" t="n">
        <v>76</v>
      </c>
      <c r="G191" s="6" t="inlineStr">
        <is>
          <t>4.6.7</t>
        </is>
      </c>
      <c r="H191" s="6" t="inlineStr">
        <is>
          <t>Software development</t>
        </is>
      </c>
      <c r="I191" s="6" t="inlineStr">
        <is>
          <t>The use of Instruction List (IL) is highly discouraged. Higher-level languages like Structured Text (ST) are highly recommended for better clarity, maintainability, and portability of PLC programs. Therefore, the Contractor is strongly advised to avoid new implementations in IL and to migrate any existing IL-based code to ST or other recommended IEC 61131-3 languages whenever possible.</t>
        </is>
      </c>
      <c r="J191" s="6" t="inlineStr">
        <is>
          <t>Direct — primary evidence anchor</t>
        </is>
      </c>
      <c r="K191" s="6" t="inlineStr">
        <is>
          <t>Partial evidence: OFFER response supports evaluation; it does not replace full RTM compliance.</t>
        </is>
      </c>
      <c r="L191" s="83" t="inlineStr">
        <is>
          <t>RTM-340 (Software development) is OFFER-27's (Controls / Software / Management) primary technical anchor in §4.6.7 — the direct classification means this is the main clause being evidenced here, not one of several equally-weighted section-mates.</t>
        </is>
      </c>
      <c r="M191" s="6" t="inlineStr">
        <is>
          <t>OK</t>
        </is>
      </c>
      <c r="N191" s="6" t="inlineStr">
        <is>
          <t>Canonical PDF/DOCX.</t>
        </is>
      </c>
    </row>
    <row r="192" ht="71" customHeight="1">
      <c r="A192" s="125" t="inlineStr">
        <is>
          <t>OFFER-27</t>
        </is>
      </c>
      <c r="B192" s="125" t="inlineStr">
        <is>
          <t>Programming Standards &amp; Language Strategy</t>
        </is>
      </c>
      <c r="C192" s="125" t="n">
        <v>76</v>
      </c>
      <c r="D192" s="125" t="inlineStr">
        <is>
          <t>4.6.7</t>
        </is>
      </c>
      <c r="E192" s="125" t="inlineStr">
        <is>
          <t>RTM-341</t>
        </is>
      </c>
      <c r="F192" s="125" t="n">
        <v>76</v>
      </c>
      <c r="G192" s="125" t="inlineStr">
        <is>
          <t>4.6.7</t>
        </is>
      </c>
      <c r="H192" s="125" t="inlineStr">
        <is>
          <t>Software development</t>
        </is>
      </c>
      <c r="I192" s="125" t="inlineStr">
        <is>
          <t>When the Software Component includes human readable information (for example, but not limited to: HMI, logging, source code), it shall be in English.</t>
        </is>
      </c>
      <c r="J192" s="125" t="inlineStr">
        <is>
          <t>Direct — primary evidence anchor</t>
        </is>
      </c>
      <c r="K192" s="125" t="inlineStr">
        <is>
          <t>Partial evidence: OFFER response supports evaluation; it does not replace full RTM compliance.</t>
        </is>
      </c>
      <c r="L192" s="126" t="inlineStr">
        <is>
          <t>RTM-341 (Software development) is OFFER-27's (Controls / Software / Management) primary technical anchor in §4.6.7 — the direct classification means this is the main clause being evidenced here, not one of several equally-weighted section-mates.</t>
        </is>
      </c>
      <c r="M192" s="6" t="inlineStr">
        <is>
          <t>OK</t>
        </is>
      </c>
      <c r="N192" s="6" t="inlineStr">
        <is>
          <t>Canonical PDF/DOCX.</t>
        </is>
      </c>
    </row>
    <row r="193" ht="71" customHeight="1">
      <c r="A193" s="6" t="inlineStr">
        <is>
          <t>OFFER-27</t>
        </is>
      </c>
      <c r="B193" s="6" t="inlineStr">
        <is>
          <t>Programming Standards &amp; Language Strategy</t>
        </is>
      </c>
      <c r="C193" s="6" t="n">
        <v>76</v>
      </c>
      <c r="D193" s="6" t="inlineStr">
        <is>
          <t>4.6.7</t>
        </is>
      </c>
      <c r="E193" s="6" t="inlineStr">
        <is>
          <t>RTM-342</t>
        </is>
      </c>
      <c r="F193" s="6" t="n">
        <v>76</v>
      </c>
      <c r="G193" s="6" t="inlineStr">
        <is>
          <t>4.6.7</t>
        </is>
      </c>
      <c r="H193" s="6" t="inlineStr">
        <is>
          <t>Software development</t>
        </is>
      </c>
      <c r="I193" s="6" t="inlineStr">
        <is>
          <t>The Contractor shall develop a functional analysis and a detailed description of all control scenarios including interfaces. The detailed description shall also include a program sequence plan (functions and procedures used in the program). For each software module, functional block, component, or data block, the Contractor shall provide a detailed description of the logical conditions and input states that govern the activation, value assignment, or change of each output parameter.</t>
        </is>
      </c>
      <c r="J193" s="6" t="inlineStr">
        <is>
          <t>Supporting — shared section</t>
        </is>
      </c>
      <c r="K193" s="6" t="inlineStr">
        <is>
          <t>Partial evidence: OFFER response supports evaluation; it does not replace full RTM compliance.</t>
        </is>
      </c>
      <c r="L193" s="83" t="inlineStr">
        <is>
          <t>RTM-342 (Software development) and OFFER-27 (Controls / Software / Management) are linked only because both sit in §4.6.7 — a supporting (shared-section) link, not a dedicated cross-reference to this specific clause.</t>
        </is>
      </c>
      <c r="M193" s="6" t="inlineStr">
        <is>
          <t>OK</t>
        </is>
      </c>
      <c r="N193" s="6" t="inlineStr">
        <is>
          <t>Canonical PDF/DOCX.</t>
        </is>
      </c>
    </row>
    <row r="194" ht="71" customHeight="1">
      <c r="A194" s="125" t="inlineStr">
        <is>
          <t>OFFER-27</t>
        </is>
      </c>
      <c r="B194" s="125" t="inlineStr">
        <is>
          <t>Programming Standards &amp; Language Strategy</t>
        </is>
      </c>
      <c r="C194" s="125" t="n">
        <v>76</v>
      </c>
      <c r="D194" s="125" t="inlineStr">
        <is>
          <t>4.6.7</t>
        </is>
      </c>
      <c r="E194" s="125" t="inlineStr">
        <is>
          <t>RTM-343</t>
        </is>
      </c>
      <c r="F194" s="125" t="n">
        <v>77</v>
      </c>
      <c r="G194" s="125" t="inlineStr">
        <is>
          <t>4.6.7</t>
        </is>
      </c>
      <c r="H194" s="125" t="inlineStr">
        <is>
          <t>Software development</t>
        </is>
      </c>
      <c r="I194" s="125" t="inlineStr">
        <is>
          <t>Each Software Component and Hardware Node shall include a unique version identifier that uniquely represents the build date and unique version identifier, automatically generated during the build process to ensure traceability; this identifier shall be retrievable in a consistent and read-only manner through the MCS control and monitoring interface.</t>
        </is>
      </c>
      <c r="J194" s="125" t="inlineStr">
        <is>
          <t>Direct — primary evidence anchor</t>
        </is>
      </c>
      <c r="K194" s="125" t="inlineStr">
        <is>
          <t>Partial evidence: OFFER response supports evaluation; it does not replace full RTM compliance.</t>
        </is>
      </c>
      <c r="L194" s="126" t="inlineStr">
        <is>
          <t>RTM-343 (Software development) is OFFER-27's (Controls / Software / Management) primary technical anchor in §4.6.7 — the direct classification means this is the main clause being evidenced here, not one of several equally-weighted section-mates.</t>
        </is>
      </c>
      <c r="M194" s="6" t="inlineStr">
        <is>
          <t>OK</t>
        </is>
      </c>
      <c r="N194" s="6" t="inlineStr">
        <is>
          <t>Canonical PDF/DOCX.</t>
        </is>
      </c>
    </row>
    <row r="195" ht="71" customHeight="1">
      <c r="A195" s="6" t="inlineStr">
        <is>
          <t>OFFER-27</t>
        </is>
      </c>
      <c r="B195" s="6" t="inlineStr">
        <is>
          <t>Programming Standards &amp; Language Strategy</t>
        </is>
      </c>
      <c r="C195" s="6" t="n">
        <v>76</v>
      </c>
      <c r="D195" s="6" t="inlineStr">
        <is>
          <t>4.6.7</t>
        </is>
      </c>
      <c r="E195" s="6" t="inlineStr">
        <is>
          <t>RTM-344</t>
        </is>
      </c>
      <c r="F195" s="6" t="n">
        <v>77</v>
      </c>
      <c r="G195" s="6" t="inlineStr">
        <is>
          <t>4.6.7</t>
        </is>
      </c>
      <c r="H195" s="6" t="inlineStr">
        <is>
          <t>Software development</t>
        </is>
      </c>
      <c r="I195" s="6" t="inlineStr">
        <is>
          <t>Configuration files and parameter sets shall be provided with version identification, configuration records, and change history sufficient to establish traceability of the delivered baseline.</t>
        </is>
      </c>
      <c r="J195" s="6" t="inlineStr">
        <is>
          <t>Direct — primary evidence anchor</t>
        </is>
      </c>
      <c r="K195" s="6" t="inlineStr">
        <is>
          <t>Partial evidence: OFFER response supports evaluation; it does not replace full RTM compliance.</t>
        </is>
      </c>
      <c r="L195" s="83" t="inlineStr">
        <is>
          <t>RTM-344 (Software development) is OFFER-27's (Controls / Software / Management) primary technical anchor in §4.6.7 — the direct classification means this is the main clause being evidenced here, not one of several equally-weighted section-mates.</t>
        </is>
      </c>
      <c r="M195" s="6" t="inlineStr">
        <is>
          <t>OK</t>
        </is>
      </c>
      <c r="N195" s="6" t="inlineStr">
        <is>
          <t>Canonical PDF/DOCX.</t>
        </is>
      </c>
    </row>
    <row r="196" ht="71" customHeight="1">
      <c r="A196" s="125" t="inlineStr">
        <is>
          <t>OFFER-27</t>
        </is>
      </c>
      <c r="B196" s="125" t="inlineStr">
        <is>
          <t>Programming Standards &amp; Language Strategy</t>
        </is>
      </c>
      <c r="C196" s="125" t="n">
        <v>76</v>
      </c>
      <c r="D196" s="125" t="inlineStr">
        <is>
          <t>4.6.7</t>
        </is>
      </c>
      <c r="E196" s="125" t="inlineStr">
        <is>
          <t>RTM-345</t>
        </is>
      </c>
      <c r="F196" s="125" t="n">
        <v>77</v>
      </c>
      <c r="G196" s="125" t="inlineStr">
        <is>
          <t>4.6.7</t>
        </is>
      </c>
      <c r="H196" s="125" t="inlineStr">
        <is>
          <t>Software development</t>
        </is>
      </c>
      <c r="I196" s="125" t="inlineStr">
        <is>
          <t>The Contractor shall provide a complete and final listing of all operational setpoints, control-loop tuning parameters, and mode-dependent configuration values used to achieve the specified QPLANT performance.</t>
        </is>
      </c>
      <c r="J196" s="125" t="inlineStr">
        <is>
          <t>Supporting — shared section</t>
        </is>
      </c>
      <c r="K196" s="125" t="inlineStr">
        <is>
          <t>Partial evidence: OFFER response supports evaluation; it does not replace full RTM compliance.</t>
        </is>
      </c>
      <c r="L196" s="126" t="inlineStr">
        <is>
          <t>RTM-345 (Software development) and OFFER-27 (Controls / Software / Management) are linked only because both sit in §4.6.7 — a supporting (shared-section) link, not a dedicated cross-reference to this specific clause.</t>
        </is>
      </c>
      <c r="M196" s="6" t="inlineStr">
        <is>
          <t>OK</t>
        </is>
      </c>
      <c r="N196" s="6" t="inlineStr">
        <is>
          <t>Canonical PDF/DOCX.</t>
        </is>
      </c>
    </row>
    <row r="197" ht="71" customHeight="1">
      <c r="A197" s="6" t="inlineStr">
        <is>
          <t>OFFER-28</t>
        </is>
      </c>
      <c r="B197" s="6" t="inlineStr">
        <is>
          <t>Functional Analysis &amp; Control Sequences</t>
        </is>
      </c>
      <c r="C197" s="6" t="n">
        <v>77</v>
      </c>
      <c r="D197" s="6" t="inlineStr">
        <is>
          <t>4.6.7</t>
        </is>
      </c>
      <c r="E197" s="6" t="inlineStr">
        <is>
          <t>RTM-334</t>
        </is>
      </c>
      <c r="F197" s="6" t="n">
        <v>76</v>
      </c>
      <c r="G197" s="6" t="inlineStr">
        <is>
          <t>4.6.7</t>
        </is>
      </c>
      <c r="H197" s="6" t="inlineStr">
        <is>
          <t>Software development</t>
        </is>
      </c>
      <c r="I197" s="6" t="inlineStr">
        <is>
          <t>The Contractor shall provide a list of all development tools, environments, and version compatibility requirements necessary to edit, build, deploy, and restore the delivered control software at the time of Plant Acceptance.</t>
        </is>
      </c>
      <c r="J197" s="6" t="inlineStr">
        <is>
          <t>Supporting — shared section</t>
        </is>
      </c>
      <c r="K197" s="6" t="inlineStr">
        <is>
          <t>Partial evidence: OFFER response supports evaluation; it does not replace full RTM compliance.</t>
        </is>
      </c>
      <c r="L197" s="83" t="inlineStr">
        <is>
          <t>RTM-334 (Software development) and OFFER-28 (Controls / Software / Management) are linked only because both sit in §4.6.7 — a supporting (shared-section) link, not a dedicated cross-reference to this specific clause.</t>
        </is>
      </c>
      <c r="M197" s="6" t="inlineStr">
        <is>
          <t>OK</t>
        </is>
      </c>
      <c r="N197" s="6" t="inlineStr">
        <is>
          <t>Canonical PDF/DOCX.</t>
        </is>
      </c>
    </row>
    <row r="198" ht="71" customHeight="1">
      <c r="A198" s="125" t="inlineStr">
        <is>
          <t>OFFER-28</t>
        </is>
      </c>
      <c r="B198" s="125" t="inlineStr">
        <is>
          <t>Functional Analysis &amp; Control Sequences</t>
        </is>
      </c>
      <c r="C198" s="125" t="n">
        <v>77</v>
      </c>
      <c r="D198" s="125" t="inlineStr">
        <is>
          <t>4.6.7</t>
        </is>
      </c>
      <c r="E198" s="125" t="inlineStr">
        <is>
          <t>RTM-335</t>
        </is>
      </c>
      <c r="F198" s="125" t="n">
        <v>76</v>
      </c>
      <c r="G198" s="125" t="inlineStr">
        <is>
          <t>4.6.7</t>
        </is>
      </c>
      <c r="H198" s="125" t="inlineStr">
        <is>
          <t>Software development</t>
        </is>
      </c>
      <c r="I198" s="125" t="inlineStr">
        <is>
          <t>The Contractor shall identify all third-party or vendor software licenses required for modification or deployment of the control software.</t>
        </is>
      </c>
      <c r="J198" s="125" t="inlineStr">
        <is>
          <t>Supporting — shared section</t>
        </is>
      </c>
      <c r="K198" s="125" t="inlineStr">
        <is>
          <t>Partial evidence: OFFER response supports evaluation; it does not replace full RTM compliance.</t>
        </is>
      </c>
      <c r="L198" s="126" t="inlineStr">
        <is>
          <t>RTM-335 (Software development) and OFFER-28 (Controls / Software / Management) are linked only because both sit in §4.6.7 — a supporting (shared-section) link, not a dedicated cross-reference to this specific clause.</t>
        </is>
      </c>
      <c r="M198" s="6" t="inlineStr">
        <is>
          <t>OK</t>
        </is>
      </c>
      <c r="N198" s="6" t="inlineStr">
        <is>
          <t>Canonical PDF/DOCX.</t>
        </is>
      </c>
    </row>
    <row r="199" ht="71" customHeight="1">
      <c r="A199" s="6" t="inlineStr">
        <is>
          <t>OFFER-28</t>
        </is>
      </c>
      <c r="B199" s="6" t="inlineStr">
        <is>
          <t>Functional Analysis &amp; Control Sequences</t>
        </is>
      </c>
      <c r="C199" s="6" t="n">
        <v>77</v>
      </c>
      <c r="D199" s="6" t="inlineStr">
        <is>
          <t>4.6.7</t>
        </is>
      </c>
      <c r="E199" s="6" t="inlineStr">
        <is>
          <t>RTM-336</t>
        </is>
      </c>
      <c r="F199" s="6" t="n">
        <v>76</v>
      </c>
      <c r="G199" s="6" t="inlineStr">
        <is>
          <t>4.6.7</t>
        </is>
      </c>
      <c r="H199" s="6" t="inlineStr">
        <is>
          <t>Software development</t>
        </is>
      </c>
      <c r="I199" s="6" t="inlineStr">
        <is>
          <t>The Contractor shall not rely on undisclosed, inaccessible, or in-house proprietary tools that prevent reasonable modification, maintenance, or restoration of the delivered system.</t>
        </is>
      </c>
      <c r="J199" s="6" t="inlineStr">
        <is>
          <t>Supporting — shared section</t>
        </is>
      </c>
      <c r="K199" s="6" t="inlineStr">
        <is>
          <t>Partial evidence: OFFER response supports evaluation; it does not replace full RTM compliance.</t>
        </is>
      </c>
      <c r="L199" s="83" t="inlineStr">
        <is>
          <t>RTM-336 (Software development) and OFFER-28 (Controls / Software / Management) are linked only because both sit in §4.6.7 — a supporting (shared-section) link, not a dedicated cross-reference to this specific clause.</t>
        </is>
      </c>
      <c r="M199" s="6" t="inlineStr">
        <is>
          <t>OK</t>
        </is>
      </c>
      <c r="N199" s="6" t="inlineStr">
        <is>
          <t>Canonical PDF/DOCX.</t>
        </is>
      </c>
    </row>
    <row r="200" ht="71" customHeight="1">
      <c r="A200" s="125" t="inlineStr">
        <is>
          <t>OFFER-28</t>
        </is>
      </c>
      <c r="B200" s="125" t="inlineStr">
        <is>
          <t>Functional Analysis &amp; Control Sequences</t>
        </is>
      </c>
      <c r="C200" s="125" t="n">
        <v>77</v>
      </c>
      <c r="D200" s="125" t="inlineStr">
        <is>
          <t>4.6.7</t>
        </is>
      </c>
      <c r="E200" s="125" t="inlineStr">
        <is>
          <t>RTM-337</t>
        </is>
      </c>
      <c r="F200" s="125" t="n">
        <v>76</v>
      </c>
      <c r="G200" s="125" t="inlineStr">
        <is>
          <t>4.6.7</t>
        </is>
      </c>
      <c r="H200" s="125" t="inlineStr">
        <is>
          <t>Software development</t>
        </is>
      </c>
      <c r="I200" s="125" t="inlineStr">
        <is>
          <t>The Contractor may exclude from editable source-code delivery software components containing proprietary intellectual property, including software related to turboexpander control, cold compressor control, protection, interlocks, or performance optimization. Still all applicable clauses from the GSHRC (see [AD_04], e.g., ESCROW) remain valid. For each excluded software component, the Contractor shall:</t>
        </is>
      </c>
      <c r="J200" s="125" t="inlineStr">
        <is>
          <t>Supporting — shared section</t>
        </is>
      </c>
      <c r="K200" s="125" t="inlineStr">
        <is>
          <t>Partial evidence: OFFER response supports evaluation; it does not replace full RTM compliance.</t>
        </is>
      </c>
      <c r="L200" s="126" t="inlineStr">
        <is>
          <t>RTM-337 (Software development) and OFFER-28 (Controls / Software / Management) are linked only because both sit in §4.6.7 — a supporting (shared-section) link, not a dedicated cross-reference to this specific clause.</t>
        </is>
      </c>
      <c r="M200" s="6" t="inlineStr">
        <is>
          <t>OK</t>
        </is>
      </c>
      <c r="N200" s="6" t="inlineStr">
        <is>
          <t>Canonical PDF/DOCX.</t>
        </is>
      </c>
    </row>
    <row r="201" ht="71" customHeight="1">
      <c r="A201" s="6" t="inlineStr">
        <is>
          <t>OFFER-28</t>
        </is>
      </c>
      <c r="B201" s="6" t="inlineStr">
        <is>
          <t>Functional Analysis &amp; Control Sequences</t>
        </is>
      </c>
      <c r="C201" s="6" t="n">
        <v>77</v>
      </c>
      <c r="D201" s="6" t="inlineStr">
        <is>
          <t>4.6.7</t>
        </is>
      </c>
      <c r="E201" s="6" t="inlineStr">
        <is>
          <t>RTM-338</t>
        </is>
      </c>
      <c r="F201" s="6" t="n">
        <v>76</v>
      </c>
      <c r="G201" s="6" t="inlineStr">
        <is>
          <t>4.6.7</t>
        </is>
      </c>
      <c r="H201" s="6" t="inlineStr">
        <is>
          <t>Software development</t>
        </is>
      </c>
      <c r="I201" s="6" t="inlineStr">
        <is>
          <t>Excluded components shall not prevent operation, monitoring, integration, or modification of the overall QPS:CIS and may be delivered in compiled or parameterized form only if their interfaces, configuration options, and integration points are fully documented and remain usable and configurable by SCK CEN within the QPLANT:CIS</t>
        </is>
      </c>
      <c r="J201" s="6" t="inlineStr">
        <is>
          <t>Supporting — shared section</t>
        </is>
      </c>
      <c r="K201" s="6" t="inlineStr">
        <is>
          <t>Partial evidence: OFFER response supports evaluation; it does not replace full RTM compliance.</t>
        </is>
      </c>
      <c r="L201" s="83" t="inlineStr">
        <is>
          <t>RTM-338 (Software development) and OFFER-28 (Controls / Software / Management) are linked only because both sit in §4.6.7 — a supporting (shared-section) link, not a dedicated cross-reference to this specific clause.</t>
        </is>
      </c>
      <c r="M201" s="6" t="inlineStr">
        <is>
          <t>OK</t>
        </is>
      </c>
      <c r="N201" s="6" t="inlineStr">
        <is>
          <t>Canonical PDF/DOCX.</t>
        </is>
      </c>
    </row>
    <row r="202" ht="71" customHeight="1">
      <c r="A202" s="125" t="inlineStr">
        <is>
          <t>OFFER-28</t>
        </is>
      </c>
      <c r="B202" s="125" t="inlineStr">
        <is>
          <t>Functional Analysis &amp; Control Sequences</t>
        </is>
      </c>
      <c r="C202" s="125" t="n">
        <v>77</v>
      </c>
      <c r="D202" s="125" t="inlineStr">
        <is>
          <t>4.6.7</t>
        </is>
      </c>
      <c r="E202" s="125" t="inlineStr">
        <is>
          <t>RTM-339</t>
        </is>
      </c>
      <c r="F202" s="125" t="n">
        <v>76</v>
      </c>
      <c r="G202" s="125" t="inlineStr">
        <is>
          <t>4.6.7</t>
        </is>
      </c>
      <c r="H202" s="125" t="inlineStr">
        <is>
          <t>Software development</t>
        </is>
      </c>
      <c r="I202" s="125" t="inlineStr">
        <is>
          <t>The Contractor shall provide the following as part of Control System Dossier:</t>
        </is>
      </c>
      <c r="J202" s="125" t="inlineStr">
        <is>
          <t>Supporting — shared section</t>
        </is>
      </c>
      <c r="K202" s="125" t="inlineStr">
        <is>
          <t>Partial evidence: OFFER response supports evaluation; it does not replace full RTM compliance.</t>
        </is>
      </c>
      <c r="L202" s="126" t="inlineStr">
        <is>
          <t>RTM-339 (Software development) and OFFER-28 (Controls / Software / Management) are linked only because both sit in §4.6.7 — a supporting (shared-section) link, not a dedicated cross-reference to this specific clause.</t>
        </is>
      </c>
      <c r="M202" s="6" t="inlineStr">
        <is>
          <t>OK</t>
        </is>
      </c>
      <c r="N202" s="6" t="inlineStr">
        <is>
          <t>Canonical PDF/DOCX.</t>
        </is>
      </c>
    </row>
    <row r="203" ht="71" customHeight="1">
      <c r="A203" s="6" t="inlineStr">
        <is>
          <t>OFFER-28</t>
        </is>
      </c>
      <c r="B203" s="6" t="inlineStr">
        <is>
          <t>Functional Analysis &amp; Control Sequences</t>
        </is>
      </c>
      <c r="C203" s="6" t="n">
        <v>77</v>
      </c>
      <c r="D203" s="6" t="inlineStr">
        <is>
          <t>4.6.7</t>
        </is>
      </c>
      <c r="E203" s="6" t="inlineStr">
        <is>
          <t>RTM-340</t>
        </is>
      </c>
      <c r="F203" s="6" t="n">
        <v>76</v>
      </c>
      <c r="G203" s="6" t="inlineStr">
        <is>
          <t>4.6.7</t>
        </is>
      </c>
      <c r="H203" s="6" t="inlineStr">
        <is>
          <t>Software development</t>
        </is>
      </c>
      <c r="I203" s="6" t="inlineStr">
        <is>
          <t>The use of Instruction List (IL) is highly discouraged. Higher-level languages like Structured Text (ST) are highly recommended for better clarity, maintainability, and portability of PLC programs. Therefore, the Contractor is strongly advised to avoid new implementations in IL and to migrate any existing IL-based code to ST or other recommended IEC 61131-3 languages whenever possible.</t>
        </is>
      </c>
      <c r="J203" s="6" t="inlineStr">
        <is>
          <t>Supporting — shared section</t>
        </is>
      </c>
      <c r="K203" s="6" t="inlineStr">
        <is>
          <t>Partial evidence: OFFER response supports evaluation; it does not replace full RTM compliance.</t>
        </is>
      </c>
      <c r="L203" s="83" t="inlineStr">
        <is>
          <t>RTM-340 (Software development) and OFFER-28 (Controls / Software / Management) are linked only because both sit in §4.6.7 — a supporting (shared-section) link, not a dedicated cross-reference to this specific clause.</t>
        </is>
      </c>
      <c r="M203" s="6" t="inlineStr">
        <is>
          <t>OK</t>
        </is>
      </c>
      <c r="N203" s="6" t="inlineStr">
        <is>
          <t>Canonical PDF/DOCX.</t>
        </is>
      </c>
    </row>
    <row r="204" ht="71" customHeight="1">
      <c r="A204" s="125" t="inlineStr">
        <is>
          <t>OFFER-28</t>
        </is>
      </c>
      <c r="B204" s="125" t="inlineStr">
        <is>
          <t>Functional Analysis &amp; Control Sequences</t>
        </is>
      </c>
      <c r="C204" s="125" t="n">
        <v>77</v>
      </c>
      <c r="D204" s="125" t="inlineStr">
        <is>
          <t>4.6.7</t>
        </is>
      </c>
      <c r="E204" s="125" t="inlineStr">
        <is>
          <t>RTM-341</t>
        </is>
      </c>
      <c r="F204" s="125" t="n">
        <v>76</v>
      </c>
      <c r="G204" s="125" t="inlineStr">
        <is>
          <t>4.6.7</t>
        </is>
      </c>
      <c r="H204" s="125" t="inlineStr">
        <is>
          <t>Software development</t>
        </is>
      </c>
      <c r="I204" s="125" t="inlineStr">
        <is>
          <t>When the Software Component includes human readable information (for example, but not limited to: HMI, logging, source code), it shall be in English.</t>
        </is>
      </c>
      <c r="J204" s="125" t="inlineStr">
        <is>
          <t>Supporting — shared section</t>
        </is>
      </c>
      <c r="K204" s="125" t="inlineStr">
        <is>
          <t>Partial evidence: OFFER response supports evaluation; it does not replace full RTM compliance.</t>
        </is>
      </c>
      <c r="L204" s="126" t="inlineStr">
        <is>
          <t>RTM-341 (Software development) and OFFER-28 (Controls / Software / Management) are linked only because both sit in §4.6.7 — a supporting (shared-section) link, not a dedicated cross-reference to this specific clause.</t>
        </is>
      </c>
      <c r="M204" s="6" t="inlineStr">
        <is>
          <t>OK</t>
        </is>
      </c>
      <c r="N204" s="6" t="inlineStr">
        <is>
          <t>Canonical PDF/DOCX.</t>
        </is>
      </c>
    </row>
    <row r="205" ht="71" customHeight="1">
      <c r="A205" s="6" t="inlineStr">
        <is>
          <t>OFFER-28</t>
        </is>
      </c>
      <c r="B205" s="6" t="inlineStr">
        <is>
          <t>Functional Analysis &amp; Control Sequences</t>
        </is>
      </c>
      <c r="C205" s="6" t="n">
        <v>77</v>
      </c>
      <c r="D205" s="6" t="inlineStr">
        <is>
          <t>4.6.7</t>
        </is>
      </c>
      <c r="E205" s="6" t="inlineStr">
        <is>
          <t>RTM-342</t>
        </is>
      </c>
      <c r="F205" s="6" t="n">
        <v>76</v>
      </c>
      <c r="G205" s="6" t="inlineStr">
        <is>
          <t>4.6.7</t>
        </is>
      </c>
      <c r="H205" s="6" t="inlineStr">
        <is>
          <t>Software development</t>
        </is>
      </c>
      <c r="I205" s="6" t="inlineStr">
        <is>
          <t>The Contractor shall develop a functional analysis and a detailed description of all control scenarios including interfaces. The detailed description shall also include a program sequence plan (functions and procedures used in the program). For each software module, functional block, component, or data block, the Contractor shall provide a detailed description of the logical conditions and input states that govern the activation, value assignment, or change of each output parameter.</t>
        </is>
      </c>
      <c r="J205" s="6" t="inlineStr">
        <is>
          <t>Direct — primary evidence anchor</t>
        </is>
      </c>
      <c r="K205" s="6" t="inlineStr">
        <is>
          <t>Partial evidence: OFFER response supports evaluation; it does not replace full RTM compliance.</t>
        </is>
      </c>
      <c r="L205" s="83" t="inlineStr">
        <is>
          <t>RTM-342 (Software development) is OFFER-28's (Controls / Software / Management) primary technical anchor in §4.6.7 — the direct classification means this is the main clause being evidenced here, not one of several equally-weighted section-mates.</t>
        </is>
      </c>
      <c r="M205" s="6" t="inlineStr">
        <is>
          <t>OK</t>
        </is>
      </c>
      <c r="N205" s="6" t="inlineStr">
        <is>
          <t>Canonical PDF/DOCX.</t>
        </is>
      </c>
    </row>
    <row r="206" ht="71" customHeight="1">
      <c r="A206" s="125" t="inlineStr">
        <is>
          <t>OFFER-28</t>
        </is>
      </c>
      <c r="B206" s="125" t="inlineStr">
        <is>
          <t>Functional Analysis &amp; Control Sequences</t>
        </is>
      </c>
      <c r="C206" s="125" t="n">
        <v>77</v>
      </c>
      <c r="D206" s="125" t="inlineStr">
        <is>
          <t>4.6.7</t>
        </is>
      </c>
      <c r="E206" s="125" t="inlineStr">
        <is>
          <t>RTM-343</t>
        </is>
      </c>
      <c r="F206" s="125" t="n">
        <v>77</v>
      </c>
      <c r="G206" s="125" t="inlineStr">
        <is>
          <t>4.6.7</t>
        </is>
      </c>
      <c r="H206" s="125" t="inlineStr">
        <is>
          <t>Software development</t>
        </is>
      </c>
      <c r="I206" s="125" t="inlineStr">
        <is>
          <t>Each Software Component and Hardware Node shall include a unique version identifier that uniquely represents the build date and unique version identifier, automatically generated during the build process to ensure traceability; this identifier shall be retrievable in a consistent and read-only manner through the MCS control and monitoring interface.</t>
        </is>
      </c>
      <c r="J206" s="125" t="inlineStr">
        <is>
          <t>Supporting — shared section</t>
        </is>
      </c>
      <c r="K206" s="125" t="inlineStr">
        <is>
          <t>Partial evidence: OFFER response supports evaluation; it does not replace full RTM compliance.</t>
        </is>
      </c>
      <c r="L206" s="126" t="inlineStr">
        <is>
          <t>RTM-343 (Software development) and OFFER-28 (Controls / Software / Management) are linked only because both sit in §4.6.7 — a supporting (shared-section) link, not a dedicated cross-reference to this specific clause.</t>
        </is>
      </c>
      <c r="M206" s="6" t="inlineStr">
        <is>
          <t>OK</t>
        </is>
      </c>
      <c r="N206" s="6" t="inlineStr">
        <is>
          <t>Canonical PDF/DOCX.</t>
        </is>
      </c>
    </row>
    <row r="207" ht="71" customHeight="1">
      <c r="A207" s="6" t="inlineStr">
        <is>
          <t>OFFER-28</t>
        </is>
      </c>
      <c r="B207" s="6" t="inlineStr">
        <is>
          <t>Functional Analysis &amp; Control Sequences</t>
        </is>
      </c>
      <c r="C207" s="6" t="n">
        <v>77</v>
      </c>
      <c r="D207" s="6" t="inlineStr">
        <is>
          <t>4.6.7</t>
        </is>
      </c>
      <c r="E207" s="6" t="inlineStr">
        <is>
          <t>RTM-344</t>
        </is>
      </c>
      <c r="F207" s="6" t="n">
        <v>77</v>
      </c>
      <c r="G207" s="6" t="inlineStr">
        <is>
          <t>4.6.7</t>
        </is>
      </c>
      <c r="H207" s="6" t="inlineStr">
        <is>
          <t>Software development</t>
        </is>
      </c>
      <c r="I207" s="6" t="inlineStr">
        <is>
          <t>Configuration files and parameter sets shall be provided with version identification, configuration records, and change history sufficient to establish traceability of the delivered baseline.</t>
        </is>
      </c>
      <c r="J207" s="6" t="inlineStr">
        <is>
          <t>Supporting — shared section</t>
        </is>
      </c>
      <c r="K207" s="6" t="inlineStr">
        <is>
          <t>Partial evidence: OFFER response supports evaluation; it does not replace full RTM compliance.</t>
        </is>
      </c>
      <c r="L207" s="83" t="inlineStr">
        <is>
          <t>RTM-344 (Software development) and OFFER-28 (Controls / Software / Management) are linked only because both sit in §4.6.7 — a supporting (shared-section) link, not a dedicated cross-reference to this specific clause.</t>
        </is>
      </c>
      <c r="M207" s="6" t="inlineStr">
        <is>
          <t>OK</t>
        </is>
      </c>
      <c r="N207" s="6" t="inlineStr">
        <is>
          <t>Canonical PDF/DOCX.</t>
        </is>
      </c>
    </row>
    <row r="208" ht="71" customHeight="1">
      <c r="A208" s="125" t="inlineStr">
        <is>
          <t>OFFER-28</t>
        </is>
      </c>
      <c r="B208" s="125" t="inlineStr">
        <is>
          <t>Functional Analysis &amp; Control Sequences</t>
        </is>
      </c>
      <c r="C208" s="125" t="n">
        <v>77</v>
      </c>
      <c r="D208" s="125" t="inlineStr">
        <is>
          <t>4.6.7</t>
        </is>
      </c>
      <c r="E208" s="125" t="inlineStr">
        <is>
          <t>RTM-345</t>
        </is>
      </c>
      <c r="F208" s="125" t="n">
        <v>77</v>
      </c>
      <c r="G208" s="125" t="inlineStr">
        <is>
          <t>4.6.7</t>
        </is>
      </c>
      <c r="H208" s="125" t="inlineStr">
        <is>
          <t>Software development</t>
        </is>
      </c>
      <c r="I208" s="125" t="inlineStr">
        <is>
          <t>The Contractor shall provide a complete and final listing of all operational setpoints, control-loop tuning parameters, and mode-dependent configuration values used to achieve the specified QPLANT performance.</t>
        </is>
      </c>
      <c r="J208" s="125" t="inlineStr">
        <is>
          <t>Direct — primary evidence anchor</t>
        </is>
      </c>
      <c r="K208" s="125" t="inlineStr">
        <is>
          <t>Partial evidence: OFFER response supports evaluation; it does not replace full RTM compliance.</t>
        </is>
      </c>
      <c r="L208" s="126" t="inlineStr">
        <is>
          <t>RTM-345 (Software development) is OFFER-28's (Controls / Software / Management) primary technical anchor in §4.6.7 — the direct classification means this is the main clause being evidenced here, not one of several equally-weighted section-mates.</t>
        </is>
      </c>
      <c r="M208" s="6" t="inlineStr">
        <is>
          <t>OK</t>
        </is>
      </c>
      <c r="N208" s="6" t="inlineStr">
        <is>
          <t>Canonical PDF/DOCX.</t>
        </is>
      </c>
    </row>
    <row r="209" ht="71" customHeight="1">
      <c r="A209" s="6" t="inlineStr">
        <is>
          <t>OFFER-29</t>
        </is>
      </c>
      <c r="B209" s="6" t="inlineStr">
        <is>
          <t>Control System Obsolescence Strategy</t>
        </is>
      </c>
      <c r="C209" s="6" t="n">
        <v>78</v>
      </c>
      <c r="D209" s="6" t="inlineStr">
        <is>
          <t>4.6.8</t>
        </is>
      </c>
      <c r="E209" s="6" t="inlineStr">
        <is>
          <t>RTM-346</t>
        </is>
      </c>
      <c r="F209" s="6" t="n">
        <v>77</v>
      </c>
      <c r="G209" s="6" t="inlineStr">
        <is>
          <t>4.6.8</t>
        </is>
      </c>
      <c r="H209" s="6" t="inlineStr">
        <is>
          <t>SCADA, HMI, and Data Historian Infrastructure</t>
        </is>
      </c>
      <c r="I209" s="6" t="inlineStr">
        <is>
          <t>The Contractor shall provide local operator stations (HMI) to support local data visualization, reporting, and maintenance activities for QPS. At minimum, one station shall be installed in the Compressor Room and one in the Cold Box Room.</t>
        </is>
      </c>
      <c r="J209" s="6" t="inlineStr">
        <is>
          <t>Direct — exact contract section</t>
        </is>
      </c>
      <c r="K209" s="6" t="inlineStr">
        <is>
          <t>Partial evidence: OFFER response supports evaluation; it does not replace full RTM compliance.</t>
        </is>
      </c>
      <c r="L209" s="83" t="inlineStr">
        <is>
          <t>RTM-346 (SCADA, HMI, and Data Historian Infrastructure) and OFFER-29 (Controls / Software / Management) are linked only because both sit in §4.6.8 — a direct (shared-section) link, not a dedicated cross-reference to this specific clause.</t>
        </is>
      </c>
      <c r="M209" s="6" t="inlineStr">
        <is>
          <t>OK</t>
        </is>
      </c>
      <c r="N209" s="6" t="inlineStr">
        <is>
          <t>Canonical PDF/DOCX.</t>
        </is>
      </c>
    </row>
    <row r="210" ht="71" customHeight="1">
      <c r="A210" s="125" t="inlineStr">
        <is>
          <t>OFFER-29</t>
        </is>
      </c>
      <c r="B210" s="125" t="inlineStr">
        <is>
          <t>Control System Obsolescence Strategy</t>
        </is>
      </c>
      <c r="C210" s="125" t="n">
        <v>78</v>
      </c>
      <c r="D210" s="125" t="inlineStr">
        <is>
          <t>4.6.8</t>
        </is>
      </c>
      <c r="E210" s="125" t="inlineStr">
        <is>
          <t>RTM-347</t>
        </is>
      </c>
      <c r="F210" s="125" t="n">
        <v>77</v>
      </c>
      <c r="G210" s="125" t="inlineStr">
        <is>
          <t>4.6.8</t>
        </is>
      </c>
      <c r="H210" s="125" t="inlineStr">
        <is>
          <t>SCADA, HMI, and Data Historian Infrastructure</t>
        </is>
      </c>
      <c r="I210" s="125" t="inlineStr">
        <is>
          <t>The Contractor shall supply, configure, and commission a System-Dedicated SCADA system (QPS:SCADA) and data historian (QPS:HIS) for QPS:CIS. The dedicated SCADA system shall be designed such that future integration with a Site-Wide MINERVA SCADA system is technically feasible and not precluded by architectural, licensing, protocol, or data-model constraints.</t>
        </is>
      </c>
      <c r="J210" s="125" t="inlineStr">
        <is>
          <t>Direct — exact contract section</t>
        </is>
      </c>
      <c r="K210" s="125" t="inlineStr">
        <is>
          <t>Partial evidence: OFFER response supports evaluation; it does not replace full RTM compliance.</t>
        </is>
      </c>
      <c r="L210" s="126" t="inlineStr">
        <is>
          <t>RTM-347 (SCADA, HMI, and Data Historian Infrastructure) and OFFER-29 (Controls / Software / Management) are linked only because both sit in §4.6.8 — a direct (shared-section) link, not a dedicated cross-reference to this specific clause.</t>
        </is>
      </c>
      <c r="M210" s="6" t="inlineStr">
        <is>
          <t>OK</t>
        </is>
      </c>
      <c r="N210" s="6" t="inlineStr">
        <is>
          <t>Canonical PDF/DOCX.</t>
        </is>
      </c>
    </row>
    <row r="211" ht="71" customHeight="1">
      <c r="A211" s="6" t="inlineStr">
        <is>
          <t>OFFER-29</t>
        </is>
      </c>
      <c r="B211" s="6" t="inlineStr">
        <is>
          <t>Control System Obsolescence Strategy</t>
        </is>
      </c>
      <c r="C211" s="6" t="n">
        <v>78</v>
      </c>
      <c r="D211" s="6" t="inlineStr">
        <is>
          <t>4.6.8</t>
        </is>
      </c>
      <c r="E211" s="6" t="inlineStr">
        <is>
          <t>RTM-348</t>
        </is>
      </c>
      <c r="F211" s="6" t="n">
        <v>77</v>
      </c>
      <c r="G211" s="6" t="inlineStr">
        <is>
          <t>4.6.8</t>
        </is>
      </c>
      <c r="H211" s="6" t="inlineStr">
        <is>
          <t>SCADA, HMI, and Data Historian Infrastructure</t>
        </is>
      </c>
      <c r="I211" s="6" t="inlineStr">
        <is>
          <t>During standalone commissioning and SAT, integration with SCK CEN systems (MIT, MCS, MIS) may not be available; therefore, QPS:CIS shall be capable of independent operation until full site integration is realized.</t>
        </is>
      </c>
      <c r="J211" s="6" t="inlineStr">
        <is>
          <t>Direct — exact contract section</t>
        </is>
      </c>
      <c r="K211" s="6" t="inlineStr">
        <is>
          <t>Partial evidence: OFFER response supports evaluation; it does not replace full RTM compliance.</t>
        </is>
      </c>
      <c r="L211" s="83" t="inlineStr">
        <is>
          <t>RTM-348 (SCADA, HMI, and Data Historian Infrastructure) and OFFER-29 (Controls / Software / Management) are linked only because both sit in §4.6.8 — a direct (shared-section) link, not a dedicated cross-reference to this specific clause.</t>
        </is>
      </c>
      <c r="M211" s="6" t="inlineStr">
        <is>
          <t>OK</t>
        </is>
      </c>
      <c r="N211" s="6" t="inlineStr">
        <is>
          <t>Canonical PDF/DOCX.</t>
        </is>
      </c>
    </row>
    <row r="212" ht="71" customHeight="1">
      <c r="A212" s="125" t="inlineStr">
        <is>
          <t>OFFER-29</t>
        </is>
      </c>
      <c r="B212" s="125" t="inlineStr">
        <is>
          <t>Control System Obsolescence Strategy</t>
        </is>
      </c>
      <c r="C212" s="125" t="n">
        <v>78</v>
      </c>
      <c r="D212" s="125" t="inlineStr">
        <is>
          <t>4.6.8</t>
        </is>
      </c>
      <c r="E212" s="125" t="inlineStr">
        <is>
          <t>RTM-349</t>
        </is>
      </c>
      <c r="F212" s="125" t="n">
        <v>77</v>
      </c>
      <c r="G212" s="125" t="inlineStr">
        <is>
          <t>4.6.8</t>
        </is>
      </c>
      <c r="H212" s="125" t="inlineStr">
        <is>
          <t>SCADA, HMI, and Data Historian Infrastructure</t>
        </is>
      </c>
      <c r="I212" s="125" t="inlineStr">
        <is>
          <t>The QPS:SCADA solution shall serve as a reference design for a potential future integration in the MINERVA SCADA system. The Contractor shall therefore provide sufficient technical and functional documentation to support reuse and alignment.</t>
        </is>
      </c>
      <c r="J212" s="125" t="inlineStr">
        <is>
          <t>Direct — exact contract section</t>
        </is>
      </c>
      <c r="K212" s="125" t="inlineStr">
        <is>
          <t>Partial evidence: OFFER response supports evaluation; it does not replace full RTM compliance.</t>
        </is>
      </c>
      <c r="L212" s="126" t="inlineStr">
        <is>
          <t>RTM-349 (SCADA, HMI, and Data Historian Infrastructure) and OFFER-29 (Controls / Software / Management) are linked only because both sit in §4.6.8 — a direct (shared-section) link, not a dedicated cross-reference to this specific clause.</t>
        </is>
      </c>
      <c r="M212" s="6" t="inlineStr">
        <is>
          <t>OK</t>
        </is>
      </c>
      <c r="N212" s="6" t="inlineStr">
        <is>
          <t>Canonical PDF/DOCX.</t>
        </is>
      </c>
    </row>
    <row r="213" ht="71" customHeight="1">
      <c r="A213" s="6" t="inlineStr">
        <is>
          <t>OFFER-29</t>
        </is>
      </c>
      <c r="B213" s="6" t="inlineStr">
        <is>
          <t>Control System Obsolescence Strategy</t>
        </is>
      </c>
      <c r="C213" s="6" t="n">
        <v>78</v>
      </c>
      <c r="D213" s="6" t="inlineStr">
        <is>
          <t>4.6.8</t>
        </is>
      </c>
      <c r="E213" s="6" t="inlineStr">
        <is>
          <t>RTM-350</t>
        </is>
      </c>
      <c r="F213" s="6" t="n">
        <v>77</v>
      </c>
      <c r="G213" s="6" t="inlineStr">
        <is>
          <t>4.6.8</t>
        </is>
      </c>
      <c r="H213" s="6" t="inlineStr">
        <is>
          <t>SCADA, HMI, and Data Historian Infrastructure</t>
        </is>
      </c>
      <c r="I213" s="6" t="inlineStr">
        <is>
          <t>The Contractor shall optionally support later integration of QPS:CIS with the MINERVA SCADA System. This support shall include, at minimum:</t>
        </is>
      </c>
      <c r="J213" s="6" t="inlineStr">
        <is>
          <t>Direct — exact contract section</t>
        </is>
      </c>
      <c r="K213" s="6" t="inlineStr">
        <is>
          <t>Partial evidence: OFFER response supports evaluation; it does not replace full RTM compliance.</t>
        </is>
      </c>
      <c r="L213" s="83" t="inlineStr">
        <is>
          <t>RTM-350 (SCADA, HMI, and Data Historian Infrastructure) and OFFER-29 (Controls / Software / Management) are linked only because both sit in §4.6.8 — a direct (shared-section) link, not a dedicated cross-reference to this specific clause.</t>
        </is>
      </c>
      <c r="M213" s="6" t="inlineStr">
        <is>
          <t>OK</t>
        </is>
      </c>
      <c r="N213" s="6" t="inlineStr">
        <is>
          <t>Canonical PDF/DOCX.</t>
        </is>
      </c>
    </row>
    <row r="214" ht="71" customHeight="1">
      <c r="A214" s="125" t="inlineStr">
        <is>
          <t>OFFER-29</t>
        </is>
      </c>
      <c r="B214" s="125" t="inlineStr">
        <is>
          <t>Control System Obsolescence Strategy</t>
        </is>
      </c>
      <c r="C214" s="125" t="n">
        <v>78</v>
      </c>
      <c r="D214" s="125" t="inlineStr">
        <is>
          <t>4.6.8</t>
        </is>
      </c>
      <c r="E214" s="125" t="inlineStr">
        <is>
          <t>RTM-351</t>
        </is>
      </c>
      <c r="F214" s="125" t="n">
        <v>77</v>
      </c>
      <c r="G214" s="125" t="inlineStr">
        <is>
          <t>4.6.8</t>
        </is>
      </c>
      <c r="H214" s="125" t="inlineStr">
        <is>
          <t>SCADA, HMI, and Data Historian Infrastructure</t>
        </is>
      </c>
      <c r="I214" s="125" t="inlineStr">
        <is>
          <t>The Contractor shall ensure that all operator stations (HMI panels or industrial touch PCs) use industrial-grade hardware suitable for continuous operation under QPS environmental conditions, including temperature, dust, and vibration. Hardware shall comply with relevant industrial standards.</t>
        </is>
      </c>
      <c r="J214" s="125" t="inlineStr">
        <is>
          <t>Direct — exact contract section</t>
        </is>
      </c>
      <c r="K214" s="125" t="inlineStr">
        <is>
          <t>Partial evidence: OFFER response supports evaluation; it does not replace full RTM compliance.</t>
        </is>
      </c>
      <c r="L214" s="126" t="inlineStr">
        <is>
          <t>RTM-351 (SCADA, HMI, and Data Historian Infrastructure) and OFFER-29 (Controls / Software / Management) are linked only because both sit in §4.6.8 — a direct (shared-section) link, not a dedicated cross-reference to this specific clause.</t>
        </is>
      </c>
      <c r="M214" s="6" t="inlineStr">
        <is>
          <t>OK</t>
        </is>
      </c>
      <c r="N214" s="6" t="inlineStr">
        <is>
          <t>Canonical PDF/DOCX.</t>
        </is>
      </c>
    </row>
    <row r="215" ht="71" customHeight="1">
      <c r="A215" s="6" t="inlineStr">
        <is>
          <t>OFFER-29</t>
        </is>
      </c>
      <c r="B215" s="6" t="inlineStr">
        <is>
          <t>Control System Obsolescence Strategy</t>
        </is>
      </c>
      <c r="C215" s="6" t="n">
        <v>78</v>
      </c>
      <c r="D215" s="6" t="inlineStr">
        <is>
          <t>4.6.8</t>
        </is>
      </c>
      <c r="E215" s="6" t="inlineStr">
        <is>
          <t>RTM-352</t>
        </is>
      </c>
      <c r="F215" s="6" t="n">
        <v>77</v>
      </c>
      <c r="G215" s="6" t="inlineStr">
        <is>
          <t>4.6.8</t>
        </is>
      </c>
      <c r="H215" s="6" t="inlineStr">
        <is>
          <t>SCADA, HMI, and Data Historian Infrastructure</t>
        </is>
      </c>
      <c r="I215" s="6" t="inlineStr">
        <is>
          <t>The SCADA platform, data historian, and HMI hardware/software shall be supported with software, firmware, and security updates for at least 20 years from commissioning. The Contractor shall provide manufacturer documentation confirming update availability.</t>
        </is>
      </c>
      <c r="J215" s="6" t="inlineStr">
        <is>
          <t>Direct — exact contract section</t>
        </is>
      </c>
      <c r="K215" s="6" t="inlineStr">
        <is>
          <t>Partial evidence: OFFER response supports evaluation; it does not replace full RTM compliance.</t>
        </is>
      </c>
      <c r="L215" s="83" t="inlineStr">
        <is>
          <t>RTM-352 (SCADA, HMI, and Data Historian Infrastructure) and OFFER-29 (Controls / Software / Management) are linked only because both sit in §4.6.8 — a direct (shared-section) link, not a dedicated cross-reference to this specific clause.</t>
        </is>
      </c>
      <c r="M215" s="6" t="inlineStr">
        <is>
          <t>OK</t>
        </is>
      </c>
      <c r="N215" s="6" t="inlineStr">
        <is>
          <t>Canonical PDF/DOCX.</t>
        </is>
      </c>
    </row>
    <row r="216" ht="71" customHeight="1">
      <c r="A216" s="125" t="inlineStr">
        <is>
          <t>OFFER-29</t>
        </is>
      </c>
      <c r="B216" s="125" t="inlineStr">
        <is>
          <t>Control System Obsolescence Strategy</t>
        </is>
      </c>
      <c r="C216" s="125" t="n">
        <v>78</v>
      </c>
      <c r="D216" s="125" t="inlineStr">
        <is>
          <t>4.6.8</t>
        </is>
      </c>
      <c r="E216" s="125" t="inlineStr">
        <is>
          <t>RTM-353</t>
        </is>
      </c>
      <c r="F216" s="125" t="n">
        <v>78</v>
      </c>
      <c r="G216" s="125" t="inlineStr">
        <is>
          <t>4.6.8</t>
        </is>
      </c>
      <c r="H216" s="125" t="inlineStr">
        <is>
          <t>SCADA, HMI, and Data Historian Infrastructure</t>
        </is>
      </c>
      <c r="I216" s="125" t="inlineStr">
        <is>
          <t>The HMI shall be designed to allow migration to newer hardware from the same manufacturer, ensuring compatibility of project files, software licenses, and configuration transfer procedures.</t>
        </is>
      </c>
      <c r="J216" s="125" t="inlineStr">
        <is>
          <t>Direct — exact contract section</t>
        </is>
      </c>
      <c r="K216" s="125" t="inlineStr">
        <is>
          <t>Partial evidence: OFFER response supports evaluation; it does not replace full RTM compliance.</t>
        </is>
      </c>
      <c r="L216" s="126" t="inlineStr">
        <is>
          <t>RTM-353 (SCADA, HMI, and Data Historian Infrastructure) and OFFER-29 (Controls / Software / Management) are linked only because both sit in §4.6.8 — a direct (shared-section) link, not a dedicated cross-reference to this specific clause.</t>
        </is>
      </c>
      <c r="M216" s="6" t="inlineStr">
        <is>
          <t>OK</t>
        </is>
      </c>
      <c r="N216" s="6" t="inlineStr">
        <is>
          <t>Canonical PDF/DOCX.</t>
        </is>
      </c>
    </row>
    <row r="217" ht="71" customHeight="1">
      <c r="A217" s="6" t="inlineStr">
        <is>
          <t>OFFER-29</t>
        </is>
      </c>
      <c r="B217" s="6" t="inlineStr">
        <is>
          <t>Control System Obsolescence Strategy</t>
        </is>
      </c>
      <c r="C217" s="6" t="n">
        <v>78</v>
      </c>
      <c r="D217" s="6" t="inlineStr">
        <is>
          <t>4.6.8</t>
        </is>
      </c>
      <c r="E217" s="6" t="inlineStr">
        <is>
          <t>RTM-354</t>
        </is>
      </c>
      <c r="F217" s="6" t="n">
        <v>78</v>
      </c>
      <c r="G217" s="6" t="inlineStr">
        <is>
          <t>4.6.8</t>
        </is>
      </c>
      <c r="H217" s="6" t="inlineStr">
        <is>
          <t>SCADA, HMI, and Data Historian Infrastructure</t>
        </is>
      </c>
      <c r="I217" s="6" t="inlineStr">
        <is>
          <t>Where local control is provided, the HMI shall implement a three-state control selection mechanism: Local – Free – Remote.</t>
        </is>
      </c>
      <c r="J217" s="6" t="inlineStr">
        <is>
          <t>Direct — exact contract section</t>
        </is>
      </c>
      <c r="K217" s="6" t="inlineStr">
        <is>
          <t>Partial evidence: OFFER response supports evaluation; it does not replace full RTM compliance.</t>
        </is>
      </c>
      <c r="L217" s="83" t="inlineStr">
        <is>
          <t>RTM-354 (SCADA, HMI, and Data Historian Infrastructure) and OFFER-29 (Controls / Software / Management) are linked only because both sit in §4.6.8 — a direct (shared-section) link, not a dedicated cross-reference to this specific clause.</t>
        </is>
      </c>
      <c r="M217" s="6" t="inlineStr">
        <is>
          <t>OK</t>
        </is>
      </c>
      <c r="N217" s="6" t="inlineStr">
        <is>
          <t>Canonical PDF/DOCX.</t>
        </is>
      </c>
    </row>
    <row r="218" ht="71" customHeight="1">
      <c r="A218" s="125" t="inlineStr">
        <is>
          <t>OFFER-29</t>
        </is>
      </c>
      <c r="B218" s="125" t="inlineStr">
        <is>
          <t>Control System Obsolescence Strategy</t>
        </is>
      </c>
      <c r="C218" s="125" t="n">
        <v>78</v>
      </c>
      <c r="D218" s="125" t="inlineStr">
        <is>
          <t>4.6.8</t>
        </is>
      </c>
      <c r="E218" s="125" t="inlineStr">
        <is>
          <t>RTM-355</t>
        </is>
      </c>
      <c r="F218" s="125" t="n">
        <v>78</v>
      </c>
      <c r="G218" s="125" t="inlineStr">
        <is>
          <t>4.6.8</t>
        </is>
      </c>
      <c r="H218" s="125" t="inlineStr">
        <is>
          <t>SCADA, HMI, and Data Historian Infrastructure</t>
        </is>
      </c>
      <c r="I218" s="125" t="inlineStr">
        <is>
          <t>A system reserved in a specific control mode shall automatically transition to the Free state after a configurable inactivity timeout (maximum 5 minutes).</t>
        </is>
      </c>
      <c r="J218" s="125" t="inlineStr">
        <is>
          <t>Direct — exact contract section</t>
        </is>
      </c>
      <c r="K218" s="125" t="inlineStr">
        <is>
          <t>Partial evidence: OFFER response supports evaluation; it does not replace full RTM compliance.</t>
        </is>
      </c>
      <c r="L218" s="126" t="inlineStr">
        <is>
          <t>RTM-355 (SCADA, HMI, and Data Historian Infrastructure) and OFFER-29 (Controls / Software / Management) are linked only because both sit in §4.6.8 — a direct (shared-section) link, not a dedicated cross-reference to this specific clause.</t>
        </is>
      </c>
      <c r="M218" s="6" t="inlineStr">
        <is>
          <t>OK</t>
        </is>
      </c>
      <c r="N218" s="6" t="inlineStr">
        <is>
          <t>Canonical PDF/DOCX.</t>
        </is>
      </c>
    </row>
    <row r="219" ht="71" customHeight="1">
      <c r="A219" s="6" t="inlineStr">
        <is>
          <t>OFFER-29</t>
        </is>
      </c>
      <c r="B219" s="6" t="inlineStr">
        <is>
          <t>Control System Obsolescence Strategy</t>
        </is>
      </c>
      <c r="C219" s="6" t="n">
        <v>78</v>
      </c>
      <c r="D219" s="6" t="inlineStr">
        <is>
          <t>4.6.8</t>
        </is>
      </c>
      <c r="E219" s="6" t="inlineStr">
        <is>
          <t>RTM-356</t>
        </is>
      </c>
      <c r="F219" s="6" t="n">
        <v>78</v>
      </c>
      <c r="G219" s="6" t="inlineStr">
        <is>
          <t>4.6.8</t>
        </is>
      </c>
      <c r="H219" s="6" t="inlineStr">
        <is>
          <t>SCADA, HMI, and Data Historian Infrastructure</t>
        </is>
      </c>
      <c r="I219" s="6" t="inlineStr">
        <is>
          <t>The Operator Station HMI shall not host real-time or safety-critical control functions. It shall be limited to monitoring, visualization, and local interaction.</t>
        </is>
      </c>
      <c r="J219" s="6" t="inlineStr">
        <is>
          <t>Direct — exact contract section</t>
        </is>
      </c>
      <c r="K219" s="6" t="inlineStr">
        <is>
          <t>Partial evidence: OFFER response supports evaluation; it does not replace full RTM compliance.</t>
        </is>
      </c>
      <c r="L219" s="83" t="inlineStr">
        <is>
          <t>RTM-356 (SCADA, HMI, and Data Historian Infrastructure) and OFFER-29 (Controls / Software / Management) are linked only because both sit in §4.6.8 — a direct (shared-section) link, not a dedicated cross-reference to this specific clause.</t>
        </is>
      </c>
      <c r="M219" s="6" t="inlineStr">
        <is>
          <t>OK</t>
        </is>
      </c>
      <c r="N219" s="6" t="inlineStr">
        <is>
          <t>Canonical PDF/DOCX.</t>
        </is>
      </c>
    </row>
    <row r="220" ht="71" customHeight="1">
      <c r="A220" s="125" t="inlineStr">
        <is>
          <t>OFFER-29</t>
        </is>
      </c>
      <c r="B220" s="125" t="inlineStr">
        <is>
          <t>Control System Obsolescence Strategy</t>
        </is>
      </c>
      <c r="C220" s="125" t="n">
        <v>78</v>
      </c>
      <c r="D220" s="125" t="inlineStr">
        <is>
          <t>4.6.8</t>
        </is>
      </c>
      <c r="E220" s="125" t="inlineStr">
        <is>
          <t>RTM-357</t>
        </is>
      </c>
      <c r="F220" s="125" t="n">
        <v>78</v>
      </c>
      <c r="G220" s="125" t="inlineStr">
        <is>
          <t>4.6.8</t>
        </is>
      </c>
      <c r="H220" s="125" t="inlineStr">
        <is>
          <t>SCADA, HMI, and Data Historian Infrastructure</t>
        </is>
      </c>
      <c r="I220" s="125" t="inlineStr">
        <is>
          <t>The Operator Station HMI shall store operational data (trends, alarms) only for short-term analysis. Local data shall not be backed up and may be overwritten after the configured retention period.</t>
        </is>
      </c>
      <c r="J220" s="125" t="inlineStr">
        <is>
          <t>Direct — exact contract section</t>
        </is>
      </c>
      <c r="K220" s="125" t="inlineStr">
        <is>
          <t>Partial evidence: OFFER response supports evaluation; it does not replace full RTM compliance.</t>
        </is>
      </c>
      <c r="L220" s="126" t="inlineStr">
        <is>
          <t>RTM-357 (SCADA, HMI, and Data Historian Infrastructure) and OFFER-29 (Controls / Software / Management) are linked only because both sit in §4.6.8 — a direct (shared-section) link, not a dedicated cross-reference to this specific clause.</t>
        </is>
      </c>
      <c r="M220" s="6" t="inlineStr">
        <is>
          <t>OK</t>
        </is>
      </c>
      <c r="N220" s="6" t="inlineStr">
        <is>
          <t>Canonical PDF/DOCX.</t>
        </is>
      </c>
    </row>
    <row r="221" ht="71" customHeight="1">
      <c r="A221" s="6" t="inlineStr">
        <is>
          <t>OFFER-29</t>
        </is>
      </c>
      <c r="B221" s="6" t="inlineStr">
        <is>
          <t>Control System Obsolescence Strategy</t>
        </is>
      </c>
      <c r="C221" s="6" t="n">
        <v>78</v>
      </c>
      <c r="D221" s="6" t="inlineStr">
        <is>
          <t>4.6.8</t>
        </is>
      </c>
      <c r="E221" s="6" t="inlineStr">
        <is>
          <t>RTM-358</t>
        </is>
      </c>
      <c r="F221" s="6" t="n">
        <v>78</v>
      </c>
      <c r="G221" s="6" t="inlineStr">
        <is>
          <t>4.6.8</t>
        </is>
      </c>
      <c r="H221" s="6" t="inlineStr">
        <is>
          <t>SCADA, HMI, and Data Historian Infrastructure</t>
        </is>
      </c>
      <c r="I221" s="6" t="inlineStr">
        <is>
          <t>The Operator Station HMI shall provide real-time and short-term historical trend plotting of key process variables.</t>
        </is>
      </c>
      <c r="J221" s="6" t="inlineStr">
        <is>
          <t>Direct — exact contract section</t>
        </is>
      </c>
      <c r="K221" s="6" t="inlineStr">
        <is>
          <t>Partial evidence: OFFER response supports evaluation; it does not replace full RTM compliance.</t>
        </is>
      </c>
      <c r="L221" s="83" t="inlineStr">
        <is>
          <t>RTM-358 (SCADA, HMI, and Data Historian Infrastructure) and OFFER-29 (Controls / Software / Management) are linked only because both sit in §4.6.8 — a direct (shared-section) link, not a dedicated cross-reference to this specific clause.</t>
        </is>
      </c>
      <c r="M221" s="6" t="inlineStr">
        <is>
          <t>OK</t>
        </is>
      </c>
      <c r="N221" s="6" t="inlineStr">
        <is>
          <t>Canonical PDF/DOCX.</t>
        </is>
      </c>
    </row>
    <row r="222" ht="71" customHeight="1">
      <c r="A222" s="125" t="inlineStr">
        <is>
          <t>OFFER-29</t>
        </is>
      </c>
      <c r="B222" s="125" t="inlineStr">
        <is>
          <t>Control System Obsolescence Strategy</t>
        </is>
      </c>
      <c r="C222" s="125" t="n">
        <v>78</v>
      </c>
      <c r="D222" s="125" t="inlineStr">
        <is>
          <t>4.6.8</t>
        </is>
      </c>
      <c r="E222" s="125" t="inlineStr">
        <is>
          <t>RTM-359</t>
        </is>
      </c>
      <c r="F222" s="125" t="n">
        <v>78</v>
      </c>
      <c r="G222" s="125" t="inlineStr">
        <is>
          <t>4.6.8</t>
        </is>
      </c>
      <c r="H222" s="125" t="inlineStr">
        <is>
          <t>SCADA, HMI, and Data Historian Infrastructure</t>
        </is>
      </c>
      <c r="I222" s="125" t="inlineStr">
        <is>
          <t>The Operator Station HMI shall include graphical process views for monitoring equipment states and process flows.</t>
        </is>
      </c>
      <c r="J222" s="125" t="inlineStr">
        <is>
          <t>Direct — exact contract section</t>
        </is>
      </c>
      <c r="K222" s="125" t="inlineStr">
        <is>
          <t>Partial evidence: OFFER response supports evaluation; it does not replace full RTM compliance.</t>
        </is>
      </c>
      <c r="L222" s="126" t="inlineStr">
        <is>
          <t>RTM-359 (SCADA, HMI, and Data Historian Infrastructure) and OFFER-29 (Controls / Software / Management) are linked only because both sit in §4.6.8 — a direct (shared-section) link, not a dedicated cross-reference to this specific clause.</t>
        </is>
      </c>
      <c r="M222" s="6" t="inlineStr">
        <is>
          <t>OK</t>
        </is>
      </c>
      <c r="N222" s="6" t="inlineStr">
        <is>
          <t>Canonical PDF/DOCX.</t>
        </is>
      </c>
    </row>
    <row r="223" ht="71" customHeight="1">
      <c r="A223" s="6" t="inlineStr">
        <is>
          <t>OFFER-29</t>
        </is>
      </c>
      <c r="B223" s="6" t="inlineStr">
        <is>
          <t>Control System Obsolescence Strategy</t>
        </is>
      </c>
      <c r="C223" s="6" t="n">
        <v>78</v>
      </c>
      <c r="D223" s="6" t="inlineStr">
        <is>
          <t>4.6.8</t>
        </is>
      </c>
      <c r="E223" s="6" t="inlineStr">
        <is>
          <t>RTM-360</t>
        </is>
      </c>
      <c r="F223" s="6" t="n">
        <v>78</v>
      </c>
      <c r="G223" s="6" t="inlineStr">
        <is>
          <t>4.6.8</t>
        </is>
      </c>
      <c r="H223" s="6" t="inlineStr">
        <is>
          <t>SCADA, HMI, and Data Historian Infrastructure</t>
        </is>
      </c>
      <c r="I223" s="6" t="inlineStr">
        <is>
          <t>The Operator Station HMI shall display and log alarms and events for operator awareness. Alarm acknowledgement shall not be implemented at the Operator Station if no authentication of the user is possible.</t>
        </is>
      </c>
      <c r="J223" s="6" t="inlineStr">
        <is>
          <t>Direct — exact contract section</t>
        </is>
      </c>
      <c r="K223" s="6" t="inlineStr">
        <is>
          <t>Partial evidence: OFFER response supports evaluation; it does not replace full RTM compliance.</t>
        </is>
      </c>
      <c r="L223" s="83" t="inlineStr">
        <is>
          <t>RTM-360 (SCADA, HMI, and Data Historian Infrastructure) and OFFER-29 (Controls / Software / Management) are linked only because both sit in §4.6.8 — a direct (shared-section) link, not a dedicated cross-reference to this specific clause.</t>
        </is>
      </c>
      <c r="M223" s="6" t="inlineStr">
        <is>
          <t>OK</t>
        </is>
      </c>
      <c r="N223" s="6" t="inlineStr">
        <is>
          <t>Canonical PDF/DOCX.</t>
        </is>
      </c>
    </row>
    <row r="224" ht="71" customHeight="1">
      <c r="A224" s="125" t="inlineStr">
        <is>
          <t>OFFER-29</t>
        </is>
      </c>
      <c r="B224" s="125" t="inlineStr">
        <is>
          <t>Control System Obsolescence Strategy</t>
        </is>
      </c>
      <c r="C224" s="125" t="n">
        <v>78</v>
      </c>
      <c r="D224" s="125" t="inlineStr">
        <is>
          <t>4.6.8</t>
        </is>
      </c>
      <c r="E224" s="125" t="inlineStr">
        <is>
          <t>RTM-361</t>
        </is>
      </c>
      <c r="F224" s="125" t="n">
        <v>78</v>
      </c>
      <c r="G224" s="125" t="inlineStr">
        <is>
          <t>4.6.8</t>
        </is>
      </c>
      <c r="H224" s="125" t="inlineStr">
        <is>
          <t>SCADA, HMI, and Data Historian Infrastructure</t>
        </is>
      </c>
      <c r="I224" s="125" t="inlineStr">
        <is>
          <t>The Contractor shall develop graphical process views in a participatory design approach with SCK CEN, incorporating user feedback to promote consistency, usability, and standardization across operator interfaces as part of CIS Dossier</t>
        </is>
      </c>
      <c r="J224" s="125" t="inlineStr">
        <is>
          <t>Direct — exact contract section</t>
        </is>
      </c>
      <c r="K224" s="125" t="inlineStr">
        <is>
          <t>Partial evidence: OFFER response supports evaluation; it does not replace full RTM compliance.</t>
        </is>
      </c>
      <c r="L224" s="126" t="inlineStr">
        <is>
          <t>RTM-361 (SCADA, HMI, and Data Historian Infrastructure) and OFFER-29 (Controls / Software / Management) are linked only because both sit in §4.6.8 — a direct (shared-section) link, not a dedicated cross-reference to this specific clause.</t>
        </is>
      </c>
      <c r="M224" s="6" t="inlineStr">
        <is>
          <t>OK</t>
        </is>
      </c>
      <c r="N224" s="6" t="inlineStr">
        <is>
          <t>Canonical PDF/DOCX.</t>
        </is>
      </c>
    </row>
    <row r="225" ht="71" customHeight="1">
      <c r="A225" s="6" t="inlineStr">
        <is>
          <t>OFFER-29</t>
        </is>
      </c>
      <c r="B225" s="6" t="inlineStr">
        <is>
          <t>Control System Obsolescence Strategy</t>
        </is>
      </c>
      <c r="C225" s="6" t="n">
        <v>78</v>
      </c>
      <c r="D225" s="6" t="inlineStr">
        <is>
          <t>4.6.8</t>
        </is>
      </c>
      <c r="E225" s="6" t="inlineStr">
        <is>
          <t>RTM-362</t>
        </is>
      </c>
      <c r="F225" s="6" t="n">
        <v>78</v>
      </c>
      <c r="G225" s="6" t="inlineStr">
        <is>
          <t>4.6.8</t>
        </is>
      </c>
      <c r="H225" s="6" t="inlineStr">
        <is>
          <t>SCADA, HMI, and Data Historian Infrastructure</t>
        </is>
      </c>
      <c r="I225" s="6" t="inlineStr">
        <is>
          <t>All sensors and actuators shall be represented in the graphical views.</t>
        </is>
      </c>
      <c r="J225" s="6" t="inlineStr">
        <is>
          <t>Direct — exact contract section</t>
        </is>
      </c>
      <c r="K225" s="6" t="inlineStr">
        <is>
          <t>Partial evidence: OFFER response supports evaluation; it does not replace full RTM compliance.</t>
        </is>
      </c>
      <c r="L225" s="83" t="inlineStr">
        <is>
          <t>RTM-362 (SCADA, HMI, and Data Historian Infrastructure) and OFFER-29 (Controls / Software / Management) are linked only because both sit in §4.6.8 — a direct (shared-section) link, not a dedicated cross-reference to this specific clause.</t>
        </is>
      </c>
      <c r="M225" s="6" t="inlineStr">
        <is>
          <t>OK</t>
        </is>
      </c>
      <c r="N225" s="6" t="inlineStr">
        <is>
          <t>Canonical PDF/DOCX.</t>
        </is>
      </c>
    </row>
    <row r="226" ht="71" customHeight="1">
      <c r="A226" s="125" t="inlineStr">
        <is>
          <t>OFFER-29</t>
        </is>
      </c>
      <c r="B226" s="125" t="inlineStr">
        <is>
          <t>Control System Obsolescence Strategy</t>
        </is>
      </c>
      <c r="C226" s="125" t="n">
        <v>78</v>
      </c>
      <c r="D226" s="125" t="inlineStr">
        <is>
          <t>4.6.8</t>
        </is>
      </c>
      <c r="E226" s="125" t="inlineStr">
        <is>
          <t>RTM-363</t>
        </is>
      </c>
      <c r="F226" s="125" t="n">
        <v>78</v>
      </c>
      <c r="G226" s="125" t="inlineStr">
        <is>
          <t>4.6.8</t>
        </is>
      </c>
      <c r="H226" s="125" t="inlineStr">
        <is>
          <t>SCADA, HMI, and Data Historian Infrastructure</t>
        </is>
      </c>
      <c r="I226" s="125" t="inlineStr">
        <is>
          <t>The Operator Station HMI software shall support a default data acquisition period of ≤2 s. For all time-critical data—including turbine data and any Contractor-defined sequence, event-driven, or diagnostic signals used for root-cause or sequence-of-events analysis—an acquisition rate of 100 ms shall be supported</t>
        </is>
      </c>
      <c r="J226" s="125" t="inlineStr">
        <is>
          <t>Direct — exact contract section</t>
        </is>
      </c>
      <c r="K226" s="125" t="inlineStr">
        <is>
          <t>Partial evidence: OFFER response supports evaluation; it does not replace full RTM compliance.</t>
        </is>
      </c>
      <c r="L226" s="126" t="inlineStr">
        <is>
          <t>RTM-363 (SCADA, HMI, and Data Historian Infrastructure) and OFFER-29 (Controls / Software / Management) are linked only because both sit in §4.6.8 — a direct (shared-section) link, not a dedicated cross-reference to this specific clause.</t>
        </is>
      </c>
      <c r="M226" s="6" t="inlineStr">
        <is>
          <t>OK</t>
        </is>
      </c>
      <c r="N226" s="6" t="inlineStr">
        <is>
          <t>Canonical PDF/DOCX.</t>
        </is>
      </c>
    </row>
    <row r="227" ht="71" customHeight="1">
      <c r="A227" s="6" t="inlineStr">
        <is>
          <t>OFFER-29</t>
        </is>
      </c>
      <c r="B227" s="6" t="inlineStr">
        <is>
          <t>Control System Obsolescence Strategy</t>
        </is>
      </c>
      <c r="C227" s="6" t="n">
        <v>78</v>
      </c>
      <c r="D227" s="6" t="inlineStr">
        <is>
          <t>4.6.8</t>
        </is>
      </c>
      <c r="E227" s="6" t="inlineStr">
        <is>
          <t>RTM-364</t>
        </is>
      </c>
      <c r="F227" s="6" t="n">
        <v>78</v>
      </c>
      <c r="G227" s="6" t="inlineStr">
        <is>
          <t>4.6.8</t>
        </is>
      </c>
      <c r="H227" s="6" t="inlineStr">
        <is>
          <t>SCADA, HMI, and Data Historian Infrastructure</t>
        </is>
      </c>
      <c r="I227" s="6" t="inlineStr">
        <is>
          <t>The HMI software shall support at least two permission levels with distinct functional access.</t>
        </is>
      </c>
      <c r="J227" s="6" t="inlineStr">
        <is>
          <t>Direct — exact contract section</t>
        </is>
      </c>
      <c r="K227" s="6" t="inlineStr">
        <is>
          <t>Partial evidence: OFFER response supports evaluation; it does not replace full RTM compliance.</t>
        </is>
      </c>
      <c r="L227" s="83" t="inlineStr">
        <is>
          <t>RTM-364 (SCADA, HMI, and Data Historian Infrastructure) and OFFER-29 (Controls / Software / Management) are linked only because both sit in §4.6.8 — a direct (shared-section) link, not a dedicated cross-reference to this specific clause.</t>
        </is>
      </c>
      <c r="M227" s="6" t="inlineStr">
        <is>
          <t>OK</t>
        </is>
      </c>
      <c r="N227" s="6" t="inlineStr">
        <is>
          <t>Canonical PDF/DOCX.</t>
        </is>
      </c>
    </row>
    <row r="228" ht="71" customHeight="1">
      <c r="A228" s="125" t="inlineStr">
        <is>
          <t>OFFER-29</t>
        </is>
      </c>
      <c r="B228" s="125" t="inlineStr">
        <is>
          <t>Control System Obsolescence Strategy</t>
        </is>
      </c>
      <c r="C228" s="125" t="n">
        <v>78</v>
      </c>
      <c r="D228" s="125" t="inlineStr">
        <is>
          <t>4.6.8</t>
        </is>
      </c>
      <c r="E228" s="125" t="inlineStr">
        <is>
          <t>RTM-365</t>
        </is>
      </c>
      <c r="F228" s="125" t="n">
        <v>78</v>
      </c>
      <c r="G228" s="125" t="inlineStr">
        <is>
          <t>4.6.8</t>
        </is>
      </c>
      <c r="H228" s="125" t="inlineStr">
        <is>
          <t>SCADA, HMI, and Data Historian Infrastructure</t>
        </is>
      </c>
      <c r="I228" s="125" t="inlineStr">
        <is>
          <t>The QPS:CIS shall support automatic calling or emailing of on-call staff through MIT</t>
        </is>
      </c>
      <c r="J228" s="125" t="inlineStr">
        <is>
          <t>Direct — exact contract section</t>
        </is>
      </c>
      <c r="K228" s="125" t="inlineStr">
        <is>
          <t>Partial evidence: OFFER response supports evaluation; it does not replace full RTM compliance.</t>
        </is>
      </c>
      <c r="L228" s="126" t="inlineStr">
        <is>
          <t>RTM-365 (SCADA, HMI, and Data Historian Infrastructure) and OFFER-29 (Controls / Software / Management) are linked only because both sit in §4.6.8 — a direct (shared-section) link, not a dedicated cross-reference to this specific clause.</t>
        </is>
      </c>
      <c r="M228" s="6" t="inlineStr">
        <is>
          <t>OK</t>
        </is>
      </c>
      <c r="N228" s="6" t="inlineStr">
        <is>
          <t>Canonical PDF/DOCX.</t>
        </is>
      </c>
    </row>
    <row r="229" ht="71" customHeight="1">
      <c r="A229" s="6" t="inlineStr">
        <is>
          <t>OFFER-29</t>
        </is>
      </c>
      <c r="B229" s="6" t="inlineStr">
        <is>
          <t>Control System Obsolescence Strategy</t>
        </is>
      </c>
      <c r="C229" s="6" t="n">
        <v>78</v>
      </c>
      <c r="D229" s="6" t="inlineStr">
        <is>
          <t>4.6.8</t>
        </is>
      </c>
      <c r="E229" s="6" t="inlineStr">
        <is>
          <t>RTM-366</t>
        </is>
      </c>
      <c r="F229" s="6" t="n">
        <v>78</v>
      </c>
      <c r="G229" s="6" t="inlineStr">
        <is>
          <t>4.6.8</t>
        </is>
      </c>
      <c r="H229" s="6" t="inlineStr">
        <is>
          <t>SCADA, HMI, and Data Historian Infrastructure</t>
        </is>
      </c>
      <c r="I229" s="6" t="inlineStr">
        <is>
          <t>Graphical views shall be consistent with the Process &amp; Instrumentation Diagrams to ensure intuitive operation.</t>
        </is>
      </c>
      <c r="J229" s="6" t="inlineStr">
        <is>
          <t>Direct — exact contract section</t>
        </is>
      </c>
      <c r="K229" s="6" t="inlineStr">
        <is>
          <t>Partial evidence: OFFER response supports evaluation; it does not replace full RTM compliance.</t>
        </is>
      </c>
      <c r="L229" s="83" t="inlineStr">
        <is>
          <t>RTM-366 (SCADA, HMI, and Data Historian Infrastructure) and OFFER-29 (Controls / Software / Management) are linked only because both sit in §4.6.8 — a direct (shared-section) link, not a dedicated cross-reference to this specific clause.</t>
        </is>
      </c>
      <c r="M229" s="6" t="inlineStr">
        <is>
          <t>OK</t>
        </is>
      </c>
      <c r="N229" s="6" t="inlineStr">
        <is>
          <t>Canonical PDF/DOCX.</t>
        </is>
      </c>
    </row>
    <row r="230" ht="71" customHeight="1">
      <c r="A230" s="125" t="inlineStr">
        <is>
          <t>OFFER-29</t>
        </is>
      </c>
      <c r="B230" s="125" t="inlineStr">
        <is>
          <t>Control System Obsolescence Strategy</t>
        </is>
      </c>
      <c r="C230" s="125" t="n">
        <v>78</v>
      </c>
      <c r="D230" s="125" t="inlineStr">
        <is>
          <t>4.6.8</t>
        </is>
      </c>
      <c r="E230" s="125" t="inlineStr">
        <is>
          <t>RTM-367</t>
        </is>
      </c>
      <c r="F230" s="125" t="n">
        <v>78</v>
      </c>
      <c r="G230" s="125" t="inlineStr">
        <is>
          <t>4.6.8</t>
        </is>
      </c>
      <c r="H230" s="125" t="inlineStr">
        <is>
          <t>SCADA, HMI, and Data Historian Infrastructure</t>
        </is>
      </c>
      <c r="I230" s="125" t="inlineStr">
        <is>
          <t>The QPS:SCADA system shall be available for minimal two operator workstations ( equipped with large-format displays (≥24-inch) to support effective visualization during QPS operation.</t>
        </is>
      </c>
      <c r="J230" s="125" t="inlineStr">
        <is>
          <t>Direct — exact contract section</t>
        </is>
      </c>
      <c r="K230" s="125" t="inlineStr">
        <is>
          <t>Partial evidence: OFFER response supports evaluation; it does not replace full RTM compliance.</t>
        </is>
      </c>
      <c r="L230" s="126" t="inlineStr">
        <is>
          <t>RTM-367 (SCADA, HMI, and Data Historian Infrastructure) and OFFER-29 (Controls / Software / Management) are linked only because both sit in §4.6.8 — a direct (shared-section) link, not a dedicated cross-reference to this specific clause.</t>
        </is>
      </c>
      <c r="M230" s="6" t="inlineStr">
        <is>
          <t>OK</t>
        </is>
      </c>
      <c r="N230" s="6" t="inlineStr">
        <is>
          <t>Canonical PDF/DOCX.</t>
        </is>
      </c>
    </row>
    <row r="231" ht="71" customHeight="1">
      <c r="A231" s="6" t="inlineStr">
        <is>
          <t>OFFER-30</t>
        </is>
      </c>
      <c r="B231" s="6" t="inlineStr">
        <is>
          <t>Software Change Management Process</t>
        </is>
      </c>
      <c r="C231" s="6" t="n">
        <v>79</v>
      </c>
      <c r="D231" s="6" t="inlineStr">
        <is>
          <t>4.6.9</t>
        </is>
      </c>
      <c r="E231" s="6" t="inlineStr">
        <is>
          <t>RTM-368</t>
        </is>
      </c>
      <c r="F231" s="6" t="n">
        <v>79</v>
      </c>
      <c r="G231" s="6" t="inlineStr">
        <is>
          <t>4.6.9</t>
        </is>
      </c>
      <c r="H231" s="6" t="inlineStr">
        <is>
          <t>Software Change Management</t>
        </is>
      </c>
      <c r="I231" s="6" t="inlineStr">
        <is>
          <t>The control software version delivered prior to SAT (L6) shall constitute the contractual software baseline.</t>
        </is>
      </c>
      <c r="J231" s="6" t="inlineStr">
        <is>
          <t>Direct — exact contract section</t>
        </is>
      </c>
      <c r="K231" s="6" t="inlineStr">
        <is>
          <t>Partial evidence: OFFER response supports evaluation; it does not replace full RTM compliance.</t>
        </is>
      </c>
      <c r="L231" s="83" t="inlineStr">
        <is>
          <t>RTM-368 (Software Change Management) and OFFER-30 (Controls / Software / Management) are linked only because both sit in §4.6.9 — a direct (shared-section) link, not a dedicated cross-reference to this specific clause.</t>
        </is>
      </c>
      <c r="M231" s="6" t="inlineStr">
        <is>
          <t>OK</t>
        </is>
      </c>
      <c r="N231" s="6" t="inlineStr">
        <is>
          <t>Canonical PDF/DOCX.</t>
        </is>
      </c>
    </row>
    <row r="232" ht="71" customHeight="1">
      <c r="A232" s="125" t="inlineStr">
        <is>
          <t>OFFER-30</t>
        </is>
      </c>
      <c r="B232" s="125" t="inlineStr">
        <is>
          <t>Software Change Management Process</t>
        </is>
      </c>
      <c r="C232" s="125" t="n">
        <v>79</v>
      </c>
      <c r="D232" s="125" t="inlineStr">
        <is>
          <t>4.6.9</t>
        </is>
      </c>
      <c r="E232" s="125" t="inlineStr">
        <is>
          <t>RTM-369</t>
        </is>
      </c>
      <c r="F232" s="125" t="n">
        <v>79</v>
      </c>
      <c r="G232" s="125" t="inlineStr">
        <is>
          <t>4.6.9</t>
        </is>
      </c>
      <c r="H232" s="125" t="inlineStr">
        <is>
          <t>Software Change Management</t>
        </is>
      </c>
      <c r="I232" s="125" t="inlineStr">
        <is>
          <t>The Contractor shall define all warranty limitations related to post-acceptance software modifications.</t>
        </is>
      </c>
      <c r="J232" s="125" t="inlineStr">
        <is>
          <t>Direct — exact contract section</t>
        </is>
      </c>
      <c r="K232" s="125" t="inlineStr">
        <is>
          <t>Partial evidence: OFFER response supports evaluation; it does not replace full RTM compliance.</t>
        </is>
      </c>
      <c r="L232" s="126" t="inlineStr">
        <is>
          <t>RTM-369 (Software Change Management) and OFFER-30 (Controls / Software / Management) are linked only because both sit in §4.6.9 — a direct (shared-section) link, not a dedicated cross-reference to this specific clause.</t>
        </is>
      </c>
      <c r="M232" s="6" t="inlineStr">
        <is>
          <t>OK</t>
        </is>
      </c>
      <c r="N232" s="6" t="inlineStr">
        <is>
          <t>Canonical PDF/DOCX.</t>
        </is>
      </c>
    </row>
    <row r="233" ht="71" customHeight="1">
      <c r="A233" s="6" t="inlineStr">
        <is>
          <t>OFFER-30</t>
        </is>
      </c>
      <c r="B233" s="6" t="inlineStr">
        <is>
          <t>Software Change Management Process</t>
        </is>
      </c>
      <c r="C233" s="6" t="n">
        <v>79</v>
      </c>
      <c r="D233" s="6" t="inlineStr">
        <is>
          <t>4.6.9</t>
        </is>
      </c>
      <c r="E233" s="6" t="inlineStr">
        <is>
          <t>RTM-370</t>
        </is>
      </c>
      <c r="F233" s="6" t="n">
        <v>79</v>
      </c>
      <c r="G233" s="6" t="inlineStr">
        <is>
          <t>4.6.9</t>
        </is>
      </c>
      <c r="H233" s="6" t="inlineStr">
        <is>
          <t>Software Change Management</t>
        </is>
      </c>
      <c r="I233" s="6" t="inlineStr">
        <is>
          <t>Minor modifications performed by or on behalf of SCK CEN shall not void the warranty unless the Contractor demonstrates a causal relationship between the modification and the claimed defect.</t>
        </is>
      </c>
      <c r="J233" s="6" t="inlineStr">
        <is>
          <t>Direct — exact contract section</t>
        </is>
      </c>
      <c r="K233" s="6" t="inlineStr">
        <is>
          <t>Partial evidence: OFFER response supports evaluation; it does not replace full RTM compliance.</t>
        </is>
      </c>
      <c r="L233" s="83" t="inlineStr">
        <is>
          <t>RTM-370 (Software Change Management) and OFFER-30 (Controls / Software / Management) are linked only because both sit in §4.6.9 — a direct (shared-section) link, not a dedicated cross-reference to this specific clause.</t>
        </is>
      </c>
      <c r="M233" s="6" t="inlineStr">
        <is>
          <t>OK</t>
        </is>
      </c>
      <c r="N233" s="6" t="inlineStr">
        <is>
          <t>Canonical PDF/DOCX.</t>
        </is>
      </c>
    </row>
    <row r="234" ht="71" customHeight="1">
      <c r="A234" s="125" t="inlineStr">
        <is>
          <t>OFFER-31</t>
        </is>
      </c>
      <c r="B234" s="125" t="inlineStr">
        <is>
          <t>Cold Box Environmental Requirements</t>
        </is>
      </c>
      <c r="C234" s="125" t="n">
        <v>80</v>
      </c>
      <c r="D234" s="125" t="inlineStr">
        <is>
          <t>4.7.1</t>
        </is>
      </c>
      <c r="E234" s="125" t="inlineStr">
        <is>
          <t>RTM-386</t>
        </is>
      </c>
      <c r="F234" s="125" t="n">
        <v>80</v>
      </c>
      <c r="G234" s="125" t="inlineStr">
        <is>
          <t>4.7.1</t>
        </is>
      </c>
      <c r="H234" s="125" t="inlineStr">
        <is>
          <t>Site environmental conditions</t>
        </is>
      </c>
      <c r="I234" s="125" t="inlineStr">
        <is>
          <t>The QPS shall be designed to operate under the site environmental conditions specified in Table 18.</t>
        </is>
      </c>
      <c r="J234" s="125" t="inlineStr">
        <is>
          <t>Direct — exact contract section</t>
        </is>
      </c>
      <c r="K234" s="125" t="inlineStr">
        <is>
          <t>Partial evidence: OFFER response supports evaluation; it does not replace full RTM compliance.</t>
        </is>
      </c>
      <c r="L234" s="126" t="inlineStr">
        <is>
          <t>RTM-386 (Site environmental conditions) and OFFER-31 (Configuration / Layout / Support) are linked only because both sit in §4.7.1 — a direct (shared-section) link, not a dedicated cross-reference to this specific clause.</t>
        </is>
      </c>
      <c r="M234" s="6" t="inlineStr">
        <is>
          <t>OK</t>
        </is>
      </c>
      <c r="N234" s="6" t="inlineStr">
        <is>
          <t>Canonical PDF/DOCX.</t>
        </is>
      </c>
    </row>
    <row r="235" ht="71" customHeight="1">
      <c r="A235" s="6" t="inlineStr">
        <is>
          <t>OFFER-31</t>
        </is>
      </c>
      <c r="B235" s="6" t="inlineStr">
        <is>
          <t>Cold Box Environmental Requirements</t>
        </is>
      </c>
      <c r="C235" s="6" t="n">
        <v>80</v>
      </c>
      <c r="D235" s="6" t="inlineStr">
        <is>
          <t>4.7.1</t>
        </is>
      </c>
      <c r="E235" s="6" t="inlineStr">
        <is>
          <t>RTM-387</t>
        </is>
      </c>
      <c r="F235" s="6" t="n">
        <v>80</v>
      </c>
      <c r="G235" s="6" t="inlineStr">
        <is>
          <t>4.7.1</t>
        </is>
      </c>
      <c r="H235" s="6" t="inlineStr">
        <is>
          <t>Site environmental conditions</t>
        </is>
      </c>
      <c r="I235" s="6" t="inlineStr">
        <is>
          <t>For the Cold Box Room, the specified ambient temperature range may be reduced for sensitive equipment upon the Contractor’s request, subject to justification and approval by SCK CEN.</t>
        </is>
      </c>
      <c r="J235" s="6" t="inlineStr">
        <is>
          <t>Direct — exact contract section</t>
        </is>
      </c>
      <c r="K235" s="6" t="inlineStr">
        <is>
          <t>Partial evidence: OFFER response supports evaluation; it does not replace full RTM compliance.</t>
        </is>
      </c>
      <c r="L235" s="83" t="inlineStr">
        <is>
          <t>RTM-387 (Site environmental conditions) and OFFER-31 (Configuration / Layout / Support) are linked only because both sit in §4.7.1 — a direct (shared-section) link, not a dedicated cross-reference to this specific clause.</t>
        </is>
      </c>
      <c r="M235" s="6" t="inlineStr">
        <is>
          <t>OK</t>
        </is>
      </c>
      <c r="N235" s="6" t="inlineStr">
        <is>
          <t>Canonical PDF/DOCX.</t>
        </is>
      </c>
    </row>
    <row r="236" ht="58" customHeight="1">
      <c r="A236" s="125" t="inlineStr">
        <is>
          <t>OFFER-32</t>
        </is>
      </c>
      <c r="B236" s="125" t="inlineStr">
        <is>
          <t>Equipment Transport &amp; Installation Constraints</t>
        </is>
      </c>
      <c r="C236" s="125" t="n">
        <v>82</v>
      </c>
      <c r="D236" s="125" t="inlineStr">
        <is>
          <t>4.7.2</t>
        </is>
      </c>
      <c r="E236" s="125" t="inlineStr">
        <is>
          <t>RTM-388</t>
        </is>
      </c>
      <c r="F236" s="125" t="n">
        <v>81</v>
      </c>
      <c r="G236" s="125" t="inlineStr">
        <is>
          <t>4.7.2</t>
        </is>
      </c>
      <c r="H236" s="125" t="inlineStr">
        <is>
          <t>Building</t>
        </is>
      </c>
      <c r="I236" s="125" t="inlineStr">
        <is>
          <t>The Contractor shall design the QPS in accordance with the building and areas provided by SCK CEN, as specified in [AD_01].</t>
        </is>
      </c>
      <c r="J236" s="125" t="inlineStr">
        <is>
          <t>Direct — exact contract section</t>
        </is>
      </c>
      <c r="K236" s="125" t="inlineStr">
        <is>
          <t>Partial evidence: OFFER response supports evaluation; it does not replace full RTM compliance.</t>
        </is>
      </c>
      <c r="L236" s="126" t="inlineStr">
        <is>
          <t>RTM-388 (Building) and OFFER-32 (Configuration / Layout / Support) are linked only because both sit in §4.7.2 — a direct (shared-section) link, not a dedicated cross-reference to this specific clause.</t>
        </is>
      </c>
      <c r="M236" s="6" t="inlineStr">
        <is>
          <t>OK</t>
        </is>
      </c>
      <c r="N236" s="6" t="inlineStr">
        <is>
          <t>Canonical PDF/DOCX.</t>
        </is>
      </c>
    </row>
    <row r="237" ht="58" customHeight="1">
      <c r="A237" s="6" t="inlineStr">
        <is>
          <t>OFFER-32</t>
        </is>
      </c>
      <c r="B237" s="6" t="inlineStr">
        <is>
          <t>Equipment Transport &amp; Installation Constraints</t>
        </is>
      </c>
      <c r="C237" s="6" t="n">
        <v>82</v>
      </c>
      <c r="D237" s="6" t="inlineStr">
        <is>
          <t>4.7.2</t>
        </is>
      </c>
      <c r="E237" s="6" t="inlineStr">
        <is>
          <t>RTM-389</t>
        </is>
      </c>
      <c r="F237" s="6" t="n">
        <v>81</v>
      </c>
      <c r="G237" s="6" t="inlineStr">
        <is>
          <t>4.7.2</t>
        </is>
      </c>
      <c r="H237" s="6" t="inlineStr">
        <is>
          <t>Building</t>
        </is>
      </c>
      <c r="I237" s="6" t="inlineStr">
        <is>
          <t>The Contractor shall locate the QPS equipment in accordance with the following constraints:</t>
        </is>
      </c>
      <c r="J237" s="6" t="inlineStr">
        <is>
          <t>Direct — exact contract section</t>
        </is>
      </c>
      <c r="K237" s="6" t="inlineStr">
        <is>
          <t>Partial evidence: OFFER response supports evaluation; it does not replace full RTM compliance.</t>
        </is>
      </c>
      <c r="L237" s="83" t="inlineStr">
        <is>
          <t>RTM-389 (Building) and OFFER-32 (Configuration / Layout / Support) are linked only because both sit in §4.7.2 — a direct (shared-section) link, not a dedicated cross-reference to this specific clause.</t>
        </is>
      </c>
      <c r="M237" s="6" t="inlineStr">
        <is>
          <t>OK</t>
        </is>
      </c>
      <c r="N237" s="6" t="inlineStr">
        <is>
          <t>Canonical PDF/DOCX.</t>
        </is>
      </c>
    </row>
    <row r="238" ht="58" customHeight="1">
      <c r="A238" s="125" t="inlineStr">
        <is>
          <t>OFFER-32</t>
        </is>
      </c>
      <c r="B238" s="125" t="inlineStr">
        <is>
          <t>Equipment Transport &amp; Installation Constraints</t>
        </is>
      </c>
      <c r="C238" s="125" t="n">
        <v>82</v>
      </c>
      <c r="D238" s="125" t="inlineStr">
        <is>
          <t>4.7.2</t>
        </is>
      </c>
      <c r="E238" s="125" t="inlineStr">
        <is>
          <t>RTM-390</t>
        </is>
      </c>
      <c r="F238" s="125" t="n">
        <v>81</v>
      </c>
      <c r="G238" s="125" t="inlineStr">
        <is>
          <t>4.7.2</t>
        </is>
      </c>
      <c r="H238" s="125" t="inlineStr">
        <is>
          <t>Building</t>
        </is>
      </c>
      <c r="I238" s="125" t="inlineStr">
        <is>
          <t>During the Conceptual Design Phase, the Contractor shall assess and specify whether permanent lifting infrastructure (e.g., overhead crane, monorail, hoist system) is required in each room.</t>
        </is>
      </c>
      <c r="J238" s="125" t="inlineStr">
        <is>
          <t>Direct — exact contract section</t>
        </is>
      </c>
      <c r="K238" s="125" t="inlineStr">
        <is>
          <t>Partial evidence: OFFER response supports evaluation; it does not replace full RTM compliance.</t>
        </is>
      </c>
      <c r="L238" s="126" t="inlineStr">
        <is>
          <t>RTM-390 (Building) and OFFER-32 (Configuration / Layout / Support) are linked only because both sit in §4.7.2 — a direct (shared-section) link, not a dedicated cross-reference to this specific clause.</t>
        </is>
      </c>
      <c r="M238" s="6" t="inlineStr">
        <is>
          <t>OK</t>
        </is>
      </c>
      <c r="N238" s="6" t="inlineStr">
        <is>
          <t>Canonical PDF/DOCX.</t>
        </is>
      </c>
    </row>
    <row r="239" ht="58" customHeight="1">
      <c r="A239" s="6" t="inlineStr">
        <is>
          <t>OFFER-32</t>
        </is>
      </c>
      <c r="B239" s="6" t="inlineStr">
        <is>
          <t>Equipment Transport &amp; Installation Constraints</t>
        </is>
      </c>
      <c r="C239" s="6" t="n">
        <v>82</v>
      </c>
      <c r="D239" s="6" t="inlineStr">
        <is>
          <t>4.7.2</t>
        </is>
      </c>
      <c r="E239" s="6" t="inlineStr">
        <is>
          <t>RTM-391</t>
        </is>
      </c>
      <c r="F239" s="6" t="n">
        <v>81</v>
      </c>
      <c r="G239" s="6" t="inlineStr">
        <is>
          <t>4.7.2</t>
        </is>
      </c>
      <c r="H239" s="6" t="inlineStr">
        <is>
          <t>Building</t>
        </is>
      </c>
      <c r="I239" s="6" t="inlineStr">
        <is>
          <t>If lifting infrastructure is required in a room, the Contractor shall specify:</t>
        </is>
      </c>
      <c r="J239" s="6" t="inlineStr">
        <is>
          <t>Direct — exact contract section</t>
        </is>
      </c>
      <c r="K239" s="6" t="inlineStr">
        <is>
          <t>Partial evidence: OFFER response supports evaluation; it does not replace full RTM compliance.</t>
        </is>
      </c>
      <c r="L239" s="83" t="inlineStr">
        <is>
          <t>RTM-391 (Building) and OFFER-32 (Configuration / Layout / Support) are linked only because both sit in §4.7.2 — a direct (shared-section) link, not a dedicated cross-reference to this specific clause.</t>
        </is>
      </c>
      <c r="M239" s="6" t="inlineStr">
        <is>
          <t>OK</t>
        </is>
      </c>
      <c r="N239" s="6" t="inlineStr">
        <is>
          <t>Canonical PDF/DOCX.</t>
        </is>
      </c>
    </row>
    <row r="240" ht="58" customHeight="1">
      <c r="A240" s="125" t="inlineStr">
        <is>
          <t>OFFER-32</t>
        </is>
      </c>
      <c r="B240" s="125" t="inlineStr">
        <is>
          <t>Equipment Transport &amp; Installation Constraints</t>
        </is>
      </c>
      <c r="C240" s="125" t="n">
        <v>82</v>
      </c>
      <c r="D240" s="125" t="inlineStr">
        <is>
          <t>4.7.2</t>
        </is>
      </c>
      <c r="E240" s="125" t="inlineStr">
        <is>
          <t>RTM-392</t>
        </is>
      </c>
      <c r="F240" s="125" t="n">
        <v>81</v>
      </c>
      <c r="G240" s="125" t="inlineStr">
        <is>
          <t>4.7.2</t>
        </is>
      </c>
      <c r="H240" s="125" t="inlineStr">
        <is>
          <t>Building</t>
        </is>
      </c>
      <c r="I240" s="125" t="inlineStr">
        <is>
          <t>For the Compressor Room, the Contractor shall comply with the following constraints:</t>
        </is>
      </c>
      <c r="J240" s="125" t="inlineStr">
        <is>
          <t>Direct — exact contract section</t>
        </is>
      </c>
      <c r="K240" s="125" t="inlineStr">
        <is>
          <t>Partial evidence: OFFER response supports evaluation; it does not replace full RTM compliance.</t>
        </is>
      </c>
      <c r="L240" s="126" t="inlineStr">
        <is>
          <t>RTM-392 (Building) and OFFER-32 (Configuration / Layout / Support) are linked only because both sit in §4.7.2 — a direct (shared-section) link, not a dedicated cross-reference to this specific clause.</t>
        </is>
      </c>
      <c r="M240" s="6" t="inlineStr">
        <is>
          <t>OK</t>
        </is>
      </c>
      <c r="N240" s="6" t="inlineStr">
        <is>
          <t>Canonical PDF/DOCX.</t>
        </is>
      </c>
    </row>
    <row r="241" ht="58" customHeight="1">
      <c r="A241" s="6" t="inlineStr">
        <is>
          <t>OFFER-32</t>
        </is>
      </c>
      <c r="B241" s="6" t="inlineStr">
        <is>
          <t>Equipment Transport &amp; Installation Constraints</t>
        </is>
      </c>
      <c r="C241" s="6" t="n">
        <v>82</v>
      </c>
      <c r="D241" s="6" t="inlineStr">
        <is>
          <t>4.7.2</t>
        </is>
      </c>
      <c r="E241" s="6" t="inlineStr">
        <is>
          <t>RTM-393</t>
        </is>
      </c>
      <c r="F241" s="6" t="n">
        <v>81</v>
      </c>
      <c r="G241" s="6" t="inlineStr">
        <is>
          <t>4.7.2</t>
        </is>
      </c>
      <c r="H241" s="6" t="inlineStr">
        <is>
          <t>Building</t>
        </is>
      </c>
      <c r="I241" s="6" t="inlineStr">
        <is>
          <t>For the Cold Box Room, the Contractor shall comply with the following constraints:</t>
        </is>
      </c>
      <c r="J241" s="6" t="inlineStr">
        <is>
          <t>Direct — exact contract section</t>
        </is>
      </c>
      <c r="K241" s="6" t="inlineStr">
        <is>
          <t>Partial evidence: OFFER response supports evaluation; it does not replace full RTM compliance.</t>
        </is>
      </c>
      <c r="L241" s="83" t="inlineStr">
        <is>
          <t>RTM-393 (Building) and OFFER-32 (Configuration / Layout / Support) are linked only because both sit in §4.7.2 — a direct (shared-section) link, not a dedicated cross-reference to this specific clause.</t>
        </is>
      </c>
      <c r="M241" s="6" t="inlineStr">
        <is>
          <t>OK</t>
        </is>
      </c>
      <c r="N241" s="6" t="inlineStr">
        <is>
          <t>Canonical PDF/DOCX.</t>
        </is>
      </c>
    </row>
    <row r="242" ht="58" customHeight="1">
      <c r="A242" s="125" t="inlineStr">
        <is>
          <t>OFFER-32</t>
        </is>
      </c>
      <c r="B242" s="125" t="inlineStr">
        <is>
          <t>Equipment Transport &amp; Installation Constraints</t>
        </is>
      </c>
      <c r="C242" s="125" t="n">
        <v>82</v>
      </c>
      <c r="D242" s="125" t="inlineStr">
        <is>
          <t>4.7.2</t>
        </is>
      </c>
      <c r="E242" s="125" t="inlineStr">
        <is>
          <t>RTM-394</t>
        </is>
      </c>
      <c r="F242" s="125" t="n">
        <v>82</v>
      </c>
      <c r="G242" s="125" t="inlineStr">
        <is>
          <t>4.7.2</t>
        </is>
      </c>
      <c r="H242" s="125" t="inlineStr">
        <is>
          <t>Building</t>
        </is>
      </c>
      <c r="I242" s="125" t="inlineStr">
        <is>
          <t>For the outdoor Storage Area, the Contractor shall comply with the following constraints:</t>
        </is>
      </c>
      <c r="J242" s="125" t="inlineStr">
        <is>
          <t>Direct — exact contract section</t>
        </is>
      </c>
      <c r="K242" s="125" t="inlineStr">
        <is>
          <t>Partial evidence: OFFER response supports evaluation; it does not replace full RTM compliance.</t>
        </is>
      </c>
      <c r="L242" s="126" t="inlineStr">
        <is>
          <t>RTM-394 (Building) and OFFER-32 (Configuration / Layout / Support) are linked only because both sit in §4.7.2 — a direct (shared-section) link, not a dedicated cross-reference to this specific clause.</t>
        </is>
      </c>
      <c r="M242" s="6" t="inlineStr">
        <is>
          <t>OK</t>
        </is>
      </c>
      <c r="N242" s="6" t="inlineStr">
        <is>
          <t>Canonical PDF/DOCX.</t>
        </is>
      </c>
    </row>
    <row r="243" ht="58" customHeight="1">
      <c r="A243" s="6" t="inlineStr">
        <is>
          <t>OFFER-33</t>
        </is>
      </c>
      <c r="B243" s="6" t="inlineStr">
        <is>
          <t>Electrical System Design &amp; Load Analysis</t>
        </is>
      </c>
      <c r="C243" s="6" t="n">
        <v>83</v>
      </c>
      <c r="D243" s="6" t="inlineStr">
        <is>
          <t>4.7.3.1</t>
        </is>
      </c>
      <c r="E243" s="6" t="inlineStr">
        <is>
          <t>RTM-401</t>
        </is>
      </c>
      <c r="F243" s="6" t="n">
        <v>83</v>
      </c>
      <c r="G243" s="6" t="inlineStr">
        <is>
          <t>4.7.3.1</t>
        </is>
      </c>
      <c r="H243" s="6" t="inlineStr">
        <is>
          <t>LOOP event</t>
        </is>
      </c>
      <c r="I243" s="6" t="inlineStr">
        <is>
          <t>In the event of a Loss of Offsite Power (LOOP) to the MINERVA facility, the Contractor shall assume that up to 350 kW of back-up power (supplied by a diesel generator) is available after a an interruption of a few minutes.</t>
        </is>
      </c>
      <c r="J243" s="6" t="inlineStr">
        <is>
          <t>Direct — exact contract section</t>
        </is>
      </c>
      <c r="K243" s="6" t="inlineStr">
        <is>
          <t>Partial evidence: OFFER response supports evaluation; it does not replace full RTM compliance.</t>
        </is>
      </c>
      <c r="L243" s="83" t="inlineStr">
        <is>
          <t>RTM-401 (LOOP event) and OFFER-33 (Controls / Software / Management) are linked only because both sit in §4.7.3.1 — a direct (shared-section) link, not a dedicated cross-reference to this specific clause.</t>
        </is>
      </c>
      <c r="M243" s="6" t="inlineStr">
        <is>
          <t>OK</t>
        </is>
      </c>
      <c r="N243" s="6" t="inlineStr">
        <is>
          <t>Canonical PDF/DOCX.</t>
        </is>
      </c>
    </row>
    <row r="244" ht="58" customHeight="1">
      <c r="A244" s="125" t="inlineStr">
        <is>
          <t>OFFER-33</t>
        </is>
      </c>
      <c r="B244" s="125" t="inlineStr">
        <is>
          <t>Electrical System Design &amp; Load Analysis</t>
        </is>
      </c>
      <c r="C244" s="125" t="n">
        <v>83</v>
      </c>
      <c r="D244" s="125" t="inlineStr">
        <is>
          <t>4.7.3.1</t>
        </is>
      </c>
      <c r="E244" s="125" t="inlineStr">
        <is>
          <t>RTM-402</t>
        </is>
      </c>
      <c r="F244" s="125" t="n">
        <v>83</v>
      </c>
      <c r="G244" s="125" t="inlineStr">
        <is>
          <t>4.7.3.1</t>
        </is>
      </c>
      <c r="H244" s="125" t="inlineStr">
        <is>
          <t>LOOP event</t>
        </is>
      </c>
      <c r="I244" s="125" t="inlineStr">
        <is>
          <t>The Contractor shall define the required UPS backup scope and loads (HMI, PLCs, network, digital I/O) to ensure that the QPS manages to handle the LOOP event.</t>
        </is>
      </c>
      <c r="J244" s="125" t="inlineStr">
        <is>
          <t>Direct — exact contract section</t>
        </is>
      </c>
      <c r="K244" s="125" t="inlineStr">
        <is>
          <t>Partial evidence: OFFER response supports evaluation; it does not replace full RTM compliance.</t>
        </is>
      </c>
      <c r="L244" s="126" t="inlineStr">
        <is>
          <t>RTM-402 (LOOP event) and OFFER-33 (Controls / Software / Management) are linked only because both sit in §4.7.3.1 — a direct (shared-section) link, not a dedicated cross-reference to this specific clause.</t>
        </is>
      </c>
      <c r="M244" s="6" t="inlineStr">
        <is>
          <t>OK</t>
        </is>
      </c>
      <c r="N244" s="6" t="inlineStr">
        <is>
          <t>Canonical PDF/DOCX.</t>
        </is>
      </c>
    </row>
    <row r="245" ht="71" customHeight="1">
      <c r="A245" s="6" t="inlineStr">
        <is>
          <t>OFFER-34</t>
        </is>
      </c>
      <c r="B245" s="6" t="inlineStr">
        <is>
          <t>Cooling Water System Requirements</t>
        </is>
      </c>
      <c r="C245" s="6" t="n">
        <v>86</v>
      </c>
      <c r="D245" s="6" t="inlineStr">
        <is>
          <t>4.7.4.3.2</t>
        </is>
      </c>
      <c r="E245" s="6" t="inlineStr">
        <is>
          <t>RTM-426</t>
        </is>
      </c>
      <c r="F245" s="6" t="n">
        <v>86</v>
      </c>
      <c r="G245" s="6" t="inlineStr">
        <is>
          <t>4.7.4.3.2</t>
        </is>
      </c>
      <c r="H245" s="6" t="inlineStr">
        <is>
          <t>Process Heat Exchanger</t>
        </is>
      </c>
      <c r="I245" s="6" t="inlineStr">
        <is>
          <t>The Process Heat Exchanger shall be sized to:</t>
        </is>
      </c>
      <c r="J245" s="6" t="inlineStr">
        <is>
          <t>Direct — exact contract section</t>
        </is>
      </c>
      <c r="K245" s="6" t="inlineStr">
        <is>
          <t>Partial evidence: OFFER response supports evaluation; it does not replace full RTM compliance.</t>
        </is>
      </c>
      <c r="L245" s="83" t="inlineStr">
        <is>
          <t>RTM-426 (Process Heat Exchanger) and OFFER-34 (Performance / Process / Utilities) are linked only because both sit in §4.7.4.3.2 — a direct (shared-section) link, not a dedicated cross-reference to this specific clause.</t>
        </is>
      </c>
      <c r="M245" s="6" t="inlineStr">
        <is>
          <t>OK</t>
        </is>
      </c>
      <c r="N245" s="6" t="inlineStr">
        <is>
          <t>Canonical PDF/DOCX.</t>
        </is>
      </c>
    </row>
    <row r="246" ht="71" customHeight="1">
      <c r="A246" s="125" t="inlineStr">
        <is>
          <t>OFFER-34</t>
        </is>
      </c>
      <c r="B246" s="125" t="inlineStr">
        <is>
          <t>Cooling Water System Requirements</t>
        </is>
      </c>
      <c r="C246" s="125" t="n">
        <v>86</v>
      </c>
      <c r="D246" s="125" t="inlineStr">
        <is>
          <t>4.7.4.3.2</t>
        </is>
      </c>
      <c r="E246" s="125" t="inlineStr">
        <is>
          <t>RTM-427</t>
        </is>
      </c>
      <c r="F246" s="125" t="n">
        <v>86</v>
      </c>
      <c r="G246" s="125" t="inlineStr">
        <is>
          <t>4.7.4.3.2</t>
        </is>
      </c>
      <c r="H246" s="125" t="inlineStr">
        <is>
          <t>Process Heat Exchanger</t>
        </is>
      </c>
      <c r="I246" s="125" t="inlineStr">
        <is>
          <t>The Process Heat Exchanger shall allow a flow rate of the cooling water of up to 1800 L/min.</t>
        </is>
      </c>
      <c r="J246" s="125" t="inlineStr">
        <is>
          <t>Direct — exact contract section</t>
        </is>
      </c>
      <c r="K246" s="125" t="inlineStr">
        <is>
          <t>Partial evidence: OFFER response supports evaluation; it does not replace full RTM compliance.</t>
        </is>
      </c>
      <c r="L246" s="126" t="inlineStr">
        <is>
          <t>RTM-427 (Process Heat Exchanger) and OFFER-34 (Performance / Process / Utilities) are linked only because both sit in §4.7.4.3.2 — a direct (shared-section) link, not a dedicated cross-reference to this specific clause.</t>
        </is>
      </c>
      <c r="M246" s="6" t="inlineStr">
        <is>
          <t>OK</t>
        </is>
      </c>
      <c r="N246" s="6" t="inlineStr">
        <is>
          <t>Canonical PDF/DOCX.</t>
        </is>
      </c>
    </row>
    <row r="247" ht="71" customHeight="1">
      <c r="A247" s="6" t="inlineStr">
        <is>
          <t>OFFER-35</t>
        </is>
      </c>
      <c r="B247" s="6" t="inlineStr">
        <is>
          <t>Heat Rejection &amp; HVAC Interface Design</t>
        </is>
      </c>
      <c r="C247" s="6" t="n">
        <v>87</v>
      </c>
      <c r="D247" s="6" t="inlineStr">
        <is>
          <t>4.7.6</t>
        </is>
      </c>
      <c r="E247" s="6" t="inlineStr">
        <is>
          <t>RTM-434</t>
        </is>
      </c>
      <c r="F247" s="6" t="n">
        <v>86</v>
      </c>
      <c r="G247" s="6" t="inlineStr">
        <is>
          <t>4.7.6</t>
        </is>
      </c>
      <c r="H247" s="6" t="inlineStr">
        <is>
          <t>Interfaces with HVAC</t>
        </is>
      </c>
      <c r="I247" s="6" t="inlineStr">
        <is>
          <t>The QPS design shall comply with the following HVAC provisions supplied by SCK CEN:</t>
        </is>
      </c>
      <c r="J247" s="6" t="inlineStr">
        <is>
          <t>Direct — exact contract section</t>
        </is>
      </c>
      <c r="K247" s="6" t="inlineStr">
        <is>
          <t>Partial evidence: OFFER response supports evaluation; it does not replace full RTM compliance.</t>
        </is>
      </c>
      <c r="L247" s="83" t="inlineStr">
        <is>
          <t>RTM-434 (Interfaces with HVAC) and OFFER-35 (Performance / Process / Utilities) are linked only because both sit in §4.7.6 — a direct (shared-section) link, not a dedicated cross-reference to this specific clause.</t>
        </is>
      </c>
      <c r="M247" s="6" t="inlineStr">
        <is>
          <t>OK</t>
        </is>
      </c>
      <c r="N247" s="6" t="inlineStr">
        <is>
          <t>Canonical PDF/DOCX.</t>
        </is>
      </c>
    </row>
    <row r="248" ht="71" customHeight="1">
      <c r="A248" s="125" t="inlineStr">
        <is>
          <t>OFFER-35</t>
        </is>
      </c>
      <c r="B248" s="125" t="inlineStr">
        <is>
          <t>Heat Rejection &amp; HVAC Interface Design</t>
        </is>
      </c>
      <c r="C248" s="125" t="n">
        <v>87</v>
      </c>
      <c r="D248" s="125" t="inlineStr">
        <is>
          <t>4.7.6</t>
        </is>
      </c>
      <c r="E248" s="125" t="inlineStr">
        <is>
          <t>RTM-435</t>
        </is>
      </c>
      <c r="F248" s="125" t="n">
        <v>87</v>
      </c>
      <c r="G248" s="125" t="inlineStr">
        <is>
          <t>4.7.6</t>
        </is>
      </c>
      <c r="H248" s="125" t="inlineStr">
        <is>
          <t>Interfaces with HVAC</t>
        </is>
      </c>
      <c r="I248" s="125" t="inlineStr">
        <is>
          <t>The WCS shall comply with the following heat-rejection constraints:</t>
        </is>
      </c>
      <c r="J248" s="125" t="inlineStr">
        <is>
          <t>Direct — exact contract section</t>
        </is>
      </c>
      <c r="K248" s="125" t="inlineStr">
        <is>
          <t>Partial evidence: OFFER response supports evaluation; it does not replace full RTM compliance.</t>
        </is>
      </c>
      <c r="L248" s="126" t="inlineStr">
        <is>
          <t>RTM-435 (Interfaces with HVAC) and OFFER-35 (Performance / Process / Utilities) are linked only because both sit in §4.7.6 — a direct (shared-section) link, not a dedicated cross-reference to this specific clause.</t>
        </is>
      </c>
      <c r="M248" s="6" t="inlineStr">
        <is>
          <t>OK</t>
        </is>
      </c>
      <c r="N248" s="6" t="inlineStr">
        <is>
          <t>Canonical PDF/DOCX.</t>
        </is>
      </c>
    </row>
    <row r="249" ht="71" customHeight="1">
      <c r="A249" s="6" t="inlineStr">
        <is>
          <t>OFFER-36</t>
        </is>
      </c>
      <c r="B249" s="6" t="inlineStr">
        <is>
          <t>3D Model Platform &amp; CAD Delivery</t>
        </is>
      </c>
      <c r="C249" s="6" t="n">
        <v>89</v>
      </c>
      <c r="D249" s="6" t="inlineStr">
        <is>
          <t>4.8.1.2</t>
        </is>
      </c>
      <c r="E249" s="6" t="inlineStr">
        <is>
          <t>RTM-445</t>
        </is>
      </c>
      <c r="F249" s="6" t="n">
        <v>88</v>
      </c>
      <c r="G249" s="6" t="inlineStr">
        <is>
          <t>4.8.1.2</t>
        </is>
      </c>
      <c r="H249" s="6" t="inlineStr">
        <is>
          <t>CAD Models with Intellectual Property</t>
        </is>
      </c>
      <c r="I249" s="6" t="inlineStr">
        <is>
          <t>Without prejudice to the provisions on IP, in case the CAD model would contain IP content that the Contractor does not wish to share with other parties than SCK CEN:</t>
        </is>
      </c>
      <c r="J249" s="6" t="inlineStr">
        <is>
          <t>Direct — exact contract section</t>
        </is>
      </c>
      <c r="K249" s="6" t="inlineStr">
        <is>
          <t>Partial evidence: OFFER response supports evaluation; it does not replace full RTM compliance.</t>
        </is>
      </c>
      <c r="L249" s="83" t="inlineStr">
        <is>
          <t>RTM-445 (CAD Models with Intellectual Property) and OFFER-36 (Configuration / Layout / Support) are linked only because both sit in §4.8.1.2 — a direct (shared-section) link, not a dedicated cross-reference to this specific clause.</t>
        </is>
      </c>
      <c r="M249" s="6" t="inlineStr">
        <is>
          <t>OK</t>
        </is>
      </c>
      <c r="N249" s="6" t="inlineStr">
        <is>
          <t>Canonical PDF/DOCX.</t>
        </is>
      </c>
    </row>
    <row r="250" ht="71" customHeight="1">
      <c r="A250" s="125" t="inlineStr">
        <is>
          <t>OFFER-36</t>
        </is>
      </c>
      <c r="B250" s="125" t="inlineStr">
        <is>
          <t>3D Model Platform &amp; CAD Delivery</t>
        </is>
      </c>
      <c r="C250" s="125" t="n">
        <v>89</v>
      </c>
      <c r="D250" s="125" t="inlineStr">
        <is>
          <t>4.8.1.2</t>
        </is>
      </c>
      <c r="E250" s="125" t="inlineStr">
        <is>
          <t>RTM-446</t>
        </is>
      </c>
      <c r="F250" s="125" t="n">
        <v>88</v>
      </c>
      <c r="G250" s="125" t="inlineStr">
        <is>
          <t>4.8.1.2</t>
        </is>
      </c>
      <c r="H250" s="125" t="inlineStr">
        <is>
          <t>CAD Models with Intellectual Property</t>
        </is>
      </c>
      <c r="I250" s="125" t="inlineStr">
        <is>
          <t>The Contractor shall exercise reasonable judgment in determining which IP content cannot be shared and provide appropriate justification thereto.</t>
        </is>
      </c>
      <c r="J250" s="125" t="inlineStr">
        <is>
          <t>Direct — exact contract section</t>
        </is>
      </c>
      <c r="K250" s="125" t="inlineStr">
        <is>
          <t>Partial evidence: OFFER response supports evaluation; it does not replace full RTM compliance.</t>
        </is>
      </c>
      <c r="L250" s="126" t="inlineStr">
        <is>
          <t>RTM-446 (CAD Models with Intellectual Property) and OFFER-36 (Configuration / Layout / Support) are linked only because both sit in §4.8.1.2 — a direct (shared-section) link, not a dedicated cross-reference to this specific clause.</t>
        </is>
      </c>
      <c r="M250" s="6" t="inlineStr">
        <is>
          <t>OK</t>
        </is>
      </c>
      <c r="N250" s="6" t="inlineStr">
        <is>
          <t>Canonical PDF/DOCX.</t>
        </is>
      </c>
    </row>
    <row r="251" ht="71" customHeight="1">
      <c r="A251" s="6" t="inlineStr">
        <is>
          <t>OFFER-36</t>
        </is>
      </c>
      <c r="B251" s="6" t="inlineStr">
        <is>
          <t>3D Model Platform &amp; CAD Delivery</t>
        </is>
      </c>
      <c r="C251" s="6" t="n">
        <v>89</v>
      </c>
      <c r="D251" s="6" t="inlineStr">
        <is>
          <t>4.8.1.2</t>
        </is>
      </c>
      <c r="E251" s="6" t="inlineStr">
        <is>
          <t>RTM-447</t>
        </is>
      </c>
      <c r="F251" s="6" t="n">
        <v>89</v>
      </c>
      <c r="G251" s="6" t="inlineStr">
        <is>
          <t>4.8.1.2</t>
        </is>
      </c>
      <c r="H251" s="6" t="inlineStr">
        <is>
          <t>CAD Models with Intellectual Property</t>
        </is>
      </c>
      <c r="I251" s="6" t="inlineStr">
        <is>
          <t>The Contractor shall establish and maintain a 3D-model management platform (e.g. Autodesk BIM 360 Docs or an equivalent system approved by SCK CEN) for the controlled exchange, review, and version tracking of all 3D CAD models and related 2D drawings.</t>
        </is>
      </c>
      <c r="J251" s="6" t="inlineStr">
        <is>
          <t>Direct — exact contract section</t>
        </is>
      </c>
      <c r="K251" s="6" t="inlineStr">
        <is>
          <t>Partial evidence: OFFER response supports evaluation; it does not replace full RTM compliance.</t>
        </is>
      </c>
      <c r="L251" s="83" t="inlineStr">
        <is>
          <t>RTM-447 (CAD Models with Intellectual Property) and OFFER-36 (Configuration / Layout / Support) are linked only because both sit in §4.8.1.2 — a direct (shared-section) link, not a dedicated cross-reference to this specific clause.</t>
        </is>
      </c>
      <c r="M251" s="6" t="inlineStr">
        <is>
          <t>OK</t>
        </is>
      </c>
      <c r="N251" s="6" t="inlineStr">
        <is>
          <t>Canonical PDF/DOCX.</t>
        </is>
      </c>
    </row>
    <row r="252" ht="71" customHeight="1">
      <c r="A252" s="125" t="inlineStr">
        <is>
          <t>OFFER-36</t>
        </is>
      </c>
      <c r="B252" s="125" t="inlineStr">
        <is>
          <t>3D Model Platform &amp; CAD Delivery</t>
        </is>
      </c>
      <c r="C252" s="125" t="n">
        <v>89</v>
      </c>
      <c r="D252" s="125" t="inlineStr">
        <is>
          <t>4.8.1.2</t>
        </is>
      </c>
      <c r="E252" s="125" t="inlineStr">
        <is>
          <t>RTM-448</t>
        </is>
      </c>
      <c r="F252" s="125" t="n">
        <v>89</v>
      </c>
      <c r="G252" s="125" t="inlineStr">
        <is>
          <t>4.8.1.2</t>
        </is>
      </c>
      <c r="H252" s="125" t="inlineStr">
        <is>
          <t>CAD Models with Intellectual Property</t>
        </is>
      </c>
      <c r="I252" s="125" t="inlineStr">
        <is>
          <t>The platform shall:</t>
        </is>
      </c>
      <c r="J252" s="125" t="inlineStr">
        <is>
          <t>Direct — exact contract section</t>
        </is>
      </c>
      <c r="K252" s="125" t="inlineStr">
        <is>
          <t>Partial evidence: OFFER response supports evaluation; it does not replace full RTM compliance.</t>
        </is>
      </c>
      <c r="L252" s="126" t="inlineStr">
        <is>
          <t>RTM-448 (CAD Models with Intellectual Property) and OFFER-36 (Configuration / Layout / Support) are linked only because both sit in §4.8.1.2 — a direct (shared-section) link, not a dedicated cross-reference to this specific clause.</t>
        </is>
      </c>
      <c r="M252" s="6" t="inlineStr">
        <is>
          <t>OK</t>
        </is>
      </c>
      <c r="N252" s="6" t="inlineStr">
        <is>
          <t>Canonical PDF/DOCX.</t>
        </is>
      </c>
    </row>
    <row r="253" ht="71" customHeight="1">
      <c r="A253" s="6" t="inlineStr">
        <is>
          <t>OFFER-36</t>
        </is>
      </c>
      <c r="B253" s="6" t="inlineStr">
        <is>
          <t>3D Model Platform &amp; CAD Delivery</t>
        </is>
      </c>
      <c r="C253" s="6" t="n">
        <v>89</v>
      </c>
      <c r="D253" s="6" t="inlineStr">
        <is>
          <t>4.8.1.2</t>
        </is>
      </c>
      <c r="E253" s="6" t="inlineStr">
        <is>
          <t>RTM-449</t>
        </is>
      </c>
      <c r="F253" s="6" t="n">
        <v>89</v>
      </c>
      <c r="G253" s="6" t="inlineStr">
        <is>
          <t>4.8.1.2</t>
        </is>
      </c>
      <c r="H253" s="6" t="inlineStr">
        <is>
          <t>CAD Models with Intellectual Property</t>
        </is>
      </c>
      <c r="I253" s="6" t="inlineStr">
        <is>
          <t>The Contractor should ensure that the 3D models and associated workflows are compatible with SCK CEN’s current digital engineering environment, which includes PTC Windchill, PTC Creo, Autodesk Revit, Autodesk Navisworks, and Autodesk Construction Cloud.</t>
        </is>
      </c>
      <c r="J253" s="6" t="inlineStr">
        <is>
          <t>Direct — exact contract section</t>
        </is>
      </c>
      <c r="K253" s="6" t="inlineStr">
        <is>
          <t>Partial evidence: OFFER response supports evaluation; it does not replace full RTM compliance.</t>
        </is>
      </c>
      <c r="L253" s="83" t="inlineStr">
        <is>
          <t>RTM-449 (CAD Models with Intellectual Property) and OFFER-36 (Configuration / Layout / Support) are linked only because both sit in §4.8.1.2 — a direct (shared-section) link, not a dedicated cross-reference to this specific clause.</t>
        </is>
      </c>
      <c r="M253" s="6" t="inlineStr">
        <is>
          <t>OK</t>
        </is>
      </c>
      <c r="N253" s="6" t="inlineStr">
        <is>
          <t>Canonical PDF/DOCX.</t>
        </is>
      </c>
    </row>
    <row r="254" ht="71" customHeight="1">
      <c r="A254" s="125" t="inlineStr">
        <is>
          <t>OFFER-37</t>
        </is>
      </c>
      <c r="B254" s="125" t="inlineStr">
        <is>
          <t>Digital Twin / Simulation Strategy</t>
        </is>
      </c>
      <c r="C254" s="125" t="n">
        <v>89</v>
      </c>
      <c r="D254" s="125" t="inlineStr">
        <is>
          <t>4.8.2</t>
        </is>
      </c>
      <c r="E254" s="125" t="inlineStr">
        <is>
          <t>RTM-450</t>
        </is>
      </c>
      <c r="F254" s="125" t="n">
        <v>89</v>
      </c>
      <c r="G254" s="125" t="inlineStr">
        <is>
          <t>4.8.2</t>
        </is>
      </c>
      <c r="H254" s="125" t="inlineStr">
        <is>
          <t>Digital Process Model and Digital Twin</t>
        </is>
      </c>
      <c r="I254" s="125" t="inlineStr">
        <is>
          <t>The Contractor shall supply all necessary parameters to enable SCK CEN to simulate the QPS using its own models and tools.</t>
        </is>
      </c>
      <c r="J254" s="125" t="inlineStr">
        <is>
          <t>Direct — exact contract section</t>
        </is>
      </c>
      <c r="K254" s="125" t="inlineStr">
        <is>
          <t>Partial evidence: OFFER response supports evaluation; it does not replace full RTM compliance.</t>
        </is>
      </c>
      <c r="L254" s="126" t="inlineStr">
        <is>
          <t>RTM-450 (Digital Process Model and Digital Twin) and OFFER-37 (Controls / Software / Management) are linked only because both sit in §4.8.2 — a direct (shared-section) link, not a dedicated cross-reference to this specific clause.</t>
        </is>
      </c>
      <c r="M254" s="6" t="inlineStr">
        <is>
          <t>OK</t>
        </is>
      </c>
      <c r="N254" s="6" t="inlineStr">
        <is>
          <t>Canonical PDF/DOCX.</t>
        </is>
      </c>
    </row>
    <row r="255" ht="71" customHeight="1">
      <c r="A255" s="6" t="inlineStr">
        <is>
          <t>OFFER-37</t>
        </is>
      </c>
      <c r="B255" s="6" t="inlineStr">
        <is>
          <t>Digital Twin / Simulation Strategy</t>
        </is>
      </c>
      <c r="C255" s="6" t="n">
        <v>89</v>
      </c>
      <c r="D255" s="6" t="inlineStr">
        <is>
          <t>4.8.2</t>
        </is>
      </c>
      <c r="E255" s="6" t="inlineStr">
        <is>
          <t>RTM-451</t>
        </is>
      </c>
      <c r="F255" s="6" t="n">
        <v>89</v>
      </c>
      <c r="G255" s="6" t="inlineStr">
        <is>
          <t>4.8.2</t>
        </is>
      </c>
      <c r="H255" s="6" t="inlineStr">
        <is>
          <t>Digital Process Model and Digital Twin</t>
        </is>
      </c>
      <c r="I255" s="6" t="inlineStr">
        <is>
          <t>The Contractor may supply a Digital Process Model, a Digital Twin, or both. If supplied, the Digital Process Model and/or Digital Twin shall:</t>
        </is>
      </c>
      <c r="J255" s="6" t="inlineStr">
        <is>
          <t>Direct — exact contract section</t>
        </is>
      </c>
      <c r="K255" s="6" t="inlineStr">
        <is>
          <t>Partial evidence: OFFER response supports evaluation; it does not replace full RTM compliance.</t>
        </is>
      </c>
      <c r="L255" s="83" t="inlineStr">
        <is>
          <t>RTM-451 (Digital Process Model and Digital Twin) and OFFER-37 (Controls / Software / Management) are linked only because both sit in §4.8.2 — a direct (shared-section) link, not a dedicated cross-reference to this specific clause.</t>
        </is>
      </c>
      <c r="M255" s="6" t="inlineStr">
        <is>
          <t>OK</t>
        </is>
      </c>
      <c r="N255" s="6" t="inlineStr">
        <is>
          <t>Canonical PDF/DOCX.</t>
        </is>
      </c>
    </row>
    <row r="256" ht="71" customHeight="1">
      <c r="A256" s="125" t="inlineStr">
        <is>
          <t>OFFER-38</t>
        </is>
      </c>
      <c r="B256" s="125" t="inlineStr">
        <is>
          <t>Training Program &amp; Competency Definition</t>
        </is>
      </c>
      <c r="C256" s="125" t="n">
        <v>95</v>
      </c>
      <c r="D256" s="125" t="inlineStr">
        <is>
          <t>4.12.1</t>
        </is>
      </c>
      <c r="E256" s="125" t="inlineStr">
        <is>
          <t>RTM-483</t>
        </is>
      </c>
      <c r="F256" s="125" t="n">
        <v>94</v>
      </c>
      <c r="G256" s="125" t="inlineStr">
        <is>
          <t>4.12.1</t>
        </is>
      </c>
      <c r="H256" s="125" t="inlineStr">
        <is>
          <t>Training and Competence Transfer</t>
        </is>
      </c>
      <c r="I256" s="125" t="inlineStr">
        <is>
          <t>The Contractor shall train SCK CEN personnel to a level that enables them to autonomously operate, maintain, and troubleshoot the QPS.</t>
        </is>
      </c>
      <c r="J256" s="125" t="inlineStr">
        <is>
          <t>Direct — exact contract section</t>
        </is>
      </c>
      <c r="K256" s="125" t="inlineStr">
        <is>
          <t>Partial evidence: OFFER response supports evaluation; it does not replace full RTM compliance.</t>
        </is>
      </c>
      <c r="L256" s="126" t="inlineStr">
        <is>
          <t>RTM-483 (Training and Competence Transfer) and OFFER-38 (Configuration / Layout / Support) are linked only because both sit in §4.12.1 — a direct (shared-section) link, not a dedicated cross-reference to this specific clause.</t>
        </is>
      </c>
      <c r="M256" s="6" t="inlineStr">
        <is>
          <t>OK</t>
        </is>
      </c>
      <c r="N256" s="6" t="inlineStr">
        <is>
          <t>Canonical PDF/DOCX.</t>
        </is>
      </c>
    </row>
    <row r="257" ht="71" customHeight="1">
      <c r="A257" s="6" t="inlineStr">
        <is>
          <t>OFFER-38</t>
        </is>
      </c>
      <c r="B257" s="6" t="inlineStr">
        <is>
          <t>Training Program &amp; Competency Definition</t>
        </is>
      </c>
      <c r="C257" s="6" t="n">
        <v>95</v>
      </c>
      <c r="D257" s="6" t="inlineStr">
        <is>
          <t>4.12.1</t>
        </is>
      </c>
      <c r="E257" s="6" t="inlineStr">
        <is>
          <t>RTM-484</t>
        </is>
      </c>
      <c r="F257" s="6" t="n">
        <v>94</v>
      </c>
      <c r="G257" s="6" t="inlineStr">
        <is>
          <t>4.12.1</t>
        </is>
      </c>
      <c r="H257" s="6" t="inlineStr">
        <is>
          <t>Training and Competence Transfer</t>
        </is>
      </c>
      <c r="I257" s="6" t="inlineStr">
        <is>
          <t>The Contractor shall prepare and execute a training programme.</t>
        </is>
      </c>
      <c r="J257" s="6" t="inlineStr">
        <is>
          <t>Direct — exact contract section</t>
        </is>
      </c>
      <c r="K257" s="6" t="inlineStr">
        <is>
          <t>Partial evidence: OFFER response supports evaluation; it does not replace full RTM compliance.</t>
        </is>
      </c>
      <c r="L257" s="83" t="inlineStr">
        <is>
          <t>RTM-484 (Training and Competence Transfer) and OFFER-38 (Configuration / Layout / Support) are linked only because both sit in §4.12.1 — a direct (shared-section) link, not a dedicated cross-reference to this specific clause.</t>
        </is>
      </c>
      <c r="M257" s="6" t="inlineStr">
        <is>
          <t>OK</t>
        </is>
      </c>
      <c r="N257" s="6" t="inlineStr">
        <is>
          <t>Canonical PDF/DOCX.</t>
        </is>
      </c>
    </row>
    <row r="258" ht="71" customHeight="1">
      <c r="A258" s="125" t="inlineStr">
        <is>
          <t>OFFER-38</t>
        </is>
      </c>
      <c r="B258" s="125" t="inlineStr">
        <is>
          <t>Training Program &amp; Competency Definition</t>
        </is>
      </c>
      <c r="C258" s="125" t="n">
        <v>95</v>
      </c>
      <c r="D258" s="125" t="inlineStr">
        <is>
          <t>4.12.1</t>
        </is>
      </c>
      <c r="E258" s="125" t="inlineStr">
        <is>
          <t>RTM-485</t>
        </is>
      </c>
      <c r="F258" s="125" t="n">
        <v>94</v>
      </c>
      <c r="G258" s="125" t="inlineStr">
        <is>
          <t>4.12.1</t>
        </is>
      </c>
      <c r="H258" s="125" t="inlineStr">
        <is>
          <t>Training and Competence Transfer</t>
        </is>
      </c>
      <c r="I258" s="125" t="inlineStr">
        <is>
          <t>The Contractor shall provide training records, attendance records, and training materials.</t>
        </is>
      </c>
      <c r="J258" s="125" t="inlineStr">
        <is>
          <t>Direct — exact contract section</t>
        </is>
      </c>
      <c r="K258" s="125" t="inlineStr">
        <is>
          <t>Partial evidence: OFFER response supports evaluation; it does not replace full RTM compliance.</t>
        </is>
      </c>
      <c r="L258" s="126" t="inlineStr">
        <is>
          <t>RTM-485 (Training and Competence Transfer) and OFFER-38 (Configuration / Layout / Support) are linked only because both sit in §4.12.1 — a direct (shared-section) link, not a dedicated cross-reference to this specific clause.</t>
        </is>
      </c>
      <c r="M258" s="6" t="inlineStr">
        <is>
          <t>OK</t>
        </is>
      </c>
      <c r="N258" s="6" t="inlineStr">
        <is>
          <t>Canonical PDF/DOCX.</t>
        </is>
      </c>
    </row>
    <row r="259" ht="71" customHeight="1">
      <c r="A259" s="6" t="inlineStr">
        <is>
          <t>OFFER-38</t>
        </is>
      </c>
      <c r="B259" s="6" t="inlineStr">
        <is>
          <t>Training Program &amp; Competency Definition</t>
        </is>
      </c>
      <c r="C259" s="6" t="n">
        <v>95</v>
      </c>
      <c r="D259" s="6" t="inlineStr">
        <is>
          <t>4.12.1</t>
        </is>
      </c>
      <c r="E259" s="6" t="inlineStr">
        <is>
          <t>RTM-486</t>
        </is>
      </c>
      <c r="F259" s="6" t="n">
        <v>94</v>
      </c>
      <c r="G259" s="6" t="inlineStr">
        <is>
          <t>4.12.1</t>
        </is>
      </c>
      <c r="H259" s="6" t="inlineStr">
        <is>
          <t>Training and Competence Transfer</t>
        </is>
      </c>
      <c r="I259" s="6" t="inlineStr">
        <is>
          <t>The installation and commissioning training shall provide personnel with the necessary knowledge for interface coordination and integrated commissioning of the QPS with the overall cryogenic system, at minimum:</t>
        </is>
      </c>
      <c r="J259" s="6" t="inlineStr">
        <is>
          <t>Direct — exact contract section</t>
        </is>
      </c>
      <c r="K259" s="6" t="inlineStr">
        <is>
          <t>Partial evidence: OFFER response supports evaluation; it does not replace full RTM compliance.</t>
        </is>
      </c>
      <c r="L259" s="83" t="inlineStr">
        <is>
          <t>RTM-486 (Training and Competence Transfer) and OFFER-38 (Configuration / Layout / Support) are linked only because both sit in §4.12.1 — a direct (shared-section) link, not a dedicated cross-reference to this specific clause.</t>
        </is>
      </c>
      <c r="M259" s="6" t="inlineStr">
        <is>
          <t>OK</t>
        </is>
      </c>
      <c r="N259" s="6" t="inlineStr">
        <is>
          <t>Canonical PDF/DOCX.</t>
        </is>
      </c>
    </row>
    <row r="260" ht="71" customHeight="1">
      <c r="A260" s="125" t="inlineStr">
        <is>
          <t>OFFER-38</t>
        </is>
      </c>
      <c r="B260" s="125" t="inlineStr">
        <is>
          <t>Training Program &amp; Competency Definition</t>
        </is>
      </c>
      <c r="C260" s="125" t="n">
        <v>95</v>
      </c>
      <c r="D260" s="125" t="inlineStr">
        <is>
          <t>4.12.1</t>
        </is>
      </c>
      <c r="E260" s="125" t="inlineStr">
        <is>
          <t>RTM-487</t>
        </is>
      </c>
      <c r="F260" s="125" t="n">
        <v>95</v>
      </c>
      <c r="G260" s="125" t="inlineStr">
        <is>
          <t>4.12.1</t>
        </is>
      </c>
      <c r="H260" s="125" t="inlineStr">
        <is>
          <t>Training and Competence Transfer</t>
        </is>
      </c>
      <c r="I260" s="125" t="inlineStr">
        <is>
          <t>The operation and abnormal-event response training shall include, at minimum:</t>
        </is>
      </c>
      <c r="J260" s="125" t="inlineStr">
        <is>
          <t>Direct — exact contract section</t>
        </is>
      </c>
      <c r="K260" s="125" t="inlineStr">
        <is>
          <t>Partial evidence: OFFER response supports evaluation; it does not replace full RTM compliance.</t>
        </is>
      </c>
      <c r="L260" s="126" t="inlineStr">
        <is>
          <t>RTM-487 (Training and Competence Transfer) and OFFER-38 (Configuration / Layout / Support) are linked only because both sit in §4.12.1 — a direct (shared-section) link, not a dedicated cross-reference to this specific clause.</t>
        </is>
      </c>
      <c r="M260" s="6" t="inlineStr">
        <is>
          <t>OK</t>
        </is>
      </c>
      <c r="N260" s="6" t="inlineStr">
        <is>
          <t>Canonical PDF/DOCX.</t>
        </is>
      </c>
    </row>
    <row r="261" ht="71" customHeight="1">
      <c r="A261" s="6" t="inlineStr">
        <is>
          <t>OFFER-38</t>
        </is>
      </c>
      <c r="B261" s="6" t="inlineStr">
        <is>
          <t>Training Program &amp; Competency Definition</t>
        </is>
      </c>
      <c r="C261" s="6" t="n">
        <v>95</v>
      </c>
      <c r="D261" s="6" t="inlineStr">
        <is>
          <t>4.12.1</t>
        </is>
      </c>
      <c r="E261" s="6" t="inlineStr">
        <is>
          <t>RTM-488</t>
        </is>
      </c>
      <c r="F261" s="6" t="n">
        <v>95</v>
      </c>
      <c r="G261" s="6" t="inlineStr">
        <is>
          <t>4.12.1</t>
        </is>
      </c>
      <c r="H261" s="6" t="inlineStr">
        <is>
          <t>Training and Competence Transfer</t>
        </is>
      </c>
      <c r="I261" s="6" t="inlineStr">
        <is>
          <t>The maintenance and troubleshooting training shall include, at minimum:</t>
        </is>
      </c>
      <c r="J261" s="6" t="inlineStr">
        <is>
          <t>Direct — exact contract section</t>
        </is>
      </c>
      <c r="K261" s="6" t="inlineStr">
        <is>
          <t>Partial evidence: OFFER response supports evaluation; it does not replace full RTM compliance.</t>
        </is>
      </c>
      <c r="L261" s="83" t="inlineStr">
        <is>
          <t>RTM-488 (Training and Competence Transfer) and OFFER-38 (Configuration / Layout / Support) are linked only because both sit in §4.12.1 — a direct (shared-section) link, not a dedicated cross-reference to this specific clause.</t>
        </is>
      </c>
      <c r="M261" s="6" t="inlineStr">
        <is>
          <t>OK</t>
        </is>
      </c>
      <c r="N261" s="6" t="inlineStr">
        <is>
          <t>Canonical PDF/DOCX.</t>
        </is>
      </c>
    </row>
    <row r="262" ht="71" customHeight="1">
      <c r="A262" s="125" t="inlineStr">
        <is>
          <t>OFFER-38</t>
        </is>
      </c>
      <c r="B262" s="125" t="inlineStr">
        <is>
          <t>Training Program &amp; Competency Definition</t>
        </is>
      </c>
      <c r="C262" s="125" t="n">
        <v>95</v>
      </c>
      <c r="D262" s="125" t="inlineStr">
        <is>
          <t>4.12.1</t>
        </is>
      </c>
      <c r="E262" s="125" t="inlineStr">
        <is>
          <t>RTM-489</t>
        </is>
      </c>
      <c r="F262" s="125" t="n">
        <v>95</v>
      </c>
      <c r="G262" s="125" t="inlineStr">
        <is>
          <t>4.12.1</t>
        </is>
      </c>
      <c r="H262" s="125" t="inlineStr">
        <is>
          <t>Training and Competence Transfer</t>
        </is>
      </c>
      <c r="I262" s="125" t="inlineStr">
        <is>
          <t>The instrumentation and electrical-measurement training shall include, at minimum:</t>
        </is>
      </c>
      <c r="J262" s="125" t="inlineStr">
        <is>
          <t>Direct — exact contract section</t>
        </is>
      </c>
      <c r="K262" s="125" t="inlineStr">
        <is>
          <t>Partial evidence: OFFER response supports evaluation; it does not replace full RTM compliance.</t>
        </is>
      </c>
      <c r="L262" s="126" t="inlineStr">
        <is>
          <t>RTM-489 (Training and Competence Transfer) and OFFER-38 (Configuration / Layout / Support) are linked only because both sit in §4.12.1 — a direct (shared-section) link, not a dedicated cross-reference to this specific clause.</t>
        </is>
      </c>
      <c r="M262" s="6" t="inlineStr">
        <is>
          <t>OK</t>
        </is>
      </c>
      <c r="N262" s="6" t="inlineStr">
        <is>
          <t>Canonical PDF/DOCX.</t>
        </is>
      </c>
    </row>
    <row r="263" ht="71" customHeight="1">
      <c r="A263" s="6" t="inlineStr">
        <is>
          <t>OFFER-38</t>
        </is>
      </c>
      <c r="B263" s="6" t="inlineStr">
        <is>
          <t>Training Program &amp; Competency Definition</t>
        </is>
      </c>
      <c r="C263" s="6" t="n">
        <v>95</v>
      </c>
      <c r="D263" s="6" t="inlineStr">
        <is>
          <t>4.12.1</t>
        </is>
      </c>
      <c r="E263" s="6" t="inlineStr">
        <is>
          <t>RTM-490</t>
        </is>
      </c>
      <c r="F263" s="6" t="n">
        <v>95</v>
      </c>
      <c r="G263" s="6" t="inlineStr">
        <is>
          <t>4.12.1</t>
        </is>
      </c>
      <c r="H263" s="6" t="inlineStr">
        <is>
          <t>Training and Competence Transfer</t>
        </is>
      </c>
      <c r="I263" s="6" t="inlineStr">
        <is>
          <t>The helium logistics, consumables, waste handling, and special-tools training shall include, at minimum:</t>
        </is>
      </c>
      <c r="J263" s="6" t="inlineStr">
        <is>
          <t>Direct — exact contract section</t>
        </is>
      </c>
      <c r="K263" s="6" t="inlineStr">
        <is>
          <t>Partial evidence: OFFER response supports evaluation; it does not replace full RTM compliance.</t>
        </is>
      </c>
      <c r="L263" s="83" t="inlineStr">
        <is>
          <t>RTM-490 (Training and Competence Transfer) and OFFER-38 (Configuration / Layout / Support) are linked only because both sit in §4.12.1 — a direct (shared-section) link, not a dedicated cross-reference to this specific clause.</t>
        </is>
      </c>
      <c r="M263" s="6" t="inlineStr">
        <is>
          <t>OK</t>
        </is>
      </c>
      <c r="N263" s="6" t="inlineStr">
        <is>
          <t>Canonical PDF/DOCX.</t>
        </is>
      </c>
    </row>
    <row r="264" ht="71" customHeight="1">
      <c r="A264" s="125" t="inlineStr">
        <is>
          <t>OFFER-39</t>
        </is>
      </c>
      <c r="B264" s="125" t="inlineStr">
        <is>
          <t>FAT/SAT Testing Strategy &amp; Procedures</t>
        </is>
      </c>
      <c r="C264" s="125" t="n">
        <v>97</v>
      </c>
      <c r="D264" s="125" t="inlineStr">
        <is>
          <t>4.13.1</t>
        </is>
      </c>
      <c r="E264" s="125" t="inlineStr">
        <is>
          <t>RTM-491</t>
        </is>
      </c>
      <c r="F264" s="125" t="n">
        <v>95</v>
      </c>
      <c r="G264" s="125" t="inlineStr">
        <is>
          <t>4.13.1</t>
        </is>
      </c>
      <c r="H264" s="125" t="inlineStr">
        <is>
          <t>General Requirements</t>
        </is>
      </c>
      <c r="I264" s="125" t="inlineStr">
        <is>
          <t>The Contractor shall be responsible for:</t>
        </is>
      </c>
      <c r="J264" s="125" t="inlineStr">
        <is>
          <t>Direct — exact contract section</t>
        </is>
      </c>
      <c r="K264" s="125" t="inlineStr">
        <is>
          <t>Partial evidence: OFFER response supports evaluation; it does not replace full RTM compliance.</t>
        </is>
      </c>
      <c r="L264" s="126" t="inlineStr">
        <is>
          <t>RTM-491 (General Requirements) and OFFER-39 (Configuration / Layout / Support) are linked only because both sit in §4.13.1 — a direct (shared-section) link, not a dedicated cross-reference to this specific clause.</t>
        </is>
      </c>
      <c r="M264" s="6" t="inlineStr">
        <is>
          <t>OK</t>
        </is>
      </c>
      <c r="N264" s="6" t="inlineStr">
        <is>
          <t>Canonical PDF/DOCX.</t>
        </is>
      </c>
    </row>
    <row r="265" ht="71" customHeight="1">
      <c r="A265" s="6" t="inlineStr">
        <is>
          <t>OFFER-39</t>
        </is>
      </c>
      <c r="B265" s="6" t="inlineStr">
        <is>
          <t>FAT/SAT Testing Strategy &amp; Procedures</t>
        </is>
      </c>
      <c r="C265" s="6" t="n">
        <v>97</v>
      </c>
      <c r="D265" s="6" t="inlineStr">
        <is>
          <t>4.13.1</t>
        </is>
      </c>
      <c r="E265" s="6" t="inlineStr">
        <is>
          <t>RTM-492</t>
        </is>
      </c>
      <c r="F265" s="6" t="n">
        <v>96</v>
      </c>
      <c r="G265" s="6" t="inlineStr">
        <is>
          <t>4.13.1</t>
        </is>
      </c>
      <c r="H265" s="6" t="inlineStr">
        <is>
          <t>General Requirements</t>
        </is>
      </c>
      <c r="I265" s="6" t="inlineStr">
        <is>
          <t>The acceptance tests shall be defined in dedicated programmes (FAT Programme and SAT Programme, respectively).</t>
        </is>
      </c>
      <c r="J265" s="6" t="inlineStr">
        <is>
          <t>Direct — exact contract section</t>
        </is>
      </c>
      <c r="K265" s="6" t="inlineStr">
        <is>
          <t>Partial evidence: OFFER response supports evaluation; it does not replace full RTM compliance.</t>
        </is>
      </c>
      <c r="L265" s="83" t="inlineStr">
        <is>
          <t>RTM-492 (General Requirements) and OFFER-39 (Configuration / Layout / Support) are linked only because both sit in §4.13.1 — a direct (shared-section) link, not a dedicated cross-reference to this specific clause.</t>
        </is>
      </c>
      <c r="M265" s="6" t="inlineStr">
        <is>
          <t>OK</t>
        </is>
      </c>
      <c r="N265" s="6" t="inlineStr">
        <is>
          <t>Canonical PDF/DOCX.</t>
        </is>
      </c>
    </row>
    <row r="266" ht="71" customHeight="1">
      <c r="A266" s="125" t="inlineStr">
        <is>
          <t>OFFER-39</t>
        </is>
      </c>
      <c r="B266" s="125" t="inlineStr">
        <is>
          <t>FAT/SAT Testing Strategy &amp; Procedures</t>
        </is>
      </c>
      <c r="C266" s="125" t="n">
        <v>97</v>
      </c>
      <c r="D266" s="125" t="inlineStr">
        <is>
          <t>4.13.1</t>
        </is>
      </c>
      <c r="E266" s="125" t="inlineStr">
        <is>
          <t>RTM-493</t>
        </is>
      </c>
      <c r="F266" s="125" t="n">
        <v>96</v>
      </c>
      <c r="G266" s="125" t="inlineStr">
        <is>
          <t>4.13.1</t>
        </is>
      </c>
      <c r="H266" s="125" t="inlineStr">
        <is>
          <t>General Requirements</t>
        </is>
      </c>
      <c r="I266" s="125" t="inlineStr">
        <is>
          <t>Each acceptance test programme shall, at minimum, contain:</t>
        </is>
      </c>
      <c r="J266" s="125" t="inlineStr">
        <is>
          <t>Direct — exact contract section</t>
        </is>
      </c>
      <c r="K266" s="125" t="inlineStr">
        <is>
          <t>Partial evidence: OFFER response supports evaluation; it does not replace full RTM compliance.</t>
        </is>
      </c>
      <c r="L266" s="126" t="inlineStr">
        <is>
          <t>RTM-493 (General Requirements) and OFFER-39 (Configuration / Layout / Support) are linked only because both sit in §4.13.1 — a direct (shared-section) link, not a dedicated cross-reference to this specific clause.</t>
        </is>
      </c>
      <c r="M266" s="6" t="inlineStr">
        <is>
          <t>OK</t>
        </is>
      </c>
      <c r="N266" s="6" t="inlineStr">
        <is>
          <t>Canonical PDF/DOCX.</t>
        </is>
      </c>
    </row>
    <row r="267" ht="71" customHeight="1">
      <c r="A267" s="6" t="inlineStr">
        <is>
          <t>OFFER-39</t>
        </is>
      </c>
      <c r="B267" s="6" t="inlineStr">
        <is>
          <t>FAT/SAT Testing Strategy &amp; Procedures</t>
        </is>
      </c>
      <c r="C267" s="6" t="n">
        <v>97</v>
      </c>
      <c r="D267" s="6" t="inlineStr">
        <is>
          <t>4.13.1</t>
        </is>
      </c>
      <c r="E267" s="6" t="inlineStr">
        <is>
          <t>RTM-494</t>
        </is>
      </c>
      <c r="F267" s="6" t="n">
        <v>96</v>
      </c>
      <c r="G267" s="6" t="inlineStr">
        <is>
          <t>4.13.1</t>
        </is>
      </c>
      <c r="H267" s="6" t="inlineStr">
        <is>
          <t>General Requirements</t>
        </is>
      </c>
      <c r="I267" s="6" t="inlineStr">
        <is>
          <t>The acceptance tests shall be documented in dedicated reports (the FAT Report and the SAT Report, respectively).</t>
        </is>
      </c>
      <c r="J267" s="6" t="inlineStr">
        <is>
          <t>Direct — exact contract section</t>
        </is>
      </c>
      <c r="K267" s="6" t="inlineStr">
        <is>
          <t>Partial evidence: OFFER response supports evaluation; it does not replace full RTM compliance.</t>
        </is>
      </c>
      <c r="L267" s="83" t="inlineStr">
        <is>
          <t>RTM-494 (General Requirements) and OFFER-39 (Configuration / Layout / Support) are linked only because both sit in §4.13.1 — a direct (shared-section) link, not a dedicated cross-reference to this specific clause.</t>
        </is>
      </c>
      <c r="M267" s="6" t="inlineStr">
        <is>
          <t>OK</t>
        </is>
      </c>
      <c r="N267" s="6" t="inlineStr">
        <is>
          <t>Canonical PDF/DOCX.</t>
        </is>
      </c>
    </row>
    <row r="268" ht="71" customHeight="1">
      <c r="A268" s="125" t="inlineStr">
        <is>
          <t>OFFER-39</t>
        </is>
      </c>
      <c r="B268" s="125" t="inlineStr">
        <is>
          <t>FAT/SAT Testing Strategy &amp; Procedures</t>
        </is>
      </c>
      <c r="C268" s="125" t="n">
        <v>97</v>
      </c>
      <c r="D268" s="125" t="inlineStr">
        <is>
          <t>4.13.1</t>
        </is>
      </c>
      <c r="E268" s="125" t="inlineStr">
        <is>
          <t>RTM-495</t>
        </is>
      </c>
      <c r="F268" s="125" t="n">
        <v>97</v>
      </c>
      <c r="G268" s="125" t="inlineStr">
        <is>
          <t>4.13.1</t>
        </is>
      </c>
      <c r="H268" s="125" t="inlineStr">
        <is>
          <t>General Requirements</t>
        </is>
      </c>
      <c r="I268" s="125" t="inlineStr">
        <is>
          <t>The Contractor shall be responsible for providing and/or making available all testing equipment, tools, instrumentation, consumables, and utilities required for the proper execution of the acceptance tests.</t>
        </is>
      </c>
      <c r="J268" s="125" t="inlineStr">
        <is>
          <t>Direct — exact contract section</t>
        </is>
      </c>
      <c r="K268" s="125" t="inlineStr">
        <is>
          <t>Partial evidence: OFFER response supports evaluation; it does not replace full RTM compliance.</t>
        </is>
      </c>
      <c r="L268" s="126" t="inlineStr">
        <is>
          <t>RTM-495 (General Requirements) and OFFER-39 (Configuration / Layout / Support) are linked only because both sit in §4.13.1 — a direct (shared-section) link, not a dedicated cross-reference to this specific clause.</t>
        </is>
      </c>
      <c r="M268" s="6" t="inlineStr">
        <is>
          <t>OK</t>
        </is>
      </c>
      <c r="N268" s="6" t="inlineStr">
        <is>
          <t>Canonical PDF/DOCX.</t>
        </is>
      </c>
    </row>
    <row r="269" ht="42" customHeight="1">
      <c r="A269" s="6" t="inlineStr">
        <is>
          <t>OFFER-39</t>
        </is>
      </c>
      <c r="B269" s="6" t="inlineStr">
        <is>
          <t>FAT/SAT Testing Strategy &amp; Procedures</t>
        </is>
      </c>
      <c r="C269" s="6" t="n">
        <v>97</v>
      </c>
      <c r="D269" s="6" t="inlineStr">
        <is>
          <t>4.13.1</t>
        </is>
      </c>
      <c r="E269" s="6" t="inlineStr">
        <is>
          <t>RTM-496</t>
        </is>
      </c>
      <c r="F269" s="6" t="n">
        <v>97</v>
      </c>
      <c r="G269" s="6" t="inlineStr">
        <is>
          <t>4.13.2</t>
        </is>
      </c>
      <c r="H269" s="6" t="inlineStr">
        <is>
          <t>Factory Acceptance Test (FAT)</t>
        </is>
      </c>
      <c r="I269" s="6" t="inlineStr">
        <is>
          <t>The Contractor shall perform a Factory Acceptance Test (FAT) to verify that the manufactured QPS and its functional Parts comply with the requirements set forth in the Contract.</t>
        </is>
      </c>
      <c r="J269" s="6" t="inlineStr">
        <is>
          <t>Supporting — FAT/SAT detailed requirements</t>
        </is>
      </c>
      <c r="K269" s="6" t="inlineStr">
        <is>
          <t>Supporting/contextual evidence only; not full RTM fulfilment.</t>
        </is>
      </c>
      <c r="L269" s="6" t="inlineStr">
        <is>
          <t>The OFFER asks a concise FAT/SAT approach; detailed FAT/SAT RTMs are supporting scope.</t>
        </is>
      </c>
      <c r="M269" s="6" t="inlineStr">
        <is>
          <t>Review breadth</t>
        </is>
      </c>
      <c r="N269" s="6" t="inlineStr">
        <is>
          <t>Canonical PDF/DOCX.</t>
        </is>
      </c>
    </row>
    <row r="270" ht="42" customHeight="1">
      <c r="A270" s="125" t="inlineStr">
        <is>
          <t>OFFER-39</t>
        </is>
      </c>
      <c r="B270" s="125" t="inlineStr">
        <is>
          <t>FAT/SAT Testing Strategy &amp; Procedures</t>
        </is>
      </c>
      <c r="C270" s="125" t="n">
        <v>97</v>
      </c>
      <c r="D270" s="125" t="inlineStr">
        <is>
          <t>4.13.1</t>
        </is>
      </c>
      <c r="E270" s="125" t="inlineStr">
        <is>
          <t>RTM-497</t>
        </is>
      </c>
      <c r="F270" s="125" t="n">
        <v>97</v>
      </c>
      <c r="G270" s="125" t="inlineStr">
        <is>
          <t>4.13.2</t>
        </is>
      </c>
      <c r="H270" s="125" t="inlineStr">
        <is>
          <t>Factory Acceptance Test (FAT)</t>
        </is>
      </c>
      <c r="I270" s="125" t="inlineStr">
        <is>
          <t>The FAT shall include, at minimum, the functional verification of all functional Parts. This shall include, where applicable:</t>
        </is>
      </c>
      <c r="J270" s="125" t="inlineStr">
        <is>
          <t>Supporting — FAT/SAT detailed requirements</t>
        </is>
      </c>
      <c r="K270" s="125" t="inlineStr">
        <is>
          <t>Supporting/contextual evidence only; not full RTM fulfilment.</t>
        </is>
      </c>
      <c r="L270" s="125" t="inlineStr">
        <is>
          <t>The OFFER asks a concise FAT/SAT approach; detailed FAT/SAT RTMs are supporting scope.</t>
        </is>
      </c>
      <c r="M270" s="6" t="inlineStr">
        <is>
          <t>Review breadth</t>
        </is>
      </c>
      <c r="N270" s="6" t="inlineStr">
        <is>
          <t>Canonical PDF/DOCX.</t>
        </is>
      </c>
    </row>
    <row r="271" ht="42" customHeight="1">
      <c r="A271" s="6" t="inlineStr">
        <is>
          <t>OFFER-39</t>
        </is>
      </c>
      <c r="B271" s="6" t="inlineStr">
        <is>
          <t>FAT/SAT Testing Strategy &amp; Procedures</t>
        </is>
      </c>
      <c r="C271" s="6" t="n">
        <v>97</v>
      </c>
      <c r="D271" s="6" t="inlineStr">
        <is>
          <t>4.13.1</t>
        </is>
      </c>
      <c r="E271" s="6" t="inlineStr">
        <is>
          <t>RTM-498</t>
        </is>
      </c>
      <c r="F271" s="6" t="n">
        <v>97</v>
      </c>
      <c r="G271" s="6" t="inlineStr">
        <is>
          <t>4.13.2</t>
        </is>
      </c>
      <c r="H271" s="6" t="inlineStr">
        <is>
          <t>Factory Acceptance Test (FAT)</t>
        </is>
      </c>
      <c r="I271" s="6" t="inlineStr">
        <is>
          <t>The FAT shall include, at minimum, the following tests and activities:</t>
        </is>
      </c>
      <c r="J271" s="6" t="inlineStr">
        <is>
          <t>Supporting — FAT/SAT detailed requirements</t>
        </is>
      </c>
      <c r="K271" s="6" t="inlineStr">
        <is>
          <t>Supporting/contextual evidence only; not full RTM fulfilment.</t>
        </is>
      </c>
      <c r="L271" s="6" t="inlineStr">
        <is>
          <t>The OFFER asks a concise FAT/SAT approach; detailed FAT/SAT RTMs are supporting scope.</t>
        </is>
      </c>
      <c r="M271" s="6" t="inlineStr">
        <is>
          <t>Review breadth</t>
        </is>
      </c>
      <c r="N271" s="6" t="inlineStr">
        <is>
          <t>Canonical PDF/DOCX.</t>
        </is>
      </c>
    </row>
    <row r="272" ht="42" customHeight="1">
      <c r="A272" s="125" t="inlineStr">
        <is>
          <t>OFFER-39</t>
        </is>
      </c>
      <c r="B272" s="125" t="inlineStr">
        <is>
          <t>FAT/SAT Testing Strategy &amp; Procedures</t>
        </is>
      </c>
      <c r="C272" s="125" t="n">
        <v>97</v>
      </c>
      <c r="D272" s="125" t="inlineStr">
        <is>
          <t>4.13.1</t>
        </is>
      </c>
      <c r="E272" s="125" t="inlineStr">
        <is>
          <t>RTM-499</t>
        </is>
      </c>
      <c r="F272" s="125" t="n">
        <v>97</v>
      </c>
      <c r="G272" s="125" t="inlineStr">
        <is>
          <t>4.13.3</t>
        </is>
      </c>
      <c r="H272" s="125" t="inlineStr">
        <is>
          <t>Site Acceptance Tests (SAT)</t>
        </is>
      </c>
      <c r="I272" s="125" t="inlineStr">
        <is>
          <t>The Contractor shall perform the Site Acceptance Tests (SAT) to demonstrate that the as-built QPS complies with the requirements set forth in the Contract under site conditions.</t>
        </is>
      </c>
      <c r="J272" s="125" t="inlineStr">
        <is>
          <t>Supporting — FAT/SAT detailed requirements</t>
        </is>
      </c>
      <c r="K272" s="125" t="inlineStr">
        <is>
          <t>Supporting/contextual evidence only; not full RTM fulfilment.</t>
        </is>
      </c>
      <c r="L272" s="125" t="inlineStr">
        <is>
          <t>The OFFER asks a concise FAT/SAT approach; detailed FAT/SAT RTMs are supporting scope.</t>
        </is>
      </c>
      <c r="M272" s="6" t="inlineStr">
        <is>
          <t>Review breadth</t>
        </is>
      </c>
      <c r="N272" s="6" t="inlineStr">
        <is>
          <t>Canonical PDF/DOCX.</t>
        </is>
      </c>
    </row>
    <row r="273" ht="42" customHeight="1">
      <c r="A273" s="6" t="inlineStr">
        <is>
          <t>OFFER-39</t>
        </is>
      </c>
      <c r="B273" s="6" t="inlineStr">
        <is>
          <t>FAT/SAT Testing Strategy &amp; Procedures</t>
        </is>
      </c>
      <c r="C273" s="6" t="n">
        <v>97</v>
      </c>
      <c r="D273" s="6" t="inlineStr">
        <is>
          <t>4.13.1</t>
        </is>
      </c>
      <c r="E273" s="6" t="inlineStr">
        <is>
          <t>RTM-500</t>
        </is>
      </c>
      <c r="F273" s="6" t="n">
        <v>97</v>
      </c>
      <c r="G273" s="6" t="inlineStr">
        <is>
          <t>4.13.3</t>
        </is>
      </c>
      <c r="H273" s="6" t="inlineStr">
        <is>
          <t>Site Acceptance Tests (SAT)</t>
        </is>
      </c>
      <c r="I273" s="6" t="inlineStr">
        <is>
          <t>The SAT Programme shall define the SAT-specific aspects required for the execution of the SAT, including at minimum:</t>
        </is>
      </c>
      <c r="J273" s="6" t="inlineStr">
        <is>
          <t>Supporting — FAT/SAT detailed requirements</t>
        </is>
      </c>
      <c r="K273" s="6" t="inlineStr">
        <is>
          <t>Supporting/contextual evidence only; not full RTM fulfilment.</t>
        </is>
      </c>
      <c r="L273" s="6" t="inlineStr">
        <is>
          <t>The OFFER asks a concise FAT/SAT approach; detailed FAT/SAT RTMs are supporting scope.</t>
        </is>
      </c>
      <c r="M273" s="6" t="inlineStr">
        <is>
          <t>Review breadth</t>
        </is>
      </c>
      <c r="N273" s="6" t="inlineStr">
        <is>
          <t>Canonical PDF/DOCX.</t>
        </is>
      </c>
    </row>
    <row r="274" ht="42" customHeight="1">
      <c r="A274" s="125" t="inlineStr">
        <is>
          <t>OFFER-39</t>
        </is>
      </c>
      <c r="B274" s="125" t="inlineStr">
        <is>
          <t>FAT/SAT Testing Strategy &amp; Procedures</t>
        </is>
      </c>
      <c r="C274" s="125" t="n">
        <v>97</v>
      </c>
      <c r="D274" s="125" t="inlineStr">
        <is>
          <t>4.13.1</t>
        </is>
      </c>
      <c r="E274" s="125" t="inlineStr">
        <is>
          <t>RTM-501</t>
        </is>
      </c>
      <c r="F274" s="125" t="n">
        <v>98</v>
      </c>
      <c r="G274" s="125" t="inlineStr">
        <is>
          <t>4.13.3</t>
        </is>
      </c>
      <c r="H274" s="125" t="inlineStr">
        <is>
          <t>Site Acceptance Tests (SAT)</t>
        </is>
      </c>
      <c r="I274" s="125" t="inlineStr">
        <is>
          <t>The SAT shall be performed in a logical sequence from prerequisite checks to functional demonstrations and performance demonstrations.</t>
        </is>
      </c>
      <c r="J274" s="125" t="inlineStr">
        <is>
          <t>Supporting — FAT/SAT detailed requirements</t>
        </is>
      </c>
      <c r="K274" s="125" t="inlineStr">
        <is>
          <t>Supporting/contextual evidence only; not full RTM fulfilment.</t>
        </is>
      </c>
      <c r="L274" s="125" t="inlineStr">
        <is>
          <t>The OFFER asks a concise FAT/SAT approach; detailed FAT/SAT RTMs are supporting scope.</t>
        </is>
      </c>
      <c r="M274" s="6" t="inlineStr">
        <is>
          <t>Review breadth</t>
        </is>
      </c>
      <c r="N274" s="6" t="inlineStr">
        <is>
          <t>Canonical PDF/DOCX.</t>
        </is>
      </c>
    </row>
    <row r="275" ht="42" customHeight="1">
      <c r="A275" s="6" t="inlineStr">
        <is>
          <t>OFFER-39</t>
        </is>
      </c>
      <c r="B275" s="6" t="inlineStr">
        <is>
          <t>FAT/SAT Testing Strategy &amp; Procedures</t>
        </is>
      </c>
      <c r="C275" s="6" t="n">
        <v>97</v>
      </c>
      <c r="D275" s="6" t="inlineStr">
        <is>
          <t>4.13.1</t>
        </is>
      </c>
      <c r="E275" s="6" t="inlineStr">
        <is>
          <t>RTM-502</t>
        </is>
      </c>
      <c r="F275" s="6" t="n">
        <v>98</v>
      </c>
      <c r="G275" s="6" t="inlineStr">
        <is>
          <t>4.13.3</t>
        </is>
      </c>
      <c r="H275" s="6" t="inlineStr">
        <is>
          <t>Site Acceptance Tests (SAT)</t>
        </is>
      </c>
      <c r="I275" s="6" t="inlineStr">
        <is>
          <t>Each SAT demonstration shall be performed, at minimum, with the QPS operating at the QPLANT Design Point, unless specified otherwise in the applicable SAT requirement or in the approved SAT Programme.</t>
        </is>
      </c>
      <c r="J275" s="6" t="inlineStr">
        <is>
          <t>Supporting — FAT/SAT detailed requirements</t>
        </is>
      </c>
      <c r="K275" s="6" t="inlineStr">
        <is>
          <t>Supporting/contextual evidence only; not full RTM fulfilment.</t>
        </is>
      </c>
      <c r="L275" s="6" t="inlineStr">
        <is>
          <t>The OFFER asks a concise FAT/SAT approach; detailed FAT/SAT RTMs are supporting scope.</t>
        </is>
      </c>
      <c r="M275" s="6" t="inlineStr">
        <is>
          <t>Review breadth</t>
        </is>
      </c>
      <c r="N275" s="6" t="inlineStr">
        <is>
          <t>Canonical PDF/DOCX.</t>
        </is>
      </c>
    </row>
    <row r="276" ht="42" customHeight="1">
      <c r="A276" s="125" t="inlineStr">
        <is>
          <t>OFFER-39</t>
        </is>
      </c>
      <c r="B276" s="125" t="inlineStr">
        <is>
          <t>FAT/SAT Testing Strategy &amp; Procedures</t>
        </is>
      </c>
      <c r="C276" s="125" t="n">
        <v>97</v>
      </c>
      <c r="D276" s="125" t="inlineStr">
        <is>
          <t>4.13.1</t>
        </is>
      </c>
      <c r="E276" s="125" t="inlineStr">
        <is>
          <t>RTM-503</t>
        </is>
      </c>
      <c r="F276" s="125" t="n">
        <v>98</v>
      </c>
      <c r="G276" s="125" t="inlineStr">
        <is>
          <t>4.13.3</t>
        </is>
      </c>
      <c r="H276" s="125" t="inlineStr">
        <is>
          <t>Site Acceptance Tests (SAT)</t>
        </is>
      </c>
      <c r="I276" s="125" t="inlineStr">
        <is>
          <t>Where specified, the SAT demonstration shall be performed with the QPS operating at QPLANT Predefined Test Points, which are defined as follows:</t>
        </is>
      </c>
      <c r="J276" s="125" t="inlineStr">
        <is>
          <t>Supporting — FAT/SAT detailed requirements</t>
        </is>
      </c>
      <c r="K276" s="125" t="inlineStr">
        <is>
          <t>Supporting/contextual evidence only; not full RTM fulfilment.</t>
        </is>
      </c>
      <c r="L276" s="125" t="inlineStr">
        <is>
          <t>The OFFER asks a concise FAT/SAT approach; detailed FAT/SAT RTMs are supporting scope.</t>
        </is>
      </c>
      <c r="M276" s="6" t="inlineStr">
        <is>
          <t>Review breadth</t>
        </is>
      </c>
      <c r="N276" s="6" t="inlineStr">
        <is>
          <t>Canonical PDF/DOCX.</t>
        </is>
      </c>
    </row>
    <row r="277" ht="42" customHeight="1">
      <c r="A277" s="6" t="inlineStr">
        <is>
          <t>OFFER-39</t>
        </is>
      </c>
      <c r="B277" s="6" t="inlineStr">
        <is>
          <t>FAT/SAT Testing Strategy &amp; Procedures</t>
        </is>
      </c>
      <c r="C277" s="6" t="n">
        <v>97</v>
      </c>
      <c r="D277" s="6" t="inlineStr">
        <is>
          <t>4.13.1</t>
        </is>
      </c>
      <c r="E277" s="6" t="inlineStr">
        <is>
          <t>RTM-504</t>
        </is>
      </c>
      <c r="F277" s="6" t="n">
        <v>98</v>
      </c>
      <c r="G277" s="6" t="inlineStr">
        <is>
          <t>4.13.3</t>
        </is>
      </c>
      <c r="H277" s="6" t="inlineStr">
        <is>
          <t>Site Acceptance Tests (SAT)</t>
        </is>
      </c>
      <c r="I277" s="6" t="inlineStr">
        <is>
          <t>For each SAT demonstration, the Contractor shall continuously monitor and record the quantities relevant to the demonstrated function. This shall include, where applicable, at minimum:</t>
        </is>
      </c>
      <c r="J277" s="6" t="inlineStr">
        <is>
          <t>Supporting — FAT/SAT detailed requirements</t>
        </is>
      </c>
      <c r="K277" s="6" t="inlineStr">
        <is>
          <t>Supporting/contextual evidence only; not full RTM fulfilment.</t>
        </is>
      </c>
      <c r="L277" s="6" t="inlineStr">
        <is>
          <t>The OFFER asks a concise FAT/SAT approach; detailed FAT/SAT RTMs are supporting scope.</t>
        </is>
      </c>
      <c r="M277" s="6" t="inlineStr">
        <is>
          <t>Review breadth</t>
        </is>
      </c>
      <c r="N277" s="6" t="inlineStr">
        <is>
          <t>Canonical PDF/DOCX.</t>
        </is>
      </c>
    </row>
    <row r="278" ht="42" customHeight="1">
      <c r="A278" s="125" t="inlineStr">
        <is>
          <t>OFFER-39</t>
        </is>
      </c>
      <c r="B278" s="125" t="inlineStr">
        <is>
          <t>FAT/SAT Testing Strategy &amp; Procedures</t>
        </is>
      </c>
      <c r="C278" s="125" t="n">
        <v>97</v>
      </c>
      <c r="D278" s="125" t="inlineStr">
        <is>
          <t>4.13.1</t>
        </is>
      </c>
      <c r="E278" s="125" t="inlineStr">
        <is>
          <t>RTM-505</t>
        </is>
      </c>
      <c r="F278" s="125" t="n">
        <v>98</v>
      </c>
      <c r="G278" s="125" t="inlineStr">
        <is>
          <t>4.13.3</t>
        </is>
      </c>
      <c r="H278" s="125" t="inlineStr">
        <is>
          <t>Site Acceptance Tests (SAT)</t>
        </is>
      </c>
      <c r="I278" s="125" t="inlineStr">
        <is>
          <t>For each SAT demonstration, the Contractor shall record the measured and derived quantities required to substantiate the test result.</t>
        </is>
      </c>
      <c r="J278" s="125" t="inlineStr">
        <is>
          <t>Supporting — FAT/SAT detailed requirements</t>
        </is>
      </c>
      <c r="K278" s="125" t="inlineStr">
        <is>
          <t>Supporting/contextual evidence only; not full RTM fulfilment.</t>
        </is>
      </c>
      <c r="L278" s="125" t="inlineStr">
        <is>
          <t>The OFFER asks a concise FAT/SAT approach; detailed FAT/SAT RTMs are supporting scope.</t>
        </is>
      </c>
      <c r="M278" s="6" t="inlineStr">
        <is>
          <t>Review breadth</t>
        </is>
      </c>
      <c r="N278" s="6" t="inlineStr">
        <is>
          <t>Canonical PDF/DOCX.</t>
        </is>
      </c>
    </row>
    <row r="279" ht="42" customHeight="1">
      <c r="A279" s="6" t="inlineStr">
        <is>
          <t>OFFER-39</t>
        </is>
      </c>
      <c r="B279" s="6" t="inlineStr">
        <is>
          <t>FAT/SAT Testing Strategy &amp; Procedures</t>
        </is>
      </c>
      <c r="C279" s="6" t="n">
        <v>97</v>
      </c>
      <c r="D279" s="6" t="inlineStr">
        <is>
          <t>4.13.1</t>
        </is>
      </c>
      <c r="E279" s="6" t="inlineStr">
        <is>
          <t>RTM-506</t>
        </is>
      </c>
      <c r="F279" s="6" t="n">
        <v>98</v>
      </c>
      <c r="G279" s="6" t="inlineStr">
        <is>
          <t>4.13.3</t>
        </is>
      </c>
      <c r="H279" s="6" t="inlineStr">
        <is>
          <t>Site Acceptance Tests (SAT)</t>
        </is>
      </c>
      <c r="I279" s="6" t="inlineStr">
        <is>
          <t>The reported values used to substantiate a SAT result or compliance assessment shall be reported with their associated expanded uncertainty.</t>
        </is>
      </c>
      <c r="J279" s="6" t="inlineStr">
        <is>
          <t>Supporting — FAT/SAT detailed requirements</t>
        </is>
      </c>
      <c r="K279" s="6" t="inlineStr">
        <is>
          <t>Supporting/contextual evidence only; not full RTM fulfilment.</t>
        </is>
      </c>
      <c r="L279" s="6" t="inlineStr">
        <is>
          <t>The OFFER asks a concise FAT/SAT approach; detailed FAT/SAT RTMs are supporting scope.</t>
        </is>
      </c>
      <c r="M279" s="6" t="inlineStr">
        <is>
          <t>Review breadth</t>
        </is>
      </c>
      <c r="N279" s="6" t="inlineStr">
        <is>
          <t>Canonical PDF/DOCX.</t>
        </is>
      </c>
    </row>
    <row r="280" ht="42" customHeight="1">
      <c r="A280" s="125" t="inlineStr">
        <is>
          <t>OFFER-39</t>
        </is>
      </c>
      <c r="B280" s="125" t="inlineStr">
        <is>
          <t>FAT/SAT Testing Strategy &amp; Procedures</t>
        </is>
      </c>
      <c r="C280" s="125" t="n">
        <v>97</v>
      </c>
      <c r="D280" s="125" t="inlineStr">
        <is>
          <t>4.13.1</t>
        </is>
      </c>
      <c r="E280" s="125" t="inlineStr">
        <is>
          <t>RTM-507</t>
        </is>
      </c>
      <c r="F280" s="125" t="n">
        <v>98</v>
      </c>
      <c r="G280" s="125" t="inlineStr">
        <is>
          <t>4.13.3</t>
        </is>
      </c>
      <c r="H280" s="125" t="inlineStr">
        <is>
          <t>Site Acceptance Tests (SAT)</t>
        </is>
      </c>
      <c r="I280" s="125" t="inlineStr">
        <is>
          <t>For compliance assessment, the value used to verify compliance shall be the reported measurement value adjusted by the associated expanded uncertainty (as defined in RTM-506) in the direction unfavourable to compliance.</t>
        </is>
      </c>
      <c r="J280" s="125" t="inlineStr">
        <is>
          <t>Supporting — FAT/SAT detailed requirements</t>
        </is>
      </c>
      <c r="K280" s="125" t="inlineStr">
        <is>
          <t>Supporting/contextual evidence only; not full RTM fulfilment.</t>
        </is>
      </c>
      <c r="L280" s="125" t="inlineStr">
        <is>
          <t>The OFFER asks a concise FAT/SAT approach; detailed FAT/SAT RTMs are supporting scope.</t>
        </is>
      </c>
      <c r="M280" s="6" t="inlineStr">
        <is>
          <t>Review breadth</t>
        </is>
      </c>
      <c r="N280" s="6" t="inlineStr">
        <is>
          <t>Canonical PDF/DOCX.</t>
        </is>
      </c>
    </row>
    <row r="281" ht="42" customHeight="1">
      <c r="A281" s="6" t="inlineStr">
        <is>
          <t>OFFER-39</t>
        </is>
      </c>
      <c r="B281" s="6" t="inlineStr">
        <is>
          <t>FAT/SAT Testing Strategy &amp; Procedures</t>
        </is>
      </c>
      <c r="C281" s="6" t="n">
        <v>97</v>
      </c>
      <c r="D281" s="6" t="inlineStr">
        <is>
          <t>4.13.1</t>
        </is>
      </c>
      <c r="E281" s="6" t="inlineStr">
        <is>
          <t>RTM-508</t>
        </is>
      </c>
      <c r="F281" s="6" t="n">
        <v>98</v>
      </c>
      <c r="G281" s="6" t="inlineStr">
        <is>
          <t>4.13.3</t>
        </is>
      </c>
      <c r="H281" s="6" t="inlineStr">
        <is>
          <t>Site Acceptance Tests (SAT)</t>
        </is>
      </c>
      <c r="I281" s="6" t="inlineStr">
        <is>
          <t>The Contractor shall provide and use the test equipment and arrangements necessary to emulate the representative user-side operating conditions required for the SAT demonstrations.</t>
        </is>
      </c>
      <c r="J281" s="6" t="inlineStr">
        <is>
          <t>Supporting — FAT/SAT detailed requirements</t>
        </is>
      </c>
      <c r="K281" s="6" t="inlineStr">
        <is>
          <t>Supporting/contextual evidence only; not full RTM fulfilment.</t>
        </is>
      </c>
      <c r="L281" s="6" t="inlineStr">
        <is>
          <t>The OFFER asks a concise FAT/SAT approach; detailed FAT/SAT RTMs are supporting scope.</t>
        </is>
      </c>
      <c r="M281" s="6" t="inlineStr">
        <is>
          <t>Review breadth</t>
        </is>
      </c>
      <c r="N281" s="6" t="inlineStr">
        <is>
          <t>Canonical PDF/DOCX.</t>
        </is>
      </c>
    </row>
    <row r="282" ht="42" customHeight="1">
      <c r="A282" s="125" t="inlineStr">
        <is>
          <t>OFFER-39</t>
        </is>
      </c>
      <c r="B282" s="125" t="inlineStr">
        <is>
          <t>FAT/SAT Testing Strategy &amp; Procedures</t>
        </is>
      </c>
      <c r="C282" s="125" t="n">
        <v>97</v>
      </c>
      <c r="D282" s="125" t="inlineStr">
        <is>
          <t>4.13.1</t>
        </is>
      </c>
      <c r="E282" s="125" t="inlineStr">
        <is>
          <t>RTM-509</t>
        </is>
      </c>
      <c r="F282" s="125" t="n">
        <v>99</v>
      </c>
      <c r="G282" s="125" t="inlineStr">
        <is>
          <t>4.13.3</t>
        </is>
      </c>
      <c r="H282" s="125" t="inlineStr">
        <is>
          <t>Site Acceptance Tests (SAT)</t>
        </is>
      </c>
      <c r="I282" s="125" t="inlineStr">
        <is>
          <t>A demonstration performed prior to the formal SAT campaign may only be accepted as SAT evidence if:</t>
        </is>
      </c>
      <c r="J282" s="125" t="inlineStr">
        <is>
          <t>Supporting — FAT/SAT detailed requirements</t>
        </is>
      </c>
      <c r="K282" s="125" t="inlineStr">
        <is>
          <t>Supporting/contextual evidence only; not full RTM fulfilment.</t>
        </is>
      </c>
      <c r="L282" s="125" t="inlineStr">
        <is>
          <t>The OFFER asks a concise FAT/SAT approach; detailed FAT/SAT RTMs are supporting scope.</t>
        </is>
      </c>
      <c r="M282" s="6" t="inlineStr">
        <is>
          <t>Review breadth</t>
        </is>
      </c>
      <c r="N282" s="6" t="inlineStr">
        <is>
          <t>Canonical PDF/DOCX.</t>
        </is>
      </c>
    </row>
    <row r="283" ht="42" customHeight="1">
      <c r="A283" s="6" t="inlineStr">
        <is>
          <t>OFFER-39</t>
        </is>
      </c>
      <c r="B283" s="6" t="inlineStr">
        <is>
          <t>FAT/SAT Testing Strategy &amp; Procedures</t>
        </is>
      </c>
      <c r="C283" s="6" t="n">
        <v>97</v>
      </c>
      <c r="D283" s="6" t="inlineStr">
        <is>
          <t>4.13.1</t>
        </is>
      </c>
      <c r="E283" s="6" t="inlineStr">
        <is>
          <t>RTM-510</t>
        </is>
      </c>
      <c r="F283" s="6" t="n">
        <v>99</v>
      </c>
      <c r="G283" s="6" t="inlineStr">
        <is>
          <t>4.13.3.1</t>
        </is>
      </c>
      <c r="H283" s="6" t="inlineStr">
        <is>
          <t>Demonstration of functional behaviour and operability</t>
        </is>
      </c>
      <c r="I283" s="6" t="inlineStr">
        <is>
          <t>The Contractor shall demonstrate the correct functional behaviour and operability of the QPS during the SAT.</t>
        </is>
      </c>
      <c r="J283" s="6" t="inlineStr">
        <is>
          <t>Supporting — FAT/SAT detailed requirements</t>
        </is>
      </c>
      <c r="K283" s="6" t="inlineStr">
        <is>
          <t>Supporting/contextual evidence only; not full RTM fulfilment.</t>
        </is>
      </c>
      <c r="L283" s="6" t="inlineStr">
        <is>
          <t>The OFFER asks a concise FAT/SAT approach; detailed FAT/SAT RTMs are supporting scope.</t>
        </is>
      </c>
      <c r="M283" s="6" t="inlineStr">
        <is>
          <t>Review breadth</t>
        </is>
      </c>
      <c r="N283" s="6" t="inlineStr">
        <is>
          <t>Canonical PDF/DOCX.</t>
        </is>
      </c>
    </row>
    <row r="284" ht="42" customHeight="1">
      <c r="A284" s="125" t="inlineStr">
        <is>
          <t>OFFER-39</t>
        </is>
      </c>
      <c r="B284" s="125" t="inlineStr">
        <is>
          <t>FAT/SAT Testing Strategy &amp; Procedures</t>
        </is>
      </c>
      <c r="C284" s="125" t="n">
        <v>97</v>
      </c>
      <c r="D284" s="125" t="inlineStr">
        <is>
          <t>4.13.1</t>
        </is>
      </c>
      <c r="E284" s="125" t="inlineStr">
        <is>
          <t>RTM-511</t>
        </is>
      </c>
      <c r="F284" s="125" t="n">
        <v>99</v>
      </c>
      <c r="G284" s="125" t="inlineStr">
        <is>
          <t>4.13.3.1</t>
        </is>
      </c>
      <c r="H284" s="125" t="inlineStr">
        <is>
          <t>Demonstration of functional behaviour and operability</t>
        </is>
      </c>
      <c r="I284" s="125" t="inlineStr">
        <is>
          <t>The Contractor shall demonstrate the correct functioning of the QPS control sequences, alarms, protections, and interlocks. This shall include, at minimum:</t>
        </is>
      </c>
      <c r="J284" s="125" t="inlineStr">
        <is>
          <t>Supporting — FAT/SAT detailed requirements</t>
        </is>
      </c>
      <c r="K284" s="125" t="inlineStr">
        <is>
          <t>Supporting/contextual evidence only; not full RTM fulfilment.</t>
        </is>
      </c>
      <c r="L284" s="125" t="inlineStr">
        <is>
          <t>The OFFER asks a concise FAT/SAT approach; detailed FAT/SAT RTMs are supporting scope.</t>
        </is>
      </c>
      <c r="M284" s="6" t="inlineStr">
        <is>
          <t>Review breadth</t>
        </is>
      </c>
      <c r="N284" s="6" t="inlineStr">
        <is>
          <t>Canonical PDF/DOCX.</t>
        </is>
      </c>
    </row>
    <row r="285" ht="42" customHeight="1">
      <c r="A285" s="6" t="inlineStr">
        <is>
          <t>OFFER-39</t>
        </is>
      </c>
      <c r="B285" s="6" t="inlineStr">
        <is>
          <t>FAT/SAT Testing Strategy &amp; Procedures</t>
        </is>
      </c>
      <c r="C285" s="6" t="n">
        <v>97</v>
      </c>
      <c r="D285" s="6" t="inlineStr">
        <is>
          <t>4.13.1</t>
        </is>
      </c>
      <c r="E285" s="6" t="inlineStr">
        <is>
          <t>RTM-512</t>
        </is>
      </c>
      <c r="F285" s="6" t="n">
        <v>99</v>
      </c>
      <c r="G285" s="6" t="inlineStr">
        <is>
          <t>4.13.3.1</t>
        </is>
      </c>
      <c r="H285" s="6" t="inlineStr">
        <is>
          <t>Demonstration of functional behaviour and operability</t>
        </is>
      </c>
      <c r="I285" s="6" t="inlineStr">
        <is>
          <t>The Contractor shall demonstrate the correct behaviour of the QPS under specified abnormal events by applying or triggering the relevant event conditions during the SAT. This shall include, at minimum:</t>
        </is>
      </c>
      <c r="J285" s="6" t="inlineStr">
        <is>
          <t>Supporting — FAT/SAT detailed requirements</t>
        </is>
      </c>
      <c r="K285" s="6" t="inlineStr">
        <is>
          <t>Supporting/contextual evidence only; not full RTM fulfilment.</t>
        </is>
      </c>
      <c r="L285" s="6" t="inlineStr">
        <is>
          <t>The OFFER asks a concise FAT/SAT approach; detailed FAT/SAT RTMs are supporting scope.</t>
        </is>
      </c>
      <c r="M285" s="6" t="inlineStr">
        <is>
          <t>Review breadth</t>
        </is>
      </c>
      <c r="N285" s="6" t="inlineStr">
        <is>
          <t>Canonical PDF/DOCX.</t>
        </is>
      </c>
    </row>
    <row r="286" ht="42" customHeight="1">
      <c r="A286" s="125" t="inlineStr">
        <is>
          <t>OFFER-39</t>
        </is>
      </c>
      <c r="B286" s="125" t="inlineStr">
        <is>
          <t>FAT/SAT Testing Strategy &amp; Procedures</t>
        </is>
      </c>
      <c r="C286" s="125" t="n">
        <v>97</v>
      </c>
      <c r="D286" s="125" t="inlineStr">
        <is>
          <t>4.13.1</t>
        </is>
      </c>
      <c r="E286" s="125" t="inlineStr">
        <is>
          <t>RTM-513</t>
        </is>
      </c>
      <c r="F286" s="125" t="n">
        <v>99</v>
      </c>
      <c r="G286" s="125" t="inlineStr">
        <is>
          <t>4.13.3.1</t>
        </is>
      </c>
      <c r="H286" s="125" t="inlineStr">
        <is>
          <t>Demonstration of functional behaviour and operability</t>
        </is>
      </c>
      <c r="I286" s="125" t="inlineStr">
        <is>
          <t>The Contractor shall perform stress tests under controlled SAT conditions to demonstrate the robustness of the QPS control and protection functions under perturbed operation.</t>
        </is>
      </c>
      <c r="J286" s="125" t="inlineStr">
        <is>
          <t>Supporting — FAT/SAT detailed requirements</t>
        </is>
      </c>
      <c r="K286" s="125" t="inlineStr">
        <is>
          <t>Supporting/contextual evidence only; not full RTM fulfilment.</t>
        </is>
      </c>
      <c r="L286" s="125" t="inlineStr">
        <is>
          <t>The OFFER asks a concise FAT/SAT approach; detailed FAT/SAT RTMs are supporting scope.</t>
        </is>
      </c>
      <c r="M286" s="6" t="inlineStr">
        <is>
          <t>Review breadth</t>
        </is>
      </c>
      <c r="N286" s="6" t="inlineStr">
        <is>
          <t>Canonical PDF/DOCX.</t>
        </is>
      </c>
    </row>
    <row r="287" ht="42" customHeight="1">
      <c r="A287" s="6" t="inlineStr">
        <is>
          <t>OFFER-39</t>
        </is>
      </c>
      <c r="B287" s="6" t="inlineStr">
        <is>
          <t>FAT/SAT Testing Strategy &amp; Procedures</t>
        </is>
      </c>
      <c r="C287" s="6" t="n">
        <v>97</v>
      </c>
      <c r="D287" s="6" t="inlineStr">
        <is>
          <t>4.13.1</t>
        </is>
      </c>
      <c r="E287" s="6" t="inlineStr">
        <is>
          <t>RTM-514</t>
        </is>
      </c>
      <c r="F287" s="6" t="n">
        <v>99</v>
      </c>
      <c r="G287" s="6" t="inlineStr">
        <is>
          <t>4.13.3.1</t>
        </is>
      </c>
      <c r="H287" s="6" t="inlineStr">
        <is>
          <t>Demonstration of functional behaviour and operability</t>
        </is>
      </c>
      <c r="I287" s="6" t="inlineStr">
        <is>
          <t>The Contractor shall demonstrate the correct operational behaviour of the safety-related functions during the SAT.</t>
        </is>
      </c>
      <c r="J287" s="6" t="inlineStr">
        <is>
          <t>Supporting — FAT/SAT detailed requirements</t>
        </is>
      </c>
      <c r="K287" s="6" t="inlineStr">
        <is>
          <t>Supporting/contextual evidence only; not full RTM fulfilment.</t>
        </is>
      </c>
      <c r="L287" s="6" t="inlineStr">
        <is>
          <t>The OFFER asks a concise FAT/SAT approach; detailed FAT/SAT RTMs are supporting scope.</t>
        </is>
      </c>
      <c r="M287" s="6" t="inlineStr">
        <is>
          <t>Review breadth</t>
        </is>
      </c>
      <c r="N287" s="6" t="inlineStr">
        <is>
          <t>Canonical PDF/DOCX.</t>
        </is>
      </c>
    </row>
    <row r="288" ht="42" customHeight="1">
      <c r="A288" s="125" t="inlineStr">
        <is>
          <t>OFFER-39</t>
        </is>
      </c>
      <c r="B288" s="125" t="inlineStr">
        <is>
          <t>FAT/SAT Testing Strategy &amp; Procedures</t>
        </is>
      </c>
      <c r="C288" s="125" t="n">
        <v>97</v>
      </c>
      <c r="D288" s="125" t="inlineStr">
        <is>
          <t>4.13.1</t>
        </is>
      </c>
      <c r="E288" s="125" t="inlineStr">
        <is>
          <t>RTM-515</t>
        </is>
      </c>
      <c r="F288" s="125" t="n">
        <v>99</v>
      </c>
      <c r="G288" s="125" t="inlineStr">
        <is>
          <t>4.13.3.2</t>
        </is>
      </c>
      <c r="H288" s="125" t="inlineStr">
        <is>
          <t>Specific Functional demonstrations</t>
        </is>
      </c>
      <c r="I288" s="125" t="inlineStr">
        <is>
          <t>For the WCS, the Contractor shall perform the following functional tests during the SAT:</t>
        </is>
      </c>
      <c r="J288" s="125" t="inlineStr">
        <is>
          <t>Supporting — FAT/SAT detailed requirements</t>
        </is>
      </c>
      <c r="K288" s="125" t="inlineStr">
        <is>
          <t>Supporting/contextual evidence only; not full RTM fulfilment.</t>
        </is>
      </c>
      <c r="L288" s="125" t="inlineStr">
        <is>
          <t>The OFFER asks a concise FAT/SAT approach; detailed FAT/SAT RTMs are supporting scope.</t>
        </is>
      </c>
      <c r="M288" s="6" t="inlineStr">
        <is>
          <t>Review breadth</t>
        </is>
      </c>
      <c r="N288" s="6" t="inlineStr">
        <is>
          <t>Canonical PDF/DOCX.</t>
        </is>
      </c>
    </row>
    <row r="289" ht="42" customHeight="1">
      <c r="A289" s="6" t="inlineStr">
        <is>
          <t>OFFER-39</t>
        </is>
      </c>
      <c r="B289" s="6" t="inlineStr">
        <is>
          <t>FAT/SAT Testing Strategy &amp; Procedures</t>
        </is>
      </c>
      <c r="C289" s="6" t="n">
        <v>97</v>
      </c>
      <c r="D289" s="6" t="inlineStr">
        <is>
          <t>4.13.1</t>
        </is>
      </c>
      <c r="E289" s="6" t="inlineStr">
        <is>
          <t>RTM-516</t>
        </is>
      </c>
      <c r="F289" s="6" t="n">
        <v>100</v>
      </c>
      <c r="G289" s="6" t="inlineStr">
        <is>
          <t>4.13.3.2</t>
        </is>
      </c>
      <c r="H289" s="6" t="inlineStr">
        <is>
          <t>Specific Functional demonstrations</t>
        </is>
      </c>
      <c r="I289" s="6" t="inlineStr">
        <is>
          <t>For the QRB, the Contractor shall perform the following functional tests during the SAT:</t>
        </is>
      </c>
      <c r="J289" s="6" t="inlineStr">
        <is>
          <t>Supporting — FAT/SAT detailed requirements</t>
        </is>
      </c>
      <c r="K289" s="6" t="inlineStr">
        <is>
          <t>Supporting/contextual evidence only; not full RTM fulfilment.</t>
        </is>
      </c>
      <c r="L289" s="6" t="inlineStr">
        <is>
          <t>The OFFER asks a concise FAT/SAT approach; detailed FAT/SAT RTMs are supporting scope.</t>
        </is>
      </c>
      <c r="M289" s="6" t="inlineStr">
        <is>
          <t>Review breadth</t>
        </is>
      </c>
      <c r="N289" s="6" t="inlineStr">
        <is>
          <t>Canonical PDF/DOCX.</t>
        </is>
      </c>
    </row>
    <row r="290" ht="42" customHeight="1">
      <c r="A290" s="125" t="inlineStr">
        <is>
          <t>OFFER-39</t>
        </is>
      </c>
      <c r="B290" s="125" t="inlineStr">
        <is>
          <t>FAT/SAT Testing Strategy &amp; Procedures</t>
        </is>
      </c>
      <c r="C290" s="125" t="n">
        <v>97</v>
      </c>
      <c r="D290" s="125" t="inlineStr">
        <is>
          <t>4.13.1</t>
        </is>
      </c>
      <c r="E290" s="125" t="inlineStr">
        <is>
          <t>RTM-517</t>
        </is>
      </c>
      <c r="F290" s="125" t="n">
        <v>100</v>
      </c>
      <c r="G290" s="125" t="inlineStr">
        <is>
          <t>4.13.3.2</t>
        </is>
      </c>
      <c r="H290" s="125" t="inlineStr">
        <is>
          <t>Specific Functional demonstrations</t>
        </is>
      </c>
      <c r="I290" s="125" t="inlineStr">
        <is>
          <t>For the QPS, the Contractor shall perform the following abnormal-event tests during the SAT:</t>
        </is>
      </c>
      <c r="J290" s="125" t="inlineStr">
        <is>
          <t>Supporting — FAT/SAT detailed requirements</t>
        </is>
      </c>
      <c r="K290" s="125" t="inlineStr">
        <is>
          <t>Supporting/contextual evidence only; not full RTM fulfilment.</t>
        </is>
      </c>
      <c r="L290" s="125" t="inlineStr">
        <is>
          <t>The OFFER asks a concise FAT/SAT approach; detailed FAT/SAT RTMs are supporting scope.</t>
        </is>
      </c>
      <c r="M290" s="6" t="inlineStr">
        <is>
          <t>Review breadth</t>
        </is>
      </c>
      <c r="N290" s="6" t="inlineStr">
        <is>
          <t>Canonical PDF/DOCX.</t>
        </is>
      </c>
    </row>
    <row r="291" ht="42" customHeight="1">
      <c r="A291" s="6" t="inlineStr">
        <is>
          <t>OFFER-39</t>
        </is>
      </c>
      <c r="B291" s="6" t="inlineStr">
        <is>
          <t>FAT/SAT Testing Strategy &amp; Procedures</t>
        </is>
      </c>
      <c r="C291" s="6" t="n">
        <v>97</v>
      </c>
      <c r="D291" s="6" t="inlineStr">
        <is>
          <t>4.13.1</t>
        </is>
      </c>
      <c r="E291" s="6" t="inlineStr">
        <is>
          <t>RTM-518</t>
        </is>
      </c>
      <c r="F291" s="6" t="n">
        <v>101</v>
      </c>
      <c r="G291" s="6" t="inlineStr">
        <is>
          <t>4.13.3.3</t>
        </is>
      </c>
      <c r="H291" s="6" t="inlineStr">
        <is>
          <t>Demonstration of performance and capacity</t>
        </is>
      </c>
      <c r="I291" s="6" t="inlineStr">
        <is>
          <t>The Contractor shall demonstrate the performance and capacity of the QPS during the SAT.</t>
        </is>
      </c>
      <c r="J291" s="6" t="inlineStr">
        <is>
          <t>Supporting — FAT/SAT detailed requirements</t>
        </is>
      </c>
      <c r="K291" s="6" t="inlineStr">
        <is>
          <t>Supporting/contextual evidence only; not full RTM fulfilment.</t>
        </is>
      </c>
      <c r="L291" s="6" t="inlineStr">
        <is>
          <t>The OFFER asks a concise FAT/SAT approach; detailed FAT/SAT RTMs are supporting scope.</t>
        </is>
      </c>
      <c r="M291" s="6" t="inlineStr">
        <is>
          <t>Review breadth</t>
        </is>
      </c>
      <c r="N291" s="6" t="inlineStr">
        <is>
          <t>Canonical PDF/DOCX.</t>
        </is>
      </c>
    </row>
    <row r="292" ht="42" customHeight="1">
      <c r="A292" s="125" t="inlineStr">
        <is>
          <t>OFFER-39</t>
        </is>
      </c>
      <c r="B292" s="125" t="inlineStr">
        <is>
          <t>FAT/SAT Testing Strategy &amp; Procedures</t>
        </is>
      </c>
      <c r="C292" s="125" t="n">
        <v>97</v>
      </c>
      <c r="D292" s="125" t="inlineStr">
        <is>
          <t>4.13.1</t>
        </is>
      </c>
      <c r="E292" s="125" t="inlineStr">
        <is>
          <t>RTM-519</t>
        </is>
      </c>
      <c r="F292" s="125" t="n">
        <v>101</v>
      </c>
      <c r="G292" s="125" t="inlineStr">
        <is>
          <t>4.13.3.3</t>
        </is>
      </c>
      <c r="H292" s="125" t="inlineStr">
        <is>
          <t>Demonstration of performance and capacity</t>
        </is>
      </c>
      <c r="I292" s="125" t="inlineStr">
        <is>
          <t>The Contractor shall perform sustained runs where required by the applicable SAT demonstration</t>
        </is>
      </c>
      <c r="J292" s="125" t="inlineStr">
        <is>
          <t>Supporting — FAT/SAT detailed requirements</t>
        </is>
      </c>
      <c r="K292" s="125" t="inlineStr">
        <is>
          <t>Supporting/contextual evidence only; not full RTM fulfilment.</t>
        </is>
      </c>
      <c r="L292" s="125" t="inlineStr">
        <is>
          <t>The OFFER asks a concise FAT/SAT approach; detailed FAT/SAT RTMs are supporting scope.</t>
        </is>
      </c>
      <c r="M292" s="6" t="inlineStr">
        <is>
          <t>Review breadth</t>
        </is>
      </c>
      <c r="N292" s="6" t="inlineStr">
        <is>
          <t>Canonical PDF/DOCX.</t>
        </is>
      </c>
    </row>
    <row r="293" ht="42" customHeight="1">
      <c r="A293" s="6" t="inlineStr">
        <is>
          <t>OFFER-39</t>
        </is>
      </c>
      <c r="B293" s="6" t="inlineStr">
        <is>
          <t>FAT/SAT Testing Strategy &amp; Procedures</t>
        </is>
      </c>
      <c r="C293" s="6" t="n">
        <v>97</v>
      </c>
      <c r="D293" s="6" t="inlineStr">
        <is>
          <t>4.13.1</t>
        </is>
      </c>
      <c r="E293" s="6" t="inlineStr">
        <is>
          <t>RTM-520</t>
        </is>
      </c>
      <c r="F293" s="6" t="n">
        <v>101</v>
      </c>
      <c r="G293" s="6" t="inlineStr">
        <is>
          <t>4.13.3.3</t>
        </is>
      </c>
      <c r="H293" s="6" t="inlineStr">
        <is>
          <t>Demonstration of performance and capacity</t>
        </is>
      </c>
      <c r="I293" s="6" t="inlineStr">
        <is>
          <t>The Contractor shall demonstrate stable operation at the QPS for each operational scenario and for the relevant transitions between them. Where applicable, the Contractor shall demonstrate:</t>
        </is>
      </c>
      <c r="J293" s="6" t="inlineStr">
        <is>
          <t>Supporting — FAT/SAT detailed requirements</t>
        </is>
      </c>
      <c r="K293" s="6" t="inlineStr">
        <is>
          <t>Supporting/contextual evidence only; not full RTM fulfilment.</t>
        </is>
      </c>
      <c r="L293" s="6" t="inlineStr">
        <is>
          <t>The OFFER asks a concise FAT/SAT approach; detailed FAT/SAT RTMs are supporting scope.</t>
        </is>
      </c>
      <c r="M293" s="6" t="inlineStr">
        <is>
          <t>Review breadth</t>
        </is>
      </c>
      <c r="N293" s="6" t="inlineStr">
        <is>
          <t>Canonical PDF/DOCX.</t>
        </is>
      </c>
    </row>
    <row r="294" ht="42" customHeight="1">
      <c r="A294" s="125" t="inlineStr">
        <is>
          <t>OFFER-39</t>
        </is>
      </c>
      <c r="B294" s="125" t="inlineStr">
        <is>
          <t>FAT/SAT Testing Strategy &amp; Procedures</t>
        </is>
      </c>
      <c r="C294" s="125" t="n">
        <v>97</v>
      </c>
      <c r="D294" s="125" t="inlineStr">
        <is>
          <t>4.13.1</t>
        </is>
      </c>
      <c r="E294" s="125" t="inlineStr">
        <is>
          <t>RTM-521</t>
        </is>
      </c>
      <c r="F294" s="125" t="n">
        <v>101</v>
      </c>
      <c r="G294" s="125" t="inlineStr">
        <is>
          <t>4.13.3.3</t>
        </is>
      </c>
      <c r="H294" s="125" t="inlineStr">
        <is>
          <t>Demonstration of performance and capacity</t>
        </is>
      </c>
      <c r="I294" s="125" t="inlineStr">
        <is>
          <t>The Contractor shall, at minimum, continuously monitor and record the following quantities during the relevant SAT demonstrations, where applicable:</t>
        </is>
      </c>
      <c r="J294" s="125" t="inlineStr">
        <is>
          <t>Supporting — FAT/SAT detailed requirements</t>
        </is>
      </c>
      <c r="K294" s="125" t="inlineStr">
        <is>
          <t>Supporting/contextual evidence only; not full RTM fulfilment.</t>
        </is>
      </c>
      <c r="L294" s="125" t="inlineStr">
        <is>
          <t>The OFFER asks a concise FAT/SAT approach; detailed FAT/SAT RTMs are supporting scope.</t>
        </is>
      </c>
      <c r="M294" s="6" t="inlineStr">
        <is>
          <t>Review breadth</t>
        </is>
      </c>
      <c r="N294" s="6" t="inlineStr">
        <is>
          <t>Canonical PDF/DOCX.</t>
        </is>
      </c>
    </row>
    <row r="295" ht="42" customHeight="1">
      <c r="A295" s="6" t="inlineStr">
        <is>
          <t>OFFER-39</t>
        </is>
      </c>
      <c r="B295" s="6" t="inlineStr">
        <is>
          <t>FAT/SAT Testing Strategy &amp; Procedures</t>
        </is>
      </c>
      <c r="C295" s="6" t="n">
        <v>97</v>
      </c>
      <c r="D295" s="6" t="inlineStr">
        <is>
          <t>4.13.1</t>
        </is>
      </c>
      <c r="E295" s="6" t="inlineStr">
        <is>
          <t>RTM-522</t>
        </is>
      </c>
      <c r="F295" s="6" t="n">
        <v>102</v>
      </c>
      <c r="G295" s="6" t="inlineStr">
        <is>
          <t>4.13.3.3.1</t>
        </is>
      </c>
      <c r="H295" s="6" t="inlineStr">
        <is>
          <t>Demonstration of the cooling capacity</t>
        </is>
      </c>
      <c r="I295" s="6" t="inlineStr">
        <is>
          <t>For the TS-SB scenario, the Contractor shall perform the following cooling-capacity test during the SAT:</t>
        </is>
      </c>
      <c r="J295" s="6" t="inlineStr">
        <is>
          <t>Supporting — FAT/SAT detailed requirements</t>
        </is>
      </c>
      <c r="K295" s="6" t="inlineStr">
        <is>
          <t>Supporting/contextual evidence only; not full RTM fulfilment.</t>
        </is>
      </c>
      <c r="L295" s="6" t="inlineStr">
        <is>
          <t>The OFFER asks a concise FAT/SAT approach; detailed FAT/SAT RTMs are supporting scope.</t>
        </is>
      </c>
      <c r="M295" s="6" t="inlineStr">
        <is>
          <t>Review breadth</t>
        </is>
      </c>
      <c r="N295" s="6" t="inlineStr">
        <is>
          <t>Canonical PDF/DOCX.</t>
        </is>
      </c>
    </row>
    <row r="296" ht="42" customHeight="1">
      <c r="A296" s="125" t="inlineStr">
        <is>
          <t>OFFER-39</t>
        </is>
      </c>
      <c r="B296" s="125" t="inlineStr">
        <is>
          <t>FAT/SAT Testing Strategy &amp; Procedures</t>
        </is>
      </c>
      <c r="C296" s="125" t="n">
        <v>97</v>
      </c>
      <c r="D296" s="125" t="inlineStr">
        <is>
          <t>4.13.1</t>
        </is>
      </c>
      <c r="E296" s="125" t="inlineStr">
        <is>
          <t>RTM-523</t>
        </is>
      </c>
      <c r="F296" s="125" t="n">
        <v>102</v>
      </c>
      <c r="G296" s="125" t="inlineStr">
        <is>
          <t>4.13.3.3.1</t>
        </is>
      </c>
      <c r="H296" s="125" t="inlineStr">
        <is>
          <t>Demonstration of the cooling capacity</t>
        </is>
      </c>
      <c r="I296" s="125" t="inlineStr">
        <is>
          <t>For the 10K-SB scenario, the Contractor shall perform the following cooling-capacity test during the SAT:</t>
        </is>
      </c>
      <c r="J296" s="125" t="inlineStr">
        <is>
          <t>Supporting — FAT/SAT detailed requirements</t>
        </is>
      </c>
      <c r="K296" s="125" t="inlineStr">
        <is>
          <t>Supporting/contextual evidence only; not full RTM fulfilment.</t>
        </is>
      </c>
      <c r="L296" s="125" t="inlineStr">
        <is>
          <t>The OFFER asks a concise FAT/SAT approach; detailed FAT/SAT RTMs are supporting scope.</t>
        </is>
      </c>
      <c r="M296" s="6" t="inlineStr">
        <is>
          <t>Review breadth</t>
        </is>
      </c>
      <c r="N296" s="6" t="inlineStr">
        <is>
          <t>Canonical PDF/DOCX.</t>
        </is>
      </c>
    </row>
    <row r="297" ht="42" customHeight="1">
      <c r="A297" s="6" t="inlineStr">
        <is>
          <t>OFFER-39</t>
        </is>
      </c>
      <c r="B297" s="6" t="inlineStr">
        <is>
          <t>FAT/SAT Testing Strategy &amp; Procedures</t>
        </is>
      </c>
      <c r="C297" s="6" t="n">
        <v>97</v>
      </c>
      <c r="D297" s="6" t="inlineStr">
        <is>
          <t>4.13.1</t>
        </is>
      </c>
      <c r="E297" s="6" t="inlineStr">
        <is>
          <t>RTM-524</t>
        </is>
      </c>
      <c r="F297" s="6" t="n">
        <v>102</v>
      </c>
      <c r="G297" s="6" t="inlineStr">
        <is>
          <t>4.13.3.3.1</t>
        </is>
      </c>
      <c r="H297" s="6" t="inlineStr">
        <is>
          <t>Demonstration of the cooling capacity</t>
        </is>
      </c>
      <c r="I297" s="6" t="inlineStr">
        <is>
          <t>For the 4K-SB scenario, the Contractor shall perform the following cooling-capacity test during the SAT:</t>
        </is>
      </c>
      <c r="J297" s="6" t="inlineStr">
        <is>
          <t>Supporting — FAT/SAT detailed requirements</t>
        </is>
      </c>
      <c r="K297" s="6" t="inlineStr">
        <is>
          <t>Supporting/contextual evidence only; not full RTM fulfilment.</t>
        </is>
      </c>
      <c r="L297" s="6" t="inlineStr">
        <is>
          <t>The OFFER asks a concise FAT/SAT approach; detailed FAT/SAT RTMs are supporting scope.</t>
        </is>
      </c>
      <c r="M297" s="6" t="inlineStr">
        <is>
          <t>Review breadth</t>
        </is>
      </c>
      <c r="N297" s="6" t="inlineStr">
        <is>
          <t>Canonical PDF/DOCX.</t>
        </is>
      </c>
    </row>
    <row r="298" ht="42" customHeight="1">
      <c r="A298" s="125" t="inlineStr">
        <is>
          <t>OFFER-39</t>
        </is>
      </c>
      <c r="B298" s="125" t="inlineStr">
        <is>
          <t>FAT/SAT Testing Strategy &amp; Procedures</t>
        </is>
      </c>
      <c r="C298" s="125" t="n">
        <v>97</v>
      </c>
      <c r="D298" s="125" t="inlineStr">
        <is>
          <t>4.13.1</t>
        </is>
      </c>
      <c r="E298" s="125" t="inlineStr">
        <is>
          <t>RTM-525</t>
        </is>
      </c>
      <c r="F298" s="125" t="n">
        <v>103</v>
      </c>
      <c r="G298" s="125" t="inlineStr">
        <is>
          <t>4.13.3.3.1</t>
        </is>
      </c>
      <c r="H298" s="125" t="inlineStr">
        <is>
          <t>Demonstration of the cooling capacity</t>
        </is>
      </c>
      <c r="I298" s="125" t="inlineStr">
        <is>
          <t>For the 2K-OP and 2K-SB scenarios, the Contractor shall perform the following cooling-capacity tests during the SAT:</t>
        </is>
      </c>
      <c r="J298" s="125" t="inlineStr">
        <is>
          <t>Supporting — FAT/SAT detailed requirements</t>
        </is>
      </c>
      <c r="K298" s="125" t="inlineStr">
        <is>
          <t>Supporting/contextual evidence only; not full RTM fulfilment.</t>
        </is>
      </c>
      <c r="L298" s="125" t="inlineStr">
        <is>
          <t>The OFFER asks a concise FAT/SAT approach; detailed FAT/SAT RTMs are supporting scope.</t>
        </is>
      </c>
      <c r="M298" s="6" t="inlineStr">
        <is>
          <t>Review breadth</t>
        </is>
      </c>
      <c r="N298" s="6" t="inlineStr">
        <is>
          <t>Canonical PDF/DOCX.</t>
        </is>
      </c>
    </row>
    <row r="299" ht="42" customHeight="1">
      <c r="A299" s="6" t="inlineStr">
        <is>
          <t>OFFER-39</t>
        </is>
      </c>
      <c r="B299" s="6" t="inlineStr">
        <is>
          <t>FAT/SAT Testing Strategy &amp; Procedures</t>
        </is>
      </c>
      <c r="C299" s="6" t="n">
        <v>97</v>
      </c>
      <c r="D299" s="6" t="inlineStr">
        <is>
          <t>4.13.1</t>
        </is>
      </c>
      <c r="E299" s="6" t="inlineStr">
        <is>
          <t>RTM-526</t>
        </is>
      </c>
      <c r="F299" s="6" t="n">
        <v>103</v>
      </c>
      <c r="G299" s="6" t="inlineStr">
        <is>
          <t>4.13.3.3.2</t>
        </is>
      </c>
      <c r="H299" s="6" t="inlineStr">
        <is>
          <t>Demonstration of the 2K-OP operating envelope</t>
        </is>
      </c>
      <c r="I299" s="6" t="inlineStr">
        <is>
          <t>The Contractor shall demonstrate the robustness and controllability of the QPS within the 2K-OP operational envelope during the SAT. This demonstration shall be performed with the QPS operating at each of the following test points:</t>
        </is>
      </c>
      <c r="J299" s="6" t="inlineStr">
        <is>
          <t>Supporting — FAT/SAT detailed requirements</t>
        </is>
      </c>
      <c r="K299" s="6" t="inlineStr">
        <is>
          <t>Supporting/contextual evidence only; not full RTM fulfilment.</t>
        </is>
      </c>
      <c r="L299" s="6" t="inlineStr">
        <is>
          <t>The OFFER asks a concise FAT/SAT approach; detailed FAT/SAT RTMs are supporting scope.</t>
        </is>
      </c>
      <c r="M299" s="6" t="inlineStr">
        <is>
          <t>Review breadth</t>
        </is>
      </c>
      <c r="N299" s="6" t="inlineStr">
        <is>
          <t>Canonical PDF/DOCX.</t>
        </is>
      </c>
    </row>
    <row r="300" ht="42" customHeight="1">
      <c r="A300" s="125" t="inlineStr">
        <is>
          <t>OFFER-39</t>
        </is>
      </c>
      <c r="B300" s="125" t="inlineStr">
        <is>
          <t>FAT/SAT Testing Strategy &amp; Procedures</t>
        </is>
      </c>
      <c r="C300" s="125" t="n">
        <v>97</v>
      </c>
      <c r="D300" s="125" t="inlineStr">
        <is>
          <t>4.13.1</t>
        </is>
      </c>
      <c r="E300" s="125" t="inlineStr">
        <is>
          <t>RTM-527</t>
        </is>
      </c>
      <c r="F300" s="125" t="n">
        <v>103</v>
      </c>
      <c r="G300" s="125" t="inlineStr">
        <is>
          <t>4.13.3.3.2</t>
        </is>
      </c>
      <c r="H300" s="125" t="inlineStr">
        <is>
          <t>Demonstration of the 2K-OP operating envelope</t>
        </is>
      </c>
      <c r="I300" s="125" t="inlineStr">
        <is>
          <t>At each test point of the demonstration, the Contractor shall:</t>
        </is>
      </c>
      <c r="J300" s="125" t="inlineStr">
        <is>
          <t>Supporting — FAT/SAT detailed requirements</t>
        </is>
      </c>
      <c r="K300" s="125" t="inlineStr">
        <is>
          <t>Supporting/contextual evidence only; not full RTM fulfilment.</t>
        </is>
      </c>
      <c r="L300" s="125" t="inlineStr">
        <is>
          <t>The OFFER asks a concise FAT/SAT approach; detailed FAT/SAT RTMs are supporting scope.</t>
        </is>
      </c>
      <c r="M300" s="6" t="inlineStr">
        <is>
          <t>Review breadth</t>
        </is>
      </c>
      <c r="N300" s="6" t="inlineStr">
        <is>
          <t>Canonical PDF/DOCX.</t>
        </is>
      </c>
    </row>
    <row r="301" ht="42" customHeight="1">
      <c r="A301" s="6" t="inlineStr">
        <is>
          <t>OFFER-39</t>
        </is>
      </c>
      <c r="B301" s="6" t="inlineStr">
        <is>
          <t>FAT/SAT Testing Strategy &amp; Procedures</t>
        </is>
      </c>
      <c r="C301" s="6" t="n">
        <v>97</v>
      </c>
      <c r="D301" s="6" t="inlineStr">
        <is>
          <t>4.13.1</t>
        </is>
      </c>
      <c r="E301" s="6" t="inlineStr">
        <is>
          <t>RTM-528</t>
        </is>
      </c>
      <c r="F301" s="6" t="n">
        <v>104</v>
      </c>
      <c r="G301" s="6" t="inlineStr">
        <is>
          <t>4.13.3.3.2</t>
        </is>
      </c>
      <c r="H301" s="6" t="inlineStr">
        <is>
          <t>Demonstration of the 2K-OP operating envelope</t>
        </is>
      </c>
      <c r="I301" s="6" t="inlineStr">
        <is>
          <t>The Predefined Heat-Load Step Changes (∆Q_step) shall be defined as follows:</t>
        </is>
      </c>
      <c r="J301" s="6" t="inlineStr">
        <is>
          <t>Supporting — FAT/SAT detailed requirements</t>
        </is>
      </c>
      <c r="K301" s="6" t="inlineStr">
        <is>
          <t>Supporting/contextual evidence only; not full RTM fulfilment.</t>
        </is>
      </c>
      <c r="L301" s="6" t="inlineStr">
        <is>
          <t>The OFFER asks a concise FAT/SAT approach; detailed FAT/SAT RTMs are supporting scope.</t>
        </is>
      </c>
      <c r="M301" s="6" t="inlineStr">
        <is>
          <t>Review breadth</t>
        </is>
      </c>
      <c r="N301" s="6" t="inlineStr">
        <is>
          <t>Canonical PDF/DOCX.</t>
        </is>
      </c>
    </row>
    <row r="302" ht="42" customHeight="1">
      <c r="A302" s="125" t="inlineStr">
        <is>
          <t>OFFER-39</t>
        </is>
      </c>
      <c r="B302" s="125" t="inlineStr">
        <is>
          <t>FAT/SAT Testing Strategy &amp; Procedures</t>
        </is>
      </c>
      <c r="C302" s="125" t="n">
        <v>97</v>
      </c>
      <c r="D302" s="125" t="inlineStr">
        <is>
          <t>4.13.1</t>
        </is>
      </c>
      <c r="E302" s="125" t="inlineStr">
        <is>
          <t>RTM-529</t>
        </is>
      </c>
      <c r="F302" s="125" t="n">
        <v>104</v>
      </c>
      <c r="G302" s="125" t="inlineStr">
        <is>
          <t>4.13.3.3.2</t>
        </is>
      </c>
      <c r="H302" s="125" t="inlineStr">
        <is>
          <t>Demonstration of the 2K-OP operating envelope</t>
        </is>
      </c>
      <c r="I302" s="125" t="inlineStr">
        <is>
          <t>The demonstration shall be performed according to the following sequence:</t>
        </is>
      </c>
      <c r="J302" s="125" t="inlineStr">
        <is>
          <t>Supporting — FAT/SAT detailed requirements</t>
        </is>
      </c>
      <c r="K302" s="125" t="inlineStr">
        <is>
          <t>Supporting/contextual evidence only; not full RTM fulfilment.</t>
        </is>
      </c>
      <c r="L302" s="125" t="inlineStr">
        <is>
          <t>The OFFER asks a concise FAT/SAT approach; detailed FAT/SAT RTMs are supporting scope.</t>
        </is>
      </c>
      <c r="M302" s="6" t="inlineStr">
        <is>
          <t>Review breadth</t>
        </is>
      </c>
      <c r="N302" s="6" t="inlineStr">
        <is>
          <t>Canonical PDF/DOCX.</t>
        </is>
      </c>
    </row>
    <row r="303" ht="42" customHeight="1">
      <c r="A303" s="6" t="inlineStr">
        <is>
          <t>OFFER-39</t>
        </is>
      </c>
      <c r="B303" s="6" t="inlineStr">
        <is>
          <t>FAT/SAT Testing Strategy &amp; Procedures</t>
        </is>
      </c>
      <c r="C303" s="6" t="n">
        <v>97</v>
      </c>
      <c r="D303" s="6" t="inlineStr">
        <is>
          <t>4.13.1</t>
        </is>
      </c>
      <c r="E303" s="6" t="inlineStr">
        <is>
          <t>RTM-530</t>
        </is>
      </c>
      <c r="F303" s="6" t="n">
        <v>104</v>
      </c>
      <c r="G303" s="6" t="inlineStr">
        <is>
          <t>4.13.3.3.3</t>
        </is>
      </c>
      <c r="H303" s="6" t="inlineStr">
        <is>
          <t>Characterization of the QPLANT Maximal Point</t>
        </is>
      </c>
      <c r="I303" s="6" t="inlineStr">
        <is>
          <t>The Contractor shall characterize the QPLANT Maximal Point (RTM-009) during the SAT. To this end, the Contractor shall:</t>
        </is>
      </c>
      <c r="J303" s="6" t="inlineStr">
        <is>
          <t>Supporting — FAT/SAT detailed requirements</t>
        </is>
      </c>
      <c r="K303" s="6" t="inlineStr">
        <is>
          <t>Supporting/contextual evidence only; not full RTM fulfilment.</t>
        </is>
      </c>
      <c r="L303" s="6" t="inlineStr">
        <is>
          <t>The OFFER asks a concise FAT/SAT approach; detailed FAT/SAT RTMs are supporting scope.</t>
        </is>
      </c>
      <c r="M303" s="6" t="inlineStr">
        <is>
          <t>Review breadth</t>
        </is>
      </c>
      <c r="N303" s="6" t="inlineStr">
        <is>
          <t>Canonical PDF/DOCX.</t>
        </is>
      </c>
    </row>
    <row r="304" ht="42" customHeight="1">
      <c r="A304" s="125" t="inlineStr">
        <is>
          <t>OFFER-39</t>
        </is>
      </c>
      <c r="B304" s="125" t="inlineStr">
        <is>
          <t>FAT/SAT Testing Strategy &amp; Procedures</t>
        </is>
      </c>
      <c r="C304" s="125" t="n">
        <v>97</v>
      </c>
      <c r="D304" s="125" t="inlineStr">
        <is>
          <t>4.13.1</t>
        </is>
      </c>
      <c r="E304" s="125" t="inlineStr">
        <is>
          <t>RTM-531</t>
        </is>
      </c>
      <c r="F304" s="125" t="n">
        <v>104</v>
      </c>
      <c r="G304" s="125" t="inlineStr">
        <is>
          <t>4.13.3.3.4</t>
        </is>
      </c>
      <c r="H304" s="125" t="inlineStr">
        <is>
          <t>Demonstration of process subsystems and process integrity</t>
        </is>
      </c>
      <c r="I304" s="125" t="inlineStr">
        <is>
          <t>The Contractor shall demonstrate that the QPS maintains the required leak-tightness and vacuum performance under operating conditions during the SAT. This shall include the verification that:</t>
        </is>
      </c>
      <c r="J304" s="125" t="inlineStr">
        <is>
          <t>Supporting — FAT/SAT detailed requirements</t>
        </is>
      </c>
      <c r="K304" s="125" t="inlineStr">
        <is>
          <t>Supporting/contextual evidence only; not full RTM fulfilment.</t>
        </is>
      </c>
      <c r="L304" s="125" t="inlineStr">
        <is>
          <t>The OFFER asks a concise FAT/SAT approach; detailed FAT/SAT RTMs are supporting scope.</t>
        </is>
      </c>
      <c r="M304" s="6" t="inlineStr">
        <is>
          <t>Review breadth</t>
        </is>
      </c>
      <c r="N304" s="6" t="inlineStr">
        <is>
          <t>Canonical PDF/DOCX.</t>
        </is>
      </c>
    </row>
    <row r="305" ht="42" customHeight="1">
      <c r="A305" s="6" t="inlineStr">
        <is>
          <t>OFFER-39</t>
        </is>
      </c>
      <c r="B305" s="6" t="inlineStr">
        <is>
          <t>FAT/SAT Testing Strategy &amp; Procedures</t>
        </is>
      </c>
      <c r="C305" s="6" t="n">
        <v>97</v>
      </c>
      <c r="D305" s="6" t="inlineStr">
        <is>
          <t>4.13.1</t>
        </is>
      </c>
      <c r="E305" s="6" t="inlineStr">
        <is>
          <t>RTM-532</t>
        </is>
      </c>
      <c r="F305" s="6" t="n">
        <v>104</v>
      </c>
      <c r="G305" s="6" t="inlineStr">
        <is>
          <t>4.13.3.3.4</t>
        </is>
      </c>
      <c r="H305" s="6" t="inlineStr">
        <is>
          <t>Demonstration of process subsystems and process integrity</t>
        </is>
      </c>
      <c r="I305" s="6" t="inlineStr">
        <is>
          <t>For the process helium, the Contractor shall demonstrate that the required purity is maintained during the SAT operating conditions.</t>
        </is>
      </c>
      <c r="J305" s="6" t="inlineStr">
        <is>
          <t>Supporting — FAT/SAT detailed requirements</t>
        </is>
      </c>
      <c r="K305" s="6" t="inlineStr">
        <is>
          <t>Supporting/contextual evidence only; not full RTM fulfilment.</t>
        </is>
      </c>
      <c r="L305" s="6" t="inlineStr">
        <is>
          <t>The OFFER asks a concise FAT/SAT approach; detailed FAT/SAT RTMs are supporting scope.</t>
        </is>
      </c>
      <c r="M305" s="6" t="inlineStr">
        <is>
          <t>Review breadth</t>
        </is>
      </c>
      <c r="N305" s="6" t="inlineStr">
        <is>
          <t>Canonical PDF/DOCX.</t>
        </is>
      </c>
    </row>
    <row r="306" ht="42" customHeight="1">
      <c r="A306" s="125" t="inlineStr">
        <is>
          <t>OFFER-39</t>
        </is>
      </c>
      <c r="B306" s="125" t="inlineStr">
        <is>
          <t>FAT/SAT Testing Strategy &amp; Procedures</t>
        </is>
      </c>
      <c r="C306" s="125" t="n">
        <v>97</v>
      </c>
      <c r="D306" s="125" t="inlineStr">
        <is>
          <t>4.13.1</t>
        </is>
      </c>
      <c r="E306" s="125" t="inlineStr">
        <is>
          <t>RTM-533</t>
        </is>
      </c>
      <c r="F306" s="125" t="n">
        <v>104</v>
      </c>
      <c r="G306" s="125" t="inlineStr">
        <is>
          <t>4.13.3.3.4</t>
        </is>
      </c>
      <c r="H306" s="125" t="inlineStr">
        <is>
          <t>Demonstration of process subsystems and process integrity</t>
        </is>
      </c>
      <c r="I306" s="125" t="inlineStr">
        <is>
          <t>The Contractor shall demonstrate during the SAT the correct functional behaviour of lines QRB.U, QRB.S, and QRB.W under the relevant operating conditions. This shall include, where applicable, at minimum, the verification of:</t>
        </is>
      </c>
      <c r="J306" s="125" t="inlineStr">
        <is>
          <t>Supporting — FAT/SAT detailed requirements</t>
        </is>
      </c>
      <c r="K306" s="125" t="inlineStr">
        <is>
          <t>Supporting/contextual evidence only; not full RTM fulfilment.</t>
        </is>
      </c>
      <c r="L306" s="125" t="inlineStr">
        <is>
          <t>The OFFER asks a concise FAT/SAT approach; detailed FAT/SAT RTMs are supporting scope.</t>
        </is>
      </c>
      <c r="M306" s="6" t="inlineStr">
        <is>
          <t>Review breadth</t>
        </is>
      </c>
      <c r="N306" s="6" t="inlineStr">
        <is>
          <t>Canonical PDF/DOCX.</t>
        </is>
      </c>
    </row>
    <row r="307" ht="42" customHeight="1">
      <c r="A307" s="6" t="inlineStr">
        <is>
          <t>OFFER-39</t>
        </is>
      </c>
      <c r="B307" s="6" t="inlineStr">
        <is>
          <t>FAT/SAT Testing Strategy &amp; Procedures</t>
        </is>
      </c>
      <c r="C307" s="6" t="n">
        <v>97</v>
      </c>
      <c r="D307" s="6" t="inlineStr">
        <is>
          <t>4.13.1</t>
        </is>
      </c>
      <c r="E307" s="6" t="inlineStr">
        <is>
          <t>RTM-534</t>
        </is>
      </c>
      <c r="F307" s="6" t="n">
        <v>105</v>
      </c>
      <c r="G307" s="6" t="inlineStr">
        <is>
          <t>4.13.3.3.5</t>
        </is>
      </c>
      <c r="H307" s="6" t="inlineStr">
        <is>
          <t>Demonstration of rotating and compression equipment</t>
        </is>
      </c>
      <c r="I307" s="6" t="inlineStr">
        <is>
          <t>For the cold compressors, the Contractor shall demonstrate the operating envelope and stability margins during the SAT. This shall include, at minimum:</t>
        </is>
      </c>
      <c r="J307" s="6" t="inlineStr">
        <is>
          <t>Supporting — FAT/SAT detailed requirements</t>
        </is>
      </c>
      <c r="K307" s="6" t="inlineStr">
        <is>
          <t>Supporting/contextual evidence only; not full RTM fulfilment.</t>
        </is>
      </c>
      <c r="L307" s="6" t="inlineStr">
        <is>
          <t>The OFFER asks a concise FAT/SAT approach; detailed FAT/SAT RTMs are supporting scope.</t>
        </is>
      </c>
      <c r="M307" s="6" t="inlineStr">
        <is>
          <t>Review breadth</t>
        </is>
      </c>
      <c r="N307" s="6" t="inlineStr">
        <is>
          <t>Canonical PDF/DOCX.</t>
        </is>
      </c>
    </row>
    <row r="308" ht="42" customHeight="1">
      <c r="A308" s="125" t="inlineStr">
        <is>
          <t>OFFER-39</t>
        </is>
      </c>
      <c r="B308" s="125" t="inlineStr">
        <is>
          <t>FAT/SAT Testing Strategy &amp; Procedures</t>
        </is>
      </c>
      <c r="C308" s="125" t="n">
        <v>97</v>
      </c>
      <c r="D308" s="125" t="inlineStr">
        <is>
          <t>4.13.1</t>
        </is>
      </c>
      <c r="E308" s="125" t="inlineStr">
        <is>
          <t>RTM-535</t>
        </is>
      </c>
      <c r="F308" s="125" t="n">
        <v>105</v>
      </c>
      <c r="G308" s="125" t="inlineStr">
        <is>
          <t>4.13.3.3.5</t>
        </is>
      </c>
      <c r="H308" s="125" t="inlineStr">
        <is>
          <t>Demonstration of rotating and compression equipment</t>
        </is>
      </c>
      <c r="I308" s="125" t="inlineStr">
        <is>
          <t>For each warm compressor unit, the Contractor shall demonstrate the relevant performance and operating characteristics during the SAT. This shall include, at minimum:</t>
        </is>
      </c>
      <c r="J308" s="125" t="inlineStr">
        <is>
          <t>Supporting — FAT/SAT detailed requirements</t>
        </is>
      </c>
      <c r="K308" s="125" t="inlineStr">
        <is>
          <t>Supporting/contextual evidence only; not full RTM fulfilment.</t>
        </is>
      </c>
      <c r="L308" s="125" t="inlineStr">
        <is>
          <t>The OFFER asks a concise FAT/SAT approach; detailed FAT/SAT RTMs are supporting scope.</t>
        </is>
      </c>
      <c r="M308" s="6" t="inlineStr">
        <is>
          <t>Review breadth</t>
        </is>
      </c>
      <c r="N308" s="6" t="inlineStr">
        <is>
          <t>Canonical PDF/DOCX.</t>
        </is>
      </c>
    </row>
    <row r="309" ht="42" customHeight="1">
      <c r="A309" s="6" t="inlineStr">
        <is>
          <t>OFFER-39</t>
        </is>
      </c>
      <c r="B309" s="6" t="inlineStr">
        <is>
          <t>FAT/SAT Testing Strategy &amp; Procedures</t>
        </is>
      </c>
      <c r="C309" s="6" t="n">
        <v>97</v>
      </c>
      <c r="D309" s="6" t="inlineStr">
        <is>
          <t>4.13.1</t>
        </is>
      </c>
      <c r="E309" s="6" t="inlineStr">
        <is>
          <t>RTM-536</t>
        </is>
      </c>
      <c r="F309" s="6" t="n">
        <v>105</v>
      </c>
      <c r="G309" s="6" t="inlineStr">
        <is>
          <t>4.13.3.3.5</t>
        </is>
      </c>
      <c r="H309" s="6" t="inlineStr">
        <is>
          <t>Demonstration of rotating and compression equipment</t>
        </is>
      </c>
      <c r="I309" s="6" t="inlineStr">
        <is>
          <t>For each warm compressor system, the Contractor shall demonstrate the relevant auxiliary-process performance during the SAT. This shall include, at minimum:</t>
        </is>
      </c>
      <c r="J309" s="6" t="inlineStr">
        <is>
          <t>Supporting — FAT/SAT detailed requirements</t>
        </is>
      </c>
      <c r="K309" s="6" t="inlineStr">
        <is>
          <t>Supporting/contextual evidence only; not full RTM fulfilment.</t>
        </is>
      </c>
      <c r="L309" s="6" t="inlineStr">
        <is>
          <t>The OFFER asks a concise FAT/SAT approach; detailed FAT/SAT RTMs are supporting scope.</t>
        </is>
      </c>
      <c r="M309" s="6" t="inlineStr">
        <is>
          <t>Review breadth</t>
        </is>
      </c>
      <c r="N309" s="6" t="inlineStr">
        <is>
          <t>Canonical PDF/DOCX.</t>
        </is>
      </c>
    </row>
    <row r="310" ht="42" customHeight="1">
      <c r="A310" s="125" t="inlineStr">
        <is>
          <t>OFFER-39</t>
        </is>
      </c>
      <c r="B310" s="125" t="inlineStr">
        <is>
          <t>FAT/SAT Testing Strategy &amp; Procedures</t>
        </is>
      </c>
      <c r="C310" s="125" t="n">
        <v>97</v>
      </c>
      <c r="D310" s="125" t="inlineStr">
        <is>
          <t>4.13.1</t>
        </is>
      </c>
      <c r="E310" s="125" t="inlineStr">
        <is>
          <t>RTM-537</t>
        </is>
      </c>
      <c r="F310" s="125" t="n">
        <v>105</v>
      </c>
      <c r="G310" s="125" t="inlineStr">
        <is>
          <t>4.13.3.3.5</t>
        </is>
      </c>
      <c r="H310" s="125" t="inlineStr">
        <is>
          <t>Demonstration of rotating and compression equipment</t>
        </is>
      </c>
      <c r="I310" s="125" t="inlineStr">
        <is>
          <t>For the WCS, the Contractor shall perform the following capacity test during the SAT:</t>
        </is>
      </c>
      <c r="J310" s="125" t="inlineStr">
        <is>
          <t>Supporting — FAT/SAT detailed requirements</t>
        </is>
      </c>
      <c r="K310" s="125" t="inlineStr">
        <is>
          <t>Supporting/contextual evidence only; not full RTM fulfilment.</t>
        </is>
      </c>
      <c r="L310" s="125" t="inlineStr">
        <is>
          <t>The OFFER asks a concise FAT/SAT approach; detailed FAT/SAT RTMs are supporting scope.</t>
        </is>
      </c>
      <c r="M310" s="6" t="inlineStr">
        <is>
          <t>Review breadth</t>
        </is>
      </c>
      <c r="N310" s="6" t="inlineStr">
        <is>
          <t>Canonical PDF/DOCX.</t>
        </is>
      </c>
    </row>
    <row r="311" ht="42" customHeight="1">
      <c r="A311" s="6" t="inlineStr">
        <is>
          <t>OFFER-39</t>
        </is>
      </c>
      <c r="B311" s="6" t="inlineStr">
        <is>
          <t>FAT/SAT Testing Strategy &amp; Procedures</t>
        </is>
      </c>
      <c r="C311" s="6" t="n">
        <v>97</v>
      </c>
      <c r="D311" s="6" t="inlineStr">
        <is>
          <t>4.13.1</t>
        </is>
      </c>
      <c r="E311" s="6" t="inlineStr">
        <is>
          <t>RTM-538</t>
        </is>
      </c>
      <c r="F311" s="6" t="n">
        <v>106</v>
      </c>
      <c r="G311" s="6" t="inlineStr">
        <is>
          <t>4.13.3.3.5</t>
        </is>
      </c>
      <c r="H311" s="6" t="inlineStr">
        <is>
          <t>Demonstration of rotating and compression equipment</t>
        </is>
      </c>
      <c r="I311" s="6" t="inlineStr">
        <is>
          <t>For the expansion turbines, the Contractor shall demonstrate the performance and stable operation during the SAT. This shall include, at minimum:</t>
        </is>
      </c>
      <c r="J311" s="6" t="inlineStr">
        <is>
          <t>Supporting — FAT/SAT detailed requirements</t>
        </is>
      </c>
      <c r="K311" s="6" t="inlineStr">
        <is>
          <t>Supporting/contextual evidence only; not full RTM fulfilment.</t>
        </is>
      </c>
      <c r="L311" s="6" t="inlineStr">
        <is>
          <t>The OFFER asks a concise FAT/SAT approach; detailed FAT/SAT RTMs are supporting scope.</t>
        </is>
      </c>
      <c r="M311" s="6" t="inlineStr">
        <is>
          <t>Review breadth</t>
        </is>
      </c>
      <c r="N311" s="6" t="inlineStr">
        <is>
          <t>Canonical PDF/DOCX.</t>
        </is>
      </c>
    </row>
    <row r="312" ht="42" customHeight="1">
      <c r="A312" s="125" t="inlineStr">
        <is>
          <t>OFFER-39</t>
        </is>
      </c>
      <c r="B312" s="125" t="inlineStr">
        <is>
          <t>FAT/SAT Testing Strategy &amp; Procedures</t>
        </is>
      </c>
      <c r="C312" s="125" t="n">
        <v>97</v>
      </c>
      <c r="D312" s="125" t="inlineStr">
        <is>
          <t>4.13.1</t>
        </is>
      </c>
      <c r="E312" s="125" t="inlineStr">
        <is>
          <t>RTM-539</t>
        </is>
      </c>
      <c r="F312" s="125" t="n">
        <v>106</v>
      </c>
      <c r="G312" s="125" t="inlineStr">
        <is>
          <t>4.13.3.3.6</t>
        </is>
      </c>
      <c r="H312" s="125" t="inlineStr">
        <is>
          <t>Demonstration of storage and withdrawal systems</t>
        </is>
      </c>
      <c r="I312" s="125" t="inlineStr">
        <is>
          <t>For the WSH, the Contractor shall demonstrate the performance during the SAT. This shall include, at minimum:</t>
        </is>
      </c>
      <c r="J312" s="125" t="inlineStr">
        <is>
          <t>Supporting — FAT/SAT detailed requirements</t>
        </is>
      </c>
      <c r="K312" s="125" t="inlineStr">
        <is>
          <t>Supporting/contextual evidence only; not full RTM fulfilment.</t>
        </is>
      </c>
      <c r="L312" s="125" t="inlineStr">
        <is>
          <t>The OFFER asks a concise FAT/SAT approach; detailed FAT/SAT RTMs are supporting scope.</t>
        </is>
      </c>
      <c r="M312" s="6" t="inlineStr">
        <is>
          <t>Review breadth</t>
        </is>
      </c>
      <c r="N312" s="6" t="inlineStr">
        <is>
          <t>Canonical PDF/DOCX.</t>
        </is>
      </c>
    </row>
    <row r="313" ht="42" customHeight="1">
      <c r="A313" s="6" t="inlineStr">
        <is>
          <t>OFFER-39</t>
        </is>
      </c>
      <c r="B313" s="6" t="inlineStr">
        <is>
          <t>FAT/SAT Testing Strategy &amp; Procedures</t>
        </is>
      </c>
      <c r="C313" s="6" t="n">
        <v>97</v>
      </c>
      <c r="D313" s="6" t="inlineStr">
        <is>
          <t>4.13.1</t>
        </is>
      </c>
      <c r="E313" s="6" t="inlineStr">
        <is>
          <t>RTM-540</t>
        </is>
      </c>
      <c r="F313" s="6" t="n">
        <v>106</v>
      </c>
      <c r="G313" s="6" t="inlineStr">
        <is>
          <t>4.13.3.3.6</t>
        </is>
      </c>
      <c r="H313" s="6" t="inlineStr">
        <is>
          <t>Demonstration of storage and withdrawal systems</t>
        </is>
      </c>
      <c r="I313" s="6" t="inlineStr">
        <is>
          <t>If the QSN is supplied, the Contractor shall demonstrate the performance of the QSN during the SAT. This shall include, at minimum:</t>
        </is>
      </c>
      <c r="J313" s="6" t="inlineStr">
        <is>
          <t>Supporting — FAT/SAT detailed requirements</t>
        </is>
      </c>
      <c r="K313" s="6" t="inlineStr">
        <is>
          <t>Supporting/contextual evidence only; not full RTM fulfilment.</t>
        </is>
      </c>
      <c r="L313" s="6" t="inlineStr">
        <is>
          <t>The OFFER asks a concise FAT/SAT approach; detailed FAT/SAT RTMs are supporting scope.</t>
        </is>
      </c>
      <c r="M313" s="6" t="inlineStr">
        <is>
          <t>Review breadth</t>
        </is>
      </c>
      <c r="N313" s="6" t="inlineStr">
        <is>
          <t>Canonical PDF/DOCX.</t>
        </is>
      </c>
    </row>
    <row r="314" ht="42" customHeight="1">
      <c r="A314" s="125" t="inlineStr">
        <is>
          <t>OFFER-39</t>
        </is>
      </c>
      <c r="B314" s="125" t="inlineStr">
        <is>
          <t>FAT/SAT Testing Strategy &amp; Procedures</t>
        </is>
      </c>
      <c r="C314" s="125" t="n">
        <v>97</v>
      </c>
      <c r="D314" s="125" t="inlineStr">
        <is>
          <t>4.13.1</t>
        </is>
      </c>
      <c r="E314" s="125" t="inlineStr">
        <is>
          <t>RTM-541</t>
        </is>
      </c>
      <c r="F314" s="125" t="n">
        <v>106</v>
      </c>
      <c r="G314" s="125" t="inlineStr">
        <is>
          <t>4.13.3.3.6</t>
        </is>
      </c>
      <c r="H314" s="125" t="inlineStr">
        <is>
          <t>Demonstration of storage and withdrawal systems</t>
        </is>
      </c>
      <c r="I314" s="125" t="inlineStr">
        <is>
          <t>For the filling station, the Contractor shall demonstrate the filling of a dewar while the QPS is operating at the QPLANT Predefined Test Point, as defined in RTM-503, within the 2K-OP scenario. This shall include, at minimum:</t>
        </is>
      </c>
      <c r="J314" s="125" t="inlineStr">
        <is>
          <t>Supporting — FAT/SAT detailed requirements</t>
        </is>
      </c>
      <c r="K314" s="125" t="inlineStr">
        <is>
          <t>Supporting/contextual evidence only; not full RTM fulfilment.</t>
        </is>
      </c>
      <c r="L314" s="125" t="inlineStr">
        <is>
          <t>The OFFER asks a concise FAT/SAT approach; detailed FAT/SAT RTMs are supporting scope.</t>
        </is>
      </c>
      <c r="M314" s="6" t="inlineStr">
        <is>
          <t>Review breadth</t>
        </is>
      </c>
      <c r="N314" s="6" t="inlineStr">
        <is>
          <t>Canonical PDF/DOCX.</t>
        </is>
      </c>
    </row>
    <row r="315" ht="42" customHeight="1">
      <c r="A315" s="6" t="inlineStr">
        <is>
          <t>OFFER-39</t>
        </is>
      </c>
      <c r="B315" s="6" t="inlineStr">
        <is>
          <t>FAT/SAT Testing Strategy &amp; Procedures</t>
        </is>
      </c>
      <c r="C315" s="6" t="n">
        <v>97</v>
      </c>
      <c r="D315" s="6" t="inlineStr">
        <is>
          <t>4.13.1</t>
        </is>
      </c>
      <c r="E315" s="6" t="inlineStr">
        <is>
          <t>RTM-542</t>
        </is>
      </c>
      <c r="F315" s="6" t="n">
        <v>106</v>
      </c>
      <c r="G315" s="6" t="inlineStr">
        <is>
          <t>4.13.3.3.7</t>
        </is>
      </c>
      <c r="H315" s="6" t="inlineStr">
        <is>
          <t>Energy-Efficiency demonstration</t>
        </is>
      </c>
      <c r="I315" s="6" t="inlineStr">
        <is>
          <t>The Contractor shall demonstrate compliance with invCOP_contract in accordance with §4.3.4. To this end, the Contractor shall:</t>
        </is>
      </c>
      <c r="J315" s="6" t="inlineStr">
        <is>
          <t>Supporting — FAT/SAT detailed requirements</t>
        </is>
      </c>
      <c r="K315" s="6" t="inlineStr">
        <is>
          <t>Supporting/contextual evidence only; not full RTM fulfilment.</t>
        </is>
      </c>
      <c r="L315" s="6" t="inlineStr">
        <is>
          <t>The OFFER asks a concise FAT/SAT approach; detailed FAT/SAT RTMs are supporting scope.</t>
        </is>
      </c>
      <c r="M315" s="6" t="inlineStr">
        <is>
          <t>Review breadth</t>
        </is>
      </c>
      <c r="N315" s="6" t="inlineStr">
        <is>
          <t>Canonical PDF/DOCX.</t>
        </is>
      </c>
    </row>
    <row r="316" ht="42" customHeight="1">
      <c r="A316" s="125" t="inlineStr">
        <is>
          <t>OFFER-39</t>
        </is>
      </c>
      <c r="B316" s="125" t="inlineStr">
        <is>
          <t>FAT/SAT Testing Strategy &amp; Procedures</t>
        </is>
      </c>
      <c r="C316" s="125" t="n">
        <v>97</v>
      </c>
      <c r="D316" s="125" t="inlineStr">
        <is>
          <t>4.13.1</t>
        </is>
      </c>
      <c r="E316" s="125" t="inlineStr">
        <is>
          <t>RTM-543</t>
        </is>
      </c>
      <c r="F316" s="125" t="n">
        <v>107</v>
      </c>
      <c r="G316" s="125" t="inlineStr">
        <is>
          <t>4.13.3.3.7</t>
        </is>
      </c>
      <c r="H316" s="125" t="inlineStr">
        <is>
          <t>Energy-Efficiency demonstration</t>
        </is>
      </c>
      <c r="I316" s="125" t="inlineStr">
        <is>
          <t>The methodology used to determine invCOP_SAT shall be defined in advance and shall specify at least:</t>
        </is>
      </c>
      <c r="J316" s="125" t="inlineStr">
        <is>
          <t>Supporting — FAT/SAT detailed requirements</t>
        </is>
      </c>
      <c r="K316" s="125" t="inlineStr">
        <is>
          <t>Supporting/contextual evidence only; not full RTM fulfilment.</t>
        </is>
      </c>
      <c r="L316" s="125" t="inlineStr">
        <is>
          <t>The OFFER asks a concise FAT/SAT approach; detailed FAT/SAT RTMs are supporting scope.</t>
        </is>
      </c>
      <c r="M316" s="6" t="inlineStr">
        <is>
          <t>Review breadth</t>
        </is>
      </c>
      <c r="N316" s="6" t="inlineStr">
        <is>
          <t>Canonical PDF/DOCX.</t>
        </is>
      </c>
    </row>
    <row r="317" ht="42" customHeight="1">
      <c r="A317" s="6" t="inlineStr">
        <is>
          <t>OFFER-39</t>
        </is>
      </c>
      <c r="B317" s="6" t="inlineStr">
        <is>
          <t>FAT/SAT Testing Strategy &amp; Procedures</t>
        </is>
      </c>
      <c r="C317" s="6" t="n">
        <v>97</v>
      </c>
      <c r="D317" s="6" t="inlineStr">
        <is>
          <t>4.13.1</t>
        </is>
      </c>
      <c r="E317" s="6" t="inlineStr">
        <is>
          <t>RTM-544</t>
        </is>
      </c>
      <c r="F317" s="6" t="n">
        <v>107</v>
      </c>
      <c r="G317" s="6" t="inlineStr">
        <is>
          <t>4.13.3.3.7</t>
        </is>
      </c>
      <c r="H317" s="6" t="inlineStr">
        <is>
          <t>Energy-Efficiency demonstration</t>
        </is>
      </c>
      <c r="I317" s="6" t="inlineStr">
        <is>
          <t>The Contractor shall provide SCK CEN with reasonable access to electrical measurement points to independently measure the energy consumption of the QPS and validate the claimed energy figures.</t>
        </is>
      </c>
      <c r="J317" s="6" t="inlineStr">
        <is>
          <t>Supporting — FAT/SAT detailed requirements</t>
        </is>
      </c>
      <c r="K317" s="6" t="inlineStr">
        <is>
          <t>Supporting/contextual evidence only; not full RTM fulfilment.</t>
        </is>
      </c>
      <c r="L317" s="6" t="inlineStr">
        <is>
          <t>The OFFER asks a concise FAT/SAT approach; detailed FAT/SAT RTMs are supporting scope.</t>
        </is>
      </c>
      <c r="M317" s="6" t="inlineStr">
        <is>
          <t>Review breadth</t>
        </is>
      </c>
      <c r="N317" s="6" t="inlineStr">
        <is>
          <t>Canonical PDF/DOCX.</t>
        </is>
      </c>
    </row>
    <row r="318" ht="42" customHeight="1">
      <c r="A318" s="125" t="inlineStr">
        <is>
          <t>OFFER-39</t>
        </is>
      </c>
      <c r="B318" s="125" t="inlineStr">
        <is>
          <t>FAT/SAT Testing Strategy &amp; Procedures</t>
        </is>
      </c>
      <c r="C318" s="125" t="n">
        <v>97</v>
      </c>
      <c r="D318" s="125" t="inlineStr">
        <is>
          <t>4.13.1</t>
        </is>
      </c>
      <c r="E318" s="125" t="inlineStr">
        <is>
          <t>RTM-545</t>
        </is>
      </c>
      <c r="F318" s="125" t="n">
        <v>107</v>
      </c>
      <c r="G318" s="125" t="inlineStr">
        <is>
          <t>4.13.3.4</t>
        </is>
      </c>
      <c r="H318" s="125" t="inlineStr">
        <is>
          <t>Demonstration of operating procedures</t>
        </is>
      </c>
      <c r="I318" s="125" t="inlineStr">
        <is>
          <t>The Contractor shall demonstrate during the SAT the operational procedures of the QPS that are relevant to operation, maintenance, regeneration, and special site-test conditions.</t>
        </is>
      </c>
      <c r="J318" s="125" t="inlineStr">
        <is>
          <t>Supporting — FAT/SAT detailed requirements</t>
        </is>
      </c>
      <c r="K318" s="125" t="inlineStr">
        <is>
          <t>Supporting/contextual evidence only; not full RTM fulfilment.</t>
        </is>
      </c>
      <c r="L318" s="125" t="inlineStr">
        <is>
          <t>The OFFER asks a concise FAT/SAT approach; detailed FAT/SAT RTMs are supporting scope.</t>
        </is>
      </c>
      <c r="M318" s="6" t="inlineStr">
        <is>
          <t>Review breadth</t>
        </is>
      </c>
      <c r="N318" s="6" t="inlineStr">
        <is>
          <t>Canonical PDF/DOCX.</t>
        </is>
      </c>
    </row>
    <row r="319" ht="42" customHeight="1">
      <c r="A319" s="6" t="inlineStr">
        <is>
          <t>OFFER-39</t>
        </is>
      </c>
      <c r="B319" s="6" t="inlineStr">
        <is>
          <t>FAT/SAT Testing Strategy &amp; Procedures</t>
        </is>
      </c>
      <c r="C319" s="6" t="n">
        <v>97</v>
      </c>
      <c r="D319" s="6" t="inlineStr">
        <is>
          <t>4.13.1</t>
        </is>
      </c>
      <c r="E319" s="6" t="inlineStr">
        <is>
          <t>RTM-546</t>
        </is>
      </c>
      <c r="F319" s="6" t="n">
        <v>107</v>
      </c>
      <c r="G319" s="6" t="inlineStr">
        <is>
          <t>4.13.3.4</t>
        </is>
      </c>
      <c r="H319" s="6" t="inlineStr">
        <is>
          <t>Demonstration of operating procedures</t>
        </is>
      </c>
      <c r="I319" s="6" t="inlineStr">
        <is>
          <t>The Contractor shall demonstrate the execution of the operational procedures required for normal operation of the QPS. This shall include, at minimum:</t>
        </is>
      </c>
      <c r="J319" s="6" t="inlineStr">
        <is>
          <t>Supporting — FAT/SAT detailed requirements</t>
        </is>
      </c>
      <c r="K319" s="6" t="inlineStr">
        <is>
          <t>Supporting/contextual evidence only; not full RTM fulfilment.</t>
        </is>
      </c>
      <c r="L319" s="6" t="inlineStr">
        <is>
          <t>The OFFER asks a concise FAT/SAT approach; detailed FAT/SAT RTMs are supporting scope.</t>
        </is>
      </c>
      <c r="M319" s="6" t="inlineStr">
        <is>
          <t>Review breadth</t>
        </is>
      </c>
      <c r="N319" s="6" t="inlineStr">
        <is>
          <t>Canonical PDF/DOCX.</t>
        </is>
      </c>
    </row>
    <row r="320" ht="42" customHeight="1">
      <c r="A320" s="125" t="inlineStr">
        <is>
          <t>OFFER-39</t>
        </is>
      </c>
      <c r="B320" s="125" t="inlineStr">
        <is>
          <t>FAT/SAT Testing Strategy &amp; Procedures</t>
        </is>
      </c>
      <c r="C320" s="125" t="n">
        <v>97</v>
      </c>
      <c r="D320" s="125" t="inlineStr">
        <is>
          <t>4.13.1</t>
        </is>
      </c>
      <c r="E320" s="125" t="inlineStr">
        <is>
          <t>RTM-547</t>
        </is>
      </c>
      <c r="F320" s="125" t="n">
        <v>107</v>
      </c>
      <c r="G320" s="125" t="inlineStr">
        <is>
          <t>4.13.3.4</t>
        </is>
      </c>
      <c r="H320" s="125" t="inlineStr">
        <is>
          <t>Demonstration of operating procedures</t>
        </is>
      </c>
      <c r="I320" s="125" t="inlineStr">
        <is>
          <t>For the gas-treatment systems, the Contractor shall demonstrate the relevant switching, regeneration, and recovery procedures during the SAT. This shall include, where applicable, at minimum:</t>
        </is>
      </c>
      <c r="J320" s="125" t="inlineStr">
        <is>
          <t>Supporting — FAT/SAT detailed requirements</t>
        </is>
      </c>
      <c r="K320" s="125" t="inlineStr">
        <is>
          <t>Supporting/contextual evidence only; not full RTM fulfilment.</t>
        </is>
      </c>
      <c r="L320" s="125" t="inlineStr">
        <is>
          <t>The OFFER asks a concise FAT/SAT approach; detailed FAT/SAT RTMs are supporting scope.</t>
        </is>
      </c>
      <c r="M320" s="6" t="inlineStr">
        <is>
          <t>Review breadth</t>
        </is>
      </c>
      <c r="N320" s="6" t="inlineStr">
        <is>
          <t>Canonical PDF/DOCX.</t>
        </is>
      </c>
    </row>
    <row r="321" ht="42" customHeight="1">
      <c r="A321" s="6" t="inlineStr">
        <is>
          <t>OFFER-39</t>
        </is>
      </c>
      <c r="B321" s="6" t="inlineStr">
        <is>
          <t>FAT/SAT Testing Strategy &amp; Procedures</t>
        </is>
      </c>
      <c r="C321" s="6" t="n">
        <v>97</v>
      </c>
      <c r="D321" s="6" t="inlineStr">
        <is>
          <t>4.13.1</t>
        </is>
      </c>
      <c r="E321" s="6" t="inlineStr">
        <is>
          <t>RTM-548</t>
        </is>
      </c>
      <c r="F321" s="6" t="n">
        <v>107</v>
      </c>
      <c r="G321" s="6" t="inlineStr">
        <is>
          <t>4.13.3.5</t>
        </is>
      </c>
      <c r="H321" s="6" t="inlineStr">
        <is>
          <t>Demonstration of control system behaviour</t>
        </is>
      </c>
      <c r="I321" s="6" t="inlineStr">
        <is>
          <t>The Contractor shall demonstrate during the SAT that the QPS:CIS behaves correctly and complies with the specified control, communication, and data-handling requirements.</t>
        </is>
      </c>
      <c r="J321" s="6" t="inlineStr">
        <is>
          <t>Supporting — FAT/SAT detailed requirements</t>
        </is>
      </c>
      <c r="K321" s="6" t="inlineStr">
        <is>
          <t>Supporting/contextual evidence only; not full RTM fulfilment.</t>
        </is>
      </c>
      <c r="L321" s="6" t="inlineStr">
        <is>
          <t>The OFFER asks a concise FAT/SAT approach; detailed FAT/SAT RTMs are supporting scope.</t>
        </is>
      </c>
      <c r="M321" s="6" t="inlineStr">
        <is>
          <t>Review breadth</t>
        </is>
      </c>
      <c r="N321" s="6" t="inlineStr">
        <is>
          <t>Canonical PDF/DOCX.</t>
        </is>
      </c>
    </row>
    <row r="322" ht="42" customHeight="1">
      <c r="A322" s="125" t="inlineStr">
        <is>
          <t>OFFER-39</t>
        </is>
      </c>
      <c r="B322" s="125" t="inlineStr">
        <is>
          <t>FAT/SAT Testing Strategy &amp; Procedures</t>
        </is>
      </c>
      <c r="C322" s="125" t="n">
        <v>97</v>
      </c>
      <c r="D322" s="125" t="inlineStr">
        <is>
          <t>4.13.1</t>
        </is>
      </c>
      <c r="E322" s="125" t="inlineStr">
        <is>
          <t>RTM-549</t>
        </is>
      </c>
      <c r="F322" s="125" t="n">
        <v>107</v>
      </c>
      <c r="G322" s="125" t="inlineStr">
        <is>
          <t>4.13.3.5</t>
        </is>
      </c>
      <c r="H322" s="125" t="inlineStr">
        <is>
          <t>Demonstration of control system behaviour</t>
        </is>
      </c>
      <c r="I322" s="125" t="inlineStr">
        <is>
          <t>The Contractor shall demonstrate the continuity and failover behaviour of the QPS:CIS, where applicable. This shall include, at minimum:</t>
        </is>
      </c>
      <c r="J322" s="125" t="inlineStr">
        <is>
          <t>Supporting — FAT/SAT detailed requirements</t>
        </is>
      </c>
      <c r="K322" s="125" t="inlineStr">
        <is>
          <t>Supporting/contextual evidence only; not full RTM fulfilment.</t>
        </is>
      </c>
      <c r="L322" s="125" t="inlineStr">
        <is>
          <t>The OFFER asks a concise FAT/SAT approach; detailed FAT/SAT RTMs are supporting scope.</t>
        </is>
      </c>
      <c r="M322" s="6" t="inlineStr">
        <is>
          <t>Review breadth</t>
        </is>
      </c>
      <c r="N322" s="6" t="inlineStr">
        <is>
          <t>Canonical PDF/DOCX.</t>
        </is>
      </c>
    </row>
    <row r="323" ht="42" customHeight="1">
      <c r="A323" s="6" t="inlineStr">
        <is>
          <t>OFFER-39</t>
        </is>
      </c>
      <c r="B323" s="6" t="inlineStr">
        <is>
          <t>FAT/SAT Testing Strategy &amp; Procedures</t>
        </is>
      </c>
      <c r="C323" s="6" t="n">
        <v>97</v>
      </c>
      <c r="D323" s="6" t="inlineStr">
        <is>
          <t>4.13.1</t>
        </is>
      </c>
      <c r="E323" s="6" t="inlineStr">
        <is>
          <t>RTM-550</t>
        </is>
      </c>
      <c r="F323" s="6" t="n">
        <v>107</v>
      </c>
      <c r="G323" s="6" t="inlineStr">
        <is>
          <t>4.13.3.5</t>
        </is>
      </c>
      <c r="H323" s="6" t="inlineStr">
        <is>
          <t>Demonstration of control system behaviour</t>
        </is>
      </c>
      <c r="I323" s="6" t="inlineStr">
        <is>
          <t>The Contractor shall demonstrate the behaviour of the QPS:CIS communication infrastructure during the SAT. This shall include, at minimum:</t>
        </is>
      </c>
      <c r="J323" s="6" t="inlineStr">
        <is>
          <t>Supporting — FAT/SAT detailed requirements</t>
        </is>
      </c>
      <c r="K323" s="6" t="inlineStr">
        <is>
          <t>Supporting/contextual evidence only; not full RTM fulfilment.</t>
        </is>
      </c>
      <c r="L323" s="6" t="inlineStr">
        <is>
          <t>The OFFER asks a concise FAT/SAT approach; detailed FAT/SAT RTMs are supporting scope.</t>
        </is>
      </c>
      <c r="M323" s="6" t="inlineStr">
        <is>
          <t>Review breadth</t>
        </is>
      </c>
      <c r="N323" s="6" t="inlineStr">
        <is>
          <t>Canonical PDF/DOCX.</t>
        </is>
      </c>
    </row>
    <row r="324" ht="42" customHeight="1">
      <c r="A324" s="125" t="inlineStr">
        <is>
          <t>OFFER-39</t>
        </is>
      </c>
      <c r="B324" s="125" t="inlineStr">
        <is>
          <t>FAT/SAT Testing Strategy &amp; Procedures</t>
        </is>
      </c>
      <c r="C324" s="125" t="n">
        <v>97</v>
      </c>
      <c r="D324" s="125" t="inlineStr">
        <is>
          <t>4.13.1</t>
        </is>
      </c>
      <c r="E324" s="125" t="inlineStr">
        <is>
          <t>RTM-551</t>
        </is>
      </c>
      <c r="F324" s="125" t="n">
        <v>108</v>
      </c>
      <c r="G324" s="125" t="inlineStr">
        <is>
          <t>4.13.3.5</t>
        </is>
      </c>
      <c r="H324" s="125" t="inlineStr">
        <is>
          <t>Demonstration of control system behaviour</t>
        </is>
      </c>
      <c r="I324" s="125" t="inlineStr">
        <is>
          <t>The Contractor shall demonstrate the correct continuity and functionality of the control cabinets and I/O chains during the SAT. This shall include, at minimum:</t>
        </is>
      </c>
      <c r="J324" s="125" t="inlineStr">
        <is>
          <t>Supporting — FAT/SAT detailed requirements</t>
        </is>
      </c>
      <c r="K324" s="125" t="inlineStr">
        <is>
          <t>Supporting/contextual evidence only; not full RTM fulfilment.</t>
        </is>
      </c>
      <c r="L324" s="125" t="inlineStr">
        <is>
          <t>The OFFER asks a concise FAT/SAT approach; detailed FAT/SAT RTMs are supporting scope.</t>
        </is>
      </c>
      <c r="M324" s="6" t="inlineStr">
        <is>
          <t>Review breadth</t>
        </is>
      </c>
      <c r="N324" s="6" t="inlineStr">
        <is>
          <t>Canonical PDF/DOCX.</t>
        </is>
      </c>
    </row>
    <row r="325" ht="42" customHeight="1">
      <c r="A325" s="6" t="inlineStr">
        <is>
          <t>OFFER-39</t>
        </is>
      </c>
      <c r="B325" s="6" t="inlineStr">
        <is>
          <t>FAT/SAT Testing Strategy &amp; Procedures</t>
        </is>
      </c>
      <c r="C325" s="6" t="n">
        <v>97</v>
      </c>
      <c r="D325" s="6" t="inlineStr">
        <is>
          <t>4.13.1</t>
        </is>
      </c>
      <c r="E325" s="6" t="inlineStr">
        <is>
          <t>RTM-552</t>
        </is>
      </c>
      <c r="F325" s="6" t="n">
        <v>108</v>
      </c>
      <c r="G325" s="6" t="inlineStr">
        <is>
          <t>4.13.3.5</t>
        </is>
      </c>
      <c r="H325" s="6" t="inlineStr">
        <is>
          <t>Demonstration of control system behaviour</t>
        </is>
      </c>
      <c r="I325" s="6" t="inlineStr">
        <is>
          <t>The Contractor shall demonstrate the correct behavior of the QPS:CIS protection and interlock mechanisms during the SAT. This shall include, at minimum:</t>
        </is>
      </c>
      <c r="J325" s="6" t="inlineStr">
        <is>
          <t>Supporting — FAT/SAT detailed requirements</t>
        </is>
      </c>
      <c r="K325" s="6" t="inlineStr">
        <is>
          <t>Supporting/contextual evidence only; not full RTM fulfilment.</t>
        </is>
      </c>
      <c r="L325" s="6" t="inlineStr">
        <is>
          <t>The OFFER asks a concise FAT/SAT approach; detailed FAT/SAT RTMs are supporting scope.</t>
        </is>
      </c>
      <c r="M325" s="6" t="inlineStr">
        <is>
          <t>Review breadth</t>
        </is>
      </c>
      <c r="N325" s="6" t="inlineStr">
        <is>
          <t>Canonical PDF/DOCX.</t>
        </is>
      </c>
    </row>
    <row r="326" ht="42" customHeight="1">
      <c r="A326" s="125" t="inlineStr">
        <is>
          <t>OFFER-39</t>
        </is>
      </c>
      <c r="B326" s="125" t="inlineStr">
        <is>
          <t>FAT/SAT Testing Strategy &amp; Procedures</t>
        </is>
      </c>
      <c r="C326" s="125" t="n">
        <v>97</v>
      </c>
      <c r="D326" s="125" t="inlineStr">
        <is>
          <t>4.13.1</t>
        </is>
      </c>
      <c r="E326" s="125" t="inlineStr">
        <is>
          <t>RTM-553</t>
        </is>
      </c>
      <c r="F326" s="125" t="n">
        <v>108</v>
      </c>
      <c r="G326" s="125" t="inlineStr">
        <is>
          <t>4.13.3.5</t>
        </is>
      </c>
      <c r="H326" s="125" t="inlineStr">
        <is>
          <t>Demonstration of control system behaviour</t>
        </is>
      </c>
      <c r="I326" s="125" t="inlineStr">
        <is>
          <t>The Contractor shall demonstrate the correct behavior of the field devices controlled or monitored by the QPS:CIS during the SAT. This shall include, at minimum:</t>
        </is>
      </c>
      <c r="J326" s="125" t="inlineStr">
        <is>
          <t>Supporting — FAT/SAT detailed requirements</t>
        </is>
      </c>
      <c r="K326" s="125" t="inlineStr">
        <is>
          <t>Supporting/contextual evidence only; not full RTM fulfilment.</t>
        </is>
      </c>
      <c r="L326" s="125" t="inlineStr">
        <is>
          <t>The OFFER asks a concise FAT/SAT approach; detailed FAT/SAT RTMs are supporting scope.</t>
        </is>
      </c>
      <c r="M326" s="6" t="inlineStr">
        <is>
          <t>Review breadth</t>
        </is>
      </c>
      <c r="N326" s="6" t="inlineStr">
        <is>
          <t>Canonical PDF/DOCX.</t>
        </is>
      </c>
    </row>
    <row r="327" ht="42" customHeight="1">
      <c r="A327" s="6" t="inlineStr">
        <is>
          <t>OFFER-39</t>
        </is>
      </c>
      <c r="B327" s="6" t="inlineStr">
        <is>
          <t>FAT/SAT Testing Strategy &amp; Procedures</t>
        </is>
      </c>
      <c r="C327" s="6" t="n">
        <v>97</v>
      </c>
      <c r="D327" s="6" t="inlineStr">
        <is>
          <t>4.13.1</t>
        </is>
      </c>
      <c r="E327" s="6" t="inlineStr">
        <is>
          <t>RTM-554</t>
        </is>
      </c>
      <c r="F327" s="6" t="n">
        <v>108</v>
      </c>
      <c r="G327" s="6" t="inlineStr">
        <is>
          <t>4.13.3.5</t>
        </is>
      </c>
      <c r="H327" s="6" t="inlineStr">
        <is>
          <t>Demonstration of control system behaviour</t>
        </is>
      </c>
      <c r="I327" s="6" t="inlineStr">
        <is>
          <t>The Contractor shall demonstrate the capability of the QPS:CIS to recover from a loss of power and to support black-start procedures.</t>
        </is>
      </c>
      <c r="J327" s="6" t="inlineStr">
        <is>
          <t>Supporting — FAT/SAT detailed requirements</t>
        </is>
      </c>
      <c r="K327" s="6" t="inlineStr">
        <is>
          <t>Supporting/contextual evidence only; not full RTM fulfilment.</t>
        </is>
      </c>
      <c r="L327" s="6" t="inlineStr">
        <is>
          <t>The OFFER asks a concise FAT/SAT approach; detailed FAT/SAT RTMs are supporting scope.</t>
        </is>
      </c>
      <c r="M327" s="6" t="inlineStr">
        <is>
          <t>Review breadth</t>
        </is>
      </c>
      <c r="N327" s="6" t="inlineStr">
        <is>
          <t>Canonical PDF/DOCX.</t>
        </is>
      </c>
    </row>
    <row r="328" ht="42" customHeight="1">
      <c r="A328" s="125" t="inlineStr">
        <is>
          <t>OFFER-39</t>
        </is>
      </c>
      <c r="B328" s="125" t="inlineStr">
        <is>
          <t>FAT/SAT Testing Strategy &amp; Procedures</t>
        </is>
      </c>
      <c r="C328" s="125" t="n">
        <v>97</v>
      </c>
      <c r="D328" s="125" t="inlineStr">
        <is>
          <t>4.13.1</t>
        </is>
      </c>
      <c r="E328" s="125" t="inlineStr">
        <is>
          <t>RTM-555</t>
        </is>
      </c>
      <c r="F328" s="125" t="n">
        <v>108</v>
      </c>
      <c r="G328" s="125" t="inlineStr">
        <is>
          <t>4.13.3.5</t>
        </is>
      </c>
      <c r="H328" s="125" t="inlineStr">
        <is>
          <t>Demonstration of control system behaviour</t>
        </is>
      </c>
      <c r="I328" s="125" t="inlineStr">
        <is>
          <t>The Contractor shall demonstrate the correct behaviour of the QPS:CIS data-handling functions during the SAT. This shall include, at minimum:</t>
        </is>
      </c>
      <c r="J328" s="125" t="inlineStr">
        <is>
          <t>Supporting — FAT/SAT detailed requirements</t>
        </is>
      </c>
      <c r="K328" s="125" t="inlineStr">
        <is>
          <t>Supporting/contextual evidence only; not full RTM fulfilment.</t>
        </is>
      </c>
      <c r="L328" s="125" t="inlineStr">
        <is>
          <t>The OFFER asks a concise FAT/SAT approach; detailed FAT/SAT RTMs are supporting scope.</t>
        </is>
      </c>
      <c r="M328" s="6" t="inlineStr">
        <is>
          <t>Review breadth</t>
        </is>
      </c>
      <c r="N328" s="6" t="inlineStr">
        <is>
          <t>Canonical PDF/DOCX.</t>
        </is>
      </c>
    </row>
    <row r="329" ht="42" customHeight="1">
      <c r="A329" s="6" t="inlineStr">
        <is>
          <t>OFFER-39</t>
        </is>
      </c>
      <c r="B329" s="6" t="inlineStr">
        <is>
          <t>FAT/SAT Testing Strategy &amp; Procedures</t>
        </is>
      </c>
      <c r="C329" s="6" t="n">
        <v>97</v>
      </c>
      <c r="D329" s="6" t="inlineStr">
        <is>
          <t>4.13.1</t>
        </is>
      </c>
      <c r="E329" s="6" t="inlineStr">
        <is>
          <t>RTM-556</t>
        </is>
      </c>
      <c r="F329" s="6" t="n">
        <v>108</v>
      </c>
      <c r="G329" s="6" t="inlineStr">
        <is>
          <t>4.13.3.5</t>
        </is>
      </c>
      <c r="H329" s="6" t="inlineStr">
        <is>
          <t>Demonstration of control system behaviour</t>
        </is>
      </c>
      <c r="I329" s="6" t="inlineStr">
        <is>
          <t>The Contractor shall demonstrate the readiness of the external interfaces of the QPS:CIS during the SAT. This shall include, at minimum:</t>
        </is>
      </c>
      <c r="J329" s="6" t="inlineStr">
        <is>
          <t>Supporting — FAT/SAT detailed requirements</t>
        </is>
      </c>
      <c r="K329" s="6" t="inlineStr">
        <is>
          <t>Supporting/contextual evidence only; not full RTM fulfilment.</t>
        </is>
      </c>
      <c r="L329" s="6" t="inlineStr">
        <is>
          <t>The OFFER asks a concise FAT/SAT approach; detailed FAT/SAT RTMs are supporting scope.</t>
        </is>
      </c>
      <c r="M329" s="6" t="inlineStr">
        <is>
          <t>Review breadth</t>
        </is>
      </c>
      <c r="N329" s="6" t="inlineStr">
        <is>
          <t>Canonical PDF/DOCX.</t>
        </is>
      </c>
    </row>
    <row r="330" ht="71" customHeight="1">
      <c r="A330" s="125" t="inlineStr">
        <is>
          <t>OFFER-40</t>
        </is>
      </c>
      <c r="B330" s="125" t="inlineStr">
        <is>
          <t>Electrical Power Measurement Methodology</t>
        </is>
      </c>
      <c r="C330" s="125" t="n">
        <v>107</v>
      </c>
      <c r="D330" s="125" t="inlineStr">
        <is>
          <t>4.13.3.3.7</t>
        </is>
      </c>
      <c r="E330" s="125" t="inlineStr">
        <is>
          <t>RTM-542</t>
        </is>
      </c>
      <c r="F330" s="125" t="n">
        <v>106</v>
      </c>
      <c r="G330" s="125" t="inlineStr">
        <is>
          <t>4.13.3.3.7</t>
        </is>
      </c>
      <c r="H330" s="125" t="inlineStr">
        <is>
          <t>Energy-Efficiency demonstration</t>
        </is>
      </c>
      <c r="I330" s="125" t="inlineStr">
        <is>
          <t>The Contractor shall demonstrate compliance with invCOP_contract in accordance with §4.3.4. To this end, the Contractor shall:</t>
        </is>
      </c>
      <c r="J330" s="125" t="inlineStr">
        <is>
          <t>Direct — exact contract section</t>
        </is>
      </c>
      <c r="K330" s="125" t="inlineStr">
        <is>
          <t>Partial evidence: OFFER response supports evaluation; it does not replace full RTM compliance.</t>
        </is>
      </c>
      <c r="L330" s="126" t="inlineStr">
        <is>
          <t>RTM-542 (Energy-Efficiency demonstration) and OFFER-40 (Performance / Process / Utilities) are linked only because both sit in §4.13.3.3.7 — a direct (shared-section) link, not a dedicated cross-reference to this specific clause.</t>
        </is>
      </c>
      <c r="M330" s="6" t="inlineStr">
        <is>
          <t>OK</t>
        </is>
      </c>
      <c r="N330" s="6" t="inlineStr">
        <is>
          <t>Canonical PDF/DOCX.</t>
        </is>
      </c>
    </row>
    <row r="331" ht="71" customHeight="1">
      <c r="A331" s="6" t="inlineStr">
        <is>
          <t>OFFER-40</t>
        </is>
      </c>
      <c r="B331" s="6" t="inlineStr">
        <is>
          <t>Electrical Power Measurement Methodology</t>
        </is>
      </c>
      <c r="C331" s="6" t="n">
        <v>107</v>
      </c>
      <c r="D331" s="6" t="inlineStr">
        <is>
          <t>4.13.3.3.7</t>
        </is>
      </c>
      <c r="E331" s="6" t="inlineStr">
        <is>
          <t>RTM-543</t>
        </is>
      </c>
      <c r="F331" s="6" t="n">
        <v>107</v>
      </c>
      <c r="G331" s="6" t="inlineStr">
        <is>
          <t>4.13.3.3.7</t>
        </is>
      </c>
      <c r="H331" s="6" t="inlineStr">
        <is>
          <t>Energy-Efficiency demonstration</t>
        </is>
      </c>
      <c r="I331" s="6" t="inlineStr">
        <is>
          <t>The methodology used to determine invCOP_SAT shall be defined in advance and shall specify at least:</t>
        </is>
      </c>
      <c r="J331" s="6" t="inlineStr">
        <is>
          <t>Direct — exact contract section</t>
        </is>
      </c>
      <c r="K331" s="6" t="inlineStr">
        <is>
          <t>Partial evidence: OFFER response supports evaluation; it does not replace full RTM compliance.</t>
        </is>
      </c>
      <c r="L331" s="83" t="inlineStr">
        <is>
          <t>RTM-543 (Energy-Efficiency demonstration) and OFFER-40 (Performance / Process / Utilities) are linked only because both sit in §4.13.3.3.7 — a direct (shared-section) link, not a dedicated cross-reference to this specific clause.</t>
        </is>
      </c>
      <c r="M331" s="6" t="inlineStr">
        <is>
          <t>OK</t>
        </is>
      </c>
      <c r="N331" s="6" t="inlineStr">
        <is>
          <t>Canonical PDF/DOCX.</t>
        </is>
      </c>
    </row>
    <row r="332" ht="71" customHeight="1">
      <c r="A332" s="125" t="inlineStr">
        <is>
          <t>OFFER-40</t>
        </is>
      </c>
      <c r="B332" s="125" t="inlineStr">
        <is>
          <t>Electrical Power Measurement Methodology</t>
        </is>
      </c>
      <c r="C332" s="125" t="n">
        <v>107</v>
      </c>
      <c r="D332" s="125" t="inlineStr">
        <is>
          <t>4.13.3.3.7</t>
        </is>
      </c>
      <c r="E332" s="125" t="inlineStr">
        <is>
          <t>RTM-544</t>
        </is>
      </c>
      <c r="F332" s="125" t="n">
        <v>107</v>
      </c>
      <c r="G332" s="125" t="inlineStr">
        <is>
          <t>4.13.3.3.7</t>
        </is>
      </c>
      <c r="H332" s="125" t="inlineStr">
        <is>
          <t>Energy-Efficiency demonstration</t>
        </is>
      </c>
      <c r="I332" s="125" t="inlineStr">
        <is>
          <t>The Contractor shall provide SCK CEN with reasonable access to electrical measurement points to independently measure the energy consumption of the QPS and validate the claimed energy figures.</t>
        </is>
      </c>
      <c r="J332" s="125" t="inlineStr">
        <is>
          <t>Direct — exact contract section</t>
        </is>
      </c>
      <c r="K332" s="125" t="inlineStr">
        <is>
          <t>Partial evidence: OFFER response supports evaluation; it does not replace full RTM compliance.</t>
        </is>
      </c>
      <c r="L332" s="126" t="inlineStr">
        <is>
          <t>RTM-544 (Energy-Efficiency demonstration) and OFFER-40 (Performance / Process / Utilities) are linked only because both sit in §4.13.3.3.7 — a direct (shared-section) link, not a dedicated cross-reference to this specific clause.</t>
        </is>
      </c>
      <c r="M332" s="6" t="inlineStr">
        <is>
          <t>OK</t>
        </is>
      </c>
      <c r="N332" s="6" t="inlineStr">
        <is>
          <t>Canonical PDF/DOCX.</t>
        </is>
      </c>
    </row>
    <row r="333" ht="58" customHeight="1">
      <c r="A333" s="6" t="inlineStr">
        <is>
          <t>OFFER-41</t>
        </is>
      </c>
      <c r="B333" s="6" t="inlineStr">
        <is>
          <t>Spare Parts &amp; Critical Components Strategy</t>
        </is>
      </c>
      <c r="C333" s="6" t="n">
        <v>109</v>
      </c>
      <c r="D333" s="6" t="inlineStr">
        <is>
          <t>4.14.3</t>
        </is>
      </c>
      <c r="E333" s="6" t="inlineStr">
        <is>
          <t>RTM-560</t>
        </is>
      </c>
      <c r="F333" s="6" t="n">
        <v>109</v>
      </c>
      <c r="G333" s="6" t="inlineStr">
        <is>
          <t>4.14.3</t>
        </is>
      </c>
      <c r="H333" s="6" t="inlineStr">
        <is>
          <t>Spare Parts</t>
        </is>
      </c>
      <c r="I333" s="6" t="inlineStr">
        <is>
          <t>If Contingent Part 1 is activated, the Contractor shall supply strategic spare parts required to support the first five (5) years of operation.</t>
        </is>
      </c>
      <c r="J333" s="6" t="inlineStr">
        <is>
          <t>Direct — exact contract section</t>
        </is>
      </c>
      <c r="K333" s="6" t="inlineStr">
        <is>
          <t>Partial evidence: OFFER response supports evaluation; it does not replace full RTM compliance.</t>
        </is>
      </c>
      <c r="L333" s="83" t="inlineStr">
        <is>
          <t>RTM-560 (Spare Parts) and OFFER-41 (Reliability / RAM / Service) are linked only because both sit in §4.14.3 — a direct (shared-section) link, not a dedicated cross-reference to this specific clause.</t>
        </is>
      </c>
      <c r="M333" s="6" t="inlineStr">
        <is>
          <t>OK</t>
        </is>
      </c>
      <c r="N333" s="6" t="inlineStr">
        <is>
          <t>Canonical PDF/DOCX.</t>
        </is>
      </c>
    </row>
    <row r="334" ht="58" customHeight="1">
      <c r="A334" s="125" t="inlineStr">
        <is>
          <t>OFFER-41</t>
        </is>
      </c>
      <c r="B334" s="125" t="inlineStr">
        <is>
          <t>Spare Parts &amp; Critical Components Strategy</t>
        </is>
      </c>
      <c r="C334" s="125" t="n">
        <v>109</v>
      </c>
      <c r="D334" s="125" t="inlineStr">
        <is>
          <t>4.14.3</t>
        </is>
      </c>
      <c r="E334" s="125" t="inlineStr">
        <is>
          <t>RTM-561</t>
        </is>
      </c>
      <c r="F334" s="125" t="n">
        <v>109</v>
      </c>
      <c r="G334" s="125" t="inlineStr">
        <is>
          <t>4.14.3</t>
        </is>
      </c>
      <c r="H334" s="125" t="inlineStr">
        <is>
          <t>Spare Parts</t>
        </is>
      </c>
      <c r="I334" s="125" t="inlineStr">
        <is>
          <t>The spare parts shall include, at minimum, spare parts for operationally critical components with long procurement lead times, including but not limited to:</t>
        </is>
      </c>
      <c r="J334" s="125" t="inlineStr">
        <is>
          <t>Direct — exact contract section</t>
        </is>
      </c>
      <c r="K334" s="125" t="inlineStr">
        <is>
          <t>Partial evidence: OFFER response supports evaluation; it does not replace full RTM compliance.</t>
        </is>
      </c>
      <c r="L334" s="126" t="inlineStr">
        <is>
          <t>RTM-561 (Spare Parts) and OFFER-41 (Reliability / RAM / Service) are linked only because both sit in §4.14.3 — a direct (shared-section) link, not a dedicated cross-reference to this specific clause.</t>
        </is>
      </c>
      <c r="M334" s="6" t="inlineStr">
        <is>
          <t>OK</t>
        </is>
      </c>
      <c r="N334" s="6" t="inlineStr">
        <is>
          <t>Canonical PDF/DOCX.</t>
        </is>
      </c>
    </row>
    <row r="335" ht="58" customHeight="1">
      <c r="A335" s="6" t="inlineStr">
        <is>
          <t>OFFER-41</t>
        </is>
      </c>
      <c r="B335" s="6" t="inlineStr">
        <is>
          <t>Spare Parts &amp; Critical Components Strategy</t>
        </is>
      </c>
      <c r="C335" s="6" t="n">
        <v>109</v>
      </c>
      <c r="D335" s="6" t="inlineStr">
        <is>
          <t>4.14.3</t>
        </is>
      </c>
      <c r="E335" s="6" t="inlineStr">
        <is>
          <t>RTM-562</t>
        </is>
      </c>
      <c r="F335" s="6" t="n">
        <v>109</v>
      </c>
      <c r="G335" s="6" t="inlineStr">
        <is>
          <t>4.14.3</t>
        </is>
      </c>
      <c r="H335" s="6" t="inlineStr">
        <is>
          <t>Spare Parts</t>
        </is>
      </c>
      <c r="I335" s="6" t="inlineStr">
        <is>
          <t>All spare parts shall</t>
        </is>
      </c>
      <c r="J335" s="6" t="inlineStr">
        <is>
          <t>Direct — exact contract section</t>
        </is>
      </c>
      <c r="K335" s="6" t="inlineStr">
        <is>
          <t>Partial evidence: OFFER response supports evaluation; it does not replace full RTM compliance.</t>
        </is>
      </c>
      <c r="L335" s="83" t="inlineStr">
        <is>
          <t>RTM-562 (Spare Parts) and OFFER-41 (Reliability / RAM / Service) are linked only because both sit in §4.14.3 — a direct (shared-section) link, not a dedicated cross-reference to this specific clause.</t>
        </is>
      </c>
      <c r="M335" s="6" t="inlineStr">
        <is>
          <t>OK</t>
        </is>
      </c>
      <c r="N335" s="6" t="inlineStr">
        <is>
          <t>Canonical PDF/DOCX.</t>
        </is>
      </c>
    </row>
    <row r="336" ht="71" customHeight="1">
      <c r="A336" s="125" t="inlineStr">
        <is>
          <t>OFFER-42</t>
        </is>
      </c>
      <c r="B336" s="125" t="inlineStr">
        <is>
          <t>After-Sales Service Organization &amp; Pricing</t>
        </is>
      </c>
      <c r="C336" s="125" t="n">
        <v>110</v>
      </c>
      <c r="D336" s="125" t="inlineStr">
        <is>
          <t>4.15</t>
        </is>
      </c>
      <c r="E336" s="125" t="inlineStr">
        <is>
          <t>RTM-563</t>
        </is>
      </c>
      <c r="F336" s="125" t="n">
        <v>109</v>
      </c>
      <c r="G336" s="125" t="inlineStr">
        <is>
          <t>4.15</t>
        </is>
      </c>
      <c r="H336" s="125" t="inlineStr">
        <is>
          <t>After-Sales Services</t>
        </is>
      </c>
      <c r="I336" s="125" t="inlineStr">
        <is>
          <t>The Contractor shall provide After-Sales Services for the full Lifetime of the QPS. The After-Sales service shall include at least (but not be limited to) the services stated below:</t>
        </is>
      </c>
      <c r="J336" s="125" t="inlineStr">
        <is>
          <t>Direct — primary evidence anchor</t>
        </is>
      </c>
      <c r="K336" s="125" t="inlineStr">
        <is>
          <t>Partial evidence: OFFER response supports evaluation; it does not replace full RTM compliance.</t>
        </is>
      </c>
      <c r="L336" s="126" t="inlineStr">
        <is>
          <t>RTM-563 (After-Sales Services) is OFFER-42's (Reliability / RAM / Service) primary technical anchor in §4.15 — the direct classification means this is the main clause being evidenced here, not one of several equally-weighted section-mates.</t>
        </is>
      </c>
      <c r="M336" s="6" t="inlineStr">
        <is>
          <t>OK</t>
        </is>
      </c>
      <c r="N336" s="6" t="inlineStr">
        <is>
          <t>Canonical PDF/DOCX.</t>
        </is>
      </c>
    </row>
    <row r="337" ht="71" customHeight="1">
      <c r="A337" s="6" t="inlineStr">
        <is>
          <t>OFFER-42</t>
        </is>
      </c>
      <c r="B337" s="6" t="inlineStr">
        <is>
          <t>After-Sales Service Organization &amp; Pricing</t>
        </is>
      </c>
      <c r="C337" s="6" t="n">
        <v>110</v>
      </c>
      <c r="D337" s="6" t="inlineStr">
        <is>
          <t>4.15</t>
        </is>
      </c>
      <c r="E337" s="6" t="inlineStr">
        <is>
          <t>RTM-564</t>
        </is>
      </c>
      <c r="F337" s="6" t="n">
        <v>110</v>
      </c>
      <c r="G337" s="6" t="inlineStr">
        <is>
          <t>4.15</t>
        </is>
      </c>
      <c r="H337" s="6" t="inlineStr">
        <is>
          <t>After-Sales Services</t>
        </is>
      </c>
      <c r="I337" s="6" t="inlineStr">
        <is>
          <t>The technical support shall provide fault identification/analysis and troubleshooting, as well as universal support, for all and any aspects of the QPSs, including but not limited to maintenance, technical assistance during integrated user commissioning, software &amp; firmware, etc.</t>
        </is>
      </c>
      <c r="J337" s="6" t="inlineStr">
        <is>
          <t>Direct — primary evidence anchor</t>
        </is>
      </c>
      <c r="K337" s="6" t="inlineStr">
        <is>
          <t>Partial evidence: OFFER response supports evaluation; it does not replace full RTM compliance.</t>
        </is>
      </c>
      <c r="L337" s="83" t="inlineStr">
        <is>
          <t>RTM-564 (After-Sales Services) is OFFER-42's (Reliability / RAM / Service) primary technical anchor in §4.15 — the direct classification means this is the main clause being evidenced here, not one of several equally-weighted section-mates.</t>
        </is>
      </c>
      <c r="M337" s="6" t="inlineStr">
        <is>
          <t>OK</t>
        </is>
      </c>
      <c r="N337" s="6" t="inlineStr">
        <is>
          <t>Canonical PDF/DOCX.</t>
        </is>
      </c>
    </row>
    <row r="338" ht="71" customHeight="1">
      <c r="A338" s="125" t="inlineStr">
        <is>
          <t>OFFER-42</t>
        </is>
      </c>
      <c r="B338" s="125" t="inlineStr">
        <is>
          <t>After-Sales Service Organization &amp; Pricing</t>
        </is>
      </c>
      <c r="C338" s="125" t="n">
        <v>110</v>
      </c>
      <c r="D338" s="125" t="inlineStr">
        <is>
          <t>4.15</t>
        </is>
      </c>
      <c r="E338" s="125" t="inlineStr">
        <is>
          <t>RTM-565</t>
        </is>
      </c>
      <c r="F338" s="125" t="n">
        <v>110</v>
      </c>
      <c r="G338" s="125" t="inlineStr">
        <is>
          <t>4.15</t>
        </is>
      </c>
      <c r="H338" s="125" t="inlineStr">
        <is>
          <t>After-Sales Services</t>
        </is>
      </c>
      <c r="I338" s="125" t="inlineStr">
        <is>
          <t>Following a request for support from SCK CEN, the actions and respective response times in case of a fault shall be:</t>
        </is>
      </c>
      <c r="J338" s="125" t="inlineStr">
        <is>
          <t>Direct — primary evidence anchor</t>
        </is>
      </c>
      <c r="K338" s="125" t="inlineStr">
        <is>
          <t>Partial evidence: OFFER response supports evaluation; it does not replace full RTM compliance.</t>
        </is>
      </c>
      <c r="L338" s="126" t="inlineStr">
        <is>
          <t>RTM-565 (After-Sales Services) is OFFER-42's (Reliability / RAM / Service) primary technical anchor in §4.15 — the direct classification means this is the main clause being evidenced here, not one of several equally-weighted section-mates.</t>
        </is>
      </c>
      <c r="M338" s="6" t="inlineStr">
        <is>
          <t>OK</t>
        </is>
      </c>
      <c r="N338" s="6" t="inlineStr">
        <is>
          <t>Canonical PDF/DOCX.</t>
        </is>
      </c>
    </row>
    <row r="339" ht="71" customHeight="1">
      <c r="A339" s="6" t="inlineStr">
        <is>
          <t>OFFER-43</t>
        </is>
      </c>
      <c r="B339" s="6" t="inlineStr">
        <is>
          <t>Maintenance Effort &amp; Intervention Estimation</t>
        </is>
      </c>
      <c r="C339" s="6" t="n">
        <v>110</v>
      </c>
      <c r="D339" s="6" t="inlineStr">
        <is>
          <t>4.15</t>
        </is>
      </c>
      <c r="E339" s="6" t="inlineStr">
        <is>
          <t>RTM-563</t>
        </is>
      </c>
      <c r="F339" s="6" t="n">
        <v>109</v>
      </c>
      <c r="G339" s="6" t="inlineStr">
        <is>
          <t>4.15</t>
        </is>
      </c>
      <c r="H339" s="6" t="inlineStr">
        <is>
          <t>After-Sales Services</t>
        </is>
      </c>
      <c r="I339" s="6" t="inlineStr">
        <is>
          <t>The Contractor shall provide After-Sales Services for the full Lifetime of the QPS. The After-Sales service shall include at least (but not be limited to) the services stated below:</t>
        </is>
      </c>
      <c r="J339" s="6" t="inlineStr">
        <is>
          <t>Contextual — maintenance effort estimate</t>
        </is>
      </c>
      <c r="K339" s="6" t="inlineStr">
        <is>
          <t>The OFFER asks expected maintenance hours; the RTMs define service/support obligations but not the requested estimate.</t>
        </is>
      </c>
      <c r="L339" s="83" t="inlineStr">
        <is>
          <t>RTM-563 (After-Sales Services) and OFFER-43 (Reliability / RAM / Service) are linked only because both sit in §4.15 — a contextual (shared-section) link, not a dedicated cross-reference to this specific clause.</t>
        </is>
      </c>
      <c r="M339" s="6" t="inlineStr">
        <is>
          <t>Review/accept context</t>
        </is>
      </c>
      <c r="N339" s="6" t="inlineStr">
        <is>
          <t>Canonical PDF/DOCX.</t>
        </is>
      </c>
    </row>
    <row r="340" ht="71" customHeight="1">
      <c r="A340" s="125" t="inlineStr">
        <is>
          <t>OFFER-43</t>
        </is>
      </c>
      <c r="B340" s="125" t="inlineStr">
        <is>
          <t>Maintenance Effort &amp; Intervention Estimation</t>
        </is>
      </c>
      <c r="C340" s="125" t="n">
        <v>110</v>
      </c>
      <c r="D340" s="125" t="inlineStr">
        <is>
          <t>4.15</t>
        </is>
      </c>
      <c r="E340" s="125" t="inlineStr">
        <is>
          <t>RTM-564</t>
        </is>
      </c>
      <c r="F340" s="125" t="n">
        <v>110</v>
      </c>
      <c r="G340" s="125" t="inlineStr">
        <is>
          <t>4.15</t>
        </is>
      </c>
      <c r="H340" s="125" t="inlineStr">
        <is>
          <t>After-Sales Services</t>
        </is>
      </c>
      <c r="I340" s="125" t="inlineStr">
        <is>
          <t>The technical support shall provide fault identification/analysis and troubleshooting, as well as universal support, for all and any aspects of the QPSs, including but not limited to maintenance, technical assistance during integrated user commissioning, software &amp; firmware, etc.</t>
        </is>
      </c>
      <c r="J340" s="125" t="inlineStr">
        <is>
          <t>Contextual — maintenance effort estimate</t>
        </is>
      </c>
      <c r="K340" s="125" t="inlineStr">
        <is>
          <t>The OFFER asks expected maintenance hours; the RTMs define service/support obligations but not the requested estimate.</t>
        </is>
      </c>
      <c r="L340" s="126" t="inlineStr">
        <is>
          <t>RTM-564 (After-Sales Services) and OFFER-43 (Reliability / RAM / Service) are linked only because both sit in §4.15 — a contextual (shared-section) link, not a dedicated cross-reference to this specific clause.</t>
        </is>
      </c>
      <c r="M340" s="6" t="inlineStr">
        <is>
          <t>Review/accept context</t>
        </is>
      </c>
      <c r="N340" s="6" t="inlineStr">
        <is>
          <t>Canonical PDF/DOCX.</t>
        </is>
      </c>
    </row>
    <row r="341" ht="71" customHeight="1">
      <c r="A341" s="6" t="inlineStr">
        <is>
          <t>OFFER-43</t>
        </is>
      </c>
      <c r="B341" s="6" t="inlineStr">
        <is>
          <t>Maintenance Effort &amp; Intervention Estimation</t>
        </is>
      </c>
      <c r="C341" s="6" t="n">
        <v>110</v>
      </c>
      <c r="D341" s="6" t="inlineStr">
        <is>
          <t>4.15</t>
        </is>
      </c>
      <c r="E341" s="6" t="inlineStr">
        <is>
          <t>RTM-565</t>
        </is>
      </c>
      <c r="F341" s="6" t="n">
        <v>110</v>
      </c>
      <c r="G341" s="6" t="inlineStr">
        <is>
          <t>4.15</t>
        </is>
      </c>
      <c r="H341" s="6" t="inlineStr">
        <is>
          <t>After-Sales Services</t>
        </is>
      </c>
      <c r="I341" s="6" t="inlineStr">
        <is>
          <t>Following a request for support from SCK CEN, the actions and respective response times in case of a fault shall be:</t>
        </is>
      </c>
      <c r="J341" s="6" t="inlineStr">
        <is>
          <t>Contextual — maintenance effort estimate</t>
        </is>
      </c>
      <c r="K341" s="6" t="inlineStr">
        <is>
          <t>The OFFER asks expected maintenance hours; the RTMs define service/support obligations but not the requested estimate.</t>
        </is>
      </c>
      <c r="L341" s="83" t="inlineStr">
        <is>
          <t>RTM-565 (After-Sales Services) and OFFER-43 (Reliability / RAM / Service) are linked only because both sit in §4.15 — a contextual (shared-section) link, not a dedicated cross-reference to this specific clause.</t>
        </is>
      </c>
      <c r="M341" s="6" t="inlineStr">
        <is>
          <t>Review/accept context</t>
        </is>
      </c>
      <c r="N341" s="6" t="inlineStr">
        <is>
          <t>Canonical PDF/DOCX.</t>
        </is>
      </c>
    </row>
    <row r="342" ht="42" customHeight="1">
      <c r="A342" s="125" t="inlineStr">
        <is>
          <t>OFFER-44</t>
        </is>
      </c>
      <c r="B342" s="125" t="inlineStr">
        <is>
          <t>Project Schedule &amp; Milestone Definition</t>
        </is>
      </c>
      <c r="C342" s="125" t="n">
        <v>119</v>
      </c>
      <c r="D342" s="125" t="inlineStr">
        <is>
          <t>6.2</t>
        </is>
      </c>
      <c r="E342" s="125" t="inlineStr">
        <is>
          <t>RTM-614</t>
        </is>
      </c>
      <c r="F342" s="125" t="n">
        <v>118</v>
      </c>
      <c r="G342" s="125" t="inlineStr">
        <is>
          <t>6.1</t>
        </is>
      </c>
      <c r="H342" s="125" t="inlineStr">
        <is>
          <t>Contract Phases</t>
        </is>
      </c>
      <c r="I342" s="125" t="inlineStr">
        <is>
          <t>Contractual performance shall proceed in phases. A phase will only be considered as completed when all associated deliverables (including documentation) are approved by SCK CEN.</t>
        </is>
      </c>
      <c r="J342" s="125" t="inlineStr">
        <is>
          <t>Supporting — schedule phase structure</t>
        </is>
      </c>
      <c r="K342" s="125" t="inlineStr">
        <is>
          <t>Table 22 in §6.2 is the direct non-RTM source; RTM phase requirements support the schedule.</t>
        </is>
      </c>
      <c r="L342" s="125" t="inlineStr">
        <is>
          <t>Canonical Table 22 + §6.1 phase RTMs.</t>
        </is>
      </c>
      <c r="M342" s="6" t="inlineStr">
        <is>
          <t>OK with non-RTM source note</t>
        </is>
      </c>
      <c r="N342" s="6" t="inlineStr">
        <is>
          <t>Direct offer source is non-RTM Table 22 in §6.2; this RTM is supporting.</t>
        </is>
      </c>
    </row>
    <row r="343" ht="42" customHeight="1">
      <c r="A343" s="6" t="inlineStr">
        <is>
          <t>OFFER-44</t>
        </is>
      </c>
      <c r="B343" s="6" t="inlineStr">
        <is>
          <t>Project Schedule &amp; Milestone Definition</t>
        </is>
      </c>
      <c r="C343" s="6" t="n">
        <v>119</v>
      </c>
      <c r="D343" s="6" t="inlineStr">
        <is>
          <t>6.2</t>
        </is>
      </c>
      <c r="E343" s="6" t="inlineStr">
        <is>
          <t>RTM-615</t>
        </is>
      </c>
      <c r="F343" s="6" t="n">
        <v>118</v>
      </c>
      <c r="G343" s="6" t="inlineStr">
        <is>
          <t>6.1.1</t>
        </is>
      </c>
      <c r="H343" s="6" t="inlineStr">
        <is>
          <t>Conceptual Design (L1)</t>
        </is>
      </c>
      <c r="I343" s="6" t="inlineStr">
        <is>
          <t>In this phase, the Contractor shall, at least, perform the following activities:</t>
        </is>
      </c>
      <c r="J343" s="6" t="inlineStr">
        <is>
          <t>Supporting — schedule phase structure</t>
        </is>
      </c>
      <c r="K343" s="6" t="inlineStr">
        <is>
          <t>Table 22 in §6.2 is the direct non-RTM source; RTM phase requirements support the schedule.</t>
        </is>
      </c>
      <c r="L343" s="6" t="inlineStr">
        <is>
          <t>Canonical Table 22 + §6.1 phase RTMs.</t>
        </is>
      </c>
      <c r="M343" s="6" t="inlineStr">
        <is>
          <t>OK with non-RTM source note</t>
        </is>
      </c>
      <c r="N343" s="6" t="inlineStr">
        <is>
          <t>Direct offer source is non-RTM Table 22 in §6.2; this RTM is supporting.</t>
        </is>
      </c>
    </row>
    <row r="344" ht="42" customHeight="1">
      <c r="A344" s="125" t="inlineStr">
        <is>
          <t>OFFER-44</t>
        </is>
      </c>
      <c r="B344" s="125" t="inlineStr">
        <is>
          <t>Project Schedule &amp; Milestone Definition</t>
        </is>
      </c>
      <c r="C344" s="125" t="n">
        <v>119</v>
      </c>
      <c r="D344" s="125" t="inlineStr">
        <is>
          <t>6.2</t>
        </is>
      </c>
      <c r="E344" s="125" t="inlineStr">
        <is>
          <t>RTM-616</t>
        </is>
      </c>
      <c r="F344" s="125" t="n">
        <v>118</v>
      </c>
      <c r="G344" s="125" t="inlineStr">
        <is>
          <t>6.1.2</t>
        </is>
      </c>
      <c r="H344" s="125" t="inlineStr">
        <is>
          <t>Detailed Design (L2)</t>
        </is>
      </c>
      <c r="I344" s="125" t="inlineStr">
        <is>
          <t>In this phase, the Contractor shall, at least, perform the following activities:</t>
        </is>
      </c>
      <c r="J344" s="125" t="inlineStr">
        <is>
          <t>Supporting — schedule phase structure</t>
        </is>
      </c>
      <c r="K344" s="125" t="inlineStr">
        <is>
          <t>Table 22 in §6.2 is the direct non-RTM source; RTM phase requirements support the schedule.</t>
        </is>
      </c>
      <c r="L344" s="125" t="inlineStr">
        <is>
          <t>Canonical Table 22 + §6.1 phase RTMs.</t>
        </is>
      </c>
      <c r="M344" s="6" t="inlineStr">
        <is>
          <t>OK with non-RTM source note</t>
        </is>
      </c>
      <c r="N344" s="6" t="inlineStr">
        <is>
          <t>Direct offer source is non-RTM Table 22 in §6.2; this RTM is supporting.</t>
        </is>
      </c>
    </row>
    <row r="345" ht="42" customHeight="1">
      <c r="A345" s="6" t="inlineStr">
        <is>
          <t>OFFER-44</t>
        </is>
      </c>
      <c r="B345" s="6" t="inlineStr">
        <is>
          <t>Project Schedule &amp; Milestone Definition</t>
        </is>
      </c>
      <c r="C345" s="6" t="n">
        <v>119</v>
      </c>
      <c r="D345" s="6" t="inlineStr">
        <is>
          <t>6.2</t>
        </is>
      </c>
      <c r="E345" s="6" t="inlineStr">
        <is>
          <t>RTM-617</t>
        </is>
      </c>
      <c r="F345" s="6" t="n">
        <v>118</v>
      </c>
      <c r="G345" s="6" t="inlineStr">
        <is>
          <t>6.1.3</t>
        </is>
      </c>
      <c r="H345" s="6" t="inlineStr">
        <is>
          <t>Construction (L3)</t>
        </is>
      </c>
      <c r="I345" s="6" t="inlineStr">
        <is>
          <t>In this phase, the Contractor shall, at least, perform the following activities:</t>
        </is>
      </c>
      <c r="J345" s="6" t="inlineStr">
        <is>
          <t>Supporting — schedule phase structure</t>
        </is>
      </c>
      <c r="K345" s="6" t="inlineStr">
        <is>
          <t>Table 22 in §6.2 is the direct non-RTM source; RTM phase requirements support the schedule.</t>
        </is>
      </c>
      <c r="L345" s="6" t="inlineStr">
        <is>
          <t>Canonical Table 22 + §6.1 phase RTMs.</t>
        </is>
      </c>
      <c r="M345" s="6" t="inlineStr">
        <is>
          <t>OK with non-RTM source note</t>
        </is>
      </c>
      <c r="N345" s="6" t="inlineStr">
        <is>
          <t>Direct offer source is non-RTM Table 22 in §6.2; this RTM is supporting.</t>
        </is>
      </c>
    </row>
    <row r="346" ht="42" customHeight="1">
      <c r="A346" s="125" t="inlineStr">
        <is>
          <t>OFFER-44</t>
        </is>
      </c>
      <c r="B346" s="125" t="inlineStr">
        <is>
          <t>Project Schedule &amp; Milestone Definition</t>
        </is>
      </c>
      <c r="C346" s="125" t="n">
        <v>119</v>
      </c>
      <c r="D346" s="125" t="inlineStr">
        <is>
          <t>6.2</t>
        </is>
      </c>
      <c r="E346" s="125" t="inlineStr">
        <is>
          <t>RTM-618</t>
        </is>
      </c>
      <c r="F346" s="125" t="n">
        <v>118</v>
      </c>
      <c r="G346" s="125" t="inlineStr">
        <is>
          <t>6.1.4</t>
        </is>
      </c>
      <c r="H346" s="125" t="inlineStr">
        <is>
          <t>Installation (L4)</t>
        </is>
      </c>
      <c r="I346" s="125" t="inlineStr">
        <is>
          <t>In this phase, the Contractor shall, at least, perform the following activities:</t>
        </is>
      </c>
      <c r="J346" s="125" t="inlineStr">
        <is>
          <t>Supporting — schedule phase structure</t>
        </is>
      </c>
      <c r="K346" s="125" t="inlineStr">
        <is>
          <t>Table 22 in §6.2 is the direct non-RTM source; RTM phase requirements support the schedule.</t>
        </is>
      </c>
      <c r="L346" s="125" t="inlineStr">
        <is>
          <t>Canonical Table 22 + §6.1 phase RTMs.</t>
        </is>
      </c>
      <c r="M346" s="6" t="inlineStr">
        <is>
          <t>OK with non-RTM source note</t>
        </is>
      </c>
      <c r="N346" s="6" t="inlineStr">
        <is>
          <t>Direct offer source is non-RTM Table 22 in §6.2; this RTM is supporting.</t>
        </is>
      </c>
    </row>
    <row r="347" ht="42" customHeight="1">
      <c r="A347" s="6" t="inlineStr">
        <is>
          <t>OFFER-44</t>
        </is>
      </c>
      <c r="B347" s="6" t="inlineStr">
        <is>
          <t>Project Schedule &amp; Milestone Definition</t>
        </is>
      </c>
      <c r="C347" s="6" t="n">
        <v>119</v>
      </c>
      <c r="D347" s="6" t="inlineStr">
        <is>
          <t>6.2</t>
        </is>
      </c>
      <c r="E347" s="6" t="inlineStr">
        <is>
          <t>RTM-619</t>
        </is>
      </c>
      <c r="F347" s="6" t="n">
        <v>118</v>
      </c>
      <c r="G347" s="6" t="inlineStr">
        <is>
          <t>6.1.5</t>
        </is>
      </c>
      <c r="H347" s="6" t="inlineStr">
        <is>
          <t>Standalone Commissioning (L5)</t>
        </is>
      </c>
      <c r="I347" s="6" t="inlineStr">
        <is>
          <t>In this phase, the Contractor shall, at least, perform the following activities:</t>
        </is>
      </c>
      <c r="J347" s="6" t="inlineStr">
        <is>
          <t>Supporting — schedule phase structure</t>
        </is>
      </c>
      <c r="K347" s="6" t="inlineStr">
        <is>
          <t>Table 22 in §6.2 is the direct non-RTM source; RTM phase requirements support the schedule.</t>
        </is>
      </c>
      <c r="L347" s="6" t="inlineStr">
        <is>
          <t>Canonical Table 22 + §6.1 phase RTMs.</t>
        </is>
      </c>
      <c r="M347" s="6" t="inlineStr">
        <is>
          <t>OK with non-RTM source note</t>
        </is>
      </c>
      <c r="N347" s="6" t="inlineStr">
        <is>
          <t>Direct offer source is non-RTM Table 22 in §6.2; this RTM is supporting.</t>
        </is>
      </c>
    </row>
    <row r="348" ht="42" customHeight="1">
      <c r="A348" s="125" t="inlineStr">
        <is>
          <t>OFFER-44</t>
        </is>
      </c>
      <c r="B348" s="125" t="inlineStr">
        <is>
          <t>Project Schedule &amp; Milestone Definition</t>
        </is>
      </c>
      <c r="C348" s="125" t="n">
        <v>119</v>
      </c>
      <c r="D348" s="125" t="inlineStr">
        <is>
          <t>6.2</t>
        </is>
      </c>
      <c r="E348" s="125" t="inlineStr">
        <is>
          <t>RTM-620</t>
        </is>
      </c>
      <c r="F348" s="125" t="n">
        <v>119</v>
      </c>
      <c r="G348" s="125" t="inlineStr">
        <is>
          <t>6.1.6</t>
        </is>
      </c>
      <c r="H348" s="125" t="inlineStr">
        <is>
          <t>Site Acceptance testing (L6)</t>
        </is>
      </c>
      <c r="I348" s="125" t="inlineStr">
        <is>
          <t>In this phase, the Contractor shall, at least, perform the following activities:</t>
        </is>
      </c>
      <c r="J348" s="125" t="inlineStr">
        <is>
          <t>Supporting — schedule phase structure</t>
        </is>
      </c>
      <c r="K348" s="125" t="inlineStr">
        <is>
          <t>Table 22 in §6.2 is the direct non-RTM source; RTM phase requirements support the schedule.</t>
        </is>
      </c>
      <c r="L348" s="125" t="inlineStr">
        <is>
          <t>Canonical Table 22 + §6.1 phase RTMs.</t>
        </is>
      </c>
      <c r="M348" s="6" t="inlineStr">
        <is>
          <t>OK with non-RTM source note</t>
        </is>
      </c>
      <c r="N348" s="6" t="inlineStr">
        <is>
          <t>Direct offer source is non-RTM Table 22 in §6.2; this RTM is supporting.</t>
        </is>
      </c>
    </row>
    <row r="349" ht="71" customHeight="1">
      <c r="A349" s="6" t="inlineStr">
        <is>
          <t>OFFER-45</t>
        </is>
      </c>
      <c r="B349" s="6" t="inlineStr">
        <is>
          <t>Project Dashboard &amp; Management Processes</t>
        </is>
      </c>
      <c r="C349" s="6" t="n">
        <v>122</v>
      </c>
      <c r="D349" s="6" t="inlineStr">
        <is>
          <t>7.4.1</t>
        </is>
      </c>
      <c r="E349" s="6" t="inlineStr">
        <is>
          <t>RTM-633</t>
        </is>
      </c>
      <c r="F349" s="6" t="n">
        <v>122</v>
      </c>
      <c r="G349" s="6" t="inlineStr">
        <is>
          <t>7.4.1</t>
        </is>
      </c>
      <c r="H349" s="6" t="inlineStr">
        <is>
          <t>Progress Dashboard</t>
        </is>
      </c>
      <c r="I349" s="6" t="inlineStr">
        <is>
          <t>The Contractor shall implement a digital dashboard giving SCK CEN a snapshot up-to-date information on the status and progress of the Contract. The information shall be continuously (at least monthly) updated with the latest information. The Contractor shall produce and submit monthly progress reports to SCK CEN at least three Business Days prior to the monthly progress meeting. If comments or revisions arise during the progress meeting, the Contractor shall issue an updated version five business days after the meeting. The dashboard shall, as a minimum, include the following:</t>
        </is>
      </c>
      <c r="J349" s="6" t="inlineStr">
        <is>
          <t>Direct — exact contract section</t>
        </is>
      </c>
      <c r="K349" s="6" t="inlineStr">
        <is>
          <t>Partial evidence: OFFER response supports evaluation; it does not replace full RTM compliance.</t>
        </is>
      </c>
      <c r="L349" s="83" t="inlineStr">
        <is>
          <t>RTM-633 (Progress Dashboard) and OFFER-45 (Controls / Software / Management) are linked only because both sit in §7.4.1 — a direct (shared-section) link, not a dedicated cross-reference to this specific clause.</t>
        </is>
      </c>
      <c r="M349" s="6" t="inlineStr">
        <is>
          <t>OK</t>
        </is>
      </c>
      <c r="N349" s="6" t="inlineStr">
        <is>
          <t>Canonical PDF/DOCX.</t>
        </is>
      </c>
    </row>
    <row r="350" ht="71" customHeight="1">
      <c r="A350" s="125" t="inlineStr">
        <is>
          <t>OFFER-46</t>
        </is>
      </c>
      <c r="B350" s="125" t="inlineStr">
        <is>
          <t>Risk Assessment &amp; Mitigation Strategy</t>
        </is>
      </c>
      <c r="C350" s="125" t="n">
        <v>123</v>
      </c>
      <c r="D350" s="125" t="inlineStr">
        <is>
          <t>7.5</t>
        </is>
      </c>
      <c r="E350" s="125" t="inlineStr">
        <is>
          <t>RTM-640</t>
        </is>
      </c>
      <c r="F350" s="125" t="n">
        <v>123</v>
      </c>
      <c r="G350" s="125" t="inlineStr">
        <is>
          <t>7.5</t>
        </is>
      </c>
      <c r="H350" s="125" t="inlineStr">
        <is>
          <t>Risk Assessment &amp; Management Plan</t>
        </is>
      </c>
      <c r="I350" s="125" t="inlineStr">
        <is>
          <t>During contract execution, the Contractor shall detail, complete, and continuously maintain the Risk Assessment &amp; Management Plan. The Contractor shall continuously monitor, identify, and document any new risks that might threaten the successful completion of the Contract in any way. The Contractor shall duly implement the mitigation strategy in accordance with this plan.</t>
        </is>
      </c>
      <c r="J350" s="125" t="inlineStr">
        <is>
          <t>Direct — exact contract section</t>
        </is>
      </c>
      <c r="K350" s="125" t="inlineStr">
        <is>
          <t>Partial evidence: OFFER response supports evaluation; it does not replace full RTM compliance.</t>
        </is>
      </c>
      <c r="L350" s="126" t="inlineStr">
        <is>
          <t>RTM-640 (Risk Assessment &amp; Management Plan) and OFFER-46 (Reliability / RAM / Service) are linked only because both sit in §7.5 — a direct (shared-section) link, not a dedicated cross-reference to this specific clause.</t>
        </is>
      </c>
      <c r="M350" s="6" t="inlineStr">
        <is>
          <t>OK</t>
        </is>
      </c>
      <c r="N350" s="6" t="inlineStr">
        <is>
          <t>Canonical PDF/DOCX.</t>
        </is>
      </c>
    </row>
    <row r="351" ht="71" customHeight="1">
      <c r="A351" s="6" t="inlineStr">
        <is>
          <t>OFFER-47</t>
        </is>
      </c>
      <c r="B351" s="6" t="inlineStr">
        <is>
          <t>Quality Assurance Program (QAP) Definition</t>
        </is>
      </c>
      <c r="C351" s="6" t="n">
        <v>124</v>
      </c>
      <c r="D351" s="6" t="inlineStr">
        <is>
          <t>8</t>
        </is>
      </c>
      <c r="E351" s="6" t="inlineStr">
        <is>
          <t>RTM-642</t>
        </is>
      </c>
      <c r="F351" s="6" t="n">
        <v>124</v>
      </c>
      <c r="G351" s="6" t="inlineStr">
        <is>
          <t>8</t>
        </is>
      </c>
      <c r="H351" s="6" t="inlineStr">
        <is>
          <t>General Quality Assurance and Control</t>
        </is>
      </c>
      <c r="I351" s="6" t="inlineStr">
        <is>
          <t>Prior to beginning any other work, the Contractor shall submit a detailed Quality Assurance &amp; Control Program (QAP) to SCK for approval, demonstrating compliance with the QA/QC requirements set out in this document. Any required change to the QAP during Contract execution shall be requested from SCK CEN via a Change Request. The QAP shall include e.g. Manufacturing and Inspection Plan / Inspection and Test Plan, Responsibility Matrix, Change Register, Non-Conformity Register, audit reports, FAT reports, SAT reports, commissioning reports, and installation dossiers</t>
        </is>
      </c>
      <c r="J351" s="6" t="inlineStr">
        <is>
          <t>Direct — primary evidence anchor</t>
        </is>
      </c>
      <c r="K351" s="6" t="inlineStr">
        <is>
          <t>Partial evidence: OFFER response supports evaluation; it does not replace full RTM compliance.</t>
        </is>
      </c>
      <c r="L351" s="83" t="inlineStr">
        <is>
          <t>RTM-642 (General Quality Assurance and Control) is OFFER-47's (Compliance / Quality) primary technical anchor in §8 — the direct classification means this is the main clause being evidenced here, not one of several equally-weighted section-mates.</t>
        </is>
      </c>
      <c r="M351" s="6" t="inlineStr">
        <is>
          <t>OK</t>
        </is>
      </c>
      <c r="N351" s="6" t="inlineStr">
        <is>
          <t>Canonical PDF/DOCX.</t>
        </is>
      </c>
    </row>
    <row r="352" ht="42" customHeight="1">
      <c r="A352" s="125" t="inlineStr">
        <is>
          <t>OFFER-47</t>
        </is>
      </c>
      <c r="B352" s="125" t="inlineStr">
        <is>
          <t>Quality Assurance Program (QAP) Definition</t>
        </is>
      </c>
      <c r="C352" s="125" t="n">
        <v>124</v>
      </c>
      <c r="D352" s="125" t="inlineStr">
        <is>
          <t>8</t>
        </is>
      </c>
      <c r="E352" s="125" t="inlineStr">
        <is>
          <t>RTM-648</t>
        </is>
      </c>
      <c r="F352" s="125" t="n">
        <v>124</v>
      </c>
      <c r="G352" s="125" t="inlineStr">
        <is>
          <t>8.1.3</t>
        </is>
      </c>
      <c r="H352" s="125" t="inlineStr">
        <is>
          <t>Quality Assurance Program</t>
        </is>
      </c>
      <c r="I352" s="125" t="inlineStr">
        <is>
          <t>Quality assurance and control activities, including QAP, MIP, inspections, and requirements fulfilment and conformity assessment, shall be implemented.</t>
        </is>
      </c>
      <c r="J352" s="125" t="inlineStr">
        <is>
          <t>Supporting — QAP detail</t>
        </is>
      </c>
      <c r="K352" s="125" t="inlineStr">
        <is>
          <t>Supporting/contextual evidence only; not full RTM fulfilment.</t>
        </is>
      </c>
      <c r="L352" s="125" t="inlineStr">
        <is>
          <t>OFFER-47 requests a preliminary QAP; QAP detail appears in §8.1.3 and §8.1.3.1.</t>
        </is>
      </c>
      <c r="M352" s="6" t="inlineStr">
        <is>
          <t>Review breadth</t>
        </is>
      </c>
      <c r="N352" s="6" t="inlineStr">
        <is>
          <t>Canonical PDF/DOCX.</t>
        </is>
      </c>
    </row>
    <row r="353" ht="42" customHeight="1">
      <c r="A353" s="6" t="inlineStr">
        <is>
          <t>OFFER-47</t>
        </is>
      </c>
      <c r="B353" s="6" t="inlineStr">
        <is>
          <t>Quality Assurance Program (QAP) Definition</t>
        </is>
      </c>
      <c r="C353" s="6" t="n">
        <v>124</v>
      </c>
      <c r="D353" s="6" t="inlineStr">
        <is>
          <t>8</t>
        </is>
      </c>
      <c r="E353" s="6" t="inlineStr">
        <is>
          <t>RTM-649</t>
        </is>
      </c>
      <c r="F353" s="6" t="n">
        <v>124</v>
      </c>
      <c r="G353" s="6" t="inlineStr">
        <is>
          <t>8.1.3</t>
        </is>
      </c>
      <c r="H353" s="6" t="inlineStr">
        <is>
          <t>Quality Assurance Program</t>
        </is>
      </c>
      <c r="I353" s="6" t="inlineStr">
        <is>
          <t>The Quality Assurance Program (QAP) shall include User Training and Competence Transfer as controlled activities, with defined inputs, outputs, responsibilities, and records.</t>
        </is>
      </c>
      <c r="J353" s="6" t="inlineStr">
        <is>
          <t>Supporting — QAP detail</t>
        </is>
      </c>
      <c r="K353" s="6" t="inlineStr">
        <is>
          <t>Supporting/contextual evidence only; not full RTM fulfilment.</t>
        </is>
      </c>
      <c r="L353" s="6" t="inlineStr">
        <is>
          <t>OFFER-47 requests a preliminary QAP; QAP detail appears in §8.1.3 and §8.1.3.1.</t>
        </is>
      </c>
      <c r="M353" s="6" t="inlineStr">
        <is>
          <t>Review breadth</t>
        </is>
      </c>
      <c r="N353" s="6" t="inlineStr">
        <is>
          <t>Canonical PDF/DOCX.</t>
        </is>
      </c>
    </row>
    <row r="354" ht="42" customHeight="1">
      <c r="A354" s="125" t="inlineStr">
        <is>
          <t>OFFER-47</t>
        </is>
      </c>
      <c r="B354" s="125" t="inlineStr">
        <is>
          <t>Quality Assurance Program (QAP) Definition</t>
        </is>
      </c>
      <c r="C354" s="125" t="n">
        <v>124</v>
      </c>
      <c r="D354" s="125" t="inlineStr">
        <is>
          <t>8</t>
        </is>
      </c>
      <c r="E354" s="125" t="inlineStr">
        <is>
          <t>RTM-650</t>
        </is>
      </c>
      <c r="F354" s="125" t="n">
        <v>124</v>
      </c>
      <c r="G354" s="125" t="inlineStr">
        <is>
          <t>8.1.3.1</t>
        </is>
      </c>
      <c r="H354" s="125" t="inlineStr">
        <is>
          <t>Quality Assurance Plan (QAP)</t>
        </is>
      </c>
      <c r="I354" s="125" t="inlineStr">
        <is>
          <t>Prior to beginning its work, the Contractor shall submit a QAP for review and approval by SCK CEN demonstrating compliance with the requirements set out in the Contract. It shall cover at minimum the following topics:</t>
        </is>
      </c>
      <c r="J354" s="125" t="inlineStr">
        <is>
          <t>Supporting — QAP detail</t>
        </is>
      </c>
      <c r="K354" s="125" t="inlineStr">
        <is>
          <t>Supporting/contextual evidence only; not full RTM fulfilment.</t>
        </is>
      </c>
      <c r="L354" s="125" t="inlineStr">
        <is>
          <t>OFFER-47 requests a preliminary QAP; QAP detail appears in §8.1.3 and §8.1.3.1.</t>
        </is>
      </c>
      <c r="M354" s="6" t="inlineStr">
        <is>
          <t>Review breadth</t>
        </is>
      </c>
      <c r="N354" s="6" t="inlineStr">
        <is>
          <t>Canonical PDF/DOCX.</t>
        </is>
      </c>
    </row>
    <row r="355" ht="42" customHeight="1">
      <c r="A355" s="6" t="inlineStr">
        <is>
          <t>OFFER-47</t>
        </is>
      </c>
      <c r="B355" s="6" t="inlineStr">
        <is>
          <t>Quality Assurance Program (QAP) Definition</t>
        </is>
      </c>
      <c r="C355" s="6" t="n">
        <v>124</v>
      </c>
      <c r="D355" s="6" t="inlineStr">
        <is>
          <t>8</t>
        </is>
      </c>
      <c r="E355" s="6" t="inlineStr">
        <is>
          <t>RTM-651</t>
        </is>
      </c>
      <c r="F355" s="6" t="n">
        <v>125</v>
      </c>
      <c r="G355" s="6" t="inlineStr">
        <is>
          <t>8.1.3.1</t>
        </is>
      </c>
      <c r="H355" s="6" t="inlineStr">
        <is>
          <t>Quality Assurance Plan (QAP)</t>
        </is>
      </c>
      <c r="I355" s="6" t="inlineStr">
        <is>
          <t>The Contractor must adhere to the QAP and shall apply the mandatory QA/QC measures throughout the performance of the Contract. In case a deviation is required from one or another condition set out in the Contract, such request shall be clearly stated in the QAP.</t>
        </is>
      </c>
      <c r="J355" s="6" t="inlineStr">
        <is>
          <t>Supporting — QAP detail</t>
        </is>
      </c>
      <c r="K355" s="6" t="inlineStr">
        <is>
          <t>Supporting/contextual evidence only; not full RTM fulfilment.</t>
        </is>
      </c>
      <c r="L355" s="6" t="inlineStr">
        <is>
          <t>OFFER-47 requests a preliminary QAP; QAP detail appears in §8.1.3 and §8.1.3.1.</t>
        </is>
      </c>
      <c r="M355" s="6" t="inlineStr">
        <is>
          <t>Review breadth</t>
        </is>
      </c>
      <c r="N355" s="6" t="inlineStr">
        <is>
          <t>Canonical PDF/DOCX.</t>
        </is>
      </c>
    </row>
    <row r="356" ht="42" customHeight="1">
      <c r="A356" s="125" t="inlineStr">
        <is>
          <t>OFFER-47</t>
        </is>
      </c>
      <c r="B356" s="125" t="inlineStr">
        <is>
          <t>Quality Assurance Program (QAP) Definition</t>
        </is>
      </c>
      <c r="C356" s="125" t="n">
        <v>124</v>
      </c>
      <c r="D356" s="125" t="inlineStr">
        <is>
          <t>8</t>
        </is>
      </c>
      <c r="E356" s="125" t="inlineStr">
        <is>
          <t>RTM-652</t>
        </is>
      </c>
      <c r="F356" s="125" t="n">
        <v>125</v>
      </c>
      <c r="G356" s="125" t="inlineStr">
        <is>
          <t>8.1.3.1</t>
        </is>
      </c>
      <c r="H356" s="125" t="inlineStr">
        <is>
          <t>Quality Assurance Plan (QAP)</t>
        </is>
      </c>
      <c r="I356" s="125" t="inlineStr">
        <is>
          <t>Contractors who subcontract work to a subcontractor must take appropriate measures to ensure that the subcontractor complies with the QAP.</t>
        </is>
      </c>
      <c r="J356" s="125" t="inlineStr">
        <is>
          <t>Supporting — QAP detail</t>
        </is>
      </c>
      <c r="K356" s="125" t="inlineStr">
        <is>
          <t>Supporting/contextual evidence only; not full RTM fulfilment.</t>
        </is>
      </c>
      <c r="L356" s="125" t="inlineStr">
        <is>
          <t>OFFER-47 requests a preliminary QAP; QAP detail appears in §8.1.3 and §8.1.3.1.</t>
        </is>
      </c>
      <c r="M356" s="6" t="inlineStr">
        <is>
          <t>Review breadth</t>
        </is>
      </c>
      <c r="N356" s="6" t="inlineStr">
        <is>
          <t>Canonical PDF/DOCX.</t>
        </is>
      </c>
    </row>
    <row r="357" ht="71" customHeight="1">
      <c r="A357" s="6" t="inlineStr">
        <is>
          <t>OFFER-48</t>
        </is>
      </c>
      <c r="B357" s="6" t="inlineStr">
        <is>
          <t>Detailed Quality Control Procedures</t>
        </is>
      </c>
      <c r="C357" s="6" t="n">
        <v>125</v>
      </c>
      <c r="D357" s="6" t="inlineStr">
        <is>
          <t>8.1.3.1</t>
        </is>
      </c>
      <c r="E357" s="6" t="inlineStr">
        <is>
          <t>RTM-650</t>
        </is>
      </c>
      <c r="F357" s="6" t="n">
        <v>124</v>
      </c>
      <c r="G357" s="6" t="inlineStr">
        <is>
          <t>8.1.3.1</t>
        </is>
      </c>
      <c r="H357" s="6" t="inlineStr">
        <is>
          <t>Quality Assurance Plan (QAP)</t>
        </is>
      </c>
      <c r="I357" s="6" t="inlineStr">
        <is>
          <t>Prior to beginning its work, the Contractor shall submit a QAP for review and approval by SCK CEN demonstrating compliance with the requirements set out in the Contract. It shall cover at minimum the following topics:</t>
        </is>
      </c>
      <c r="J357" s="6" t="inlineStr">
        <is>
          <t>Direct — primary evidence anchor</t>
        </is>
      </c>
      <c r="K357" s="6" t="inlineStr">
        <is>
          <t>Partial evidence: OFFER response supports evaluation; it does not replace full RTM compliance.</t>
        </is>
      </c>
      <c r="L357" s="83" t="inlineStr">
        <is>
          <t>RTM-650 (Quality Assurance Plan (QAP)) is OFFER-48's (Compliance / Quality) primary technical anchor in §8.1.3.1 — the direct classification means this is the main clause being evidenced here, not one of several equally-weighted section-mates.</t>
        </is>
      </c>
      <c r="M357" s="6" t="inlineStr">
        <is>
          <t>OK</t>
        </is>
      </c>
      <c r="N357" s="6" t="inlineStr">
        <is>
          <t>Canonical PDF/DOCX.</t>
        </is>
      </c>
    </row>
    <row r="358" ht="71" customHeight="1">
      <c r="A358" s="125" t="inlineStr">
        <is>
          <t>OFFER-48</t>
        </is>
      </c>
      <c r="B358" s="125" t="inlineStr">
        <is>
          <t>Detailed Quality Control Procedures</t>
        </is>
      </c>
      <c r="C358" s="125" t="n">
        <v>125</v>
      </c>
      <c r="D358" s="125" t="inlineStr">
        <is>
          <t>8.1.3.1</t>
        </is>
      </c>
      <c r="E358" s="125" t="inlineStr">
        <is>
          <t>RTM-651</t>
        </is>
      </c>
      <c r="F358" s="125" t="n">
        <v>125</v>
      </c>
      <c r="G358" s="125" t="inlineStr">
        <is>
          <t>8.1.3.1</t>
        </is>
      </c>
      <c r="H358" s="125" t="inlineStr">
        <is>
          <t>Quality Assurance Plan (QAP)</t>
        </is>
      </c>
      <c r="I358" s="125" t="inlineStr">
        <is>
          <t>The Contractor must adhere to the QAP and shall apply the mandatory QA/QC measures throughout the performance of the Contract. In case a deviation is required from one or another condition set out in the Contract, such request shall be clearly stated in the QAP.</t>
        </is>
      </c>
      <c r="J358" s="125" t="inlineStr">
        <is>
          <t>Direct — primary evidence anchor</t>
        </is>
      </c>
      <c r="K358" s="125" t="inlineStr">
        <is>
          <t>Partial evidence: OFFER response supports evaluation; it does not replace full RTM compliance.</t>
        </is>
      </c>
      <c r="L358" s="126" t="inlineStr">
        <is>
          <t>RTM-651 (Quality Assurance Plan (QAP)) is OFFER-48's (Compliance / Quality) primary technical anchor in §8.1.3.1 — the direct classification means this is the main clause being evidenced here, not one of several equally-weighted section-mates.</t>
        </is>
      </c>
      <c r="M358" s="6" t="inlineStr">
        <is>
          <t>OK</t>
        </is>
      </c>
      <c r="N358" s="6" t="inlineStr">
        <is>
          <t>Canonical PDF/DOCX.</t>
        </is>
      </c>
    </row>
    <row r="359" ht="71" customHeight="1">
      <c r="A359" s="6" t="inlineStr">
        <is>
          <t>OFFER-48</t>
        </is>
      </c>
      <c r="B359" s="6" t="inlineStr">
        <is>
          <t>Detailed Quality Control Procedures</t>
        </is>
      </c>
      <c r="C359" s="6" t="n">
        <v>125</v>
      </c>
      <c r="D359" s="6" t="inlineStr">
        <is>
          <t>8.1.3.1</t>
        </is>
      </c>
      <c r="E359" s="6" t="inlineStr">
        <is>
          <t>RTM-652</t>
        </is>
      </c>
      <c r="F359" s="6" t="n">
        <v>125</v>
      </c>
      <c r="G359" s="6" t="inlineStr">
        <is>
          <t>8.1.3.1</t>
        </is>
      </c>
      <c r="H359" s="6" t="inlineStr">
        <is>
          <t>Quality Assurance Plan (QAP)</t>
        </is>
      </c>
      <c r="I359" s="6" t="inlineStr">
        <is>
          <t>Contractors who subcontract work to a subcontractor must take appropriate measures to ensure that the subcontractor complies with the QAP.</t>
        </is>
      </c>
      <c r="J359" s="6" t="inlineStr">
        <is>
          <t>Direct — primary evidence anchor</t>
        </is>
      </c>
      <c r="K359" s="6" t="inlineStr">
        <is>
          <t>Partial evidence: OFFER response supports evaluation; it does not replace full RTM compliance.</t>
        </is>
      </c>
      <c r="L359" s="83" t="inlineStr">
        <is>
          <t>RTM-652 (Quality Assurance Plan (QAP)) is OFFER-48's (Compliance / Quality) primary technical anchor in §8.1.3.1 — the direct classification means this is the main clause being evidenced here, not one of several equally-weighted section-mates.</t>
        </is>
      </c>
      <c r="M359" s="6" t="inlineStr">
        <is>
          <t>OK</t>
        </is>
      </c>
      <c r="N359" s="6" t="inlineStr">
        <is>
          <t>Canonical PDF/DOCX.</t>
        </is>
      </c>
    </row>
    <row r="360" ht="71" customHeight="1">
      <c r="A360" s="125" t="inlineStr">
        <is>
          <t>OFFER-49</t>
        </is>
      </c>
      <c r="B360" s="125" t="inlineStr">
        <is>
          <t>Codes, Standards &amp; Compliance Framework</t>
        </is>
      </c>
      <c r="C360" s="125" t="n">
        <v>129</v>
      </c>
      <c r="D360" s="125" t="inlineStr">
        <is>
          <t>9</t>
        </is>
      </c>
      <c r="E360" s="125" t="inlineStr">
        <is>
          <t>RTM-687</t>
        </is>
      </c>
      <c r="F360" s="125" t="n">
        <v>129</v>
      </c>
      <c r="G360" s="125" t="inlineStr">
        <is>
          <t>9</t>
        </is>
      </c>
      <c r="H360" s="125" t="inlineStr">
        <is>
          <t>Applicable legislation, Codes and Standards</t>
        </is>
      </c>
      <c r="I360" s="125" t="inlineStr">
        <is>
          <t>Compliance with a listed standard shall not be limited to design calculations or certificates but shall, where applicable, be reflected in:</t>
        </is>
      </c>
      <c r="J360" s="125" t="inlineStr">
        <is>
          <t>Direct — primary evidence anchor</t>
        </is>
      </c>
      <c r="K360" s="125" t="inlineStr">
        <is>
          <t>Partial evidence: OFFER response supports evaluation; it does not replace full RTM compliance.</t>
        </is>
      </c>
      <c r="L360" s="126" t="inlineStr">
        <is>
          <t>RTM-687 (Applicable legislation, Codes and Standards) is OFFER-49's (Compliance / Quality) primary technical anchor in §9 — the direct classification means this is the main clause being evidenced here, not one of several equally-weighted section-mates.</t>
        </is>
      </c>
      <c r="M360" s="6" t="inlineStr">
        <is>
          <t>OK</t>
        </is>
      </c>
      <c r="N360" s="6" t="inlineStr">
        <is>
          <t>Canonical PDF/DOCX.</t>
        </is>
      </c>
    </row>
    <row r="361" ht="71" customHeight="1">
      <c r="A361" s="6" t="inlineStr">
        <is>
          <t>OFFER-49</t>
        </is>
      </c>
      <c r="B361" s="6" t="inlineStr">
        <is>
          <t>Codes, Standards &amp; Compliance Framework</t>
        </is>
      </c>
      <c r="C361" s="6" t="n">
        <v>129</v>
      </c>
      <c r="D361" s="6" t="inlineStr">
        <is>
          <t>9</t>
        </is>
      </c>
      <c r="E361" s="6" t="inlineStr">
        <is>
          <t>RTM-688</t>
        </is>
      </c>
      <c r="F361" s="6" t="n">
        <v>129</v>
      </c>
      <c r="G361" s="6" t="inlineStr">
        <is>
          <t>9</t>
        </is>
      </c>
      <c r="H361" s="6" t="inlineStr">
        <is>
          <t>Applicable legislation, Codes and Standards</t>
        </is>
      </c>
      <c r="I361" s="6" t="inlineStr">
        <is>
          <t>The Contractor shall organise the applicable codes and standards in a hierarchical manner where management-system standards (e.g. ISO 9001) act as parents to project-level requirements and technical standards (e.g. PED, EN 13480, EN 13445, IEC functional-safety standards).</t>
        </is>
      </c>
      <c r="J361" s="6" t="inlineStr">
        <is>
          <t>Direct — primary evidence anchor</t>
        </is>
      </c>
      <c r="K361" s="6" t="inlineStr">
        <is>
          <t>Partial evidence: OFFER response supports evaluation; it does not replace full RTM compliance.</t>
        </is>
      </c>
      <c r="L361" s="83" t="inlineStr">
        <is>
          <t>RTM-688 (Applicable legislation, Codes and Standards) is OFFER-49's (Compliance / Quality) primary technical anchor in §9 — the direct classification means this is the main clause being evidenced here, not one of several equally-weighted section-mates.</t>
        </is>
      </c>
      <c r="M361" s="6" t="inlineStr">
        <is>
          <t>OK</t>
        </is>
      </c>
      <c r="N361" s="6" t="inlineStr">
        <is>
          <t>Canonical PDF/DOCX.</t>
        </is>
      </c>
    </row>
    <row r="362" ht="42" customHeight="1">
      <c r="A362" s="125" t="inlineStr">
        <is>
          <t>OFFER-49</t>
        </is>
      </c>
      <c r="B362" s="125" t="inlineStr">
        <is>
          <t>Codes, Standards &amp; Compliance Framework</t>
        </is>
      </c>
      <c r="C362" s="125" t="n">
        <v>129</v>
      </c>
      <c r="D362" s="125" t="inlineStr">
        <is>
          <t>9</t>
        </is>
      </c>
      <c r="E362" s="125" t="inlineStr">
        <is>
          <t>RTM-689</t>
        </is>
      </c>
      <c r="F362" s="125" t="n">
        <v>129</v>
      </c>
      <c r="G362" s="125" t="inlineStr">
        <is>
          <t>9.1</t>
        </is>
      </c>
      <c r="H362" s="125" t="inlineStr">
        <is>
          <t>Applicable legislation</t>
        </is>
      </c>
      <c r="I362" s="125" t="inlineStr">
        <is>
          <t>The Contractor shall provide an EU declaration of conformity for the QPS and CE mark all QPS components.</t>
        </is>
      </c>
      <c r="J362" s="125" t="inlineStr">
        <is>
          <t>Supporting — applicable standards subsections</t>
        </is>
      </c>
      <c r="K362" s="125" t="inlineStr">
        <is>
          <t>Supporting/contextual evidence only; not full RTM fulfilment.</t>
        </is>
      </c>
      <c r="L362" s="125" t="inlineStr">
        <is>
          <t>The OFFER list must cover the codes and standards required by the child subsections.</t>
        </is>
      </c>
      <c r="M362" s="6" t="inlineStr">
        <is>
          <t>Review breadth</t>
        </is>
      </c>
      <c r="N362" s="6" t="inlineStr">
        <is>
          <t>Canonical PDF/DOCX.</t>
        </is>
      </c>
    </row>
    <row r="363" ht="42" customHeight="1">
      <c r="A363" s="6" t="inlineStr">
        <is>
          <t>OFFER-49</t>
        </is>
      </c>
      <c r="B363" s="6" t="inlineStr">
        <is>
          <t>Codes, Standards &amp; Compliance Framework</t>
        </is>
      </c>
      <c r="C363" s="6" t="n">
        <v>129</v>
      </c>
      <c r="D363" s="6" t="inlineStr">
        <is>
          <t>9</t>
        </is>
      </c>
      <c r="E363" s="6" t="inlineStr">
        <is>
          <t>RTM-690</t>
        </is>
      </c>
      <c r="F363" s="6" t="n">
        <v>129</v>
      </c>
      <c r="G363" s="6" t="inlineStr">
        <is>
          <t>9.1</t>
        </is>
      </c>
      <c r="H363" s="6" t="inlineStr">
        <is>
          <t>Applicable legislation</t>
        </is>
      </c>
      <c r="I363" s="6" t="inlineStr">
        <is>
          <t>The Contractor shall identify all EU directives applicable to the QPS and ensure compliance with said EU directives. The directives listed below are identified by SCK CEN as a minimum requirement but does not exclude other directives from being applicable:</t>
        </is>
      </c>
      <c r="J363" s="6" t="inlineStr">
        <is>
          <t>Supporting — applicable standards subsections</t>
        </is>
      </c>
      <c r="K363" s="6" t="inlineStr">
        <is>
          <t>Supporting/contextual evidence only; not full RTM fulfilment.</t>
        </is>
      </c>
      <c r="L363" s="6" t="inlineStr">
        <is>
          <t>The OFFER list must cover the codes and standards required by the child subsections.</t>
        </is>
      </c>
      <c r="M363" s="6" t="inlineStr">
        <is>
          <t>Review breadth</t>
        </is>
      </c>
      <c r="N363" s="6" t="inlineStr">
        <is>
          <t>Canonical PDF/DOCX.</t>
        </is>
      </c>
    </row>
    <row r="364" ht="42" customHeight="1">
      <c r="A364" s="125" t="inlineStr">
        <is>
          <t>OFFER-49</t>
        </is>
      </c>
      <c r="B364" s="125" t="inlineStr">
        <is>
          <t>Codes, Standards &amp; Compliance Framework</t>
        </is>
      </c>
      <c r="C364" s="125" t="n">
        <v>129</v>
      </c>
      <c r="D364" s="125" t="inlineStr">
        <is>
          <t>9</t>
        </is>
      </c>
      <c r="E364" s="125" t="inlineStr">
        <is>
          <t>RTM-691</t>
        </is>
      </c>
      <c r="F364" s="125" t="n">
        <v>129</v>
      </c>
      <c r="G364" s="125" t="inlineStr">
        <is>
          <t>9.1</t>
        </is>
      </c>
      <c r="H364" s="125" t="inlineStr">
        <is>
          <t>Applicable legislation</t>
        </is>
      </c>
      <c r="I364" s="125" t="inlineStr">
        <is>
          <t>For pressure equipment and associated piping, the Contractor shall assume the role of Manufacturer (or equivalent designation under the applicable pressure equipment legislation and standards) and shall be responsible for design, manufacturing, conformity assessment, marking, and documentation in accordance with Pressure Equipment Directive (2014/68/EU). These responsibilities shall be clearly reflected in the Responsibility Matrix and the Codes and Standards Register which form part of the continuously updated QAP.</t>
        </is>
      </c>
      <c r="J364" s="125" t="inlineStr">
        <is>
          <t>Supporting — applicable standards subsections</t>
        </is>
      </c>
      <c r="K364" s="125" t="inlineStr">
        <is>
          <t>Supporting/contextual evidence only; not full RTM fulfilment.</t>
        </is>
      </c>
      <c r="L364" s="125" t="inlineStr">
        <is>
          <t>The OFFER list must cover the codes and standards required by the child subsections.</t>
        </is>
      </c>
      <c r="M364" s="6" t="inlineStr">
        <is>
          <t>Review breadth</t>
        </is>
      </c>
      <c r="N364" s="6" t="inlineStr">
        <is>
          <t>Canonical PDF/DOCX.</t>
        </is>
      </c>
    </row>
    <row r="365" ht="42" customHeight="1">
      <c r="A365" s="6" t="inlineStr">
        <is>
          <t>OFFER-49</t>
        </is>
      </c>
      <c r="B365" s="6" t="inlineStr">
        <is>
          <t>Codes, Standards &amp; Compliance Framework</t>
        </is>
      </c>
      <c r="C365" s="6" t="n">
        <v>129</v>
      </c>
      <c r="D365" s="6" t="inlineStr">
        <is>
          <t>9</t>
        </is>
      </c>
      <c r="E365" s="6" t="inlineStr">
        <is>
          <t>RTM-692</t>
        </is>
      </c>
      <c r="F365" s="6" t="n">
        <v>129</v>
      </c>
      <c r="G365" s="6" t="inlineStr">
        <is>
          <t>9.1</t>
        </is>
      </c>
      <c r="H365" s="6" t="inlineStr">
        <is>
          <t>Applicable legislation</t>
        </is>
      </c>
      <c r="I365" s="6" t="inlineStr">
        <is>
          <t>The Contractor shall identify and apply all applicable norms and directives.</t>
        </is>
      </c>
      <c r="J365" s="6" t="inlineStr">
        <is>
          <t>Supporting — applicable standards subsections</t>
        </is>
      </c>
      <c r="K365" s="6" t="inlineStr">
        <is>
          <t>Supporting/contextual evidence only; not full RTM fulfilment.</t>
        </is>
      </c>
      <c r="L365" s="6" t="inlineStr">
        <is>
          <t>The OFFER list must cover the codes and standards required by the child subsections.</t>
        </is>
      </c>
      <c r="M365" s="6" t="inlineStr">
        <is>
          <t>Review breadth</t>
        </is>
      </c>
      <c r="N365" s="6" t="inlineStr">
        <is>
          <t>Canonical PDF/DOCX.</t>
        </is>
      </c>
    </row>
    <row r="366" ht="42" customHeight="1">
      <c r="A366" s="125" t="inlineStr">
        <is>
          <t>OFFER-49</t>
        </is>
      </c>
      <c r="B366" s="125" t="inlineStr">
        <is>
          <t>Codes, Standards &amp; Compliance Framework</t>
        </is>
      </c>
      <c r="C366" s="125" t="n">
        <v>129</v>
      </c>
      <c r="D366" s="125" t="inlineStr">
        <is>
          <t>9</t>
        </is>
      </c>
      <c r="E366" s="125" t="inlineStr">
        <is>
          <t>RTM-693</t>
        </is>
      </c>
      <c r="F366" s="125" t="n">
        <v>129</v>
      </c>
      <c r="G366" s="125" t="inlineStr">
        <is>
          <t>9.1</t>
        </is>
      </c>
      <c r="H366" s="125" t="inlineStr">
        <is>
          <t>Applicable legislation</t>
        </is>
      </c>
      <c r="I366" s="125" t="inlineStr">
        <is>
          <t>To demonstrate conformity with the applicable EU directives, the Contractor shall submit the Technical File well before the shipment of the first QPS parts. The Technical File shall include at least:</t>
        </is>
      </c>
      <c r="J366" s="125" t="inlineStr">
        <is>
          <t>Supporting — applicable standards subsections</t>
        </is>
      </c>
      <c r="K366" s="125" t="inlineStr">
        <is>
          <t>Supporting/contextual evidence only; not full RTM fulfilment.</t>
        </is>
      </c>
      <c r="L366" s="125" t="inlineStr">
        <is>
          <t>The OFFER list must cover the codes and standards required by the child subsections.</t>
        </is>
      </c>
      <c r="M366" s="6" t="inlineStr">
        <is>
          <t>Review breadth</t>
        </is>
      </c>
      <c r="N366" s="6" t="inlineStr">
        <is>
          <t>Canonical PDF/DOCX.</t>
        </is>
      </c>
    </row>
    <row r="367" ht="42" customHeight="1">
      <c r="A367" s="6" t="inlineStr">
        <is>
          <t>OFFER-49</t>
        </is>
      </c>
      <c r="B367" s="6" t="inlineStr">
        <is>
          <t>Codes, Standards &amp; Compliance Framework</t>
        </is>
      </c>
      <c r="C367" s="6" t="n">
        <v>129</v>
      </c>
      <c r="D367" s="6" t="inlineStr">
        <is>
          <t>9</t>
        </is>
      </c>
      <c r="E367" s="6" t="inlineStr">
        <is>
          <t>RTM-694</t>
        </is>
      </c>
      <c r="F367" s="6" t="n">
        <v>130</v>
      </c>
      <c r="G367" s="6" t="inlineStr">
        <is>
          <t>9.1</t>
        </is>
      </c>
      <c r="H367" s="6" t="inlineStr">
        <is>
          <t>Applicable legislation</t>
        </is>
      </c>
      <c r="I367" s="6" t="inlineStr">
        <is>
          <t>The Contractor shall identify and document the applicable Belgian and Flemish environmental regulatory requirements and proof or demonstration with compliance for associated with the QPS installation. This shall include, but is not limited to, requirements imposed by local environmental laws specific VLAREM II (Environmental Permit Regulation).</t>
        </is>
      </c>
      <c r="J367" s="6" t="inlineStr">
        <is>
          <t>Supporting — applicable standards subsections</t>
        </is>
      </c>
      <c r="K367" s="6" t="inlineStr">
        <is>
          <t>Supporting/contextual evidence only; not full RTM fulfilment.</t>
        </is>
      </c>
      <c r="L367" s="6" t="inlineStr">
        <is>
          <t>The OFFER list must cover the codes and standards required by the child subsections.</t>
        </is>
      </c>
      <c r="M367" s="6" t="inlineStr">
        <is>
          <t>Review breadth</t>
        </is>
      </c>
      <c r="N367" s="6" t="inlineStr">
        <is>
          <t>Canonical PDF/DOCX.</t>
        </is>
      </c>
    </row>
    <row r="368" ht="42" customHeight="1">
      <c r="A368" s="125" t="inlineStr">
        <is>
          <t>OFFER-49</t>
        </is>
      </c>
      <c r="B368" s="125" t="inlineStr">
        <is>
          <t>Codes, Standards &amp; Compliance Framework</t>
        </is>
      </c>
      <c r="C368" s="125" t="n">
        <v>129</v>
      </c>
      <c r="D368" s="125" t="inlineStr">
        <is>
          <t>9</t>
        </is>
      </c>
      <c r="E368" s="125" t="inlineStr">
        <is>
          <t>RTM-695</t>
        </is>
      </c>
      <c r="F368" s="125" t="n">
        <v>130</v>
      </c>
      <c r="G368" s="125" t="inlineStr">
        <is>
          <t>9.1</t>
        </is>
      </c>
      <c r="H368" s="125" t="inlineStr">
        <is>
          <t>Applicable legislation</t>
        </is>
      </c>
      <c r="I368" s="125" t="inlineStr">
        <is>
          <t>If requested by SCK CEN, the Contractor shall submit an updated version of the Technical File including more detail on specific section to demonstrate conformity with the directive(s) in more detail. This may require adding e.g.:</t>
        </is>
      </c>
      <c r="J368" s="125" t="inlineStr">
        <is>
          <t>Supporting — applicable standards subsections</t>
        </is>
      </c>
      <c r="K368" s="125" t="inlineStr">
        <is>
          <t>Supporting/contextual evidence only; not full RTM fulfilment.</t>
        </is>
      </c>
      <c r="L368" s="125" t="inlineStr">
        <is>
          <t>The OFFER list must cover the codes and standards required by the child subsections.</t>
        </is>
      </c>
      <c r="M368" s="6" t="inlineStr">
        <is>
          <t>Review breadth</t>
        </is>
      </c>
      <c r="N368" s="6" t="inlineStr">
        <is>
          <t>Canonical PDF/DOCX.</t>
        </is>
      </c>
    </row>
    <row r="369" ht="42" customHeight="1">
      <c r="A369" s="6" t="inlineStr">
        <is>
          <t>OFFER-49</t>
        </is>
      </c>
      <c r="B369" s="6" t="inlineStr">
        <is>
          <t>Codes, Standards &amp; Compliance Framework</t>
        </is>
      </c>
      <c r="C369" s="6" t="n">
        <v>129</v>
      </c>
      <c r="D369" s="6" t="inlineStr">
        <is>
          <t>9</t>
        </is>
      </c>
      <c r="E369" s="6" t="inlineStr">
        <is>
          <t>RTM-696</t>
        </is>
      </c>
      <c r="F369" s="6" t="n">
        <v>130</v>
      </c>
      <c r="G369" s="6" t="inlineStr">
        <is>
          <t>9.1</t>
        </is>
      </c>
      <c r="H369" s="6" t="inlineStr">
        <is>
          <t>Applicable legislation</t>
        </is>
      </c>
      <c r="I369" s="6" t="inlineStr">
        <is>
          <t>The Contractor’s Health, Safety and Environmental Plan shall comply with the MINERVA Health, Safety and Environmental Plan [AD_02].</t>
        </is>
      </c>
      <c r="J369" s="6" t="inlineStr">
        <is>
          <t>Supporting — applicable standards subsections</t>
        </is>
      </c>
      <c r="K369" s="6" t="inlineStr">
        <is>
          <t>Supporting/contextual evidence only; not full RTM fulfilment.</t>
        </is>
      </c>
      <c r="L369" s="6" t="inlineStr">
        <is>
          <t>The OFFER list must cover the codes and standards required by the child subsections.</t>
        </is>
      </c>
      <c r="M369" s="6" t="inlineStr">
        <is>
          <t>Review breadth</t>
        </is>
      </c>
      <c r="N369" s="6" t="inlineStr">
        <is>
          <t>Canonical PDF/DOCX.</t>
        </is>
      </c>
    </row>
    <row r="370" ht="42" customHeight="1">
      <c r="A370" s="125" t="inlineStr">
        <is>
          <t>OFFER-49</t>
        </is>
      </c>
      <c r="B370" s="125" t="inlineStr">
        <is>
          <t>Codes, Standards &amp; Compliance Framework</t>
        </is>
      </c>
      <c r="C370" s="125" t="n">
        <v>129</v>
      </c>
      <c r="D370" s="125" t="inlineStr">
        <is>
          <t>9</t>
        </is>
      </c>
      <c r="E370" s="125" t="inlineStr">
        <is>
          <t>RTM-697</t>
        </is>
      </c>
      <c r="F370" s="125" t="n">
        <v>130</v>
      </c>
      <c r="G370" s="125" t="inlineStr">
        <is>
          <t>9.2</t>
        </is>
      </c>
      <c r="H370" s="125" t="inlineStr">
        <is>
          <t>Asset Management and Maintenance Standards</t>
        </is>
      </c>
      <c r="I370" s="125" t="inlineStr">
        <is>
          <t>The Contractor shall apply at least the standards listed in Table 23</t>
        </is>
      </c>
      <c r="J370" s="125" t="inlineStr">
        <is>
          <t>Supporting — applicable standards subsections</t>
        </is>
      </c>
      <c r="K370" s="125" t="inlineStr">
        <is>
          <t>Supporting/contextual evidence only; not full RTM fulfilment.</t>
        </is>
      </c>
      <c r="L370" s="125" t="inlineStr">
        <is>
          <t>The OFFER list must cover the codes and standards required by the child subsections.</t>
        </is>
      </c>
      <c r="M370" s="6" t="inlineStr">
        <is>
          <t>Review breadth</t>
        </is>
      </c>
      <c r="N370" s="6" t="inlineStr">
        <is>
          <t>Canonical PDF/DOCX.</t>
        </is>
      </c>
    </row>
    <row r="371" ht="42" customHeight="1">
      <c r="A371" s="6" t="inlineStr">
        <is>
          <t>OFFER-49</t>
        </is>
      </c>
      <c r="B371" s="6" t="inlineStr">
        <is>
          <t>Codes, Standards &amp; Compliance Framework</t>
        </is>
      </c>
      <c r="C371" s="6" t="n">
        <v>129</v>
      </c>
      <c r="D371" s="6" t="inlineStr">
        <is>
          <t>9</t>
        </is>
      </c>
      <c r="E371" s="6" t="inlineStr">
        <is>
          <t>RTM-698</t>
        </is>
      </c>
      <c r="F371" s="6" t="n">
        <v>130</v>
      </c>
      <c r="G371" s="6" t="inlineStr">
        <is>
          <t>9.3</t>
        </is>
      </c>
      <c r="H371" s="6" t="inlineStr">
        <is>
          <t>Electromagnetic interference</t>
        </is>
      </c>
      <c r="I371" s="6" t="inlineStr">
        <is>
          <t>The Contractor shall propose a solution, subject to approval by SCK CEN, to minimize the effects of electromagnetic interference (EMI). The solution shall address shielding, cabling, signal routing, voltage level separation, and earthing strategy.</t>
        </is>
      </c>
      <c r="J371" s="6" t="inlineStr">
        <is>
          <t>Supporting — applicable standards subsections</t>
        </is>
      </c>
      <c r="K371" s="6" t="inlineStr">
        <is>
          <t>Supporting/contextual evidence only; not full RTM fulfilment.</t>
        </is>
      </c>
      <c r="L371" s="6" t="inlineStr">
        <is>
          <t>The OFFER list must cover the codes and standards required by the child subsections.</t>
        </is>
      </c>
      <c r="M371" s="6" t="inlineStr">
        <is>
          <t>Review breadth</t>
        </is>
      </c>
      <c r="N371" s="6" t="inlineStr">
        <is>
          <t>Canonical PDF/DOCX.</t>
        </is>
      </c>
    </row>
    <row r="372" ht="42" customHeight="1">
      <c r="A372" s="125" t="inlineStr">
        <is>
          <t>OFFER-49</t>
        </is>
      </c>
      <c r="B372" s="125" t="inlineStr">
        <is>
          <t>Codes, Standards &amp; Compliance Framework</t>
        </is>
      </c>
      <c r="C372" s="125" t="n">
        <v>129</v>
      </c>
      <c r="D372" s="125" t="inlineStr">
        <is>
          <t>9</t>
        </is>
      </c>
      <c r="E372" s="125" t="inlineStr">
        <is>
          <t>RTM-699</t>
        </is>
      </c>
      <c r="F372" s="125" t="n">
        <v>130</v>
      </c>
      <c r="G372" s="125" t="inlineStr">
        <is>
          <t>9.3</t>
        </is>
      </c>
      <c r="H372" s="125" t="inlineStr">
        <is>
          <t>Electromagnetic interference</t>
        </is>
      </c>
      <c r="I372" s="125" t="inlineStr">
        <is>
          <t>The EMI mitigation design shall ensure that all instrumentation and control signals operate within their specified accuracy limits under defined electromagnetic environments.</t>
        </is>
      </c>
      <c r="J372" s="125" t="inlineStr">
        <is>
          <t>Supporting — applicable standards subsections</t>
        </is>
      </c>
      <c r="K372" s="125" t="inlineStr">
        <is>
          <t>Supporting/contextual evidence only; not full RTM fulfilment.</t>
        </is>
      </c>
      <c r="L372" s="125" t="inlineStr">
        <is>
          <t>The OFFER list must cover the codes and standards required by the child subsections.</t>
        </is>
      </c>
      <c r="M372" s="6" t="inlineStr">
        <is>
          <t>Review breadth</t>
        </is>
      </c>
      <c r="N372" s="6" t="inlineStr">
        <is>
          <t>Canonical PDF/DOCX.</t>
        </is>
      </c>
    </row>
    <row r="373" ht="42" customHeight="1">
      <c r="A373" s="6" t="inlineStr">
        <is>
          <t>OFFER-49</t>
        </is>
      </c>
      <c r="B373" s="6" t="inlineStr">
        <is>
          <t>Codes, Standards &amp; Compliance Framework</t>
        </is>
      </c>
      <c r="C373" s="6" t="n">
        <v>129</v>
      </c>
      <c r="D373" s="6" t="inlineStr">
        <is>
          <t>9</t>
        </is>
      </c>
      <c r="E373" s="6" t="inlineStr">
        <is>
          <t>RTM-700</t>
        </is>
      </c>
      <c r="F373" s="6" t="n">
        <v>130</v>
      </c>
      <c r="G373" s="6" t="inlineStr">
        <is>
          <t>9.3</t>
        </is>
      </c>
      <c r="H373" s="6" t="inlineStr">
        <is>
          <t>Electromagnetic interference</t>
        </is>
      </c>
      <c r="I373" s="6" t="inlineStr">
        <is>
          <t>The proposed solution shall comply with the relevant sections of EN 61000-6-2 (Immunity for industrial environments) and EN 61000-6-4 (Emission for industrial environments), or an equivalent standard approved by SCK CEN. The Contractor shall verify correct implementation by at least:</t>
        </is>
      </c>
      <c r="J373" s="6" t="inlineStr">
        <is>
          <t>Supporting — applicable standards subsections</t>
        </is>
      </c>
      <c r="K373" s="6" t="inlineStr">
        <is>
          <t>Supporting/contextual evidence only; not full RTM fulfilment.</t>
        </is>
      </c>
      <c r="L373" s="6" t="inlineStr">
        <is>
          <t>The OFFER list must cover the codes and standards required by the child subsections.</t>
        </is>
      </c>
      <c r="M373" s="6" t="inlineStr">
        <is>
          <t>Review breadth</t>
        </is>
      </c>
      <c r="N373" s="6" t="inlineStr">
        <is>
          <t>Canonical PDF/DOCX.</t>
        </is>
      </c>
    </row>
    <row r="374" ht="42" customHeight="1">
      <c r="A374" s="125" t="inlineStr">
        <is>
          <t>OFFER-49</t>
        </is>
      </c>
      <c r="B374" s="125" t="inlineStr">
        <is>
          <t>Codes, Standards &amp; Compliance Framework</t>
        </is>
      </c>
      <c r="C374" s="125" t="n">
        <v>129</v>
      </c>
      <c r="D374" s="125" t="inlineStr">
        <is>
          <t>9</t>
        </is>
      </c>
      <c r="E374" s="125" t="inlineStr">
        <is>
          <t>RTM-701</t>
        </is>
      </c>
      <c r="F374" s="125" t="n">
        <v>131</v>
      </c>
      <c r="G374" s="125" t="inlineStr">
        <is>
          <t>9.3</t>
        </is>
      </c>
      <c r="H374" s="125" t="inlineStr">
        <is>
          <t>Electromagnetic interference</t>
        </is>
      </c>
      <c r="I374" s="125" t="inlineStr">
        <is>
          <t>To ease diagnostic and checking of measurement chains, knife-switch type terminal blocks or similar cabling interface shall be fitted for input and output signals connections with the QPS:CIS.</t>
        </is>
      </c>
      <c r="J374" s="125" t="inlineStr">
        <is>
          <t>Supporting — applicable standards subsections</t>
        </is>
      </c>
      <c r="K374" s="125" t="inlineStr">
        <is>
          <t>Supporting/contextual evidence only; not full RTM fulfilment.</t>
        </is>
      </c>
      <c r="L374" s="125" t="inlineStr">
        <is>
          <t>The OFFER list must cover the codes and standards required by the child subsections.</t>
        </is>
      </c>
      <c r="M374" s="6" t="inlineStr">
        <is>
          <t>Review breadth</t>
        </is>
      </c>
      <c r="N374" s="6" t="inlineStr">
        <is>
          <t>Canonical PDF/DOCX.</t>
        </is>
      </c>
    </row>
    <row r="375" ht="42" customHeight="1">
      <c r="A375" s="6" t="inlineStr">
        <is>
          <t>OFFER-49</t>
        </is>
      </c>
      <c r="B375" s="6" t="inlineStr">
        <is>
          <t>Codes, Standards &amp; Compliance Framework</t>
        </is>
      </c>
      <c r="C375" s="6" t="n">
        <v>129</v>
      </c>
      <c r="D375" s="6" t="inlineStr">
        <is>
          <t>9</t>
        </is>
      </c>
      <c r="E375" s="6" t="inlineStr">
        <is>
          <t>RTM-702</t>
        </is>
      </c>
      <c r="F375" s="6" t="n">
        <v>131</v>
      </c>
      <c r="G375" s="6" t="inlineStr">
        <is>
          <t>9.4</t>
        </is>
      </c>
      <c r="H375" s="6" t="inlineStr">
        <is>
          <t>Pressure Equipment &amp; Safety</t>
        </is>
      </c>
      <c r="I375" s="6" t="inlineStr">
        <is>
          <t>The Contractor shall comply at least with the standards specified in Table 24.</t>
        </is>
      </c>
      <c r="J375" s="6" t="inlineStr">
        <is>
          <t>Supporting — applicable standards subsections</t>
        </is>
      </c>
      <c r="K375" s="6" t="inlineStr">
        <is>
          <t>Supporting/contextual evidence only; not full RTM fulfilment.</t>
        </is>
      </c>
      <c r="L375" s="6" t="inlineStr">
        <is>
          <t>The OFFER list must cover the codes and standards required by the child subsections.</t>
        </is>
      </c>
      <c r="M375" s="6" t="inlineStr">
        <is>
          <t>Review breadth</t>
        </is>
      </c>
      <c r="N375" s="6" t="inlineStr">
        <is>
          <t>Canonical PDF/DOCX.</t>
        </is>
      </c>
    </row>
    <row r="376" ht="42" customHeight="1">
      <c r="A376" s="125" t="inlineStr">
        <is>
          <t>OFFER-49</t>
        </is>
      </c>
      <c r="B376" s="125" t="inlineStr">
        <is>
          <t>Codes, Standards &amp; Compliance Framework</t>
        </is>
      </c>
      <c r="C376" s="125" t="n">
        <v>129</v>
      </c>
      <c r="D376" s="125" t="inlineStr">
        <is>
          <t>9</t>
        </is>
      </c>
      <c r="E376" s="125" t="inlineStr">
        <is>
          <t>RTM-703</t>
        </is>
      </c>
      <c r="F376" s="125" t="n">
        <v>131</v>
      </c>
      <c r="G376" s="125" t="inlineStr">
        <is>
          <t>9.5</t>
        </is>
      </c>
      <c r="H376" s="125" t="inlineStr">
        <is>
          <t>Functional Safety &amp; Control</t>
        </is>
      </c>
      <c r="I376" s="125" t="inlineStr">
        <is>
          <t>The Contractor shall comply at least with the standards specified in Table 25.</t>
        </is>
      </c>
      <c r="J376" s="125" t="inlineStr">
        <is>
          <t>Supporting — applicable standards subsections</t>
        </is>
      </c>
      <c r="K376" s="125" t="inlineStr">
        <is>
          <t>Supporting/contextual evidence only; not full RTM fulfilment.</t>
        </is>
      </c>
      <c r="L376" s="125" t="inlineStr">
        <is>
          <t>The OFFER list must cover the codes and standards required by the child subsections.</t>
        </is>
      </c>
      <c r="M376" s="6" t="inlineStr">
        <is>
          <t>Review breadth</t>
        </is>
      </c>
      <c r="N376" s="6" t="inlineStr">
        <is>
          <t>Canonical PDF/DOCX.</t>
        </is>
      </c>
    </row>
    <row r="377" ht="42" customHeight="1">
      <c r="A377" s="6" t="inlineStr">
        <is>
          <t>OFFER-49</t>
        </is>
      </c>
      <c r="B377" s="6" t="inlineStr">
        <is>
          <t>Codes, Standards &amp; Compliance Framework</t>
        </is>
      </c>
      <c r="C377" s="6" t="n">
        <v>129</v>
      </c>
      <c r="D377" s="6" t="inlineStr">
        <is>
          <t>9</t>
        </is>
      </c>
      <c r="E377" s="6" t="inlineStr">
        <is>
          <t>RTM-704</t>
        </is>
      </c>
      <c r="F377" s="6" t="n">
        <v>131</v>
      </c>
      <c r="G377" s="6" t="inlineStr">
        <is>
          <t>9.5</t>
        </is>
      </c>
      <c r="H377" s="6" t="inlineStr">
        <is>
          <t>Functional Safety &amp; Control</t>
        </is>
      </c>
      <c r="I377" s="6" t="inlineStr">
        <is>
          <t>Any system involved in personnel protection shall be designed according to standards IEC 61508 (Functional Safety) or one of the sector-specific derived standards (IEC 62061, IEC 61511) or alternative (e.g. ISO 13849-1).</t>
        </is>
      </c>
      <c r="J377" s="6" t="inlineStr">
        <is>
          <t>Supporting — applicable standards subsections</t>
        </is>
      </c>
      <c r="K377" s="6" t="inlineStr">
        <is>
          <t>Supporting/contextual evidence only; not full RTM fulfilment.</t>
        </is>
      </c>
      <c r="L377" s="6" t="inlineStr">
        <is>
          <t>The OFFER list must cover the codes and standards required by the child subsections.</t>
        </is>
      </c>
      <c r="M377" s="6" t="inlineStr">
        <is>
          <t>Review breadth</t>
        </is>
      </c>
      <c r="N377" s="6" t="inlineStr">
        <is>
          <t>Canonical PDF/DOCX.</t>
        </is>
      </c>
    </row>
    <row r="378" ht="42" customHeight="1">
      <c r="A378" s="125" t="inlineStr">
        <is>
          <t>OFFER-49</t>
        </is>
      </c>
      <c r="B378" s="125" t="inlineStr">
        <is>
          <t>Codes, Standards &amp; Compliance Framework</t>
        </is>
      </c>
      <c r="C378" s="125" t="n">
        <v>129</v>
      </c>
      <c r="D378" s="125" t="inlineStr">
        <is>
          <t>9</t>
        </is>
      </c>
      <c r="E378" s="125" t="inlineStr">
        <is>
          <t>RTM-705</t>
        </is>
      </c>
      <c r="F378" s="125" t="n">
        <v>131</v>
      </c>
      <c r="G378" s="125" t="inlineStr">
        <is>
          <t>9.6</t>
        </is>
      </c>
      <c r="H378" s="125" t="inlineStr">
        <is>
          <t>Cleanliness &amp; Purity</t>
        </is>
      </c>
      <c r="I378" s="125" t="inlineStr">
        <is>
          <t>The Contractor shall comply at least with the standards specified in Table 26.</t>
        </is>
      </c>
      <c r="J378" s="125" t="inlineStr">
        <is>
          <t>Supporting — applicable standards subsections</t>
        </is>
      </c>
      <c r="K378" s="125" t="inlineStr">
        <is>
          <t>Supporting/contextual evidence only; not full RTM fulfilment.</t>
        </is>
      </c>
      <c r="L378" s="125" t="inlineStr">
        <is>
          <t>The OFFER list must cover the codes and standards required by the child subsections.</t>
        </is>
      </c>
      <c r="M378" s="6" t="inlineStr">
        <is>
          <t>Review breadth</t>
        </is>
      </c>
      <c r="N378" s="6" t="inlineStr">
        <is>
          <t>Canonical PDF/DOCX.</t>
        </is>
      </c>
    </row>
    <row r="379" ht="71" customHeight="1">
      <c r="A379" s="6" t="inlineStr">
        <is>
          <t>OFFER-50</t>
        </is>
      </c>
      <c r="B379" s="6" t="inlineStr">
        <is>
          <t>Warranty Extension Commercial Terms</t>
        </is>
      </c>
      <c r="C379" s="6" t="n">
        <v>132</v>
      </c>
      <c r="D379" s="6" t="inlineStr">
        <is>
          <t>10.2</t>
        </is>
      </c>
      <c r="E379" s="6" t="inlineStr">
        <is>
          <t>RTM-708</t>
        </is>
      </c>
      <c r="F379" s="6" t="n">
        <v>132</v>
      </c>
      <c r="G379" s="6" t="inlineStr">
        <is>
          <t>10.2</t>
        </is>
      </c>
      <c r="H379" s="6" t="inlineStr">
        <is>
          <t>Warranty Period</t>
        </is>
      </c>
      <c r="I379" s="6" t="inlineStr">
        <is>
          <t>The warranty period (the “Warranty Period”) shall start on the date of issuance of the provisional acceptance report and shall end on the date of final acceptance. The Warranty Period shall be at least 3 years.</t>
        </is>
      </c>
      <c r="J379" s="6" t="inlineStr">
        <is>
          <t>Direct — primary evidence anchor</t>
        </is>
      </c>
      <c r="K379" s="6" t="inlineStr">
        <is>
          <t>Partial evidence: OFFER response supports evaluation; it does not replace full RTM compliance.</t>
        </is>
      </c>
      <c r="L379" s="83" t="inlineStr">
        <is>
          <t>RTM-708 (Warranty Period) is OFFER-50's (Configuration / Layout / Support) primary technical anchor in §10.2 — the direct classification means this is the main clause being evidenced here, not one of several equally-weighted section-mates.</t>
        </is>
      </c>
      <c r="M379" s="6" t="inlineStr">
        <is>
          <t>OK</t>
        </is>
      </c>
      <c r="N379" s="6" t="inlineStr">
        <is>
          <t>Canonical PDF/DOCX.</t>
        </is>
      </c>
    </row>
    <row r="380" ht="71" customHeight="1">
      <c r="A380" s="125" t="inlineStr">
        <is>
          <t>OFFER-50</t>
        </is>
      </c>
      <c r="B380" s="125" t="inlineStr">
        <is>
          <t>Warranty Extension Commercial Terms</t>
        </is>
      </c>
      <c r="C380" s="125" t="n">
        <v>132</v>
      </c>
      <c r="D380" s="125" t="inlineStr">
        <is>
          <t>10.2</t>
        </is>
      </c>
      <c r="E380" s="125" t="inlineStr">
        <is>
          <t>RTM-709</t>
        </is>
      </c>
      <c r="F380" s="125" t="n">
        <v>132</v>
      </c>
      <c r="G380" s="125" t="inlineStr">
        <is>
          <t>10.2</t>
        </is>
      </c>
      <c r="H380" s="125" t="inlineStr">
        <is>
          <t>Warranty Period</t>
        </is>
      </c>
      <c r="I380" s="125" t="inlineStr">
        <is>
          <t>In-warranty repairs and/or replacement parts shall be warranted for at least one (1) year after execution, or for the unexpired portion of the original Warranty Period of the CRYOPLANT, whichever is longest. Notwithstanding the foregoing, the Warranty Period is suspended for the duration between formal notice by the Contracting Authority to the Contractor on the defect and resolving of said defect by the Contractor.</t>
        </is>
      </c>
      <c r="J380" s="125" t="inlineStr">
        <is>
          <t>Supporting warranty context</t>
        </is>
      </c>
      <c r="K380" s="125" t="inlineStr">
        <is>
          <t>The extension price is an OFFER-only commercial input; these RTMs define warranty operation and extension consequences.</t>
        </is>
      </c>
      <c r="L380" s="126" t="inlineStr">
        <is>
          <t>RTM-709 (Warranty Period) and OFFER-50 (Configuration / Layout / Support) are linked only because both sit in §10.2 — a supporting warranty context (shared-section) link, not a dedicated cross-reference to this specific clause.</t>
        </is>
      </c>
      <c r="M380" s="6" t="inlineStr">
        <is>
          <t>OK</t>
        </is>
      </c>
      <c r="N380" s="6" t="inlineStr">
        <is>
          <t>Canonical PDF/DOCX.</t>
        </is>
      </c>
    </row>
    <row r="381" ht="71" customHeight="1">
      <c r="A381" s="6" t="inlineStr">
        <is>
          <t>OFFER-50</t>
        </is>
      </c>
      <c r="B381" s="6" t="inlineStr">
        <is>
          <t>Warranty Extension Commercial Terms</t>
        </is>
      </c>
      <c r="C381" s="6" t="n">
        <v>132</v>
      </c>
      <c r="D381" s="6" t="inlineStr">
        <is>
          <t>10.2</t>
        </is>
      </c>
      <c r="E381" s="6" t="inlineStr">
        <is>
          <t>RTM-710</t>
        </is>
      </c>
      <c r="F381" s="6" t="n">
        <v>132</v>
      </c>
      <c r="G381" s="6" t="inlineStr">
        <is>
          <t>10.2</t>
        </is>
      </c>
      <c r="H381" s="6" t="inlineStr">
        <is>
          <t>Warranty Period</t>
        </is>
      </c>
      <c r="I381" s="6" t="inlineStr">
        <is>
          <t>If the Contractor fails to fulfil its obligations under the warranty, so that final acceptance cannot take place at the scheduled time, the Warranty Period shall be automatically extended, without any right to compensation for the Contractor, until final acceptance takes place.</t>
        </is>
      </c>
      <c r="J381" s="6" t="inlineStr">
        <is>
          <t>Supporting warranty context</t>
        </is>
      </c>
      <c r="K381" s="6" t="inlineStr">
        <is>
          <t>The extension price is an OFFER-only commercial input; these RTMs define warranty operation and extension consequences.</t>
        </is>
      </c>
      <c r="L381" s="83" t="inlineStr">
        <is>
          <t>RTM-710 (Warranty Period) and OFFER-50 (Configuration / Layout / Support) are linked only because both sit in §10.2 — a supporting warranty context (shared-section) link, not a dedicated cross-reference to this specific clause.</t>
        </is>
      </c>
      <c r="M381" s="6" t="inlineStr">
        <is>
          <t>OK</t>
        </is>
      </c>
      <c r="N381" s="6" t="inlineStr">
        <is>
          <t>Canonical PDF/DOCX.</t>
        </is>
      </c>
    </row>
  </sheetData>
  <autoFilter ref="A4:L381"/>
  <mergeCells count="2">
    <mergeCell ref="A2:N2"/>
    <mergeCell ref="A1:N1"/>
  </mergeCells>
  <conditionalFormatting sqref="J5:J381">
    <cfRule type="expression" priority="5" dxfId="89" stopIfTrue="0">
      <formula>ISNUMBER(SEARCH("Direct",$J5))</formula>
    </cfRule>
    <cfRule type="expression" priority="6" dxfId="90" stopIfTrue="0">
      <formula>ISNUMBER(SEARCH("Supporting",$J5))</formula>
    </cfRule>
    <cfRule type="expression" priority="7" dxfId="91" stopIfTrue="0">
      <formula>ISNUMBER(SEARCH("Broad",$J5))</formula>
    </cfRule>
    <cfRule type="expression" priority="8" dxfId="92" stopIfTrue="0">
      <formula>ISNUMBER(SEARCH("Contextual",$J5))</formula>
    </cfRule>
  </conditionalFormatting>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tabColor rgb="001FA7A0"/>
    <outlinePr summaryBelow="1" summaryRight="1"/>
    <pageSetUpPr/>
  </sheetPr>
  <dimension ref="A1:AA55"/>
  <sheetViews>
    <sheetView topLeftCell="A1" zoomScale="70" zoomScaleNormal="70" workbookViewId="0">
      <selection activeCell="A1" sqref="A1"/>
    </sheetView>
  </sheetViews>
  <sheetFormatPr baseColWidth="8" defaultRowHeight="14.25"/>
  <cols>
    <col width="8" customWidth="1" min="1" max="1"/>
    <col width="12" customWidth="1" min="2" max="2"/>
    <col width="36" customWidth="1" min="3" max="3"/>
    <col width="11" customWidth="1" min="4" max="4"/>
    <col width="14" customWidth="1" min="5" max="5"/>
    <col width="24" customWidth="1" min="6" max="6"/>
    <col width="12" customWidth="1" min="7" max="7"/>
    <col width="5" customWidth="1" min="8" max="14"/>
    <col width="12" customWidth="1" min="15" max="15"/>
    <col width="11" customWidth="1" min="16" max="17"/>
    <col width="22" customWidth="1" min="18" max="18"/>
    <col width="38" customWidth="1" min="19" max="19"/>
    <col width="30" customWidth="1" min="20" max="20"/>
    <col width="34" customWidth="1" min="21" max="21"/>
    <col width="45" customWidth="1" min="22" max="22"/>
    <col width="40" customWidth="1" min="23" max="23"/>
    <col width="34" customWidth="1" min="24" max="24"/>
    <col width="28" customWidth="1" min="25" max="25"/>
    <col width="32" customWidth="1" min="26" max="26"/>
    <col width="14" customWidth="1" min="27" max="27"/>
  </cols>
  <sheetData>
    <row r="1" ht="32.1" customHeight="1">
      <c r="A1" s="35" t="inlineStr">
        <is>
          <t>OFFER static BT ranking — recalculated from scratch</t>
        </is>
      </c>
    </row>
    <row r="2" ht="30" customHeight="1">
      <c r="A2" s="36" t="inlineStr">
        <is>
          <t>Old frozen ranks and old BT Weight are omitted. Gate status plus frozen dimension weights determine the order.</t>
        </is>
      </c>
    </row>
    <row r="3" ht="21.95" customHeight="1">
      <c r="A3" s="188">
        <f>HYPERLINK("#START_HERE!A1","Start")</f>
        <v/>
      </c>
      <c r="B3" s="188">
        <f>HYPERLINK("#DASHBOARD!A1","Dashboard")</f>
        <v/>
      </c>
      <c r="C3" s="188">
        <f>HYPERLINK("#OFFER_RANKING!A1","Ranking")</f>
        <v/>
      </c>
      <c r="D3" s="188">
        <f>HYPERLINK("#EVALUATION_INPUT!A1","Evaluate")</f>
        <v/>
      </c>
      <c r="E3" s="188">
        <f>HYPERLINK("#OFFER_CANONICAL!A1","Canonical")</f>
        <v/>
      </c>
      <c r="F3" s="188">
        <f>HYPERLINK("#RTM_CROSSWALK!A1","Crosswalk")</f>
        <v/>
      </c>
      <c r="G3" s="188">
        <f>HYPERLINK("#WEIGHTS_METHOD!A1","Method")</f>
        <v/>
      </c>
      <c r="H3" s="1" t="n"/>
      <c r="I3" s="1" t="n"/>
      <c r="J3" s="1" t="n"/>
      <c r="K3" s="1" t="n"/>
      <c r="L3" s="1" t="n"/>
      <c r="M3" s="1" t="n"/>
      <c r="N3" s="1" t="n"/>
      <c r="O3" s="1" t="n"/>
      <c r="P3" s="1" t="n"/>
      <c r="Q3" s="1" t="n"/>
      <c r="R3" s="1" t="n"/>
    </row>
    <row r="5" ht="33.95" customHeight="1">
      <c r="A5" s="3" t="inlineStr">
        <is>
          <t>Rank</t>
        </is>
      </c>
      <c r="B5" s="3" t="inlineStr">
        <is>
          <t>OFFER ID</t>
        </is>
      </c>
      <c r="C5" s="3" t="inlineStr">
        <is>
          <t>Title</t>
        </is>
      </c>
      <c r="D5" s="3" t="inlineStr">
        <is>
          <t>Gate</t>
        </is>
      </c>
      <c r="E5" s="3" t="inlineStr">
        <is>
          <t>Tier</t>
        </is>
      </c>
      <c r="F5" s="3" t="inlineStr">
        <is>
          <t>Category</t>
        </is>
      </c>
      <c r="G5" s="3" t="inlineStr">
        <is>
          <t>Section</t>
        </is>
      </c>
      <c r="H5" s="157" t="inlineStr">
        <is>
          <t>L</t>
        </is>
      </c>
      <c r="I5" s="158" t="inlineStr">
        <is>
          <t>R</t>
        </is>
      </c>
      <c r="J5" s="159" t="inlineStr">
        <is>
          <t>P</t>
        </is>
      </c>
      <c r="K5" s="160" t="inlineStr">
        <is>
          <t>F</t>
        </is>
      </c>
      <c r="L5" s="161" t="inlineStr">
        <is>
          <t>Q</t>
        </is>
      </c>
      <c r="M5" s="162" t="inlineStr">
        <is>
          <t>LC</t>
        </is>
      </c>
      <c r="N5" s="163" t="inlineStr">
        <is>
          <t>C</t>
        </is>
      </c>
      <c r="O5" s="3" t="inlineStr">
        <is>
          <t>Weighted S</t>
        </is>
      </c>
      <c r="P5" s="3" t="inlineStr">
        <is>
          <t>BT Win %</t>
        </is>
      </c>
      <c r="Q5" s="3" t="inlineStr">
        <is>
          <t>BT λ index</t>
        </is>
      </c>
      <c r="R5" s="3" t="inlineStr">
        <is>
          <t>Primary dimension</t>
        </is>
      </c>
      <c r="S5" s="3" t="inlineStr">
        <is>
          <t>Interpretation</t>
        </is>
      </c>
      <c r="T5" s="3" t="inlineStr">
        <is>
          <t>Actual explicit code / standard</t>
        </is>
      </c>
      <c r="U5" s="3" t="inlineStr">
        <is>
          <t>Reference code / standard</t>
        </is>
      </c>
      <c r="V5" s="3" t="inlineStr">
        <is>
          <t>Evidence / measurability</t>
        </is>
      </c>
      <c r="W5" s="3" t="inlineStr">
        <is>
          <t>Explicit deliverable / proof</t>
        </is>
      </c>
      <c r="X5" s="3" t="inlineStr">
        <is>
          <t>Applicable phase(s)</t>
        </is>
      </c>
      <c r="Y5" s="3" t="inlineStr">
        <is>
          <t>Primary RTMs</t>
        </is>
      </c>
      <c r="Z5" s="3" t="inlineStr">
        <is>
          <t>Supporting RTMs</t>
        </is>
      </c>
      <c r="AA5" s="3" t="inlineStr">
        <is>
          <t>Review flag</t>
        </is>
      </c>
    </row>
    <row r="6" ht="42" customHeight="1">
      <c r="A6" s="6" t="n">
        <v>1</v>
      </c>
      <c r="B6" s="6" t="inlineStr">
        <is>
          <t>OFFER-02</t>
        </is>
      </c>
      <c r="C6" s="6" t="inlineStr">
        <is>
          <t>Assumptions, Deviations &amp; Additions Register</t>
        </is>
      </c>
      <c r="D6" s="6" t="inlineStr">
        <is>
          <t>Yes</t>
        </is>
      </c>
      <c r="E6" s="6" t="inlineStr">
        <is>
          <t>T0 Gate</t>
        </is>
      </c>
      <c r="F6" s="6" t="inlineStr">
        <is>
          <t>Compliance / Quality</t>
        </is>
      </c>
      <c r="G6" s="6" t="inlineStr">
        <is>
          <t>§4.1</t>
        </is>
      </c>
      <c r="H6" s="6" t="n">
        <v>3</v>
      </c>
      <c r="I6" s="6" t="n">
        <v>3</v>
      </c>
      <c r="J6" s="6" t="n">
        <v>0</v>
      </c>
      <c r="K6" s="6" t="n">
        <v>0</v>
      </c>
      <c r="L6" s="6" t="n">
        <v>3</v>
      </c>
      <c r="M6" s="6" t="n">
        <v>0</v>
      </c>
      <c r="N6" s="6" t="n">
        <v>0</v>
      </c>
      <c r="O6" s="6" t="n">
        <v>54</v>
      </c>
      <c r="P6" s="6" t="n">
        <v>100</v>
      </c>
      <c r="Q6" s="6" t="n">
        <v>100</v>
      </c>
      <c r="R6" s="6" t="inlineStr">
        <is>
          <t>Reliability</t>
        </is>
      </c>
      <c r="S6" s="6" t="inlineStr">
        <is>
          <t>Gate precedence; within T0 ordered by Weighted S.</t>
        </is>
      </c>
      <c r="T6" s="6" t="inlineStr">
        <is>
          <t>None explicitly named in the OFFER text</t>
        </is>
      </c>
      <c r="U6" s="6" t="inlineStr">
        <is>
          <t>SCK CEN/90508872 §4.1; no named external code in OFFER text</t>
        </is>
      </c>
      <c r="V6" s="6" t="inlineStr">
        <is>
          <t>Submit and review the named deliverable with RTM traceability and approval status; RAM/maintenance substantiation and recovery/failure-response evidence; Document review, inspection, certification, audit or traceable QC record</t>
        </is>
      </c>
      <c r="W6" s="6" t="inlineStr">
        <is>
          <t>Offer response: Assumptions, Deviations &amp; Additions Register</t>
        </is>
      </c>
      <c r="X6" s="6" t="inlineStr">
        <is>
          <t>L0 Tender / Offer; L1 Conceptual Design; L2 Detailed Design</t>
        </is>
      </c>
      <c r="Y6" s="6" t="inlineStr">
        <is>
          <t>RTM-004</t>
        </is>
      </c>
      <c r="Z6" s="6" t="inlineStr">
        <is>
          <t>RTM-001..RTM-003</t>
        </is>
      </c>
      <c r="AA6" s="6" t="inlineStr">
        <is>
          <t>OK</t>
        </is>
      </c>
    </row>
    <row r="7" ht="42" customHeight="1">
      <c r="A7" s="6" t="n">
        <v>2</v>
      </c>
      <c r="B7" s="6" t="inlineStr">
        <is>
          <t>OFFER-48</t>
        </is>
      </c>
      <c r="C7" s="6" t="inlineStr">
        <is>
          <t>Detailed Quality Control Procedures</t>
        </is>
      </c>
      <c r="D7" s="6" t="inlineStr">
        <is>
          <t>Yes</t>
        </is>
      </c>
      <c r="E7" s="6" t="inlineStr">
        <is>
          <t>T0 Gate</t>
        </is>
      </c>
      <c r="F7" s="6" t="inlineStr">
        <is>
          <t>Compliance / Quality</t>
        </is>
      </c>
      <c r="G7" s="6" t="inlineStr">
        <is>
          <t>§8.1.3.1</t>
        </is>
      </c>
      <c r="H7" s="6" t="n">
        <v>3</v>
      </c>
      <c r="I7" s="6" t="n">
        <v>0</v>
      </c>
      <c r="J7" s="6" t="n">
        <v>0</v>
      </c>
      <c r="K7" s="6" t="n">
        <v>2</v>
      </c>
      <c r="L7" s="6" t="n">
        <v>3</v>
      </c>
      <c r="M7" s="6" t="n">
        <v>0</v>
      </c>
      <c r="N7" s="6" t="n">
        <v>0</v>
      </c>
      <c r="O7" s="6" t="n">
        <v>42.6667</v>
      </c>
      <c r="P7" s="6" t="n">
        <v>97.9592</v>
      </c>
      <c r="Q7" s="6" t="n">
        <v>79.43689999999999</v>
      </c>
      <c r="R7" s="6" t="inlineStr">
        <is>
          <t>Safety / Legal</t>
        </is>
      </c>
      <c r="S7" s="6" t="inlineStr">
        <is>
          <t>Gate precedence; within T0 ordered by Weighted S.</t>
        </is>
      </c>
      <c r="T7" s="6" t="inlineStr">
        <is>
          <t>None explicitly named in the OFFER text</t>
        </is>
      </c>
      <c r="U7" s="6" t="inlineStr">
        <is>
          <t>SCK CEN/90508872 §8.1.3.1; no named external code in OFFER text</t>
        </is>
      </c>
      <c r="V7" s="6" t="inlineStr">
        <is>
          <t>Submit and review the named deliverable with RTM traceability and approval status; Document review, inspection, certification, audit or traceable QC record; Conformity/safety assessment, certification and approved safety evidence</t>
        </is>
      </c>
      <c r="W7" s="6" t="inlineStr">
        <is>
          <t>Offer response: Detailed Quality Control Procedures; Quality Assurance Plan (QAP)</t>
        </is>
      </c>
      <c r="X7" s="6" t="inlineStr">
        <is>
          <t>L0 Tender / Offer; L1 Conceptual Design; L2 Detailed Design; L3 Procurement &amp; Manufacturing / FAT; L4 Installation; L5 Standalone Commissioning; L6 Site Acceptance Testing</t>
        </is>
      </c>
      <c r="Y7" s="6" t="inlineStr">
        <is>
          <t>RTM-650..RTM-652</t>
        </is>
      </c>
      <c r="Z7" s="6" t="n"/>
      <c r="AA7" s="6" t="inlineStr">
        <is>
          <t>OK</t>
        </is>
      </c>
    </row>
    <row r="8" ht="42" customHeight="1">
      <c r="A8" s="6" t="n">
        <v>3</v>
      </c>
      <c r="B8" s="6" t="inlineStr">
        <is>
          <t>OFFER-01</t>
        </is>
      </c>
      <c r="C8" s="6" t="inlineStr">
        <is>
          <t>Tender Compliance Confirmation</t>
        </is>
      </c>
      <c r="D8" s="6" t="inlineStr">
        <is>
          <t>Yes</t>
        </is>
      </c>
      <c r="E8" s="6" t="inlineStr">
        <is>
          <t>T0 Gate</t>
        </is>
      </c>
      <c r="F8" s="6" t="inlineStr">
        <is>
          <t>Compliance / Quality</t>
        </is>
      </c>
      <c r="G8" s="6" t="inlineStr">
        <is>
          <t>§4.1</t>
        </is>
      </c>
      <c r="H8" s="6" t="n">
        <v>3</v>
      </c>
      <c r="I8" s="6" t="n">
        <v>0</v>
      </c>
      <c r="J8" s="6" t="n">
        <v>0</v>
      </c>
      <c r="K8" s="6" t="n">
        <v>0</v>
      </c>
      <c r="L8" s="6" t="n">
        <v>3</v>
      </c>
      <c r="M8" s="6" t="n">
        <v>0</v>
      </c>
      <c r="N8" s="6" t="n">
        <v>0</v>
      </c>
      <c r="O8" s="6" t="n">
        <v>32</v>
      </c>
      <c r="P8" s="6" t="n">
        <v>92.8571</v>
      </c>
      <c r="Q8" s="6" t="n">
        <v>48.9107</v>
      </c>
      <c r="R8" s="6" t="inlineStr">
        <is>
          <t>Safety / Legal</t>
        </is>
      </c>
      <c r="S8" s="6" t="inlineStr">
        <is>
          <t>Gate precedence; within T0 ordered by Weighted S.</t>
        </is>
      </c>
      <c r="T8" s="6" t="inlineStr">
        <is>
          <t>None explicitly named in the OFFER text</t>
        </is>
      </c>
      <c r="U8" s="6" t="inlineStr">
        <is>
          <t>SCK CEN/90508872 §4.1; no named external code in OFFER text</t>
        </is>
      </c>
      <c r="V8" s="6" t="inlineStr">
        <is>
          <t>Submit and review the named deliverable with RTM traceability and approval status; Document review, inspection, certification, audit or traceable QC record; Conformity/safety assessment, certification and approved safety evidence</t>
        </is>
      </c>
      <c r="W8" s="6" t="inlineStr">
        <is>
          <t>Offer response: Tender Compliance Confirmation</t>
        </is>
      </c>
      <c r="X8" s="6" t="inlineStr">
        <is>
          <t>L0 Tender / Offer; L1 Conceptual Design; L2 Detailed Design</t>
        </is>
      </c>
      <c r="Y8" s="6" t="inlineStr">
        <is>
          <t>RTM-001; RTM-003</t>
        </is>
      </c>
      <c r="Z8" s="6" t="inlineStr">
        <is>
          <t>RTM-002; RTM-004</t>
        </is>
      </c>
      <c r="AA8" s="6" t="inlineStr">
        <is>
          <t>OK</t>
        </is>
      </c>
    </row>
    <row r="9" ht="42" customHeight="1">
      <c r="A9" s="6" t="n">
        <v>4</v>
      </c>
      <c r="B9" s="6" t="inlineStr">
        <is>
          <t>OFFER-03</t>
        </is>
      </c>
      <c r="C9" s="6" t="inlineStr">
        <is>
          <t>Integrated Technical Proposal &amp; Execution Strategy</t>
        </is>
      </c>
      <c r="D9" s="6" t="inlineStr">
        <is>
          <t>Yes</t>
        </is>
      </c>
      <c r="E9" s="6" t="inlineStr">
        <is>
          <t>T0 Gate</t>
        </is>
      </c>
      <c r="F9" s="6" t="inlineStr">
        <is>
          <t>Compliance / Quality</t>
        </is>
      </c>
      <c r="G9" s="6" t="inlineStr">
        <is>
          <t>§4.1</t>
        </is>
      </c>
      <c r="H9" s="6" t="n">
        <v>3</v>
      </c>
      <c r="I9" s="6" t="n">
        <v>0</v>
      </c>
      <c r="J9" s="6" t="n">
        <v>0</v>
      </c>
      <c r="K9" s="6" t="n">
        <v>0</v>
      </c>
      <c r="L9" s="6" t="n">
        <v>3</v>
      </c>
      <c r="M9" s="6" t="n">
        <v>0</v>
      </c>
      <c r="N9" s="6" t="n">
        <v>0</v>
      </c>
      <c r="O9" s="6" t="n">
        <v>32</v>
      </c>
      <c r="P9" s="6" t="n">
        <v>92.8571</v>
      </c>
      <c r="Q9" s="6" t="n">
        <v>48.9107</v>
      </c>
      <c r="R9" s="6" t="inlineStr">
        <is>
          <t>Safety / Legal</t>
        </is>
      </c>
      <c r="S9" s="6" t="inlineStr">
        <is>
          <t>Gate precedence; within T0 ordered by Weighted S.</t>
        </is>
      </c>
      <c r="T9" s="6" t="inlineStr">
        <is>
          <t>None explicitly named in the OFFER text</t>
        </is>
      </c>
      <c r="U9" s="6" t="inlineStr">
        <is>
          <t>SCK CEN/90508872 §4.1; no named external code in OFFER text</t>
        </is>
      </c>
      <c r="V9" s="6" t="inlineStr">
        <is>
          <t>Submit and review the named deliverable with RTM traceability and approval status; Document review, inspection, certification, audit or traceable QC record; Conformity/safety assessment, certification and approved safety evidence</t>
        </is>
      </c>
      <c r="W9" s="6" t="inlineStr">
        <is>
          <t>Offer response: Integrated Technical Proposal &amp; Execution Strategy</t>
        </is>
      </c>
      <c r="X9" s="6" t="inlineStr">
        <is>
          <t>L0 Tender / Offer; L1 Conceptual Design; L2 Detailed Design</t>
        </is>
      </c>
      <c r="Y9" s="6" t="inlineStr">
        <is>
          <t>RTM-002</t>
        </is>
      </c>
      <c r="Z9" s="6" t="inlineStr">
        <is>
          <t>RTM-001; RTM-003..RTM-004</t>
        </is>
      </c>
      <c r="AA9" s="6" t="inlineStr">
        <is>
          <t>OK</t>
        </is>
      </c>
    </row>
    <row r="10" ht="42" customHeight="1">
      <c r="A10" s="6" t="n">
        <v>5</v>
      </c>
      <c r="B10" s="6" t="inlineStr">
        <is>
          <t>OFFER-47</t>
        </is>
      </c>
      <c r="C10" s="6" t="inlineStr">
        <is>
          <t>Quality Assurance Program (QAP) Definition</t>
        </is>
      </c>
      <c r="D10" s="6" t="inlineStr">
        <is>
          <t>Yes</t>
        </is>
      </c>
      <c r="E10" s="6" t="inlineStr">
        <is>
          <t>T0 Gate</t>
        </is>
      </c>
      <c r="F10" s="6" t="inlineStr">
        <is>
          <t>Compliance / Quality</t>
        </is>
      </c>
      <c r="G10" s="6" t="inlineStr">
        <is>
          <t>§8</t>
        </is>
      </c>
      <c r="H10" s="6" t="n">
        <v>3</v>
      </c>
      <c r="I10" s="6" t="n">
        <v>0</v>
      </c>
      <c r="J10" s="6" t="n">
        <v>0</v>
      </c>
      <c r="K10" s="6" t="n">
        <v>0</v>
      </c>
      <c r="L10" s="6" t="n">
        <v>3</v>
      </c>
      <c r="M10" s="6" t="n">
        <v>0</v>
      </c>
      <c r="N10" s="6" t="n">
        <v>0</v>
      </c>
      <c r="O10" s="6" t="n">
        <v>32</v>
      </c>
      <c r="P10" s="6" t="n">
        <v>92.8571</v>
      </c>
      <c r="Q10" s="6" t="n">
        <v>48.9107</v>
      </c>
      <c r="R10" s="6" t="inlineStr">
        <is>
          <t>Safety / Legal</t>
        </is>
      </c>
      <c r="S10" s="6" t="inlineStr">
        <is>
          <t>Gate precedence; within T0 ordered by Weighted S.</t>
        </is>
      </c>
      <c r="T10" s="6" t="inlineStr">
        <is>
          <t>None explicitly named in the OFFER text</t>
        </is>
      </c>
      <c r="U10" s="6" t="inlineStr">
        <is>
          <t>SCK CEN/90508872 §8; no named external code in OFFER text</t>
        </is>
      </c>
      <c r="V10" s="6" t="inlineStr">
        <is>
          <t>Submit and review the named deliverable with RTM traceability and approval status; Document review, inspection, certification, audit or traceable QC record; Conformity/safety assessment, certification and approved safety evidence</t>
        </is>
      </c>
      <c r="W10" s="6" t="inlineStr">
        <is>
          <t>Offer response: Quality Assurance Program (QAP) Definition; Quality Assurance Plan (QAP)</t>
        </is>
      </c>
      <c r="X10" s="6" t="inlineStr">
        <is>
          <t>L0 Tender / Offer; L1 Conceptual Design; L2 Detailed Design; L3 Procurement &amp; Manufacturing / FAT; L4 Installation; L5 Standalone Commissioning; L6 Site Acceptance Testing</t>
        </is>
      </c>
      <c r="Y10" s="6" t="inlineStr">
        <is>
          <t>RTM-642</t>
        </is>
      </c>
      <c r="Z10" s="6" t="inlineStr">
        <is>
          <t>RTM-648..RTM-652</t>
        </is>
      </c>
      <c r="AA10" s="6" t="inlineStr">
        <is>
          <t>OK — Review breadth</t>
        </is>
      </c>
    </row>
    <row r="11" ht="42" customHeight="1">
      <c r="A11" s="6" t="n">
        <v>6</v>
      </c>
      <c r="B11" s="6" t="inlineStr">
        <is>
          <t>OFFER-49</t>
        </is>
      </c>
      <c r="C11" s="6" t="inlineStr">
        <is>
          <t>Codes, Standards &amp; Compliance Framework</t>
        </is>
      </c>
      <c r="D11" s="6" t="inlineStr">
        <is>
          <t>Yes</t>
        </is>
      </c>
      <c r="E11" s="6" t="inlineStr">
        <is>
          <t>T0 Gate</t>
        </is>
      </c>
      <c r="F11" s="6" t="inlineStr">
        <is>
          <t>Compliance / Quality</t>
        </is>
      </c>
      <c r="G11" s="6" t="inlineStr">
        <is>
          <t>§9</t>
        </is>
      </c>
      <c r="H11" s="6" t="n">
        <v>3</v>
      </c>
      <c r="I11" s="6" t="n">
        <v>0</v>
      </c>
      <c r="J11" s="6" t="n">
        <v>0</v>
      </c>
      <c r="K11" s="6" t="n">
        <v>0</v>
      </c>
      <c r="L11" s="6" t="n">
        <v>3</v>
      </c>
      <c r="M11" s="6" t="n">
        <v>0</v>
      </c>
      <c r="N11" s="6" t="n">
        <v>0</v>
      </c>
      <c r="O11" s="6" t="n">
        <v>32</v>
      </c>
      <c r="P11" s="6" t="n">
        <v>92.8571</v>
      </c>
      <c r="Q11" s="6" t="n">
        <v>48.9107</v>
      </c>
      <c r="R11" s="6" t="inlineStr">
        <is>
          <t>Safety / Legal</t>
        </is>
      </c>
      <c r="S11" s="6" t="inlineStr">
        <is>
          <t>Gate precedence; within T0 ordered by Weighted S.</t>
        </is>
      </c>
      <c r="T11" s="6" t="inlineStr">
        <is>
          <t>No individual standard named; Applicant must submit the complete applied list</t>
        </is>
      </c>
      <c r="U11" s="6" t="inlineStr">
        <is>
          <t>Linked canonical RTM/section: ISO 9001; EN 13480; EN 13445; PED; EU declaration of conformity; CE marking; Low Voltage Directive 2014/35/EU; Machinery Directive 2006/42/EC; EMC Directive 2014/30/EU; Pressure Equipment Directive 2014/68/EU; EU Eco-design Directive 2009/125/EC; VLAREM II; IEC 60300-3-3 (Reliability-Centered Maintenance); ISO 20815; IEC 60300-3-11; IEC 60300-3-12 (Life-cycle costing); ISO 55000 / 55001 / 55002 (Asset Management); ISO 14224 (Reliability &amp; maintenance data); EN 61000-6-2; EN 61000-6-4; PED 2014/68/EU; ASME VIII-1; API 520/521; EN ISO 4126; ISO 21013-1/2; IEC 61508; IEC 61511; IEC 60204-1 / 61439; IEC 60300-3-3; IEC 62061; ISO 13849-1; ISO 8573-1 Class 0; ASTM D5464</t>
        </is>
      </c>
      <c r="V11" s="6" t="inlineStr">
        <is>
          <t>Submit and review the named deliverable with RTM traceability and approval status; Witnessed FAT/SAT/commissioning test against stated acceptance criteria; Conformity/safety assessment, certification and approved safety evidence</t>
        </is>
      </c>
      <c r="W11" s="6" t="inlineStr">
        <is>
          <t>Offer response: Codes, Standards &amp; Compliance Framework; List / register / matrix</t>
        </is>
      </c>
      <c r="X11" s="6" t="inlineStr">
        <is>
          <t>L0 Tender / Offer; L3 Procurement &amp; Manufacturing / FAT; L1 Conceptual Design; L2 Detailed Design; L4 Installation; L5 Standalone Commissioning; L6 Site Acceptance Testing</t>
        </is>
      </c>
      <c r="Y11" s="6" t="inlineStr">
        <is>
          <t>RTM-687..RTM-688</t>
        </is>
      </c>
      <c r="Z11" s="6" t="inlineStr">
        <is>
          <t>RTM-689..RTM-705</t>
        </is>
      </c>
      <c r="AA11" s="6" t="inlineStr">
        <is>
          <t>OK — Review breadth</t>
        </is>
      </c>
    </row>
    <row r="12" ht="42" customHeight="1">
      <c r="A12" s="6" t="n">
        <v>7</v>
      </c>
      <c r="B12" s="6" t="inlineStr">
        <is>
          <t>OFFER-09</t>
        </is>
      </c>
      <c r="C12" s="6" t="inlineStr">
        <is>
          <t>LN2 Techno-Economic Evaluation (CAPEX/OPEX)</t>
        </is>
      </c>
      <c r="D12" s="6" t="inlineStr">
        <is>
          <t>No</t>
        </is>
      </c>
      <c r="E12" s="6" t="inlineStr">
        <is>
          <t>T1 Primary</t>
        </is>
      </c>
      <c r="F12" s="6" t="inlineStr">
        <is>
          <t>Performance / Process / Utilities</t>
        </is>
      </c>
      <c r="G12" s="6" t="inlineStr">
        <is>
          <t>§4.2.5</t>
        </is>
      </c>
      <c r="H12" s="6" t="n">
        <v>0</v>
      </c>
      <c r="I12" s="6" t="n">
        <v>3</v>
      </c>
      <c r="J12" s="6" t="n">
        <v>3</v>
      </c>
      <c r="K12" s="6" t="n">
        <v>2</v>
      </c>
      <c r="L12" s="6" t="n">
        <v>0</v>
      </c>
      <c r="M12" s="6" t="n">
        <v>0</v>
      </c>
      <c r="N12" s="6" t="n">
        <v>3</v>
      </c>
      <c r="O12" s="6" t="n">
        <v>55.6667</v>
      </c>
      <c r="P12" s="6" t="n">
        <v>87.7551</v>
      </c>
      <c r="Q12" s="6" t="n">
        <v>32.5551</v>
      </c>
      <c r="R12" s="6" t="inlineStr">
        <is>
          <t>Reliability</t>
        </is>
      </c>
      <c r="S12" s="6" t="inlineStr">
        <is>
          <t>Frozen-weight composite; strongest contribution: Reliability.</t>
        </is>
      </c>
      <c r="T12" s="6" t="inlineStr">
        <is>
          <t>None explicitly named in the OFFER text</t>
        </is>
      </c>
      <c r="U12" s="6" t="inlineStr">
        <is>
          <t>SCK CEN/90508872 §4.2.5; no named external code in OFFER text</t>
        </is>
      </c>
      <c r="V12" s="6" t="inlineStr">
        <is>
          <t>Submit and review the named deliverable with RTM traceability and approval status; Calculation/model plus calibrated measurement or recorded trend; Functional design/configuration review and sequence/interface demonstration</t>
        </is>
      </c>
      <c r="W12" s="6" t="inlineStr">
        <is>
          <t>Offer response: LN2 Techno-Economic Evaluation (CAPEX/OPEX)</t>
        </is>
      </c>
      <c r="X12" s="6" t="inlineStr">
        <is>
          <t>L0 Tender / Offer; PAC / Handover; L1 Conceptual Design; L2 Detailed Design</t>
        </is>
      </c>
      <c r="Y12" s="6" t="n"/>
      <c r="Z12" s="6" t="inlineStr">
        <is>
          <t>RTM-045..RTM-047</t>
        </is>
      </c>
      <c r="AA12" s="6" t="inlineStr">
        <is>
          <t>Review — accept context</t>
        </is>
      </c>
    </row>
    <row r="13" ht="42" customHeight="1">
      <c r="A13" s="6" t="n">
        <v>8</v>
      </c>
      <c r="B13" s="6" t="inlineStr">
        <is>
          <t>OFFER-42</t>
        </is>
      </c>
      <c r="C13" s="6" t="inlineStr">
        <is>
          <t>After-Sales Service Organization &amp; Pricing</t>
        </is>
      </c>
      <c r="D13" s="6" t="inlineStr">
        <is>
          <t>No</t>
        </is>
      </c>
      <c r="E13" s="6" t="inlineStr">
        <is>
          <t>T1 Primary</t>
        </is>
      </c>
      <c r="F13" s="6" t="inlineStr">
        <is>
          <t>Reliability / RAM / Service</t>
        </is>
      </c>
      <c r="G13" s="6" t="inlineStr">
        <is>
          <t>§4.15</t>
        </is>
      </c>
      <c r="H13" s="6" t="n">
        <v>1</v>
      </c>
      <c r="I13" s="6" t="n">
        <v>3</v>
      </c>
      <c r="J13" s="6" t="n">
        <v>0</v>
      </c>
      <c r="K13" s="6" t="n">
        <v>2</v>
      </c>
      <c r="L13" s="6" t="n">
        <v>0</v>
      </c>
      <c r="M13" s="6" t="n">
        <v>3</v>
      </c>
      <c r="N13" s="6" t="n">
        <v>0</v>
      </c>
      <c r="O13" s="6" t="n">
        <v>46.3333</v>
      </c>
      <c r="P13" s="6" t="n">
        <v>85.71429999999999</v>
      </c>
      <c r="Q13" s="6" t="n">
        <v>28.0529</v>
      </c>
      <c r="R13" s="6" t="inlineStr">
        <is>
          <t>Reliability</t>
        </is>
      </c>
      <c r="S13" s="6" t="inlineStr">
        <is>
          <t>Frozen-weight composite; strongest contribution: Reliability.</t>
        </is>
      </c>
      <c r="T13" s="6" t="inlineStr">
        <is>
          <t>None explicitly named in the OFFER text</t>
        </is>
      </c>
      <c r="U13" s="6" t="inlineStr">
        <is>
          <t>SCK CEN/90508872 §4.15; no named external code in OFFER text</t>
        </is>
      </c>
      <c r="V13" s="6" t="inlineStr">
        <is>
          <t>Submit and review the named deliverable with RTM traceability and approval status; Functional design/configuration review and sequence/interface demonstration; RAM/maintenance substantiation and recovery/failure-response evidence</t>
        </is>
      </c>
      <c r="W13" s="6" t="inlineStr">
        <is>
          <t>Offer response: After-Sales Service Organization &amp; Pricing; Procedure / work instruction</t>
        </is>
      </c>
      <c r="X13" s="6" t="inlineStr">
        <is>
          <t>L0 Tender / Offer; L1 Conceptual Design; L2 Detailed Design</t>
        </is>
      </c>
      <c r="Y13" s="6" t="inlineStr">
        <is>
          <t>RTM-563..RTM-565</t>
        </is>
      </c>
      <c r="Z13" s="6" t="n"/>
      <c r="AA13" s="6" t="inlineStr">
        <is>
          <t>OK</t>
        </is>
      </c>
    </row>
    <row r="14" ht="42" customHeight="1">
      <c r="A14" s="6" t="n">
        <v>9</v>
      </c>
      <c r="B14" s="6" t="inlineStr">
        <is>
          <t>OFFER-20</t>
        </is>
      </c>
      <c r="C14" s="6" t="inlineStr">
        <is>
          <t>Helium Leak Detection &amp; Loss Management</t>
        </is>
      </c>
      <c r="D14" s="6" t="inlineStr">
        <is>
          <t>No</t>
        </is>
      </c>
      <c r="E14" s="6" t="inlineStr">
        <is>
          <t>T1 Primary</t>
        </is>
      </c>
      <c r="F14" s="6" t="inlineStr">
        <is>
          <t>Reliability / RAM / Service</t>
        </is>
      </c>
      <c r="G14" s="6" t="inlineStr">
        <is>
          <t>§4.4.7</t>
        </is>
      </c>
      <c r="H14" s="6" t="n">
        <v>2</v>
      </c>
      <c r="I14" s="6" t="n">
        <v>3</v>
      </c>
      <c r="J14" s="6" t="n">
        <v>0</v>
      </c>
      <c r="K14" s="6" t="n">
        <v>2</v>
      </c>
      <c r="L14" s="6" t="n">
        <v>0</v>
      </c>
      <c r="M14" s="6" t="n">
        <v>0</v>
      </c>
      <c r="N14" s="6" t="n">
        <v>0</v>
      </c>
      <c r="O14" s="6" t="n">
        <v>46</v>
      </c>
      <c r="P14" s="6" t="n">
        <v>82.65309999999999</v>
      </c>
      <c r="Q14" s="6" t="n">
        <v>22.6876</v>
      </c>
      <c r="R14" s="6" t="inlineStr">
        <is>
          <t>Reliability</t>
        </is>
      </c>
      <c r="S14" s="6" t="inlineStr">
        <is>
          <t>Frozen-weight composite; strongest contribution: Reliability.</t>
        </is>
      </c>
      <c r="T14" s="6" t="inlineStr">
        <is>
          <t>None explicitly named in the OFFER text</t>
        </is>
      </c>
      <c r="U14" s="6" t="inlineStr">
        <is>
          <t>Linked canonical RTM/section: EN 13185:2001</t>
        </is>
      </c>
      <c r="V14" s="6" t="inlineStr">
        <is>
          <t>Submit and review the named deliverable with RTM traceability and approval status; Witnessed FAT/SAT/commissioning test against stated acceptance criteria; Functional design/configuration review and sequence/interface demonstration</t>
        </is>
      </c>
      <c r="W14" s="6" t="inlineStr">
        <is>
          <t>Offer response: Helium Leak Detection &amp; Loss Management; Test procedure / report; Procedure / work instruction</t>
        </is>
      </c>
      <c r="X14" s="6" t="inlineStr">
        <is>
          <t>L0 Tender / Offer; L4 Installation; L1 Conceptual Design; L2 Detailed Design</t>
        </is>
      </c>
      <c r="Y14" s="6" t="inlineStr">
        <is>
          <t>RTM-252..RTM-257</t>
        </is>
      </c>
      <c r="Z14" s="6" t="inlineStr">
        <is>
          <t>RTM-258..RTM-262</t>
        </is>
      </c>
      <c r="AA14" s="6" t="inlineStr">
        <is>
          <t>OK — Review breadth</t>
        </is>
      </c>
    </row>
    <row r="15" ht="42" customHeight="1">
      <c r="A15" s="6" t="n">
        <v>10</v>
      </c>
      <c r="B15" s="6" t="inlineStr">
        <is>
          <t>OFFER-34</t>
        </is>
      </c>
      <c r="C15" s="6" t="inlineStr">
        <is>
          <t>Cooling Water System Requirements</t>
        </is>
      </c>
      <c r="D15" s="6" t="inlineStr">
        <is>
          <t>No</t>
        </is>
      </c>
      <c r="E15" s="6" t="inlineStr">
        <is>
          <t>T1 Primary</t>
        </is>
      </c>
      <c r="F15" s="6" t="inlineStr">
        <is>
          <t>Performance / Process / Utilities</t>
        </is>
      </c>
      <c r="G15" s="6" t="inlineStr">
        <is>
          <t>§4.7.4.3.2</t>
        </is>
      </c>
      <c r="H15" s="6" t="n">
        <v>0</v>
      </c>
      <c r="I15" s="6" t="n">
        <v>3</v>
      </c>
      <c r="J15" s="6" t="n">
        <v>2</v>
      </c>
      <c r="K15" s="6" t="n">
        <v>2</v>
      </c>
      <c r="L15" s="6" t="n">
        <v>0</v>
      </c>
      <c r="M15" s="6" t="n">
        <v>0</v>
      </c>
      <c r="N15" s="6" t="n">
        <v>0</v>
      </c>
      <c r="O15" s="6" t="n">
        <v>46</v>
      </c>
      <c r="P15" s="6" t="n">
        <v>82.65309999999999</v>
      </c>
      <c r="Q15" s="6" t="n">
        <v>22.6876</v>
      </c>
      <c r="R15" s="6" t="inlineStr">
        <is>
          <t>Reliability</t>
        </is>
      </c>
      <c r="S15" s="6" t="inlineStr">
        <is>
          <t>Frozen-weight composite; strongest contribution: Reliability.</t>
        </is>
      </c>
      <c r="T15" s="6" t="inlineStr">
        <is>
          <t>None explicitly named in the OFFER text</t>
        </is>
      </c>
      <c r="U15" s="6" t="inlineStr">
        <is>
          <t>SCK CEN/90508872 §4.7.4.3.2; no named external code in OFFER text</t>
        </is>
      </c>
      <c r="V15" s="6" t="inlineStr">
        <is>
          <t>Submit and review the named deliverable with RTM traceability and approval status; Calculation/model plus calibrated measurement or recorded trend; RAM/maintenance substantiation and recovery/failure-response evidence</t>
        </is>
      </c>
      <c r="W15" s="6" t="inlineStr">
        <is>
          <t>Offer response: Cooling Water System Requirements</t>
        </is>
      </c>
      <c r="X15" s="6" t="inlineStr">
        <is>
          <t>L0 Tender / Offer; L1 Conceptual Design; L2 Detailed Design</t>
        </is>
      </c>
      <c r="Y15" s="6" t="inlineStr">
        <is>
          <t>RTM-426..RTM-427</t>
        </is>
      </c>
      <c r="Z15" s="6" t="n"/>
      <c r="AA15" s="6" t="inlineStr">
        <is>
          <t>OK</t>
        </is>
      </c>
    </row>
    <row r="16" ht="42" customHeight="1">
      <c r="A16" s="6" t="n">
        <v>11</v>
      </c>
      <c r="B16" s="6" t="inlineStr">
        <is>
          <t>OFFER-29</t>
        </is>
      </c>
      <c r="C16" s="6" t="inlineStr">
        <is>
          <t>Control System Obsolescence Strategy</t>
        </is>
      </c>
      <c r="D16" s="6" t="inlineStr">
        <is>
          <t>No</t>
        </is>
      </c>
      <c r="E16" s="6" t="inlineStr">
        <is>
          <t>T1 Primary</t>
        </is>
      </c>
      <c r="F16" s="6" t="inlineStr">
        <is>
          <t>Controls / Software / Management</t>
        </is>
      </c>
      <c r="G16" s="6" t="inlineStr">
        <is>
          <t>§4.6.8</t>
        </is>
      </c>
      <c r="H16" s="6" t="n">
        <v>0</v>
      </c>
      <c r="I16" s="6" t="n">
        <v>3</v>
      </c>
      <c r="J16" s="6" t="n">
        <v>0</v>
      </c>
      <c r="K16" s="6" t="n">
        <v>3</v>
      </c>
      <c r="L16" s="6" t="n">
        <v>0</v>
      </c>
      <c r="M16" s="6" t="n">
        <v>3</v>
      </c>
      <c r="N16" s="6" t="n">
        <v>0</v>
      </c>
      <c r="O16" s="6" t="n">
        <v>45</v>
      </c>
      <c r="P16" s="6" t="n">
        <v>79.59180000000001</v>
      </c>
      <c r="Q16" s="6" t="n">
        <v>18.5439</v>
      </c>
      <c r="R16" s="6" t="inlineStr">
        <is>
          <t>Reliability</t>
        </is>
      </c>
      <c r="S16" s="6" t="inlineStr">
        <is>
          <t>Frozen-weight composite; strongest contribution: Reliability.</t>
        </is>
      </c>
      <c r="T16" s="6" t="inlineStr">
        <is>
          <t>None explicitly named in the OFFER text</t>
        </is>
      </c>
      <c r="U16" s="6" t="inlineStr">
        <is>
          <t>SCK CEN/90508872 §4.6.8; no named external code in OFFER text</t>
        </is>
      </c>
      <c r="V16" s="6" t="inlineStr">
        <is>
          <t>Submit and review the named deliverable with RTM traceability and approval status; Functional design/configuration review and sequence/interface demonstration; RAM/maintenance substantiation and recovery/failure-response evidence</t>
        </is>
      </c>
      <c r="W16" s="6" t="inlineStr">
        <is>
          <t>Offer response: Control System Obsolescence Strategy</t>
        </is>
      </c>
      <c r="X16" s="6" t="inlineStr">
        <is>
          <t>L0 Tender / Offer; L1 Conceptual Design; L2 Detailed Design</t>
        </is>
      </c>
      <c r="Y16" s="6" t="inlineStr">
        <is>
          <t>RTM-346..RTM-367</t>
        </is>
      </c>
      <c r="Z16" s="6" t="n"/>
      <c r="AA16" s="6" t="inlineStr">
        <is>
          <t>OK</t>
        </is>
      </c>
    </row>
    <row r="17" ht="42" customHeight="1">
      <c r="A17" s="6" t="n">
        <v>12</v>
      </c>
      <c r="B17" s="6" t="inlineStr">
        <is>
          <t>OFFER-04</t>
        </is>
      </c>
      <c r="C17" s="6" t="inlineStr">
        <is>
          <t>Cooldown &amp; Thermal Performance Modelling</t>
        </is>
      </c>
      <c r="D17" s="6" t="inlineStr">
        <is>
          <t>No</t>
        </is>
      </c>
      <c r="E17" s="6" t="inlineStr">
        <is>
          <t>T1 Primary</t>
        </is>
      </c>
      <c r="F17" s="6" t="inlineStr">
        <is>
          <t>Performance / Process / Utilities</t>
        </is>
      </c>
      <c r="G17" s="6" t="inlineStr">
        <is>
          <t>§4.2.2.2</t>
        </is>
      </c>
      <c r="H17" s="6" t="n">
        <v>0</v>
      </c>
      <c r="I17" s="6" t="n">
        <v>0</v>
      </c>
      <c r="J17" s="6" t="n">
        <v>3</v>
      </c>
      <c r="K17" s="6" t="n">
        <v>3</v>
      </c>
      <c r="L17" s="6" t="n">
        <v>2</v>
      </c>
      <c r="M17" s="6" t="n">
        <v>0</v>
      </c>
      <c r="N17" s="6" t="n">
        <v>0</v>
      </c>
      <c r="O17" s="6" t="n">
        <v>44</v>
      </c>
      <c r="P17" s="6" t="n">
        <v>76.53060000000001</v>
      </c>
      <c r="Q17" s="6" t="n">
        <v>15.2851</v>
      </c>
      <c r="R17" s="6" t="inlineStr">
        <is>
          <t>Performance</t>
        </is>
      </c>
      <c r="S17" s="6" t="inlineStr">
        <is>
          <t>Frozen-weight composite; strongest contribution: Performance.</t>
        </is>
      </c>
      <c r="T17" s="6" t="inlineStr">
        <is>
          <t>None explicitly named in the OFFER text</t>
        </is>
      </c>
      <c r="U17" s="6" t="inlineStr">
        <is>
          <t>SCK CEN/90508872 §4.2.2.2; no named external code in OFFER text</t>
        </is>
      </c>
      <c r="V17" s="6" t="inlineStr">
        <is>
          <t>Submit and review the named deliverable with RTM traceability and approval status; Calculation/model plus calibrated measurement or recorded trend; Document review, inspection, certification, audit or traceable QC record</t>
        </is>
      </c>
      <c r="W17" s="6" t="inlineStr">
        <is>
          <t>Offer response: Cooldown &amp; Thermal Performance Modelling</t>
        </is>
      </c>
      <c r="X17" s="6" t="inlineStr">
        <is>
          <t>L0 Tender / Offer; L1 Conceptual Design; L2 Detailed Design</t>
        </is>
      </c>
      <c r="Y17" s="6" t="inlineStr">
        <is>
          <t>RTM-019..RTM-022</t>
        </is>
      </c>
      <c r="Z17" s="6" t="n"/>
      <c r="AA17" s="6" t="inlineStr">
        <is>
          <t>OK</t>
        </is>
      </c>
    </row>
    <row r="18" ht="42" customHeight="1">
      <c r="A18" s="6" t="n">
        <v>13</v>
      </c>
      <c r="B18" s="6" t="inlineStr">
        <is>
          <t>OFFER-05</t>
        </is>
      </c>
      <c r="C18" s="6" t="inlineStr">
        <is>
          <t>Operational Procedure Strategy (Auto vs Manual)</t>
        </is>
      </c>
      <c r="D18" s="6" t="inlineStr">
        <is>
          <t>No</t>
        </is>
      </c>
      <c r="E18" s="6" t="inlineStr">
        <is>
          <t>T1 Primary</t>
        </is>
      </c>
      <c r="F18" s="6" t="inlineStr">
        <is>
          <t>Controls / Software / Management</t>
        </is>
      </c>
      <c r="G18" s="6" t="inlineStr">
        <is>
          <t>§4.2.2.4.1</t>
        </is>
      </c>
      <c r="H18" s="6" t="n">
        <v>0</v>
      </c>
      <c r="I18" s="6" t="n">
        <v>0</v>
      </c>
      <c r="J18" s="6" t="n">
        <v>3</v>
      </c>
      <c r="K18" s="6" t="n">
        <v>3</v>
      </c>
      <c r="L18" s="6" t="n">
        <v>2</v>
      </c>
      <c r="M18" s="6" t="n">
        <v>0</v>
      </c>
      <c r="N18" s="6" t="n">
        <v>0</v>
      </c>
      <c r="O18" s="6" t="n">
        <v>44</v>
      </c>
      <c r="P18" s="6" t="n">
        <v>76.53060000000001</v>
      </c>
      <c r="Q18" s="6" t="n">
        <v>15.2851</v>
      </c>
      <c r="R18" s="6" t="inlineStr">
        <is>
          <t>Performance</t>
        </is>
      </c>
      <c r="S18" s="6" t="inlineStr">
        <is>
          <t>Frozen-weight composite; strongest contribution: Performance.</t>
        </is>
      </c>
      <c r="T18" s="6" t="inlineStr">
        <is>
          <t>None explicitly named in the OFFER text</t>
        </is>
      </c>
      <c r="U18" s="6" t="inlineStr">
        <is>
          <t>SCK CEN/90508872 §4.2.2.4.1; no named external code in OFFER text</t>
        </is>
      </c>
      <c r="V18" s="6" t="inlineStr">
        <is>
          <t>Submit and review the named deliverable with RTM traceability and approval status; Calculation/model plus calibrated measurement or recorded trend; Functional design/configuration review and sequence/interface demonstration</t>
        </is>
      </c>
      <c r="W18" s="6" t="inlineStr">
        <is>
          <t>Offer response: Operational Procedure Strategy (Auto vs Manual); Procedure / work instruction</t>
        </is>
      </c>
      <c r="X18" s="6" t="inlineStr">
        <is>
          <t>L0 Tender / Offer; L1 Conceptual Design; L2 Detailed Design</t>
        </is>
      </c>
      <c r="Y18" s="6" t="inlineStr">
        <is>
          <t>RTM-025..RTM-027</t>
        </is>
      </c>
      <c r="Z18" s="6" t="n"/>
      <c r="AA18" s="6" t="inlineStr">
        <is>
          <t>OK</t>
        </is>
      </c>
    </row>
    <row r="19" ht="42" customHeight="1">
      <c r="A19" s="6" t="n">
        <v>14</v>
      </c>
      <c r="B19" s="6" t="inlineStr">
        <is>
          <t>OFFER-27</t>
        </is>
      </c>
      <c r="C19" s="6" t="inlineStr">
        <is>
          <t>Programming Standards &amp; Language Strategy</t>
        </is>
      </c>
      <c r="D19" s="6" t="inlineStr">
        <is>
          <t>No</t>
        </is>
      </c>
      <c r="E19" s="6" t="inlineStr">
        <is>
          <t>T1 Primary</t>
        </is>
      </c>
      <c r="F19" s="6" t="inlineStr">
        <is>
          <t>Controls / Software / Management</t>
        </is>
      </c>
      <c r="G19" s="6" t="inlineStr">
        <is>
          <t>§4.6.7</t>
        </is>
      </c>
      <c r="H19" s="6" t="n">
        <v>2</v>
      </c>
      <c r="I19" s="6" t="n">
        <v>0</v>
      </c>
      <c r="J19" s="6" t="n">
        <v>0</v>
      </c>
      <c r="K19" s="6" t="n">
        <v>3</v>
      </c>
      <c r="L19" s="6" t="n">
        <v>3</v>
      </c>
      <c r="M19" s="6" t="n">
        <v>0</v>
      </c>
      <c r="N19" s="6" t="n">
        <v>0</v>
      </c>
      <c r="O19" s="6" t="n">
        <v>41.3333</v>
      </c>
      <c r="P19" s="6" t="n">
        <v>73.46939999999999</v>
      </c>
      <c r="Q19" s="6" t="n">
        <v>12.6844</v>
      </c>
      <c r="R19" s="6" t="inlineStr">
        <is>
          <t>Functional</t>
        </is>
      </c>
      <c r="S19" s="6" t="inlineStr">
        <is>
          <t>Frozen-weight composite; strongest contribution: Functional.</t>
        </is>
      </c>
      <c r="T19" s="6" t="inlineStr">
        <is>
          <t>IEC 61131-3</t>
        </is>
      </c>
      <c r="U19" s="6" t="inlineStr">
        <is>
          <t>Linked canonical RTM/section: IEC 61131-3</t>
        </is>
      </c>
      <c r="V19" s="6" t="inlineStr">
        <is>
          <t>Submit and review the named deliverable with RTM traceability and approval status; Witnessed FAT/SAT/commissioning test against stated acceptance criteria; Functional design/configuration review and sequence/interface demonstration</t>
        </is>
      </c>
      <c r="W19" s="6" t="inlineStr">
        <is>
          <t>Offer response: Programming Standards &amp; Language Strategy</t>
        </is>
      </c>
      <c r="X19" s="6" t="inlineStr">
        <is>
          <t>L0 Tender / Offer; L1 Conceptual Design; L2 Detailed Design</t>
        </is>
      </c>
      <c r="Y19" s="6" t="inlineStr">
        <is>
          <t>RTM-340..RTM-341; RTM-343..RTM-344</t>
        </is>
      </c>
      <c r="Z19" s="6" t="inlineStr">
        <is>
          <t>RTM-334..RTM-339; RTM-342; RTM-345</t>
        </is>
      </c>
      <c r="AA19" s="6" t="inlineStr">
        <is>
          <t>OK</t>
        </is>
      </c>
    </row>
    <row r="20" ht="42" customHeight="1">
      <c r="A20" s="6" t="n">
        <v>15</v>
      </c>
      <c r="B20" s="6" t="inlineStr">
        <is>
          <t>OFFER-33</t>
        </is>
      </c>
      <c r="C20" s="6" t="inlineStr">
        <is>
          <t>Electrical System Design &amp; Load Analysis</t>
        </is>
      </c>
      <c r="D20" s="6" t="inlineStr">
        <is>
          <t>No</t>
        </is>
      </c>
      <c r="E20" s="6" t="inlineStr">
        <is>
          <t>T1 Primary</t>
        </is>
      </c>
      <c r="F20" s="6" t="inlineStr">
        <is>
          <t>Controls / Software / Management</t>
        </is>
      </c>
      <c r="G20" s="6" t="inlineStr">
        <is>
          <t>§4.7.3.1</t>
        </is>
      </c>
      <c r="H20" s="6" t="n">
        <v>0</v>
      </c>
      <c r="I20" s="6" t="n">
        <v>2</v>
      </c>
      <c r="J20" s="6" t="n">
        <v>2</v>
      </c>
      <c r="K20" s="6" t="n">
        <v>2</v>
      </c>
      <c r="L20" s="6" t="n">
        <v>0</v>
      </c>
      <c r="M20" s="6" t="n">
        <v>0</v>
      </c>
      <c r="N20" s="6" t="n">
        <v>0</v>
      </c>
      <c r="O20" s="6" t="n">
        <v>38.6667</v>
      </c>
      <c r="P20" s="6" t="n">
        <v>70.40819999999999</v>
      </c>
      <c r="Q20" s="6" t="n">
        <v>10.5836</v>
      </c>
      <c r="R20" s="6" t="inlineStr">
        <is>
          <t>Reliability</t>
        </is>
      </c>
      <c r="S20" s="6" t="inlineStr">
        <is>
          <t>Frozen-weight composite; strongest contribution: Reliability.</t>
        </is>
      </c>
      <c r="T20" s="6" t="inlineStr">
        <is>
          <t>None explicitly named in the OFFER text</t>
        </is>
      </c>
      <c r="U20" s="6" t="inlineStr">
        <is>
          <t>SCK CEN/90508872 §4.7.3.1; no named external code in OFFER text</t>
        </is>
      </c>
      <c r="V20" s="6" t="inlineStr">
        <is>
          <t>Submit and review the named deliverable with RTM traceability and approval status; Calculation/model plus calibrated measurement or recorded trend; RAM/maintenance substantiation and recovery/failure-response evidence</t>
        </is>
      </c>
      <c r="W20" s="6" t="inlineStr">
        <is>
          <t>Offer response: Electrical System Design &amp; Load Analysis; Drawing / diagram; List / register / matrix</t>
        </is>
      </c>
      <c r="X20" s="6" t="inlineStr">
        <is>
          <t>L0 Tender / Offer; L1 Conceptual Design; L2 Detailed Design</t>
        </is>
      </c>
      <c r="Y20" s="6" t="inlineStr">
        <is>
          <t>RTM-401..RTM-402</t>
        </is>
      </c>
      <c r="Z20" s="6" t="n"/>
      <c r="AA20" s="6" t="inlineStr">
        <is>
          <t>OK</t>
        </is>
      </c>
    </row>
    <row r="21" ht="42" customHeight="1">
      <c r="A21" s="6" t="n">
        <v>16</v>
      </c>
      <c r="B21" s="6" t="inlineStr">
        <is>
          <t>OFFER-41</t>
        </is>
      </c>
      <c r="C21" s="6" t="inlineStr">
        <is>
          <t>Spare Parts &amp; Critical Components Strategy</t>
        </is>
      </c>
      <c r="D21" s="6" t="inlineStr">
        <is>
          <t>No</t>
        </is>
      </c>
      <c r="E21" s="6" t="inlineStr">
        <is>
          <t>T1 Primary</t>
        </is>
      </c>
      <c r="F21" s="6" t="inlineStr">
        <is>
          <t>Reliability / RAM / Service</t>
        </is>
      </c>
      <c r="G21" s="6" t="inlineStr">
        <is>
          <t>§4.14.3</t>
        </is>
      </c>
      <c r="H21" s="6" t="n">
        <v>1</v>
      </c>
      <c r="I21" s="6" t="n">
        <v>3</v>
      </c>
      <c r="J21" s="6" t="n">
        <v>0</v>
      </c>
      <c r="K21" s="6" t="n">
        <v>0</v>
      </c>
      <c r="L21" s="6" t="n">
        <v>0</v>
      </c>
      <c r="M21" s="6" t="n">
        <v>3</v>
      </c>
      <c r="N21" s="6" t="n">
        <v>3</v>
      </c>
      <c r="O21" s="6" t="n">
        <v>38.6667</v>
      </c>
      <c r="P21" s="6" t="n">
        <v>70.40819999999999</v>
      </c>
      <c r="Q21" s="6" t="n">
        <v>10.5836</v>
      </c>
      <c r="R21" s="6" t="inlineStr">
        <is>
          <t>Reliability</t>
        </is>
      </c>
      <c r="S21" s="6" t="inlineStr">
        <is>
          <t>Frozen-weight composite; strongest contribution: Reliability.</t>
        </is>
      </c>
      <c r="T21" s="6" t="inlineStr">
        <is>
          <t>None explicitly named in the OFFER text</t>
        </is>
      </c>
      <c r="U21" s="6" t="inlineStr">
        <is>
          <t>SCK CEN/90508872 §4.14.3; no named external code in OFFER text</t>
        </is>
      </c>
      <c r="V21" s="6" t="inlineStr">
        <is>
          <t>Submit and review the named deliverable with RTM traceability and approval status; RAM/maintenance substantiation and recovery/failure-response evidence</t>
        </is>
      </c>
      <c r="W21" s="6" t="inlineStr">
        <is>
          <t>Offer response: Spare Parts &amp; Critical Components Strategy; List / register / matrix</t>
        </is>
      </c>
      <c r="X21" s="6" t="inlineStr">
        <is>
          <t>L0 Tender / Offer; L1 Conceptual Design; L2 Detailed Design</t>
        </is>
      </c>
      <c r="Y21" s="6" t="inlineStr">
        <is>
          <t>RTM-560..RTM-562</t>
        </is>
      </c>
      <c r="Z21" s="6" t="n"/>
      <c r="AA21" s="6" t="inlineStr">
        <is>
          <t>OK</t>
        </is>
      </c>
    </row>
    <row r="22" ht="42" customHeight="1">
      <c r="A22" s="6" t="n">
        <v>17</v>
      </c>
      <c r="B22" s="6" t="inlineStr">
        <is>
          <t>OFFER-06</t>
        </is>
      </c>
      <c r="C22" s="6" t="inlineStr">
        <is>
          <t>LHe Filling &amp; Emptying Performance</t>
        </is>
      </c>
      <c r="D22" s="6" t="inlineStr">
        <is>
          <t>No</t>
        </is>
      </c>
      <c r="E22" s="6" t="inlineStr">
        <is>
          <t>T2 Secondary</t>
        </is>
      </c>
      <c r="F22" s="6" t="inlineStr">
        <is>
          <t>Performance / Process / Utilities</t>
        </is>
      </c>
      <c r="G22" s="6" t="inlineStr">
        <is>
          <t>§4.2.2.4.3</t>
        </is>
      </c>
      <c r="H22" s="6" t="n">
        <v>0</v>
      </c>
      <c r="I22" s="6" t="n">
        <v>0</v>
      </c>
      <c r="J22" s="6" t="n">
        <v>3</v>
      </c>
      <c r="K22" s="6" t="n">
        <v>3</v>
      </c>
      <c r="L22" s="6" t="n">
        <v>0</v>
      </c>
      <c r="M22" s="6" t="n">
        <v>0</v>
      </c>
      <c r="N22" s="6" t="n">
        <v>0</v>
      </c>
      <c r="O22" s="6" t="n">
        <v>36</v>
      </c>
      <c r="P22" s="6" t="n">
        <v>66.3265</v>
      </c>
      <c r="Q22" s="6" t="n">
        <v>8.369199999999999</v>
      </c>
      <c r="R22" s="6" t="inlineStr">
        <is>
          <t>Performance</t>
        </is>
      </c>
      <c r="S22" s="6" t="inlineStr">
        <is>
          <t>Frozen-weight composite; strongest contribution: Performance.</t>
        </is>
      </c>
      <c r="T22" s="6" t="inlineStr">
        <is>
          <t>None explicitly named in the OFFER text</t>
        </is>
      </c>
      <c r="U22" s="6" t="inlineStr">
        <is>
          <t>SCK CEN/90508872 §4.2.2.4.3; no named external code in OFFER text</t>
        </is>
      </c>
      <c r="V22" s="6" t="inlineStr">
        <is>
          <t>Submit and review the named deliverable with RTM traceability and approval status; Calculation/model plus calibrated measurement or recorded trend</t>
        </is>
      </c>
      <c r="W22" s="6" t="inlineStr">
        <is>
          <t>Offer response: LHe Filling &amp; Emptying Performance</t>
        </is>
      </c>
      <c r="X22" s="6" t="inlineStr">
        <is>
          <t>L0 Tender / Offer; L1 Conceptual Design; L2 Detailed Design</t>
        </is>
      </c>
      <c r="Y22" s="6" t="inlineStr">
        <is>
          <t>RTM-030..RTM-033</t>
        </is>
      </c>
      <c r="Z22" s="6" t="n"/>
      <c r="AA22" s="6" t="inlineStr">
        <is>
          <t>OK</t>
        </is>
      </c>
    </row>
    <row r="23" ht="42" customHeight="1">
      <c r="A23" s="6" t="n">
        <v>18</v>
      </c>
      <c r="B23" s="6" t="inlineStr">
        <is>
          <t>OFFER-37</t>
        </is>
      </c>
      <c r="C23" s="6" t="inlineStr">
        <is>
          <t>Digital Twin / Simulation Strategy</t>
        </is>
      </c>
      <c r="D23" s="6" t="inlineStr">
        <is>
          <t>No</t>
        </is>
      </c>
      <c r="E23" s="6" t="inlineStr">
        <is>
          <t>T2 Secondary</t>
        </is>
      </c>
      <c r="F23" s="6" t="inlineStr">
        <is>
          <t>Controls / Software / Management</t>
        </is>
      </c>
      <c r="G23" s="6" t="inlineStr">
        <is>
          <t>§4.8.2</t>
        </is>
      </c>
      <c r="H23" s="6" t="n">
        <v>0</v>
      </c>
      <c r="I23" s="6" t="n">
        <v>1</v>
      </c>
      <c r="J23" s="6" t="n">
        <v>0</v>
      </c>
      <c r="K23" s="6" t="n">
        <v>3</v>
      </c>
      <c r="L23" s="6" t="n">
        <v>2</v>
      </c>
      <c r="M23" s="6" t="n">
        <v>2</v>
      </c>
      <c r="N23" s="6" t="n">
        <v>0</v>
      </c>
      <c r="O23" s="6" t="n">
        <v>36</v>
      </c>
      <c r="P23" s="6" t="n">
        <v>66.3265</v>
      </c>
      <c r="Q23" s="6" t="n">
        <v>8.369199999999999</v>
      </c>
      <c r="R23" s="6" t="inlineStr">
        <is>
          <t>Functional</t>
        </is>
      </c>
      <c r="S23" s="6" t="inlineStr">
        <is>
          <t>Frozen-weight composite; strongest contribution: Functional.</t>
        </is>
      </c>
      <c r="T23" s="6" t="inlineStr">
        <is>
          <t>None explicitly named in the OFFER text</t>
        </is>
      </c>
      <c r="U23" s="6" t="inlineStr">
        <is>
          <t>SCK CEN/90508872 §4.8.2; no named external code in OFFER text</t>
        </is>
      </c>
      <c r="V23" s="6" t="inlineStr">
        <is>
          <t>Submit and review the named deliverable with RTM traceability and approval status; Witnessed FAT/SAT/commissioning test against stated acceptance criteria; Document review, inspection, certification, audit or traceable QC record</t>
        </is>
      </c>
      <c r="W23" s="6" t="inlineStr">
        <is>
          <t>Offer response: Digital Twin / Simulation Strategy; Digital Process Model / Digital Twin</t>
        </is>
      </c>
      <c r="X23" s="6" t="inlineStr">
        <is>
          <t>L0 Tender / Offer; L1 Conceptual Design; L2 Detailed Design</t>
        </is>
      </c>
      <c r="Y23" s="6" t="inlineStr">
        <is>
          <t>RTM-450..RTM-451</t>
        </is>
      </c>
      <c r="Z23" s="6" t="n"/>
      <c r="AA23" s="6" t="inlineStr">
        <is>
          <t>OK</t>
        </is>
      </c>
    </row>
    <row r="24" ht="42" customHeight="1">
      <c r="A24" s="6" t="n">
        <v>19</v>
      </c>
      <c r="B24" s="6" t="inlineStr">
        <is>
          <t>OFFER-43</t>
        </is>
      </c>
      <c r="C24" s="6" t="inlineStr">
        <is>
          <t>Maintenance Effort &amp; Intervention Estimation</t>
        </is>
      </c>
      <c r="D24" s="6" t="inlineStr">
        <is>
          <t>No</t>
        </is>
      </c>
      <c r="E24" s="6" t="inlineStr">
        <is>
          <t>T2 Secondary</t>
        </is>
      </c>
      <c r="F24" s="6" t="inlineStr">
        <is>
          <t>Reliability / RAM / Service</t>
        </is>
      </c>
      <c r="G24" s="6" t="inlineStr">
        <is>
          <t>§4.15</t>
        </is>
      </c>
      <c r="H24" s="6" t="n">
        <v>1</v>
      </c>
      <c r="I24" s="6" t="n">
        <v>3</v>
      </c>
      <c r="J24" s="6" t="n">
        <v>0</v>
      </c>
      <c r="K24" s="6" t="n">
        <v>0</v>
      </c>
      <c r="L24" s="6" t="n">
        <v>0</v>
      </c>
      <c r="M24" s="6" t="n">
        <v>3</v>
      </c>
      <c r="N24" s="6" t="n">
        <v>0</v>
      </c>
      <c r="O24" s="6" t="n">
        <v>35.6667</v>
      </c>
      <c r="P24" s="6" t="n">
        <v>63.2653</v>
      </c>
      <c r="Q24" s="6" t="n">
        <v>7.0455</v>
      </c>
      <c r="R24" s="6" t="inlineStr">
        <is>
          <t>Reliability</t>
        </is>
      </c>
      <c r="S24" s="6" t="inlineStr">
        <is>
          <t>Frozen-weight composite; strongest contribution: Reliability.</t>
        </is>
      </c>
      <c r="T24" s="6" t="inlineStr">
        <is>
          <t>None explicitly named in the OFFER text</t>
        </is>
      </c>
      <c r="U24" s="6" t="inlineStr">
        <is>
          <t>SCK CEN/90508872 §4.15; no named external code in OFFER text</t>
        </is>
      </c>
      <c r="V24" s="6" t="inlineStr">
        <is>
          <t>Submit and review the named deliverable with RTM traceability and approval status; RAM/maintenance substantiation and recovery/failure-response evidence</t>
        </is>
      </c>
      <c r="W24" s="6" t="inlineStr">
        <is>
          <t>Offer response: Maintenance Effort &amp; Intervention Estimation</t>
        </is>
      </c>
      <c r="X24" s="6" t="inlineStr">
        <is>
          <t>L0 Tender / Offer; L1 Conceptual Design; L2 Detailed Design</t>
        </is>
      </c>
      <c r="Y24" s="6" t="n"/>
      <c r="Z24" s="6" t="inlineStr">
        <is>
          <t>RTM-563..RTM-565</t>
        </is>
      </c>
      <c r="AA24" s="6" t="inlineStr">
        <is>
          <t>Review — accept context</t>
        </is>
      </c>
    </row>
    <row r="25" ht="42" customHeight="1">
      <c r="A25" s="6" t="n">
        <v>20</v>
      </c>
      <c r="B25" s="6" t="inlineStr">
        <is>
          <t>OFFER-21</t>
        </is>
      </c>
      <c r="C25" s="6" t="inlineStr">
        <is>
          <t>LOOP Strategy &amp; Critical Load Management</t>
        </is>
      </c>
      <c r="D25" s="6" t="inlineStr">
        <is>
          <t>No</t>
        </is>
      </c>
      <c r="E25" s="6" t="inlineStr">
        <is>
          <t>T2 Secondary</t>
        </is>
      </c>
      <c r="F25" s="6" t="inlineStr">
        <is>
          <t>Reliability / RAM / Service</t>
        </is>
      </c>
      <c r="G25" s="6" t="inlineStr">
        <is>
          <t>§4.4.7.1</t>
        </is>
      </c>
      <c r="H25" s="6" t="n">
        <v>0</v>
      </c>
      <c r="I25" s="6" t="n">
        <v>3</v>
      </c>
      <c r="J25" s="6" t="n">
        <v>0</v>
      </c>
      <c r="K25" s="6" t="n">
        <v>2</v>
      </c>
      <c r="L25" s="6" t="n">
        <v>0</v>
      </c>
      <c r="M25" s="6" t="n">
        <v>0</v>
      </c>
      <c r="N25" s="6" t="n">
        <v>0</v>
      </c>
      <c r="O25" s="6" t="n">
        <v>32.6667</v>
      </c>
      <c r="P25" s="6" t="n">
        <v>60.2041</v>
      </c>
      <c r="Q25" s="6" t="n">
        <v>5.9462</v>
      </c>
      <c r="R25" s="6" t="inlineStr">
        <is>
          <t>Reliability</t>
        </is>
      </c>
      <c r="S25" s="6" t="inlineStr">
        <is>
          <t>Frozen-weight composite; strongest contribution: Reliability.</t>
        </is>
      </c>
      <c r="T25" s="6" t="inlineStr">
        <is>
          <t>None explicitly named in the OFFER text</t>
        </is>
      </c>
      <c r="U25" s="6" t="inlineStr">
        <is>
          <t>SCK CEN/90508872 §4.4.7.1; no named external code in OFFER text</t>
        </is>
      </c>
      <c r="V25" s="6" t="inlineStr">
        <is>
          <t>Submit and review the named deliverable with RTM traceability and approval status; Functional design/configuration review and sequence/interface demonstration; RAM/maintenance substantiation and recovery/failure-response evidence</t>
        </is>
      </c>
      <c r="W25" s="6" t="inlineStr">
        <is>
          <t>Offer response: LOOP Strategy &amp; Critical Load Management</t>
        </is>
      </c>
      <c r="X25" s="6" t="inlineStr">
        <is>
          <t>L0 Tender / Offer; L1 Conceptual Design; L2 Detailed Design</t>
        </is>
      </c>
      <c r="Y25" s="6" t="inlineStr">
        <is>
          <t>RTM-258</t>
        </is>
      </c>
      <c r="Z25" s="6" t="n"/>
      <c r="AA25" s="6" t="inlineStr">
        <is>
          <t>OK</t>
        </is>
      </c>
    </row>
    <row r="26" ht="42" customHeight="1">
      <c r="A26" s="6" t="n">
        <v>21</v>
      </c>
      <c r="B26" s="6" t="inlineStr">
        <is>
          <t>OFFER-22</t>
        </is>
      </c>
      <c r="C26" s="6" t="inlineStr">
        <is>
          <t>Helium Recovery System Design</t>
        </is>
      </c>
      <c r="D26" s="6" t="inlineStr">
        <is>
          <t>No</t>
        </is>
      </c>
      <c r="E26" s="6" t="inlineStr">
        <is>
          <t>T2 Secondary</t>
        </is>
      </c>
      <c r="F26" s="6" t="inlineStr">
        <is>
          <t>Reliability / RAM / Service</t>
        </is>
      </c>
      <c r="G26" s="6" t="inlineStr">
        <is>
          <t>§4.4.7.3</t>
        </is>
      </c>
      <c r="H26" s="6" t="n">
        <v>0</v>
      </c>
      <c r="I26" s="6" t="n">
        <v>3</v>
      </c>
      <c r="J26" s="6" t="n">
        <v>0</v>
      </c>
      <c r="K26" s="6" t="n">
        <v>2</v>
      </c>
      <c r="L26" s="6" t="n">
        <v>0</v>
      </c>
      <c r="M26" s="6" t="n">
        <v>0</v>
      </c>
      <c r="N26" s="6" t="n">
        <v>0</v>
      </c>
      <c r="O26" s="6" t="n">
        <v>32.6667</v>
      </c>
      <c r="P26" s="6" t="n">
        <v>60.2041</v>
      </c>
      <c r="Q26" s="6" t="n">
        <v>5.9462</v>
      </c>
      <c r="R26" s="6" t="inlineStr">
        <is>
          <t>Reliability</t>
        </is>
      </c>
      <c r="S26" s="6" t="inlineStr">
        <is>
          <t>Frozen-weight composite; strongest contribution: Reliability.</t>
        </is>
      </c>
      <c r="T26" s="6" t="inlineStr">
        <is>
          <t>None explicitly named in the OFFER text</t>
        </is>
      </c>
      <c r="U26" s="6" t="inlineStr">
        <is>
          <t>SCK CEN/90508872 §4.4.7.3; no named external code in OFFER text</t>
        </is>
      </c>
      <c r="V26" s="6" t="inlineStr">
        <is>
          <t>Submit and review the named deliverable with RTM traceability and approval status; RAM/maintenance substantiation and recovery/failure-response evidence</t>
        </is>
      </c>
      <c r="W26" s="6" t="inlineStr">
        <is>
          <t>Offer response: Helium Recovery System Design</t>
        </is>
      </c>
      <c r="X26" s="6" t="inlineStr">
        <is>
          <t>L0 Tender / Offer; L1 Conceptual Design; L2 Detailed Design</t>
        </is>
      </c>
      <c r="Y26" s="6" t="inlineStr">
        <is>
          <t>RTM-260..RTM-262</t>
        </is>
      </c>
      <c r="Z26" s="6" t="n"/>
      <c r="AA26" s="6" t="inlineStr">
        <is>
          <t>OK</t>
        </is>
      </c>
    </row>
    <row r="27" ht="42" customHeight="1">
      <c r="A27" s="6" t="n">
        <v>22</v>
      </c>
      <c r="B27" s="6" t="inlineStr">
        <is>
          <t>OFFER-10</t>
        </is>
      </c>
      <c r="C27" s="6" t="inlineStr">
        <is>
          <t>LN2 System Functional &amp; Interface Design</t>
        </is>
      </c>
      <c r="D27" s="6" t="inlineStr">
        <is>
          <t>No</t>
        </is>
      </c>
      <c r="E27" s="6" t="inlineStr">
        <is>
          <t>T2 Secondary</t>
        </is>
      </c>
      <c r="F27" s="6" t="inlineStr">
        <is>
          <t>Performance / Process / Utilities</t>
        </is>
      </c>
      <c r="G27" s="6" t="inlineStr">
        <is>
          <t>§4.2.5</t>
        </is>
      </c>
      <c r="H27" s="6" t="n">
        <v>0</v>
      </c>
      <c r="I27" s="6" t="n">
        <v>0</v>
      </c>
      <c r="J27" s="6" t="n">
        <v>3</v>
      </c>
      <c r="K27" s="6" t="n">
        <v>0</v>
      </c>
      <c r="L27" s="6" t="n">
        <v>3</v>
      </c>
      <c r="M27" s="6" t="n">
        <v>0</v>
      </c>
      <c r="N27" s="6" t="n">
        <v>0</v>
      </c>
      <c r="O27" s="6" t="n">
        <v>32</v>
      </c>
      <c r="P27" s="6" t="n">
        <v>56.1224</v>
      </c>
      <c r="Q27" s="6" t="n">
        <v>4.7561</v>
      </c>
      <c r="R27" s="6" t="inlineStr">
        <is>
          <t>Performance</t>
        </is>
      </c>
      <c r="S27" s="6" t="inlineStr">
        <is>
          <t>Frozen-weight composite; strongest contribution: Performance.</t>
        </is>
      </c>
      <c r="T27" s="6" t="inlineStr">
        <is>
          <t>None explicitly named in the OFFER text</t>
        </is>
      </c>
      <c r="U27" s="6" t="inlineStr">
        <is>
          <t>SCK CEN/90508872 §4.2.5; no named external code in OFFER text</t>
        </is>
      </c>
      <c r="V27" s="6" t="inlineStr">
        <is>
          <t>Submit and review the named deliverable with RTM traceability and approval status; Witnessed FAT/SAT/commissioning test against stated acceptance criteria; Calculation/model plus calibrated measurement or recorded trend</t>
        </is>
      </c>
      <c r="W27" s="6" t="inlineStr">
        <is>
          <t>Offer response: LN2 System Functional &amp; Interface Design</t>
        </is>
      </c>
      <c r="X27" s="6" t="inlineStr">
        <is>
          <t>L0 Tender / Offer; L6 Site Acceptance Testing; L1 Conceptual Design; L2 Detailed Design</t>
        </is>
      </c>
      <c r="Y27" s="6" t="inlineStr">
        <is>
          <t>RTM-046..RTM-047</t>
        </is>
      </c>
      <c r="Z27" s="6" t="inlineStr">
        <is>
          <t>RTM-045</t>
        </is>
      </c>
      <c r="AA27" s="6" t="inlineStr">
        <is>
          <t>OK</t>
        </is>
      </c>
    </row>
    <row r="28" ht="42" customHeight="1">
      <c r="A28" s="6" t="n">
        <v>23</v>
      </c>
      <c r="B28" s="6" t="inlineStr">
        <is>
          <t>OFFER-17</t>
        </is>
      </c>
      <c r="C28" s="6" t="inlineStr">
        <is>
          <t>Preliminary 3D Plant Layout Model</t>
        </is>
      </c>
      <c r="D28" s="6" t="inlineStr">
        <is>
          <t>No</t>
        </is>
      </c>
      <c r="E28" s="6" t="inlineStr">
        <is>
          <t>T2 Secondary</t>
        </is>
      </c>
      <c r="F28" s="6" t="inlineStr">
        <is>
          <t>Configuration / Layout / Support</t>
        </is>
      </c>
      <c r="G28" s="6" t="inlineStr">
        <is>
          <t>§4.4.4.1</t>
        </is>
      </c>
      <c r="H28" s="6" t="n">
        <v>0</v>
      </c>
      <c r="I28" s="6" t="n">
        <v>0</v>
      </c>
      <c r="J28" s="6" t="n">
        <v>2</v>
      </c>
      <c r="K28" s="6" t="n">
        <v>2</v>
      </c>
      <c r="L28" s="6" t="n">
        <v>2</v>
      </c>
      <c r="M28" s="6" t="n">
        <v>0</v>
      </c>
      <c r="N28" s="6" t="n">
        <v>0</v>
      </c>
      <c r="O28" s="6" t="n">
        <v>32</v>
      </c>
      <c r="P28" s="6" t="n">
        <v>56.1224</v>
      </c>
      <c r="Q28" s="6" t="n">
        <v>4.7561</v>
      </c>
      <c r="R28" s="6" t="inlineStr">
        <is>
          <t>Performance</t>
        </is>
      </c>
      <c r="S28" s="6" t="inlineStr">
        <is>
          <t>Frozen-weight composite; strongest contribution: Performance.</t>
        </is>
      </c>
      <c r="T28" s="6" t="inlineStr">
        <is>
          <t>None explicitly named in the OFFER text</t>
        </is>
      </c>
      <c r="U28" s="6" t="inlineStr">
        <is>
          <t>SCK CEN/90508872 §4.4.4.1; no named external code in OFFER text</t>
        </is>
      </c>
      <c r="V28" s="6" t="inlineStr">
        <is>
          <t>Submit and review the named deliverable with RTM traceability and approval status; Calculation/model plus calibrated measurement or recorded trend; Document review, inspection, certification, audit or traceable QC record</t>
        </is>
      </c>
      <c r="W28" s="6" t="inlineStr">
        <is>
          <t>Offer response: Preliminary 3D Plant Layout Model; 3D / CAD Model</t>
        </is>
      </c>
      <c r="X28" s="6" t="inlineStr">
        <is>
          <t>L0 Tender / Offer; L1 Conceptual Design; L2 Detailed Design</t>
        </is>
      </c>
      <c r="Y28" s="6" t="inlineStr">
        <is>
          <t>RTM-193..RTM-197</t>
        </is>
      </c>
      <c r="Z28" s="6" t="n"/>
      <c r="AA28" s="6" t="inlineStr">
        <is>
          <t>OK</t>
        </is>
      </c>
    </row>
    <row r="29" ht="42" customHeight="1">
      <c r="A29" s="6" t="n">
        <v>24</v>
      </c>
      <c r="B29" s="6" t="inlineStr">
        <is>
          <t>OFFER-45</t>
        </is>
      </c>
      <c r="C29" s="6" t="inlineStr">
        <is>
          <t>Project Dashboard &amp; Management Processes</t>
        </is>
      </c>
      <c r="D29" s="6" t="inlineStr">
        <is>
          <t>No</t>
        </is>
      </c>
      <c r="E29" s="6" t="inlineStr">
        <is>
          <t>T2 Secondary</t>
        </is>
      </c>
      <c r="F29" s="6" t="inlineStr">
        <is>
          <t>Controls / Software / Management</t>
        </is>
      </c>
      <c r="G29" s="6" t="inlineStr">
        <is>
          <t>§7.4.1</t>
        </is>
      </c>
      <c r="H29" s="6" t="n">
        <v>2</v>
      </c>
      <c r="I29" s="6" t="n">
        <v>0</v>
      </c>
      <c r="J29" s="6" t="n">
        <v>0</v>
      </c>
      <c r="K29" s="6" t="n">
        <v>1</v>
      </c>
      <c r="L29" s="6" t="n">
        <v>3</v>
      </c>
      <c r="M29" s="6" t="n">
        <v>0</v>
      </c>
      <c r="N29" s="6" t="n">
        <v>1</v>
      </c>
      <c r="O29" s="6" t="n">
        <v>31.6667</v>
      </c>
      <c r="P29" s="6" t="n">
        <v>53.0612</v>
      </c>
      <c r="Q29" s="6" t="n">
        <v>4.0281</v>
      </c>
      <c r="R29" s="6" t="inlineStr">
        <is>
          <t>Safety / Legal</t>
        </is>
      </c>
      <c r="S29" s="6" t="inlineStr">
        <is>
          <t>Frozen-weight composite; strongest contribution: Safety / Legal.</t>
        </is>
      </c>
      <c r="T29" s="6" t="inlineStr">
        <is>
          <t>None explicitly named in the OFFER text</t>
        </is>
      </c>
      <c r="U29" s="6" t="inlineStr">
        <is>
          <t>SCK CEN/90508872 §7.4.1; no named external code in OFFER text</t>
        </is>
      </c>
      <c r="V29" s="6" t="inlineStr">
        <is>
          <t>Submit and review the named deliverable with RTM traceability and approval status; Witnessed FAT/SAT/commissioning test against stated acceptance criteria; Document review, inspection, certification, audit or traceable QC record</t>
        </is>
      </c>
      <c r="W29" s="6" t="inlineStr">
        <is>
          <t>Offer response: Project Dashboard &amp; Management Processes</t>
        </is>
      </c>
      <c r="X29" s="6" t="inlineStr">
        <is>
          <t>L0 Tender / Offer; L1 Conceptual Design; L2 Detailed Design; L3 Procurement &amp; Manufacturing / FAT; L4 Installation; L5 Standalone Commissioning; L6 Site Acceptance Testing</t>
        </is>
      </c>
      <c r="Y29" s="6" t="inlineStr">
        <is>
          <t>RTM-633</t>
        </is>
      </c>
      <c r="Z29" s="6" t="n"/>
      <c r="AA29" s="6" t="inlineStr">
        <is>
          <t>OK</t>
        </is>
      </c>
    </row>
    <row r="30" ht="42" customHeight="1">
      <c r="A30" s="6" t="n">
        <v>25</v>
      </c>
      <c r="B30" s="6" t="inlineStr">
        <is>
          <t>OFFER-39</t>
        </is>
      </c>
      <c r="C30" s="6" t="inlineStr">
        <is>
          <t>FAT/SAT Testing Strategy &amp; Procedures</t>
        </is>
      </c>
      <c r="D30" s="6" t="inlineStr">
        <is>
          <t>No</t>
        </is>
      </c>
      <c r="E30" s="6" t="inlineStr">
        <is>
          <t>T2 Secondary</t>
        </is>
      </c>
      <c r="F30" s="6" t="inlineStr">
        <is>
          <t>Configuration / Layout / Support</t>
        </is>
      </c>
      <c r="G30" s="6" t="inlineStr">
        <is>
          <t>§4.13.1</t>
        </is>
      </c>
      <c r="H30" s="6" t="n">
        <v>1</v>
      </c>
      <c r="I30" s="6" t="n">
        <v>0</v>
      </c>
      <c r="J30" s="6" t="n">
        <v>0</v>
      </c>
      <c r="K30" s="6" t="n">
        <v>2</v>
      </c>
      <c r="L30" s="6" t="n">
        <v>3</v>
      </c>
      <c r="M30" s="6" t="n">
        <v>0</v>
      </c>
      <c r="N30" s="6" t="n">
        <v>0</v>
      </c>
      <c r="O30" s="6" t="n">
        <v>29.3333</v>
      </c>
      <c r="P30" s="6" t="n">
        <v>51.0204</v>
      </c>
      <c r="Q30" s="6" t="n">
        <v>3.6071</v>
      </c>
      <c r="R30" s="6" t="inlineStr">
        <is>
          <t>Quality / Verifiability</t>
        </is>
      </c>
      <c r="S30" s="6" t="inlineStr">
        <is>
          <t>Frozen-weight composite; strongest contribution: Quality / Verifiability.</t>
        </is>
      </c>
      <c r="T30" s="6" t="inlineStr">
        <is>
          <t>None explicitly named in the OFFER text</t>
        </is>
      </c>
      <c r="U30" s="6" t="inlineStr">
        <is>
          <t>SCK CEN/90508872 §4.13.1; no named external code in OFFER text</t>
        </is>
      </c>
      <c r="V30" s="6" t="inlineStr">
        <is>
          <t>Submit and review the named deliverable with RTM traceability and approval status; Witnessed FAT/SAT/commissioning test against stated acceptance criteria</t>
        </is>
      </c>
      <c r="W30" s="6" t="inlineStr">
        <is>
          <t>Offer response: FAT/SAT Testing Strategy &amp; Procedures</t>
        </is>
      </c>
      <c r="X30" s="6" t="inlineStr">
        <is>
          <t>L0 Tender / Offer; L6 Site Acceptance Testing; L1 Conceptual Design; L2 Detailed Design</t>
        </is>
      </c>
      <c r="Y30" s="6" t="inlineStr">
        <is>
          <t>RTM-491..RTM-495</t>
        </is>
      </c>
      <c r="Z30" s="6" t="inlineStr">
        <is>
          <t>RTM-496..RTM-556</t>
        </is>
      </c>
      <c r="AA30" s="6" t="inlineStr">
        <is>
          <t>OK — Review breadth</t>
        </is>
      </c>
    </row>
    <row r="31" ht="42" customHeight="1">
      <c r="A31" s="6" t="n">
        <v>26</v>
      </c>
      <c r="B31" s="6" t="inlineStr">
        <is>
          <t>OFFER-11</t>
        </is>
      </c>
      <c r="C31" s="6" t="inlineStr">
        <is>
          <t>Reliability, MTBF &amp; Recovery Strategy</t>
        </is>
      </c>
      <c r="D31" s="6" t="inlineStr">
        <is>
          <t>No</t>
        </is>
      </c>
      <c r="E31" s="6" t="inlineStr">
        <is>
          <t>T2 Secondary</t>
        </is>
      </c>
      <c r="F31" s="6" t="inlineStr">
        <is>
          <t>Reliability / RAM / Service</t>
        </is>
      </c>
      <c r="G31" s="6" t="inlineStr">
        <is>
          <t>§4.3.2</t>
        </is>
      </c>
      <c r="H31" s="6" t="n">
        <v>0</v>
      </c>
      <c r="I31" s="6" t="n">
        <v>3</v>
      </c>
      <c r="J31" s="6" t="n">
        <v>0</v>
      </c>
      <c r="K31" s="6" t="n">
        <v>0</v>
      </c>
      <c r="L31" s="6" t="n">
        <v>0</v>
      </c>
      <c r="M31" s="6" t="n">
        <v>2</v>
      </c>
      <c r="N31" s="6" t="n">
        <v>0</v>
      </c>
      <c r="O31" s="6" t="n">
        <v>26.6667</v>
      </c>
      <c r="P31" s="6" t="n">
        <v>48.9796</v>
      </c>
      <c r="Q31" s="6" t="n">
        <v>3.2304</v>
      </c>
      <c r="R31" s="6" t="inlineStr">
        <is>
          <t>Reliability</t>
        </is>
      </c>
      <c r="S31" s="6" t="inlineStr">
        <is>
          <t>Frozen-weight composite; strongest contribution: Reliability.</t>
        </is>
      </c>
      <c r="T31" s="6" t="inlineStr">
        <is>
          <t>None explicitly named in the OFFER text</t>
        </is>
      </c>
      <c r="U31" s="6" t="inlineStr">
        <is>
          <t>SCK CEN/90508872 §4.3.2; no named external code in OFFER text</t>
        </is>
      </c>
      <c r="V31" s="6" t="inlineStr">
        <is>
          <t>Submit and review the named deliverable with RTM traceability and approval status; RAM/maintenance substantiation and recovery/failure-response evidence</t>
        </is>
      </c>
      <c r="W31" s="6" t="inlineStr">
        <is>
          <t>Offer response: Reliability, MTBF &amp; Recovery Strategy</t>
        </is>
      </c>
      <c r="X31" s="6" t="inlineStr">
        <is>
          <t>L0 Tender / Offer; L1 Conceptual Design; L2 Detailed Design</t>
        </is>
      </c>
      <c r="Y31" s="6" t="inlineStr">
        <is>
          <t>RTM-057..RTM-063</t>
        </is>
      </c>
      <c r="Z31" s="6" t="n"/>
      <c r="AA31" s="6" t="inlineStr">
        <is>
          <t>OK</t>
        </is>
      </c>
    </row>
    <row r="32" ht="42" customHeight="1">
      <c r="A32" s="6" t="n">
        <v>27</v>
      </c>
      <c r="B32" s="6" t="inlineStr">
        <is>
          <t>OFFER-15</t>
        </is>
      </c>
      <c r="C32" s="6" t="inlineStr">
        <is>
          <t>Compressor Noise Emission Specification</t>
        </is>
      </c>
      <c r="D32" s="6" t="inlineStr">
        <is>
          <t>No</t>
        </is>
      </c>
      <c r="E32" s="6" t="inlineStr">
        <is>
          <t>T2 Secondary</t>
        </is>
      </c>
      <c r="F32" s="6" t="inlineStr">
        <is>
          <t>Configuration / Layout / Support</t>
        </is>
      </c>
      <c r="G32" s="6" t="inlineStr">
        <is>
          <t>§4.4.3.1</t>
        </is>
      </c>
      <c r="H32" s="6" t="n">
        <v>0</v>
      </c>
      <c r="I32" s="6" t="n">
        <v>0</v>
      </c>
      <c r="J32" s="6" t="n">
        <v>2</v>
      </c>
      <c r="K32" s="6" t="n">
        <v>2</v>
      </c>
      <c r="L32" s="6" t="n">
        <v>0</v>
      </c>
      <c r="M32" s="6" t="n">
        <v>0</v>
      </c>
      <c r="N32" s="6" t="n">
        <v>0</v>
      </c>
      <c r="O32" s="6" t="n">
        <v>24</v>
      </c>
      <c r="P32" s="6" t="n">
        <v>41.8367</v>
      </c>
      <c r="Q32" s="6" t="n">
        <v>2.1927</v>
      </c>
      <c r="R32" s="6" t="inlineStr">
        <is>
          <t>Performance</t>
        </is>
      </c>
      <c r="S32" s="6" t="inlineStr">
        <is>
          <t>Frozen-weight composite; strongest contribution: Performance.</t>
        </is>
      </c>
      <c r="T32" s="6" t="inlineStr">
        <is>
          <t>None explicitly named in the OFFER text</t>
        </is>
      </c>
      <c r="U32" s="6" t="inlineStr">
        <is>
          <t>Linked canonical RTM/section: ISO 2372; ISO 20816; ISO 2954; ISO 2151</t>
        </is>
      </c>
      <c r="V32" s="6" t="inlineStr">
        <is>
          <t>Submit and review the named deliverable with RTM traceability and approval status; Calculation/model plus calibrated measurement or recorded trend</t>
        </is>
      </c>
      <c r="W32" s="6" t="inlineStr">
        <is>
          <t>Offer response: Compressor Noise Emission Specification</t>
        </is>
      </c>
      <c r="X32" s="6" t="inlineStr">
        <is>
          <t>L0 Tender / Offer; L1 Conceptual Design; L2 Detailed Design</t>
        </is>
      </c>
      <c r="Y32" s="6" t="inlineStr">
        <is>
          <t>RTM-141..RTM-147</t>
        </is>
      </c>
      <c r="Z32" s="6" t="n"/>
      <c r="AA32" s="6" t="inlineStr">
        <is>
          <t>OK</t>
        </is>
      </c>
    </row>
    <row r="33" ht="42" customHeight="1">
      <c r="A33" s="6" t="n">
        <v>28</v>
      </c>
      <c r="B33" s="6" t="inlineStr">
        <is>
          <t>OFFER-16</t>
        </is>
      </c>
      <c r="C33" s="6" t="inlineStr">
        <is>
          <t>Compressor Configuration &amp; Operating Limits</t>
        </is>
      </c>
      <c r="D33" s="6" t="inlineStr">
        <is>
          <t>No</t>
        </is>
      </c>
      <c r="E33" s="6" t="inlineStr">
        <is>
          <t>T2 Secondary</t>
        </is>
      </c>
      <c r="F33" s="6" t="inlineStr">
        <is>
          <t>Configuration / Layout / Support</t>
        </is>
      </c>
      <c r="G33" s="6" t="inlineStr">
        <is>
          <t>§4.4.3.2</t>
        </is>
      </c>
      <c r="H33" s="6" t="n">
        <v>0</v>
      </c>
      <c r="I33" s="6" t="n">
        <v>0</v>
      </c>
      <c r="J33" s="6" t="n">
        <v>2</v>
      </c>
      <c r="K33" s="6" t="n">
        <v>2</v>
      </c>
      <c r="L33" s="6" t="n">
        <v>0</v>
      </c>
      <c r="M33" s="6" t="n">
        <v>0</v>
      </c>
      <c r="N33" s="6" t="n">
        <v>0</v>
      </c>
      <c r="O33" s="6" t="n">
        <v>24</v>
      </c>
      <c r="P33" s="6" t="n">
        <v>41.8367</v>
      </c>
      <c r="Q33" s="6" t="n">
        <v>2.1927</v>
      </c>
      <c r="R33" s="6" t="inlineStr">
        <is>
          <t>Performance</t>
        </is>
      </c>
      <c r="S33" s="6" t="inlineStr">
        <is>
          <t>Frozen-weight composite; strongest contribution: Performance.</t>
        </is>
      </c>
      <c r="T33" s="6" t="inlineStr">
        <is>
          <t>None explicitly named in the OFFER text</t>
        </is>
      </c>
      <c r="U33" s="6" t="inlineStr">
        <is>
          <t>Linked canonical RTM/section: API 671; ISO 10441</t>
        </is>
      </c>
      <c r="V33" s="6" t="inlineStr">
        <is>
          <t>Submit and review the named deliverable with RTM traceability and approval status; Calculation/model plus calibrated measurement or recorded trend</t>
        </is>
      </c>
      <c r="W33" s="6" t="inlineStr">
        <is>
          <t>Offer response: Compressor Configuration &amp; Operating Limits</t>
        </is>
      </c>
      <c r="X33" s="6" t="inlineStr">
        <is>
          <t>L0 Tender / Offer; L1 Conceptual Design; L2 Detailed Design</t>
        </is>
      </c>
      <c r="Y33" s="6" t="inlineStr">
        <is>
          <t>RTM-148..RTM-152</t>
        </is>
      </c>
      <c r="Z33" s="6" t="n"/>
      <c r="AA33" s="6" t="inlineStr">
        <is>
          <t>OK</t>
        </is>
      </c>
    </row>
    <row r="34" ht="42" customHeight="1">
      <c r="A34" s="6" t="n">
        <v>29</v>
      </c>
      <c r="B34" s="6" t="inlineStr">
        <is>
          <t>OFFER-18</t>
        </is>
      </c>
      <c r="C34" s="6" t="inlineStr">
        <is>
          <t>MPHX Technology Selection</t>
        </is>
      </c>
      <c r="D34" s="6" t="inlineStr">
        <is>
          <t>No</t>
        </is>
      </c>
      <c r="E34" s="6" t="inlineStr">
        <is>
          <t>T2 Secondary</t>
        </is>
      </c>
      <c r="F34" s="6" t="inlineStr">
        <is>
          <t>Performance / Process / Utilities</t>
        </is>
      </c>
      <c r="G34" s="6" t="inlineStr">
        <is>
          <t>§4.4.4.2.2</t>
        </is>
      </c>
      <c r="H34" s="6" t="n">
        <v>0</v>
      </c>
      <c r="I34" s="6" t="n">
        <v>0</v>
      </c>
      <c r="J34" s="6" t="n">
        <v>2</v>
      </c>
      <c r="K34" s="6" t="n">
        <v>2</v>
      </c>
      <c r="L34" s="6" t="n">
        <v>0</v>
      </c>
      <c r="M34" s="6" t="n">
        <v>0</v>
      </c>
      <c r="N34" s="6" t="n">
        <v>0</v>
      </c>
      <c r="O34" s="6" t="n">
        <v>24</v>
      </c>
      <c r="P34" s="6" t="n">
        <v>41.8367</v>
      </c>
      <c r="Q34" s="6" t="n">
        <v>2.1927</v>
      </c>
      <c r="R34" s="6" t="inlineStr">
        <is>
          <t>Performance</t>
        </is>
      </c>
      <c r="S34" s="6" t="inlineStr">
        <is>
          <t>Frozen-weight composite; strongest contribution: Performance.</t>
        </is>
      </c>
      <c r="T34" s="6" t="inlineStr">
        <is>
          <t>None explicitly named in the OFFER text</t>
        </is>
      </c>
      <c r="U34" s="6" t="inlineStr">
        <is>
          <t>SCK CEN/90508872 §4.4.4.2.2; no named external code in OFFER text</t>
        </is>
      </c>
      <c r="V34" s="6" t="inlineStr">
        <is>
          <t>Submit and review the named deliverable with RTM traceability and approval status; Calculation/model plus calibrated measurement or recorded trend</t>
        </is>
      </c>
      <c r="W34" s="6" t="inlineStr">
        <is>
          <t>Offer response: MPHX Technology Selection</t>
        </is>
      </c>
      <c r="X34" s="6" t="inlineStr">
        <is>
          <t>L0 Tender / Offer; L1 Conceptual Design; L2 Detailed Design</t>
        </is>
      </c>
      <c r="Y34" s="6" t="inlineStr">
        <is>
          <t>RTM-202..RTM-209</t>
        </is>
      </c>
      <c r="Z34" s="6" t="n"/>
      <c r="AA34" s="6" t="inlineStr">
        <is>
          <t>OK</t>
        </is>
      </c>
    </row>
    <row r="35" ht="42" customHeight="1">
      <c r="A35" s="6" t="n">
        <v>30</v>
      </c>
      <c r="B35" s="6" t="inlineStr">
        <is>
          <t>OFFER-19</t>
        </is>
      </c>
      <c r="C35" s="6" t="inlineStr">
        <is>
          <t>Warm Storage Heater (WSH) Design &amp; Layout</t>
        </is>
      </c>
      <c r="D35" s="6" t="inlineStr">
        <is>
          <t>No</t>
        </is>
      </c>
      <c r="E35" s="6" t="inlineStr">
        <is>
          <t>T2 Secondary</t>
        </is>
      </c>
      <c r="F35" s="6" t="inlineStr">
        <is>
          <t>Performance / Process / Utilities</t>
        </is>
      </c>
      <c r="G35" s="6" t="inlineStr">
        <is>
          <t>§4.4.5.2</t>
        </is>
      </c>
      <c r="H35" s="6" t="n">
        <v>0</v>
      </c>
      <c r="I35" s="6" t="n">
        <v>0</v>
      </c>
      <c r="J35" s="6" t="n">
        <v>2</v>
      </c>
      <c r="K35" s="6" t="n">
        <v>2</v>
      </c>
      <c r="L35" s="6" t="n">
        <v>0</v>
      </c>
      <c r="M35" s="6" t="n">
        <v>0</v>
      </c>
      <c r="N35" s="6" t="n">
        <v>0</v>
      </c>
      <c r="O35" s="6" t="n">
        <v>24</v>
      </c>
      <c r="P35" s="6" t="n">
        <v>41.8367</v>
      </c>
      <c r="Q35" s="6" t="n">
        <v>2.1927</v>
      </c>
      <c r="R35" s="6" t="inlineStr">
        <is>
          <t>Performance</t>
        </is>
      </c>
      <c r="S35" s="6" t="inlineStr">
        <is>
          <t>Frozen-weight composite; strongest contribution: Performance.</t>
        </is>
      </c>
      <c r="T35" s="6" t="inlineStr">
        <is>
          <t>None explicitly named in the OFFER text</t>
        </is>
      </c>
      <c r="U35" s="6" t="inlineStr">
        <is>
          <t>SCK CEN/90508872 §4.4.5.2; no named external code in OFFER text</t>
        </is>
      </c>
      <c r="V35" s="6" t="inlineStr">
        <is>
          <t>Submit and review the named deliverable with RTM traceability and approval status; Calculation/model plus calibrated measurement or recorded trend</t>
        </is>
      </c>
      <c r="W35" s="6" t="inlineStr">
        <is>
          <t>Offer response: Warm Storage Heater (WSH) Design &amp; Layout</t>
        </is>
      </c>
      <c r="X35" s="6" t="inlineStr">
        <is>
          <t>L0 Tender / Offer; L1 Conceptual Design; L2 Detailed Design</t>
        </is>
      </c>
      <c r="Y35" s="6" t="inlineStr">
        <is>
          <t>RTM-239..RTM-248</t>
        </is>
      </c>
      <c r="Z35" s="6" t="n"/>
      <c r="AA35" s="6" t="inlineStr">
        <is>
          <t>OK</t>
        </is>
      </c>
    </row>
    <row r="36" ht="42" customHeight="1">
      <c r="A36" s="6" t="n">
        <v>31</v>
      </c>
      <c r="B36" s="6" t="inlineStr">
        <is>
          <t>OFFER-24</t>
        </is>
      </c>
      <c r="C36" s="6" t="inlineStr">
        <is>
          <t>Helium Purity Acceptance Criteria</t>
        </is>
      </c>
      <c r="D36" s="6" t="inlineStr">
        <is>
          <t>No</t>
        </is>
      </c>
      <c r="E36" s="6" t="inlineStr">
        <is>
          <t>T2 Secondary</t>
        </is>
      </c>
      <c r="F36" s="6" t="inlineStr">
        <is>
          <t>Performance / Process / Utilities</t>
        </is>
      </c>
      <c r="G36" s="6" t="inlineStr">
        <is>
          <t>§4.4.8.2</t>
        </is>
      </c>
      <c r="H36" s="6" t="n">
        <v>2</v>
      </c>
      <c r="I36" s="6" t="n">
        <v>0</v>
      </c>
      <c r="J36" s="6" t="n">
        <v>0</v>
      </c>
      <c r="K36" s="6" t="n">
        <v>2</v>
      </c>
      <c r="L36" s="6" t="n">
        <v>0</v>
      </c>
      <c r="M36" s="6" t="n">
        <v>0</v>
      </c>
      <c r="N36" s="6" t="n">
        <v>0</v>
      </c>
      <c r="O36" s="6" t="n">
        <v>24</v>
      </c>
      <c r="P36" s="6" t="n">
        <v>41.8367</v>
      </c>
      <c r="Q36" s="6" t="n">
        <v>2.1927</v>
      </c>
      <c r="R36" s="6" t="inlineStr">
        <is>
          <t>Safety / Legal</t>
        </is>
      </c>
      <c r="S36" s="6" t="inlineStr">
        <is>
          <t>Frozen-weight composite; strongest contribution: Safety / Legal.</t>
        </is>
      </c>
      <c r="T36" s="6" t="inlineStr">
        <is>
          <t>None explicitly named in the OFFER text</t>
        </is>
      </c>
      <c r="U36" s="6" t="inlineStr">
        <is>
          <t>SCK CEN/90508872 §4.4.8.2; no named external code in OFFER text</t>
        </is>
      </c>
      <c r="V36" s="6" t="inlineStr">
        <is>
          <t>Submit and review the named deliverable with RTM traceability and approval status</t>
        </is>
      </c>
      <c r="W36" s="6" t="inlineStr">
        <is>
          <t>Offer response: Helium Purity Acceptance Criteria</t>
        </is>
      </c>
      <c r="X36" s="6" t="inlineStr">
        <is>
          <t>L0 Tender / Offer; L1 Conceptual Design; L2 Detailed Design</t>
        </is>
      </c>
      <c r="Y36" s="6" t="inlineStr">
        <is>
          <t>RTM-273..RTM-280</t>
        </is>
      </c>
      <c r="Z36" s="6" t="n"/>
      <c r="AA36" s="6" t="inlineStr">
        <is>
          <t>OK</t>
        </is>
      </c>
    </row>
    <row r="37" ht="42" customHeight="1">
      <c r="A37" s="6" t="n">
        <v>32</v>
      </c>
      <c r="B37" s="6" t="inlineStr">
        <is>
          <t>OFFER-35</t>
        </is>
      </c>
      <c r="C37" s="6" t="inlineStr">
        <is>
          <t>Heat Rejection &amp; HVAC Interface Design</t>
        </is>
      </c>
      <c r="D37" s="6" t="inlineStr">
        <is>
          <t>No</t>
        </is>
      </c>
      <c r="E37" s="6" t="inlineStr">
        <is>
          <t>T2 Secondary</t>
        </is>
      </c>
      <c r="F37" s="6" t="inlineStr">
        <is>
          <t>Performance / Process / Utilities</t>
        </is>
      </c>
      <c r="G37" s="6" t="inlineStr">
        <is>
          <t>§4.7.6</t>
        </is>
      </c>
      <c r="H37" s="6" t="n">
        <v>0</v>
      </c>
      <c r="I37" s="6" t="n">
        <v>0</v>
      </c>
      <c r="J37" s="6" t="n">
        <v>2</v>
      </c>
      <c r="K37" s="6" t="n">
        <v>2</v>
      </c>
      <c r="L37" s="6" t="n">
        <v>0</v>
      </c>
      <c r="M37" s="6" t="n">
        <v>0</v>
      </c>
      <c r="N37" s="6" t="n">
        <v>0</v>
      </c>
      <c r="O37" s="6" t="n">
        <v>24</v>
      </c>
      <c r="P37" s="6" t="n">
        <v>41.8367</v>
      </c>
      <c r="Q37" s="6" t="n">
        <v>2.1927</v>
      </c>
      <c r="R37" s="6" t="inlineStr">
        <is>
          <t>Performance</t>
        </is>
      </c>
      <c r="S37" s="6" t="inlineStr">
        <is>
          <t>Frozen-weight composite; strongest contribution: Performance.</t>
        </is>
      </c>
      <c r="T37" s="6" t="inlineStr">
        <is>
          <t>None explicitly named in the OFFER text</t>
        </is>
      </c>
      <c r="U37" s="6" t="inlineStr">
        <is>
          <t>SCK CEN/90508872 §4.7.6; no named external code in OFFER text</t>
        </is>
      </c>
      <c r="V37" s="6" t="inlineStr">
        <is>
          <t>Submit and review the named deliverable with RTM traceability and approval status; Calculation/model plus calibrated measurement or recorded trend; Functional design/configuration review and sequence/interface demonstration</t>
        </is>
      </c>
      <c r="W37" s="6" t="inlineStr">
        <is>
          <t>Offer response: Heat Rejection &amp; HVAC Interface Design</t>
        </is>
      </c>
      <c r="X37" s="6" t="inlineStr">
        <is>
          <t>L0 Tender / Offer; L1 Conceptual Design; L2 Detailed Design</t>
        </is>
      </c>
      <c r="Y37" s="6" t="inlineStr">
        <is>
          <t>RTM-434..RTM-435</t>
        </is>
      </c>
      <c r="Z37" s="6" t="n"/>
      <c r="AA37" s="6" t="inlineStr">
        <is>
          <t>OK</t>
        </is>
      </c>
    </row>
    <row r="38" ht="42" customHeight="1">
      <c r="A38" s="6" t="n">
        <v>33</v>
      </c>
      <c r="B38" s="6" t="inlineStr">
        <is>
          <t>OFFER-50</t>
        </is>
      </c>
      <c r="C38" s="6" t="inlineStr">
        <is>
          <t>Warranty Extension Commercial Terms</t>
        </is>
      </c>
      <c r="D38" s="6" t="inlineStr">
        <is>
          <t>No</t>
        </is>
      </c>
      <c r="E38" s="6" t="inlineStr">
        <is>
          <t>T3 Contextual</t>
        </is>
      </c>
      <c r="F38" s="6" t="inlineStr">
        <is>
          <t>Configuration / Layout / Support</t>
        </is>
      </c>
      <c r="G38" s="6" t="inlineStr">
        <is>
          <t>§10.2</t>
        </is>
      </c>
      <c r="H38" s="6" t="n">
        <v>2</v>
      </c>
      <c r="I38" s="6" t="n">
        <v>0</v>
      </c>
      <c r="J38" s="6" t="n">
        <v>0</v>
      </c>
      <c r="K38" s="6" t="n">
        <v>0</v>
      </c>
      <c r="L38" s="6" t="n">
        <v>0</v>
      </c>
      <c r="M38" s="6" t="n">
        <v>3</v>
      </c>
      <c r="N38" s="6" t="n">
        <v>3</v>
      </c>
      <c r="O38" s="6" t="n">
        <v>23.3333</v>
      </c>
      <c r="P38" s="6" t="n">
        <v>34.6939</v>
      </c>
      <c r="Q38" s="6" t="n">
        <v>1.4767</v>
      </c>
      <c r="R38" s="6" t="inlineStr">
        <is>
          <t>Safety / Legal</t>
        </is>
      </c>
      <c r="S38" s="6" t="inlineStr">
        <is>
          <t>Frozen-weight composite; strongest contribution: Safety / Legal.</t>
        </is>
      </c>
      <c r="T38" s="6" t="inlineStr">
        <is>
          <t>None explicitly named in the OFFER text</t>
        </is>
      </c>
      <c r="U38" s="6" t="inlineStr">
        <is>
          <t>SCK CEN/90508872 §10.2; no named external code in OFFER text</t>
        </is>
      </c>
      <c r="V38" s="6" t="inlineStr">
        <is>
          <t>Submit and review the named deliverable with RTM traceability and approval status</t>
        </is>
      </c>
      <c r="W38" s="6" t="inlineStr">
        <is>
          <t>Offer response: Warranty Extension Commercial Terms</t>
        </is>
      </c>
      <c r="X38" s="6" t="inlineStr">
        <is>
          <t>L0 Tender / Offer; Warranty; PAC / Handover; FAC</t>
        </is>
      </c>
      <c r="Y38" s="6" t="inlineStr">
        <is>
          <t>RTM-708</t>
        </is>
      </c>
      <c r="Z38" s="6" t="inlineStr">
        <is>
          <t>RTM-709..RTM-710</t>
        </is>
      </c>
      <c r="AA38" s="6" t="inlineStr">
        <is>
          <t>OK</t>
        </is>
      </c>
    </row>
    <row r="39" ht="42" customHeight="1">
      <c r="A39" s="6" t="n">
        <v>34</v>
      </c>
      <c r="B39" s="6" t="inlineStr">
        <is>
          <t>OFFER-14</t>
        </is>
      </c>
      <c r="C39" s="6" t="inlineStr">
        <is>
          <t>Expansion Joint Design &amp; Risk Justification</t>
        </is>
      </c>
      <c r="D39" s="6" t="inlineStr">
        <is>
          <t>No</t>
        </is>
      </c>
      <c r="E39" s="6" t="inlineStr">
        <is>
          <t>T3 Contextual</t>
        </is>
      </c>
      <c r="F39" s="6" t="inlineStr">
        <is>
          <t>Configuration / Layout / Support</t>
        </is>
      </c>
      <c r="G39" s="6" t="inlineStr">
        <is>
          <t>§4.4.1.1</t>
        </is>
      </c>
      <c r="H39" s="6" t="n">
        <v>0</v>
      </c>
      <c r="I39" s="6" t="n">
        <v>0</v>
      </c>
      <c r="J39" s="6" t="n">
        <v>0</v>
      </c>
      <c r="K39" s="6" t="n">
        <v>2</v>
      </c>
      <c r="L39" s="6" t="n">
        <v>3</v>
      </c>
      <c r="M39" s="6" t="n">
        <v>0</v>
      </c>
      <c r="N39" s="6" t="n">
        <v>0</v>
      </c>
      <c r="O39" s="6" t="n">
        <v>22.6667</v>
      </c>
      <c r="P39" s="6" t="n">
        <v>32.6531</v>
      </c>
      <c r="Q39" s="6" t="n">
        <v>1.3156</v>
      </c>
      <c r="R39" s="6" t="inlineStr">
        <is>
          <t>Quality / Verifiability</t>
        </is>
      </c>
      <c r="S39" s="6" t="inlineStr">
        <is>
          <t>Frozen-weight composite; strongest contribution: Quality / Verifiability.</t>
        </is>
      </c>
      <c r="T39" s="6" t="inlineStr">
        <is>
          <t>None explicitly named in the OFFER text</t>
        </is>
      </c>
      <c r="U39" s="6" t="inlineStr">
        <is>
          <t>SCK CEN/90508872 §4.4.1.1; no named external code in OFFER text</t>
        </is>
      </c>
      <c r="V39" s="6" t="inlineStr">
        <is>
          <t>Submit and review the named deliverable with RTM traceability and approval status; Document review, inspection, certification, audit or traceable QC record</t>
        </is>
      </c>
      <c r="W39" s="6" t="inlineStr">
        <is>
          <t>Offer response: Expansion Joint Design &amp; Risk Justification; Quality Assurance Plan (QAP); Risk Assessment / HAZOP / FMECA</t>
        </is>
      </c>
      <c r="X39" s="6" t="inlineStr">
        <is>
          <t>L0 Tender / Offer; L1 Conceptual Design; L2 Detailed Design</t>
        </is>
      </c>
      <c r="Y39" s="6" t="inlineStr">
        <is>
          <t>RTM-079</t>
        </is>
      </c>
      <c r="Z39" s="6" t="n"/>
      <c r="AA39" s="6" t="inlineStr">
        <is>
          <t>OK</t>
        </is>
      </c>
    </row>
    <row r="40" ht="42" customHeight="1">
      <c r="A40" s="6" t="n">
        <v>35</v>
      </c>
      <c r="B40" s="6" t="inlineStr">
        <is>
          <t>OFFER-07</t>
        </is>
      </c>
      <c r="C40" s="6" t="inlineStr">
        <is>
          <t>Header Design Pressure &amp; Temperature Definition</t>
        </is>
      </c>
      <c r="D40" s="6" t="inlineStr">
        <is>
          <t>No</t>
        </is>
      </c>
      <c r="E40" s="6" t="inlineStr">
        <is>
          <t>T3 Contextual</t>
        </is>
      </c>
      <c r="F40" s="6" t="inlineStr">
        <is>
          <t>Performance / Process / Utilities</t>
        </is>
      </c>
      <c r="G40" s="6" t="inlineStr">
        <is>
          <t>§4.2.4</t>
        </is>
      </c>
      <c r="H40" s="6" t="n">
        <v>0</v>
      </c>
      <c r="I40" s="6" t="n">
        <v>0</v>
      </c>
      <c r="J40" s="6" t="n">
        <v>3</v>
      </c>
      <c r="K40" s="6" t="n">
        <v>0</v>
      </c>
      <c r="L40" s="6" t="n">
        <v>0</v>
      </c>
      <c r="M40" s="6" t="n">
        <v>0</v>
      </c>
      <c r="N40" s="6" t="n">
        <v>0</v>
      </c>
      <c r="O40" s="6" t="n">
        <v>20</v>
      </c>
      <c r="P40" s="6" t="n">
        <v>27.551</v>
      </c>
      <c r="Q40" s="6" t="n">
        <v>0.9785</v>
      </c>
      <c r="R40" s="6" t="inlineStr">
        <is>
          <t>Performance</t>
        </is>
      </c>
      <c r="S40" s="6" t="inlineStr">
        <is>
          <t>Frozen-weight composite; strongest contribution: Performance.</t>
        </is>
      </c>
      <c r="T40" s="6" t="inlineStr">
        <is>
          <t>None explicitly named in the OFFER text</t>
        </is>
      </c>
      <c r="U40" s="6" t="inlineStr">
        <is>
          <t>SCK CEN/90508872 §4.2.4; no named external code in OFFER text</t>
        </is>
      </c>
      <c r="V40" s="6" t="inlineStr">
        <is>
          <t>Submit and review the named deliverable with RTM traceability and approval status; Calculation/model plus calibrated measurement or recorded trend</t>
        </is>
      </c>
      <c r="W40" s="6" t="inlineStr">
        <is>
          <t>Offer response: Header Design Pressure &amp; Temperature Definition</t>
        </is>
      </c>
      <c r="X40" s="6" t="inlineStr">
        <is>
          <t>L0 Tender / Offer; L1 Conceptual Design; L2 Detailed Design</t>
        </is>
      </c>
      <c r="Y40" s="6" t="inlineStr">
        <is>
          <t>RTM-040..RTM-044</t>
        </is>
      </c>
      <c r="Z40" s="6" t="n"/>
      <c r="AA40" s="6" t="inlineStr">
        <is>
          <t>OK</t>
        </is>
      </c>
    </row>
    <row r="41" ht="42" customHeight="1">
      <c r="A41" s="6" t="n">
        <v>36</v>
      </c>
      <c r="B41" s="6" t="inlineStr">
        <is>
          <t>OFFER-08</t>
        </is>
      </c>
      <c r="C41" s="6" t="inlineStr">
        <is>
          <t>LN2 Precooling Design Decision</t>
        </is>
      </c>
      <c r="D41" s="6" t="inlineStr">
        <is>
          <t>No</t>
        </is>
      </c>
      <c r="E41" s="6" t="inlineStr">
        <is>
          <t>T3 Contextual</t>
        </is>
      </c>
      <c r="F41" s="6" t="inlineStr">
        <is>
          <t>Performance / Process / Utilities</t>
        </is>
      </c>
      <c r="G41" s="6" t="inlineStr">
        <is>
          <t>§4.2.5</t>
        </is>
      </c>
      <c r="H41" s="6" t="n">
        <v>0</v>
      </c>
      <c r="I41" s="6" t="n">
        <v>0</v>
      </c>
      <c r="J41" s="6" t="n">
        <v>3</v>
      </c>
      <c r="K41" s="6" t="n">
        <v>0</v>
      </c>
      <c r="L41" s="6" t="n">
        <v>0</v>
      </c>
      <c r="M41" s="6" t="n">
        <v>0</v>
      </c>
      <c r="N41" s="6" t="n">
        <v>0</v>
      </c>
      <c r="O41" s="6" t="n">
        <v>20</v>
      </c>
      <c r="P41" s="6" t="n">
        <v>27.551</v>
      </c>
      <c r="Q41" s="6" t="n">
        <v>0.9785</v>
      </c>
      <c r="R41" s="6" t="inlineStr">
        <is>
          <t>Performance</t>
        </is>
      </c>
      <c r="S41" s="6" t="inlineStr">
        <is>
          <t>Frozen-weight composite; strongest contribution: Performance.</t>
        </is>
      </c>
      <c r="T41" s="6" t="inlineStr">
        <is>
          <t>None explicitly named in the OFFER text</t>
        </is>
      </c>
      <c r="U41" s="6" t="inlineStr">
        <is>
          <t>SCK CEN/90508872 §4.2.5; no named external code in OFFER text</t>
        </is>
      </c>
      <c r="V41" s="6" t="inlineStr">
        <is>
          <t>Submit and review the named deliverable with RTM traceability and approval status; Calculation/model plus calibrated measurement or recorded trend</t>
        </is>
      </c>
      <c r="W41" s="6" t="inlineStr">
        <is>
          <t>Offer response: LN2 Precooling Design Decision</t>
        </is>
      </c>
      <c r="X41" s="6" t="inlineStr">
        <is>
          <t>L0 Tender / Offer; L1 Conceptual Design; L2 Detailed Design</t>
        </is>
      </c>
      <c r="Y41" s="6" t="inlineStr">
        <is>
          <t>RTM-045</t>
        </is>
      </c>
      <c r="Z41" s="6" t="inlineStr">
        <is>
          <t>RTM-046..RTM-047</t>
        </is>
      </c>
      <c r="AA41" s="6" t="inlineStr">
        <is>
          <t>OK</t>
        </is>
      </c>
    </row>
    <row r="42" ht="42" customHeight="1">
      <c r="A42" s="6" t="n">
        <v>37</v>
      </c>
      <c r="B42" s="6" t="inlineStr">
        <is>
          <t>OFFER-12</t>
        </is>
      </c>
      <c r="C42" s="6" t="inlineStr">
        <is>
          <t>Performance Efficiency (invCOP) Declaration</t>
        </is>
      </c>
      <c r="D42" s="6" t="inlineStr">
        <is>
          <t>No</t>
        </is>
      </c>
      <c r="E42" s="6" t="inlineStr">
        <is>
          <t>T3 Contextual</t>
        </is>
      </c>
      <c r="F42" s="6" t="inlineStr">
        <is>
          <t>Performance / Process / Utilities</t>
        </is>
      </c>
      <c r="G42" s="6" t="inlineStr">
        <is>
          <t>§4.3.4</t>
        </is>
      </c>
      <c r="H42" s="6" t="n">
        <v>0</v>
      </c>
      <c r="I42" s="6" t="n">
        <v>0</v>
      </c>
      <c r="J42" s="6" t="n">
        <v>3</v>
      </c>
      <c r="K42" s="6" t="n">
        <v>0</v>
      </c>
      <c r="L42" s="6" t="n">
        <v>0</v>
      </c>
      <c r="M42" s="6" t="n">
        <v>0</v>
      </c>
      <c r="N42" s="6" t="n">
        <v>0</v>
      </c>
      <c r="O42" s="6" t="n">
        <v>20</v>
      </c>
      <c r="P42" s="6" t="n">
        <v>27.551</v>
      </c>
      <c r="Q42" s="6" t="n">
        <v>0.9785</v>
      </c>
      <c r="R42" s="6" t="inlineStr">
        <is>
          <t>Performance</t>
        </is>
      </c>
      <c r="S42" s="6" t="inlineStr">
        <is>
          <t>Frozen-weight composite; strongest contribution: Performance.</t>
        </is>
      </c>
      <c r="T42" s="6" t="inlineStr">
        <is>
          <t>None explicitly named in the OFFER text</t>
        </is>
      </c>
      <c r="U42" s="6" t="inlineStr">
        <is>
          <t>SCK CEN/90508872 §4.3.4; no named external code in OFFER text</t>
        </is>
      </c>
      <c r="V42" s="6" t="inlineStr">
        <is>
          <t>Submit and review the named deliverable with RTM traceability and approval status; Calculation/model plus calibrated measurement or recorded trend</t>
        </is>
      </c>
      <c r="W42" s="6" t="inlineStr">
        <is>
          <t>Offer response: Performance Efficiency (invCOP) Declaration</t>
        </is>
      </c>
      <c r="X42" s="6" t="inlineStr">
        <is>
          <t>L0 Tender / Offer; L1 Conceptual Design; L2 Detailed Design</t>
        </is>
      </c>
      <c r="Y42" s="6" t="inlineStr">
        <is>
          <t>RTM-069..RTM-072</t>
        </is>
      </c>
      <c r="Z42" s="6" t="inlineStr">
        <is>
          <t>RTM-073..RTM-077</t>
        </is>
      </c>
      <c r="AA42" s="6" t="inlineStr">
        <is>
          <t>OK — Review breadth</t>
        </is>
      </c>
    </row>
    <row r="43" ht="42" customHeight="1">
      <c r="A43" s="6" t="n">
        <v>38</v>
      </c>
      <c r="B43" s="6" t="inlineStr">
        <is>
          <t>OFFER-23</t>
        </is>
      </c>
      <c r="C43" s="6" t="inlineStr">
        <is>
          <t>User Configuration Filling Performance</t>
        </is>
      </c>
      <c r="D43" s="6" t="inlineStr">
        <is>
          <t>No</t>
        </is>
      </c>
      <c r="E43" s="6" t="inlineStr">
        <is>
          <t>T3 Contextual</t>
        </is>
      </c>
      <c r="F43" s="6" t="inlineStr">
        <is>
          <t>Performance / Process / Utilities</t>
        </is>
      </c>
      <c r="G43" s="6" t="inlineStr">
        <is>
          <t>§4.4.8.1</t>
        </is>
      </c>
      <c r="H43" s="6" t="n">
        <v>0</v>
      </c>
      <c r="I43" s="6" t="n">
        <v>0</v>
      </c>
      <c r="J43" s="6" t="n">
        <v>0</v>
      </c>
      <c r="K43" s="6" t="n">
        <v>3</v>
      </c>
      <c r="L43" s="6" t="n">
        <v>1</v>
      </c>
      <c r="M43" s="6" t="n">
        <v>0</v>
      </c>
      <c r="N43" s="6" t="n">
        <v>0</v>
      </c>
      <c r="O43" s="6" t="n">
        <v>20</v>
      </c>
      <c r="P43" s="6" t="n">
        <v>27.551</v>
      </c>
      <c r="Q43" s="6" t="n">
        <v>0.9785</v>
      </c>
      <c r="R43" s="6" t="inlineStr">
        <is>
          <t>Functional</t>
        </is>
      </c>
      <c r="S43" s="6" t="inlineStr">
        <is>
          <t>Frozen-weight composite; strongest contribution: Functional.</t>
        </is>
      </c>
      <c r="T43" s="6" t="inlineStr">
        <is>
          <t>None explicitly named in the OFFER text</t>
        </is>
      </c>
      <c r="U43" s="6" t="inlineStr">
        <is>
          <t>SCK CEN/90508872 §4.4.8.1; no named external code in OFFER text</t>
        </is>
      </c>
      <c r="V43" s="6" t="inlineStr">
        <is>
          <t>Submit and review the named deliverable with RTM traceability and approval status; Calculation/model plus calibrated measurement or recorded trend; Functional design/configuration review and sequence/interface demonstration</t>
        </is>
      </c>
      <c r="W43" s="6" t="inlineStr">
        <is>
          <t>Offer response: User Configuration Filling Performance</t>
        </is>
      </c>
      <c r="X43" s="6" t="inlineStr">
        <is>
          <t>L0 Tender / Offer; L1 Conceptual Design; L2 Detailed Design</t>
        </is>
      </c>
      <c r="Y43" s="6" t="inlineStr">
        <is>
          <t>RTM-268..RTM-272</t>
        </is>
      </c>
      <c r="Z43" s="6" t="n"/>
      <c r="AA43" s="6" t="inlineStr">
        <is>
          <t>OK</t>
        </is>
      </c>
    </row>
    <row r="44" ht="42" customHeight="1">
      <c r="A44" s="6" t="n">
        <v>39</v>
      </c>
      <c r="B44" s="6" t="inlineStr">
        <is>
          <t>OFFER-36</t>
        </is>
      </c>
      <c r="C44" s="6" t="inlineStr">
        <is>
          <t>3D Model Platform &amp; CAD Delivery</t>
        </is>
      </c>
      <c r="D44" s="6" t="inlineStr">
        <is>
          <t>No</t>
        </is>
      </c>
      <c r="E44" s="6" t="inlineStr">
        <is>
          <t>T3 Contextual</t>
        </is>
      </c>
      <c r="F44" s="6" t="inlineStr">
        <is>
          <t>Configuration / Layout / Support</t>
        </is>
      </c>
      <c r="G44" s="6" t="inlineStr">
        <is>
          <t>§4.8.1.2</t>
        </is>
      </c>
      <c r="H44" s="6" t="n">
        <v>0</v>
      </c>
      <c r="I44" s="6" t="n">
        <v>0</v>
      </c>
      <c r="J44" s="6" t="n">
        <v>0</v>
      </c>
      <c r="K44" s="6" t="n">
        <v>2</v>
      </c>
      <c r="L44" s="6" t="n">
        <v>2</v>
      </c>
      <c r="M44" s="6" t="n">
        <v>0</v>
      </c>
      <c r="N44" s="6" t="n">
        <v>0</v>
      </c>
      <c r="O44" s="6" t="n">
        <v>18.6667</v>
      </c>
      <c r="P44" s="6" t="n">
        <v>21.4286</v>
      </c>
      <c r="Q44" s="6" t="n">
        <v>0.6728</v>
      </c>
      <c r="R44" s="6" t="inlineStr">
        <is>
          <t>Functional</t>
        </is>
      </c>
      <c r="S44" s="6" t="inlineStr">
        <is>
          <t>Frozen-weight composite; strongest contribution: Functional.</t>
        </is>
      </c>
      <c r="T44" s="6" t="inlineStr">
        <is>
          <t>None explicitly named in the OFFER text</t>
        </is>
      </c>
      <c r="U44" s="6" t="inlineStr">
        <is>
          <t>SCK CEN/90508872 §4.8.1.2; no named external code in OFFER text</t>
        </is>
      </c>
      <c r="V44" s="6" t="inlineStr">
        <is>
          <t>Submit and review the named deliverable with RTM traceability and approval status; Document review, inspection, certification, audit or traceable QC record</t>
        </is>
      </c>
      <c r="W44" s="6" t="inlineStr">
        <is>
          <t>Offer response: 3D Model Platform &amp; CAD Delivery; 3D / CAD Model</t>
        </is>
      </c>
      <c r="X44" s="6" t="inlineStr">
        <is>
          <t>L0 Tender / Offer; L1 Conceptual Design; L2 Detailed Design</t>
        </is>
      </c>
      <c r="Y44" s="6" t="inlineStr">
        <is>
          <t>RTM-445..RTM-449</t>
        </is>
      </c>
      <c r="Z44" s="6" t="n"/>
      <c r="AA44" s="6" t="inlineStr">
        <is>
          <t>OK</t>
        </is>
      </c>
    </row>
    <row r="45" ht="42" customHeight="1">
      <c r="A45" s="6" t="n">
        <v>40</v>
      </c>
      <c r="B45" s="6" t="inlineStr">
        <is>
          <t>OFFER-40</t>
        </is>
      </c>
      <c r="C45" s="6" t="inlineStr">
        <is>
          <t>Electrical Power Measurement Methodology</t>
        </is>
      </c>
      <c r="D45" s="6" t="inlineStr">
        <is>
          <t>No</t>
        </is>
      </c>
      <c r="E45" s="6" t="inlineStr">
        <is>
          <t>T3 Contextual</t>
        </is>
      </c>
      <c r="F45" s="6" t="inlineStr">
        <is>
          <t>Performance / Process / Utilities</t>
        </is>
      </c>
      <c r="G45" s="6" t="inlineStr">
        <is>
          <t>§4.13.3.3.7</t>
        </is>
      </c>
      <c r="H45" s="6" t="n">
        <v>1</v>
      </c>
      <c r="I45" s="6" t="n">
        <v>0</v>
      </c>
      <c r="J45" s="6" t="n">
        <v>0</v>
      </c>
      <c r="K45" s="6" t="n">
        <v>0</v>
      </c>
      <c r="L45" s="6" t="n">
        <v>3</v>
      </c>
      <c r="M45" s="6" t="n">
        <v>0</v>
      </c>
      <c r="N45" s="6" t="n">
        <v>0</v>
      </c>
      <c r="O45" s="6" t="n">
        <v>18.6667</v>
      </c>
      <c r="P45" s="6" t="n">
        <v>21.4286</v>
      </c>
      <c r="Q45" s="6" t="n">
        <v>0.6728</v>
      </c>
      <c r="R45" s="6" t="inlineStr">
        <is>
          <t>Quality / Verifiability</t>
        </is>
      </c>
      <c r="S45" s="6" t="inlineStr">
        <is>
          <t>Frozen-weight composite; strongest contribution: Quality / Verifiability.</t>
        </is>
      </c>
      <c r="T45" s="6" t="inlineStr">
        <is>
          <t>None explicitly named in the OFFER text</t>
        </is>
      </c>
      <c r="U45" s="6" t="inlineStr">
        <is>
          <t>SCK CEN/90508872 §4.13.3.3.7; no named external code in OFFER text</t>
        </is>
      </c>
      <c r="V45" s="6" t="inlineStr">
        <is>
          <t>Submit and review the named deliverable with RTM traceability and approval status; Document review, inspection, certification, audit or traceable QC record</t>
        </is>
      </c>
      <c r="W45" s="6" t="inlineStr">
        <is>
          <t>Offer response: Electrical Power Measurement Methodology</t>
        </is>
      </c>
      <c r="X45" s="6" t="inlineStr">
        <is>
          <t>L0 Tender / Offer; L1 Conceptual Design; L2 Detailed Design</t>
        </is>
      </c>
      <c r="Y45" s="6" t="inlineStr">
        <is>
          <t>RTM-542..RTM-544</t>
        </is>
      </c>
      <c r="Z45" s="6" t="n"/>
      <c r="AA45" s="6" t="inlineStr">
        <is>
          <t>OK</t>
        </is>
      </c>
    </row>
    <row r="46" ht="42" customHeight="1">
      <c r="A46" s="6" t="n">
        <v>41</v>
      </c>
      <c r="B46" s="6" t="inlineStr">
        <is>
          <t>OFFER-31</t>
        </is>
      </c>
      <c r="C46" s="6" t="inlineStr">
        <is>
          <t>Cold Box Environmental Requirements</t>
        </is>
      </c>
      <c r="D46" s="6" t="inlineStr">
        <is>
          <t>No</t>
        </is>
      </c>
      <c r="E46" s="6" t="inlineStr">
        <is>
          <t>T3 Contextual</t>
        </is>
      </c>
      <c r="F46" s="6" t="inlineStr">
        <is>
          <t>Configuration / Layout / Support</t>
        </is>
      </c>
      <c r="G46" s="6" t="inlineStr">
        <is>
          <t>§4.7.1</t>
        </is>
      </c>
      <c r="H46" s="6" t="n">
        <v>0</v>
      </c>
      <c r="I46" s="6" t="n">
        <v>0</v>
      </c>
      <c r="J46" s="6" t="n">
        <v>1</v>
      </c>
      <c r="K46" s="6" t="n">
        <v>2</v>
      </c>
      <c r="L46" s="6" t="n">
        <v>0</v>
      </c>
      <c r="M46" s="6" t="n">
        <v>0</v>
      </c>
      <c r="N46" s="6" t="n">
        <v>0</v>
      </c>
      <c r="O46" s="6" t="n">
        <v>17.3333</v>
      </c>
      <c r="P46" s="6" t="n">
        <v>17.3469</v>
      </c>
      <c r="Q46" s="6" t="n">
        <v>0.5155</v>
      </c>
      <c r="R46" s="6" t="inlineStr">
        <is>
          <t>Functional</t>
        </is>
      </c>
      <c r="S46" s="6" t="inlineStr">
        <is>
          <t>Frozen-weight composite; strongest contribution: Functional.</t>
        </is>
      </c>
      <c r="T46" s="6" t="inlineStr">
        <is>
          <t>None explicitly named in the OFFER text</t>
        </is>
      </c>
      <c r="U46" s="6" t="inlineStr">
        <is>
          <t>SCK CEN/90508872 §4.7.1; no named external code in OFFER text</t>
        </is>
      </c>
      <c r="V46" s="6" t="inlineStr">
        <is>
          <t>Submit and review the named deliverable with RTM traceability and approval status</t>
        </is>
      </c>
      <c r="W46" s="6" t="inlineStr">
        <is>
          <t>Offer response: Cold Box Environmental Requirements</t>
        </is>
      </c>
      <c r="X46" s="6" t="inlineStr">
        <is>
          <t>L0 Tender / Offer; L1 Conceptual Design; L2 Detailed Design</t>
        </is>
      </c>
      <c r="Y46" s="6" t="inlineStr">
        <is>
          <t>RTM-386..RTM-387</t>
        </is>
      </c>
      <c r="Z46" s="6" t="n"/>
      <c r="AA46" s="6" t="inlineStr">
        <is>
          <t>OK</t>
        </is>
      </c>
    </row>
    <row r="47" ht="42" customHeight="1">
      <c r="A47" s="6" t="n">
        <v>42</v>
      </c>
      <c r="B47" s="6" t="inlineStr">
        <is>
          <t>OFFER-32</t>
        </is>
      </c>
      <c r="C47" s="6" t="inlineStr">
        <is>
          <t>Equipment Transport &amp; Installation Constraints</t>
        </is>
      </c>
      <c r="D47" s="6" t="inlineStr">
        <is>
          <t>No</t>
        </is>
      </c>
      <c r="E47" s="6" t="inlineStr">
        <is>
          <t>T3 Contextual</t>
        </is>
      </c>
      <c r="F47" s="6" t="inlineStr">
        <is>
          <t>Configuration / Layout / Support</t>
        </is>
      </c>
      <c r="G47" s="6" t="inlineStr">
        <is>
          <t>§4.7.2</t>
        </is>
      </c>
      <c r="H47" s="6" t="n">
        <v>0</v>
      </c>
      <c r="I47" s="6" t="n">
        <v>0</v>
      </c>
      <c r="J47" s="6" t="n">
        <v>1</v>
      </c>
      <c r="K47" s="6" t="n">
        <v>2</v>
      </c>
      <c r="L47" s="6" t="n">
        <v>0</v>
      </c>
      <c r="M47" s="6" t="n">
        <v>0</v>
      </c>
      <c r="N47" s="6" t="n">
        <v>0</v>
      </c>
      <c r="O47" s="6" t="n">
        <v>17.3333</v>
      </c>
      <c r="P47" s="6" t="n">
        <v>17.3469</v>
      </c>
      <c r="Q47" s="6" t="n">
        <v>0.5155</v>
      </c>
      <c r="R47" s="6" t="inlineStr">
        <is>
          <t>Functional</t>
        </is>
      </c>
      <c r="S47" s="6" t="inlineStr">
        <is>
          <t>Frozen-weight composite; strongest contribution: Functional.</t>
        </is>
      </c>
      <c r="T47" s="6" t="inlineStr">
        <is>
          <t>None explicitly named in the OFFER text</t>
        </is>
      </c>
      <c r="U47" s="6" t="inlineStr">
        <is>
          <t>SCK CEN/90508872 §4.7.2; no named external code in OFFER text</t>
        </is>
      </c>
      <c r="V47" s="6" t="inlineStr">
        <is>
          <t>Submit and review the named deliverable with RTM traceability and approval status</t>
        </is>
      </c>
      <c r="W47" s="6" t="inlineStr">
        <is>
          <t>Offer response: Equipment Transport &amp; Installation Constraints</t>
        </is>
      </c>
      <c r="X47" s="6" t="inlineStr">
        <is>
          <t>L0 Tender / Offer; L1 Conceptual Design; L2 Detailed Design</t>
        </is>
      </c>
      <c r="Y47" s="6" t="inlineStr">
        <is>
          <t>RTM-388..RTM-394</t>
        </is>
      </c>
      <c r="Z47" s="6" t="n"/>
      <c r="AA47" s="6" t="inlineStr">
        <is>
          <t>OK</t>
        </is>
      </c>
    </row>
    <row r="48" ht="42" customHeight="1">
      <c r="A48" s="6" t="n">
        <v>43</v>
      </c>
      <c r="B48" s="6" t="inlineStr">
        <is>
          <t>OFFER-25</t>
        </is>
      </c>
      <c r="C48" s="6" t="inlineStr">
        <is>
          <t>Supplier Experience &amp; Reference Justification</t>
        </is>
      </c>
      <c r="D48" s="6" t="inlineStr">
        <is>
          <t>No</t>
        </is>
      </c>
      <c r="E48" s="6" t="inlineStr">
        <is>
          <t>T3 Contextual</t>
        </is>
      </c>
      <c r="F48" s="6" t="inlineStr">
        <is>
          <t>Controls / Software / Management</t>
        </is>
      </c>
      <c r="G48" s="6" t="inlineStr">
        <is>
          <t>§4.6.4.5</t>
        </is>
      </c>
      <c r="H48" s="6" t="n">
        <v>0</v>
      </c>
      <c r="I48" s="6" t="n">
        <v>0</v>
      </c>
      <c r="J48" s="6" t="n">
        <v>0</v>
      </c>
      <c r="K48" s="6" t="n">
        <v>3</v>
      </c>
      <c r="L48" s="6" t="n">
        <v>0</v>
      </c>
      <c r="M48" s="6" t="n">
        <v>0</v>
      </c>
      <c r="N48" s="6" t="n">
        <v>0</v>
      </c>
      <c r="O48" s="6" t="n">
        <v>16</v>
      </c>
      <c r="P48" s="6" t="n">
        <v>11.2245</v>
      </c>
      <c r="Q48" s="6" t="n">
        <v>0.3328</v>
      </c>
      <c r="R48" s="6" t="inlineStr">
        <is>
          <t>Functional</t>
        </is>
      </c>
      <c r="S48" s="6" t="inlineStr">
        <is>
          <t>Frozen-weight composite; strongest contribution: Functional.</t>
        </is>
      </c>
      <c r="T48" s="6" t="inlineStr">
        <is>
          <t>None explicitly named in the OFFER text</t>
        </is>
      </c>
      <c r="U48" s="6" t="inlineStr">
        <is>
          <t>Linked canonical RTM/section: ISO 27001; IEC 62443-3-3; EU Cyber Resilience Act (CRA); CE marking</t>
        </is>
      </c>
      <c r="V48" s="6" t="inlineStr">
        <is>
          <t>Submit and review the named deliverable with RTM traceability and approval status</t>
        </is>
      </c>
      <c r="W48" s="6" t="inlineStr">
        <is>
          <t>Offer response: Supplier Experience &amp; Reference Justification</t>
        </is>
      </c>
      <c r="X48" s="6" t="inlineStr">
        <is>
          <t>L0 Tender / Offer; L1 Conceptual Design; L2 Detailed Design</t>
        </is>
      </c>
      <c r="Y48" s="6" t="inlineStr">
        <is>
          <t>RTM-321..RTM-327</t>
        </is>
      </c>
      <c r="Z48" s="6" t="n"/>
      <c r="AA48" s="6" t="inlineStr">
        <is>
          <t>OK</t>
        </is>
      </c>
    </row>
    <row r="49" ht="42" customHeight="1">
      <c r="A49" s="6" t="n">
        <v>44</v>
      </c>
      <c r="B49" s="6" t="inlineStr">
        <is>
          <t>OFFER-26</t>
        </is>
      </c>
      <c r="C49" s="6" t="inlineStr">
        <is>
          <t>Software Architecture &amp; Development Scope</t>
        </is>
      </c>
      <c r="D49" s="6" t="inlineStr">
        <is>
          <t>No</t>
        </is>
      </c>
      <c r="E49" s="6" t="inlineStr">
        <is>
          <t>T3 Contextual</t>
        </is>
      </c>
      <c r="F49" s="6" t="inlineStr">
        <is>
          <t>Controls / Software / Management</t>
        </is>
      </c>
      <c r="G49" s="6" t="inlineStr">
        <is>
          <t>§4.6.7</t>
        </is>
      </c>
      <c r="H49" s="6" t="n">
        <v>0</v>
      </c>
      <c r="I49" s="6" t="n">
        <v>0</v>
      </c>
      <c r="J49" s="6" t="n">
        <v>0</v>
      </c>
      <c r="K49" s="6" t="n">
        <v>3</v>
      </c>
      <c r="L49" s="6" t="n">
        <v>0</v>
      </c>
      <c r="M49" s="6" t="n">
        <v>0</v>
      </c>
      <c r="N49" s="6" t="n">
        <v>0</v>
      </c>
      <c r="O49" s="6" t="n">
        <v>16</v>
      </c>
      <c r="P49" s="6" t="n">
        <v>11.2245</v>
      </c>
      <c r="Q49" s="6" t="n">
        <v>0.3328</v>
      </c>
      <c r="R49" s="6" t="inlineStr">
        <is>
          <t>Functional</t>
        </is>
      </c>
      <c r="S49" s="6" t="inlineStr">
        <is>
          <t>Frozen-weight composite; strongest contribution: Functional.</t>
        </is>
      </c>
      <c r="T49" s="6" t="inlineStr">
        <is>
          <t>None explicitly named in the OFFER text</t>
        </is>
      </c>
      <c r="U49" s="6" t="inlineStr">
        <is>
          <t>Linked canonical RTM/section: IEC 61131-3</t>
        </is>
      </c>
      <c r="V49" s="6" t="inlineStr">
        <is>
          <t>Submit and review the named deliverable with RTM traceability and approval status; Functional design/configuration review and sequence/interface demonstration</t>
        </is>
      </c>
      <c r="W49" s="6" t="inlineStr">
        <is>
          <t>Offer response: Software Architecture &amp; Development Scope</t>
        </is>
      </c>
      <c r="X49" s="6" t="inlineStr">
        <is>
          <t>L0 Tender / Offer; L1 Conceptual Design; L2 Detailed Design</t>
        </is>
      </c>
      <c r="Y49" s="6" t="inlineStr">
        <is>
          <t>RTM-334..RTM-339</t>
        </is>
      </c>
      <c r="Z49" s="6" t="inlineStr">
        <is>
          <t>RTM-340..RTM-345</t>
        </is>
      </c>
      <c r="AA49" s="6" t="inlineStr">
        <is>
          <t>OK</t>
        </is>
      </c>
    </row>
    <row r="50" ht="42" customHeight="1">
      <c r="A50" s="6" t="n">
        <v>45</v>
      </c>
      <c r="B50" s="6" t="inlineStr">
        <is>
          <t>OFFER-28</t>
        </is>
      </c>
      <c r="C50" s="6" t="inlineStr">
        <is>
          <t>Functional Analysis &amp; Control Sequences</t>
        </is>
      </c>
      <c r="D50" s="6" t="inlineStr">
        <is>
          <t>No</t>
        </is>
      </c>
      <c r="E50" s="6" t="inlineStr">
        <is>
          <t>T3 Contextual</t>
        </is>
      </c>
      <c r="F50" s="6" t="inlineStr">
        <is>
          <t>Controls / Software / Management</t>
        </is>
      </c>
      <c r="G50" s="6" t="inlineStr">
        <is>
          <t>§4.6.7</t>
        </is>
      </c>
      <c r="H50" s="6" t="n">
        <v>0</v>
      </c>
      <c r="I50" s="6" t="n">
        <v>0</v>
      </c>
      <c r="J50" s="6" t="n">
        <v>0</v>
      </c>
      <c r="K50" s="6" t="n">
        <v>3</v>
      </c>
      <c r="L50" s="6" t="n">
        <v>0</v>
      </c>
      <c r="M50" s="6" t="n">
        <v>0</v>
      </c>
      <c r="N50" s="6" t="n">
        <v>0</v>
      </c>
      <c r="O50" s="6" t="n">
        <v>16</v>
      </c>
      <c r="P50" s="6" t="n">
        <v>11.2245</v>
      </c>
      <c r="Q50" s="6" t="n">
        <v>0.3328</v>
      </c>
      <c r="R50" s="6" t="inlineStr">
        <is>
          <t>Functional</t>
        </is>
      </c>
      <c r="S50" s="6" t="inlineStr">
        <is>
          <t>Frozen-weight composite; strongest contribution: Functional.</t>
        </is>
      </c>
      <c r="T50" s="6" t="inlineStr">
        <is>
          <t>None explicitly named in the OFFER text</t>
        </is>
      </c>
      <c r="U50" s="6" t="inlineStr">
        <is>
          <t>Linked canonical RTM/section: IEC 61131-3</t>
        </is>
      </c>
      <c r="V50" s="6" t="inlineStr">
        <is>
          <t>Submit and review the named deliverable with RTM traceability and approval status; Functional design/configuration review and sequence/interface demonstration</t>
        </is>
      </c>
      <c r="W50" s="6" t="inlineStr">
        <is>
          <t>Offer response: Functional Analysis &amp; Control Sequences</t>
        </is>
      </c>
      <c r="X50" s="6" t="inlineStr">
        <is>
          <t>L0 Tender / Offer; L1 Conceptual Design; L2 Detailed Design</t>
        </is>
      </c>
      <c r="Y50" s="6" t="inlineStr">
        <is>
          <t>RTM-342; RTM-345</t>
        </is>
      </c>
      <c r="Z50" s="6" t="inlineStr">
        <is>
          <t>RTM-334..RTM-341; RTM-343..RTM-344</t>
        </is>
      </c>
      <c r="AA50" s="6" t="inlineStr">
        <is>
          <t>OK</t>
        </is>
      </c>
    </row>
    <row r="51" ht="42" customHeight="1">
      <c r="A51" s="6" t="n">
        <v>46</v>
      </c>
      <c r="B51" s="6" t="inlineStr">
        <is>
          <t>OFFER-30</t>
        </is>
      </c>
      <c r="C51" s="6" t="inlineStr">
        <is>
          <t>Software Change Management Process</t>
        </is>
      </c>
      <c r="D51" s="6" t="inlineStr">
        <is>
          <t>No</t>
        </is>
      </c>
      <c r="E51" s="6" t="inlineStr">
        <is>
          <t>T3 Contextual</t>
        </is>
      </c>
      <c r="F51" s="6" t="inlineStr">
        <is>
          <t>Controls / Software / Management</t>
        </is>
      </c>
      <c r="G51" s="6" t="inlineStr">
        <is>
          <t>§4.6.9</t>
        </is>
      </c>
      <c r="H51" s="6" t="n">
        <v>0</v>
      </c>
      <c r="I51" s="6" t="n">
        <v>0</v>
      </c>
      <c r="J51" s="6" t="n">
        <v>0</v>
      </c>
      <c r="K51" s="6" t="n">
        <v>3</v>
      </c>
      <c r="L51" s="6" t="n">
        <v>0</v>
      </c>
      <c r="M51" s="6" t="n">
        <v>0</v>
      </c>
      <c r="N51" s="6" t="n">
        <v>0</v>
      </c>
      <c r="O51" s="6" t="n">
        <v>16</v>
      </c>
      <c r="P51" s="6" t="n">
        <v>11.2245</v>
      </c>
      <c r="Q51" s="6" t="n">
        <v>0.3328</v>
      </c>
      <c r="R51" s="6" t="inlineStr">
        <is>
          <t>Functional</t>
        </is>
      </c>
      <c r="S51" s="6" t="inlineStr">
        <is>
          <t>Frozen-weight composite; strongest contribution: Functional.</t>
        </is>
      </c>
      <c r="T51" s="6" t="inlineStr">
        <is>
          <t>None explicitly named in the OFFER text</t>
        </is>
      </c>
      <c r="U51" s="6" t="inlineStr">
        <is>
          <t>SCK CEN/90508872 §4.6.9; no named external code in OFFER text</t>
        </is>
      </c>
      <c r="V51" s="6" t="inlineStr">
        <is>
          <t>Submit and review the named deliverable with RTM traceability and approval status; Functional design/configuration review and sequence/interface demonstration</t>
        </is>
      </c>
      <c r="W51" s="6" t="inlineStr">
        <is>
          <t>Offer response: Software Change Management Process</t>
        </is>
      </c>
      <c r="X51" s="6" t="inlineStr">
        <is>
          <t>L0 Tender / Offer; L1 Conceptual Design; L2 Detailed Design</t>
        </is>
      </c>
      <c r="Y51" s="6" t="inlineStr">
        <is>
          <t>RTM-368..RTM-370</t>
        </is>
      </c>
      <c r="Z51" s="6" t="n"/>
      <c r="AA51" s="6" t="inlineStr">
        <is>
          <t>OK</t>
        </is>
      </c>
    </row>
    <row r="52" ht="42" customHeight="1">
      <c r="A52" s="6" t="n">
        <v>47</v>
      </c>
      <c r="B52" s="6" t="inlineStr">
        <is>
          <t>OFFER-38</t>
        </is>
      </c>
      <c r="C52" s="6" t="inlineStr">
        <is>
          <t>Training Program &amp; Competency Definition</t>
        </is>
      </c>
      <c r="D52" s="6" t="inlineStr">
        <is>
          <t>No</t>
        </is>
      </c>
      <c r="E52" s="6" t="inlineStr">
        <is>
          <t>T3 Contextual</t>
        </is>
      </c>
      <c r="F52" s="6" t="inlineStr">
        <is>
          <t>Configuration / Layout / Support</t>
        </is>
      </c>
      <c r="G52" s="6" t="inlineStr">
        <is>
          <t>§4.12.1</t>
        </is>
      </c>
      <c r="H52" s="6" t="n">
        <v>1</v>
      </c>
      <c r="I52" s="6" t="n">
        <v>0</v>
      </c>
      <c r="J52" s="6" t="n">
        <v>0</v>
      </c>
      <c r="K52" s="6" t="n">
        <v>0</v>
      </c>
      <c r="L52" s="6" t="n">
        <v>0</v>
      </c>
      <c r="M52" s="6" t="n">
        <v>2</v>
      </c>
      <c r="N52" s="6" t="n">
        <v>3</v>
      </c>
      <c r="O52" s="6" t="n">
        <v>14.3333</v>
      </c>
      <c r="P52" s="6" t="n">
        <v>6.1224</v>
      </c>
      <c r="Q52" s="6" t="n">
        <v>0.2188</v>
      </c>
      <c r="R52" s="6" t="inlineStr">
        <is>
          <t>Safety / Legal</t>
        </is>
      </c>
      <c r="S52" s="6" t="inlineStr">
        <is>
          <t>Frozen-weight composite; strongest contribution: Safety / Legal.</t>
        </is>
      </c>
      <c r="T52" s="6" t="inlineStr">
        <is>
          <t>None explicitly named in the OFFER text</t>
        </is>
      </c>
      <c r="U52" s="6" t="inlineStr">
        <is>
          <t>SCK CEN/90508872 §4.12.1; no named external code in OFFER text</t>
        </is>
      </c>
      <c r="V52" s="6" t="inlineStr">
        <is>
          <t>Submit and review the named deliverable with RTM traceability and approval status</t>
        </is>
      </c>
      <c r="W52" s="6" t="inlineStr">
        <is>
          <t>Offer response: Training Program &amp; Competency Definition; Training Programme / Materials</t>
        </is>
      </c>
      <c r="X52" s="6" t="inlineStr">
        <is>
          <t>L0 Tender / Offer; L1 Conceptual Design; L2 Detailed Design</t>
        </is>
      </c>
      <c r="Y52" s="6" t="inlineStr">
        <is>
          <t>RTM-483..RTM-490</t>
        </is>
      </c>
      <c r="Z52" s="6" t="n"/>
      <c r="AA52" s="6" t="inlineStr">
        <is>
          <t>OK</t>
        </is>
      </c>
    </row>
    <row r="53" ht="42" customHeight="1">
      <c r="A53" s="6" t="n">
        <v>48</v>
      </c>
      <c r="B53" s="6" t="inlineStr">
        <is>
          <t>OFFER-46</t>
        </is>
      </c>
      <c r="C53" s="6" t="inlineStr">
        <is>
          <t>Risk Assessment &amp; Mitigation Strategy</t>
        </is>
      </c>
      <c r="D53" s="6" t="inlineStr">
        <is>
          <t>No</t>
        </is>
      </c>
      <c r="E53" s="6" t="inlineStr">
        <is>
          <t>T3 Contextual</t>
        </is>
      </c>
      <c r="F53" s="6" t="inlineStr">
        <is>
          <t>Reliability / RAM / Service</t>
        </is>
      </c>
      <c r="G53" s="6" t="inlineStr">
        <is>
          <t>§7.5</t>
        </is>
      </c>
      <c r="H53" s="6" t="n">
        <v>1</v>
      </c>
      <c r="I53" s="6" t="n">
        <v>0</v>
      </c>
      <c r="J53" s="6" t="n">
        <v>0</v>
      </c>
      <c r="K53" s="6" t="n">
        <v>1</v>
      </c>
      <c r="L53" s="6" t="n">
        <v>0</v>
      </c>
      <c r="M53" s="6" t="n">
        <v>0</v>
      </c>
      <c r="N53" s="6" t="n">
        <v>0</v>
      </c>
      <c r="O53" s="6" t="n">
        <v>12</v>
      </c>
      <c r="P53" s="6" t="n">
        <v>4.0816</v>
      </c>
      <c r="Q53" s="6" t="n">
        <v>0.1811</v>
      </c>
      <c r="R53" s="6" t="inlineStr">
        <is>
          <t>Safety / Legal</t>
        </is>
      </c>
      <c r="S53" s="6" t="inlineStr">
        <is>
          <t>Frozen-weight composite; strongest contribution: Safety / Legal.</t>
        </is>
      </c>
      <c r="T53" s="6" t="inlineStr">
        <is>
          <t>None explicitly named in the OFFER text</t>
        </is>
      </c>
      <c r="U53" s="6" t="inlineStr">
        <is>
          <t>SCK CEN/90508872 §7.5; no named external code in OFFER text</t>
        </is>
      </c>
      <c r="V53" s="6" t="inlineStr">
        <is>
          <t>Submit and review the named deliverable with RTM traceability and approval status</t>
        </is>
      </c>
      <c r="W53" s="6" t="inlineStr">
        <is>
          <t>Offer response: Risk Assessment &amp; Mitigation Strategy; Risk Assessment / HAZOP / FMECA</t>
        </is>
      </c>
      <c r="X53" s="6" t="inlineStr">
        <is>
          <t>L0 Tender / Offer; L1 Conceptual Design; L2 Detailed Design; L3 Procurement &amp; Manufacturing / FAT; L4 Installation; L5 Standalone Commissioning; L6 Site Acceptance Testing</t>
        </is>
      </c>
      <c r="Y53" s="6" t="inlineStr">
        <is>
          <t>RTM-640</t>
        </is>
      </c>
      <c r="Z53" s="6" t="n"/>
      <c r="AA53" s="6" t="inlineStr">
        <is>
          <t>OK</t>
        </is>
      </c>
    </row>
    <row r="54" ht="42" customHeight="1">
      <c r="A54" s="6" t="n">
        <v>49</v>
      </c>
      <c r="B54" s="6" t="inlineStr">
        <is>
          <t>OFFER-13</t>
        </is>
      </c>
      <c r="C54" s="6" t="inlineStr">
        <is>
          <t>Main Equipment Technical Specifications</t>
        </is>
      </c>
      <c r="D54" s="6" t="inlineStr">
        <is>
          <t>No</t>
        </is>
      </c>
      <c r="E54" s="6" t="inlineStr">
        <is>
          <t>T3 Contextual</t>
        </is>
      </c>
      <c r="F54" s="6" t="inlineStr">
        <is>
          <t>Performance / Process / Utilities</t>
        </is>
      </c>
      <c r="G54" s="6" t="inlineStr">
        <is>
          <t>§4.4</t>
        </is>
      </c>
      <c r="H54" s="6" t="n">
        <v>0</v>
      </c>
      <c r="I54" s="6" t="n">
        <v>0</v>
      </c>
      <c r="J54" s="6" t="n">
        <v>0</v>
      </c>
      <c r="K54" s="6" t="n">
        <v>2</v>
      </c>
      <c r="L54" s="6" t="n">
        <v>0</v>
      </c>
      <c r="M54" s="6" t="n">
        <v>0</v>
      </c>
      <c r="N54" s="6" t="n">
        <v>0</v>
      </c>
      <c r="O54" s="6" t="n">
        <v>10.6667</v>
      </c>
      <c r="P54" s="6" t="n">
        <v>2.0408</v>
      </c>
      <c r="Q54" s="6" t="n">
        <v>0.1473</v>
      </c>
      <c r="R54" s="6" t="inlineStr">
        <is>
          <t>Functional</t>
        </is>
      </c>
      <c r="S54" s="6" t="inlineStr">
        <is>
          <t>Frozen-weight composite; strongest contribution: Functional.</t>
        </is>
      </c>
      <c r="T54" s="6" t="inlineStr">
        <is>
          <t>None explicitly named in the OFFER text</t>
        </is>
      </c>
      <c r="U54" s="6" t="inlineStr">
        <is>
          <t>Linked canonical RTM/section: ISO 2372; ISO 20816; ISO 2954; ISO 2151; API 671; ISO 10441; EN 13185:2001</t>
        </is>
      </c>
      <c r="V54" s="6" t="inlineStr">
        <is>
          <t>Submit and review the named deliverable with RTM traceability and approval status</t>
        </is>
      </c>
      <c r="W54" s="6" t="inlineStr">
        <is>
          <t>Offer response: Main Equipment Technical Specifications</t>
        </is>
      </c>
      <c r="X54" s="6" t="inlineStr">
        <is>
          <t>L0 Tender / Offer; L1 Conceptual Design; L2 Detailed Design</t>
        </is>
      </c>
      <c r="Y54" s="6" t="n"/>
      <c r="Z54" s="6" t="inlineStr">
        <is>
          <t>RTM-141..RTM-152; RTM-193..RTM-197; RTM-236..RTM-257; RTM-263..RTM-267</t>
        </is>
      </c>
      <c r="AA54" s="6" t="inlineStr">
        <is>
          <t>Review — breadth</t>
        </is>
      </c>
    </row>
    <row r="55" ht="42" customHeight="1">
      <c r="A55" s="6" t="n">
        <v>50</v>
      </c>
      <c r="B55" s="6" t="inlineStr">
        <is>
          <t>OFFER-44</t>
        </is>
      </c>
      <c r="C55" s="6" t="inlineStr">
        <is>
          <t>Project Schedule &amp; Milestone Definition</t>
        </is>
      </c>
      <c r="D55" s="6" t="inlineStr">
        <is>
          <t>No</t>
        </is>
      </c>
      <c r="E55" s="6" t="inlineStr">
        <is>
          <t>T3 Contextual</t>
        </is>
      </c>
      <c r="F55" s="6" t="inlineStr">
        <is>
          <t>Configuration / Layout / Support</t>
        </is>
      </c>
      <c r="G55" s="6" t="inlineStr">
        <is>
          <t>§6.2</t>
        </is>
      </c>
      <c r="H55" s="6" t="n">
        <v>0</v>
      </c>
      <c r="I55" s="6" t="n">
        <v>0</v>
      </c>
      <c r="J55" s="6" t="n">
        <v>0</v>
      </c>
      <c r="K55" s="6" t="n">
        <v>1</v>
      </c>
      <c r="L55" s="6" t="n">
        <v>0</v>
      </c>
      <c r="M55" s="6" t="n">
        <v>0</v>
      </c>
      <c r="N55" s="6" t="n">
        <v>1</v>
      </c>
      <c r="O55" s="6" t="n">
        <v>6.3333</v>
      </c>
      <c r="P55" s="6" t="n">
        <v>0</v>
      </c>
      <c r="Q55" s="6" t="n">
        <v>0.117</v>
      </c>
      <c r="R55" s="6" t="inlineStr">
        <is>
          <t>Functional</t>
        </is>
      </c>
      <c r="S55" s="6" t="inlineStr">
        <is>
          <t>Frozen-weight composite; strongest contribution: Functional.</t>
        </is>
      </c>
      <c r="T55" s="6" t="inlineStr">
        <is>
          <t>None explicitly named in the OFFER text</t>
        </is>
      </c>
      <c r="U55" s="6" t="inlineStr">
        <is>
          <t>SCK CEN/90508872 §6.2; no named external code in OFFER text</t>
        </is>
      </c>
      <c r="V55" s="6" t="inlineStr">
        <is>
          <t>Submit and review the named deliverable with RTM traceability and approval status</t>
        </is>
      </c>
      <c r="W55" s="6" t="inlineStr">
        <is>
          <t>Offer response: Project Schedule &amp; Milestone Definition; Schedule / milestone plan</t>
        </is>
      </c>
      <c r="X55" s="6" t="inlineStr">
        <is>
          <t>L0 Tender / Offer; L1 Conceptual Design; L2 Detailed Design; L3 Procurement &amp; Manufacturing / FAT; L4 Installation; L5 Standalone Commissioning; L6 Site Acceptance Testing</t>
        </is>
      </c>
      <c r="Y55" s="6" t="n"/>
      <c r="Z55" s="6" t="inlineStr">
        <is>
          <t>RTM-614..RTM-620</t>
        </is>
      </c>
      <c r="AA55" s="6" t="inlineStr">
        <is>
          <t>OK — non-RTM source</t>
        </is>
      </c>
    </row>
  </sheetData>
  <mergeCells count="2">
    <mergeCell ref="A2:R2"/>
    <mergeCell ref="A1:R1"/>
  </mergeCells>
  <conditionalFormatting sqref="E6:E55">
    <cfRule type="expression" priority="1" dxfId="11">
      <formula>E6="T0 Gate"</formula>
    </cfRule>
    <cfRule type="expression" priority="2" dxfId="10">
      <formula>E6="T1 Primary"</formula>
    </cfRule>
    <cfRule type="expression" priority="3" dxfId="9">
      <formula>E6="T2 Secondary"</formula>
    </cfRule>
    <cfRule type="expression" priority="4" dxfId="8">
      <formula>E6="T3 Contextual"</formula>
    </cfRule>
  </conditionalFormatting>
  <conditionalFormatting sqref="O6:O55">
    <cfRule type="colorScale" priority="5">
      <colorScale>
        <cfvo type="min"/>
        <cfvo type="percentile" val="50"/>
        <cfvo type="max"/>
        <color rgb="FFFEE2E2"/>
        <color rgb="FFFEF3C7"/>
        <color rgb="FFDCFCE7"/>
      </colorScale>
    </cfRule>
  </conditionalFormatting>
  <conditionalFormatting sqref="P6:Q55">
    <cfRule type="dataBar" priority="6">
      <dataBar>
        <cfvo type="min"/>
        <cfvo type="max"/>
        <color rgb="FFA02B93"/>
      </dataBar>
    </cfRule>
    <cfRule type="dataBar" priority="7">
      <dataBar>
        <cfvo type="min"/>
        <cfvo type="max"/>
        <color rgb="FFA02B93"/>
      </dataBar>
    </cfRule>
  </conditionalFormatting>
  <conditionalFormatting sqref="D6:D55">
    <cfRule type="cellIs" priority="8" operator="equal" dxfId="85">
      <formula>"Yes"</formula>
    </cfRule>
    <cfRule type="cellIs" priority="9" operator="equal" dxfId="86">
      <formula>"No"</formula>
    </cfRule>
  </conditionalFormatting>
  <conditionalFormatting sqref="H6:H55">
    <cfRule type="colorScale" priority="10">
      <colorScale>
        <cfvo type="num" val="0"/>
        <cfvo type="num" val="3"/>
        <color rgb="00FFFFFF"/>
        <color rgb="00CC0000"/>
      </colorScale>
    </cfRule>
  </conditionalFormatting>
  <conditionalFormatting sqref="I6:I55">
    <cfRule type="colorScale" priority="11">
      <colorScale>
        <cfvo type="num" val="0"/>
        <cfvo type="num" val="3"/>
        <color rgb="00FFFFFF"/>
        <color rgb="002E7D32"/>
      </colorScale>
    </cfRule>
  </conditionalFormatting>
  <conditionalFormatting sqref="J6:J55">
    <cfRule type="colorScale" priority="12">
      <colorScale>
        <cfvo type="num" val="0"/>
        <cfvo type="num" val="3"/>
        <color rgb="00FFFFFF"/>
        <color rgb="002B6CB0"/>
      </colorScale>
    </cfRule>
  </conditionalFormatting>
  <conditionalFormatting sqref="K6:K55">
    <cfRule type="colorScale" priority="13">
      <colorScale>
        <cfvo type="num" val="0"/>
        <cfvo type="num" val="3"/>
        <color rgb="00FFFFFF"/>
        <color rgb="00674EA7"/>
      </colorScale>
    </cfRule>
  </conditionalFormatting>
  <conditionalFormatting sqref="L6:L55">
    <cfRule type="colorScale" priority="14">
      <colorScale>
        <cfvo type="num" val="0"/>
        <cfvo type="num" val="3"/>
        <color rgb="00FFFFFF"/>
        <color rgb="00B45F06"/>
      </colorScale>
    </cfRule>
  </conditionalFormatting>
  <conditionalFormatting sqref="M6:M55">
    <cfRule type="colorScale" priority="15">
      <colorScale>
        <cfvo type="num" val="0"/>
        <cfvo type="num" val="3"/>
        <color rgb="00FFFFFF"/>
        <color rgb="006A3D9A"/>
      </colorScale>
    </cfRule>
  </conditionalFormatting>
  <conditionalFormatting sqref="N6:N55">
    <cfRule type="colorScale" priority="16">
      <colorScale>
        <cfvo type="num" val="0"/>
        <cfvo type="num" val="3"/>
        <color rgb="00FFFFFF"/>
        <color rgb="00BF9000"/>
      </colorScale>
    </cfRule>
  </conditionalFormatting>
  <conditionalFormatting sqref="AA6:AA55">
    <cfRule type="expression" priority="17" dxfId="94">
      <formula>AA6="OK"</formula>
    </cfRule>
    <cfRule type="expression" priority="18" dxfId="95">
      <formula>AA6="OK — Review breadth"</formula>
    </cfRule>
    <cfRule type="expression" priority="19" dxfId="96">
      <formula>AA6="Review — breadth"</formula>
    </cfRule>
    <cfRule type="expression" priority="20" dxfId="96">
      <formula>AA6="Review — accept context"</formula>
    </cfRule>
    <cfRule type="expression" priority="21" dxfId="95">
      <formula>AA6="OK — non-RTM source"</formula>
    </cfRule>
  </conditionalFormatting>
  <dataValidations count="1">
    <dataValidation sqref="AA6:AA55" showDropDown="0" showInputMessage="0" showErrorMessage="0" allowBlank="1" errorTitle="Invalid Review flag" error="Pick one of the 5 standard Review flag values." type="list">
      <formula1>"OK,OK — Review breadth,Review — breadth,Review — accept context,OK — non-RTM source"</formula1>
    </dataValidation>
  </dataValidations>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12.xml><?xml version="1.0" encoding="utf-8"?>
<worksheet xmlns="http://schemas.openxmlformats.org/spreadsheetml/2006/main">
  <sheetPr>
    <tabColor rgb="001FA7A0"/>
    <outlinePr summaryBelow="1" summaryRight="1"/>
    <pageSetUpPr/>
  </sheetPr>
  <dimension ref="A1:AG727"/>
  <sheetViews>
    <sheetView topLeftCell="A1" zoomScale="70" zoomScaleNormal="70" workbookViewId="0">
      <selection activeCell="A1" sqref="A1"/>
    </sheetView>
  </sheetViews>
  <sheetFormatPr baseColWidth="8" defaultRowHeight="15"/>
  <cols>
    <col width="8" customWidth="1" min="1" max="1"/>
    <col width="12" customWidth="1" min="2" max="2"/>
    <col width="10" customWidth="1" min="3" max="3"/>
    <col width="14" customWidth="1" min="4" max="4"/>
    <col width="28" customWidth="1" min="5" max="5"/>
    <col width="16" customWidth="1" min="6" max="6"/>
    <col width="20" customWidth="1" min="7" max="7"/>
    <col width="24" customWidth="1" min="8" max="8"/>
    <col width="26" customWidth="1" min="9" max="9"/>
    <col width="10" customWidth="1" min="10" max="10"/>
    <col width="9" customWidth="1" min="11" max="11"/>
    <col width="24" customWidth="1" min="12" max="12"/>
    <col width="46" customWidth="1" min="13" max="13"/>
    <col width="60" customWidth="1" min="14" max="14"/>
    <col width="7.5" customWidth="1" min="15" max="15"/>
    <col width="7.5" customWidth="1" min="16" max="16"/>
    <col width="7.5" customWidth="1" min="17" max="17"/>
    <col width="7.5" customWidth="1" min="18" max="18"/>
    <col width="7.5" customWidth="1" min="19" max="19"/>
    <col width="7.5" customWidth="1" min="20" max="20"/>
    <col width="7.5" customWidth="1" min="21" max="21"/>
    <col width="11" customWidth="1" min="22" max="22"/>
    <col width="11" customWidth="1" min="23" max="23"/>
    <col width="12" customWidth="1" min="24" max="24"/>
    <col width="50" customWidth="1" min="25" max="25"/>
    <col width="42" customWidth="1" min="26" max="26"/>
    <col width="38" customWidth="1" min="27" max="27"/>
    <col width="40" customWidth="1" min="28" max="28"/>
    <col width="50" customWidth="1" min="29" max="29"/>
    <col width="32" customWidth="1" min="30" max="30"/>
    <col width="34" customWidth="1" min="31" max="31"/>
    <col width="34" customWidth="1" min="32" max="32"/>
    <col width="40" customWidth="1" min="33" max="33"/>
  </cols>
  <sheetData>
    <row r="1" ht="32.1" customHeight="1">
      <c r="A1" s="192" t="inlineStr">
        <is>
          <t>RTM static BT ranking — 722 requirements</t>
        </is>
      </c>
    </row>
    <row r="2" ht="30" customHeight="1">
      <c r="A2" s="194" t="inlineStr">
        <is>
          <t>Sorted by gate precedence and frozen-weight composite. No OFFER fields are included.</t>
        </is>
      </c>
    </row>
    <row r="3" ht="21.95" customHeight="1">
      <c r="A3" s="186">
        <f>HYPERLINK("#START_HERE!A1","Start")</f>
        <v/>
      </c>
      <c r="B3" s="186">
        <f>HYPERLINK("#DASHBOARD!A1","Dashboard")</f>
        <v/>
      </c>
      <c r="C3" s="186">
        <f>HYPERLINK("#RTM_RANKING!A1","Ranking")</f>
        <v/>
      </c>
      <c r="D3" s="186">
        <f>HYPERLINK("#DOMAIN_SUMMARY!A1","Domains")</f>
        <v/>
      </c>
      <c r="E3" s="186">
        <f>HYPERLINK("#WEIGHTS_METHOD!A1","Method")</f>
        <v/>
      </c>
      <c r="J3" s="186">
        <f>HYPERLINK("#STANDARDS!A1","Standards")</f>
        <v/>
      </c>
      <c r="K3" s="186">
        <f>HYPERLINK("#DELIVERABLES!A1","Proof")</f>
        <v/>
      </c>
      <c r="L3" s="24" t="n"/>
      <c r="M3" s="24" t="n"/>
      <c r="N3" s="24" t="n"/>
      <c r="O3" s="24" t="n"/>
      <c r="P3" s="24" t="n"/>
      <c r="Q3" s="24" t="n"/>
      <c r="R3" s="24" t="n"/>
      <c r="S3" s="24" t="n"/>
      <c r="T3" s="24" t="n"/>
      <c r="U3" s="24" t="n"/>
      <c r="V3" s="24" t="n"/>
    </row>
    <row r="5" ht="33.95" customHeight="1">
      <c r="A5" s="25" t="inlineStr">
        <is>
          <t>Rank</t>
        </is>
      </c>
      <c r="B5" s="25" t="inlineStr">
        <is>
          <t>RTM ID</t>
        </is>
      </c>
      <c r="C5" s="25" t="inlineStr">
        <is>
          <t>Gate</t>
        </is>
      </c>
      <c r="D5" s="25" t="inlineStr">
        <is>
          <t>Tier</t>
        </is>
      </c>
      <c r="E5" s="25" t="inlineStr">
        <is>
          <t>Domain</t>
        </is>
      </c>
      <c r="F5" s="46" t="inlineStr">
        <is>
          <t>Requirement Type</t>
        </is>
      </c>
      <c r="G5" s="46" t="inlineStr">
        <is>
          <t>Category</t>
        </is>
      </c>
      <c r="H5" s="46" t="inlineStr">
        <is>
          <t>Subcategory</t>
        </is>
      </c>
      <c r="I5" s="46" t="inlineStr">
        <is>
          <t>Cluster</t>
        </is>
      </c>
      <c r="J5" s="25" t="inlineStr">
        <is>
          <t>PDF page</t>
        </is>
      </c>
      <c r="K5" s="25" t="inlineStr">
        <is>
          <t>Section</t>
        </is>
      </c>
      <c r="L5" s="25" t="inlineStr">
        <is>
          <t>Section title</t>
        </is>
      </c>
      <c r="M5" s="25" t="inlineStr">
        <is>
          <t>Shall statement</t>
        </is>
      </c>
      <c r="N5" s="25" t="inlineStr">
        <is>
          <t>Full verbatim requirement</t>
        </is>
      </c>
      <c r="O5" s="157" t="inlineStr">
        <is>
          <t>L</t>
        </is>
      </c>
      <c r="P5" s="158" t="inlineStr">
        <is>
          <t>R</t>
        </is>
      </c>
      <c r="Q5" s="159" t="inlineStr">
        <is>
          <t>P</t>
        </is>
      </c>
      <c r="R5" s="160" t="inlineStr">
        <is>
          <t>F</t>
        </is>
      </c>
      <c r="S5" s="161" t="inlineStr">
        <is>
          <t>Q</t>
        </is>
      </c>
      <c r="T5" s="162" t="inlineStr">
        <is>
          <t>LC</t>
        </is>
      </c>
      <c r="U5" s="163" t="inlineStr">
        <is>
          <t>C</t>
        </is>
      </c>
      <c r="V5" s="25" t="inlineStr">
        <is>
          <t>Weighted S</t>
        </is>
      </c>
      <c r="W5" s="25" t="inlineStr">
        <is>
          <t>BT Win %</t>
        </is>
      </c>
      <c r="X5" s="25" t="inlineStr">
        <is>
          <t>BT λ index</t>
        </is>
      </c>
      <c r="Y5" s="25" t="inlineStr">
        <is>
          <t>Primary dimension</t>
        </is>
      </c>
      <c r="Z5" s="25" t="inlineStr">
        <is>
          <t>Interpretation</t>
        </is>
      </c>
      <c r="AA5" s="25" t="inlineStr">
        <is>
          <t>Actual explicit code / standard</t>
        </is>
      </c>
      <c r="AB5" s="25" t="inlineStr">
        <is>
          <t>Reference code / standard</t>
        </is>
      </c>
      <c r="AC5" s="25" t="inlineStr">
        <is>
          <t>Evidence / measurability</t>
        </is>
      </c>
      <c r="AD5" s="25" t="inlineStr">
        <is>
          <t>Explicit deliverable / proof</t>
        </is>
      </c>
      <c r="AE5" s="25" t="inlineStr">
        <is>
          <t>Applicable phase(s)</t>
        </is>
      </c>
      <c r="AF5" s="25" t="inlineStr">
        <is>
          <t>Evidence basis / review</t>
        </is>
      </c>
      <c r="AG5" s="65" t="inlineStr">
        <is>
          <t>Linked OFFER items (crosswalk)</t>
        </is>
      </c>
    </row>
    <row r="6" ht="281" customHeight="1">
      <c r="A6" s="6" t="n">
        <v>1</v>
      </c>
      <c r="B6" s="6" t="inlineStr">
        <is>
          <t>RTM-693</t>
        </is>
      </c>
      <c r="C6" s="6" t="inlineStr">
        <is>
          <t>Yes</t>
        </is>
      </c>
      <c r="D6" s="6" t="inlineStr">
        <is>
          <t>T0 Gate</t>
        </is>
      </c>
      <c r="E6" s="6" t="inlineStr">
        <is>
          <t>Codes &amp; Standards</t>
        </is>
      </c>
      <c r="F6" s="57" t="inlineStr">
        <is>
          <t>PROJECT</t>
        </is>
      </c>
      <c r="G6" s="58" t="inlineStr">
        <is>
          <t>Documentation &amp; Compliance</t>
        </is>
      </c>
      <c r="H6" s="58" t="inlineStr">
        <is>
          <t>Technical File assembly</t>
        </is>
      </c>
      <c r="I6" s="58" t="inlineStr">
        <is>
          <t>C7 — Quality, Testing &amp; Risk</t>
        </is>
      </c>
      <c r="J6" s="6" t="n">
        <v>127</v>
      </c>
      <c r="K6" s="6" t="inlineStr">
        <is>
          <t>9.1</t>
        </is>
      </c>
      <c r="L6" s="6" t="inlineStr">
        <is>
          <t>Applicable legislation</t>
        </is>
      </c>
      <c r="M6" s="6" t="inlineStr">
        <is>
          <t>To demonstrate conformity with the applicable EU directives, the Contractor shall submit the Technical File well before the shipment of the first QPS parts. The Technical File shall include at least:</t>
        </is>
      </c>
      <c r="N6" s="6" t="inlineStr">
        <is>
          <t>To demonstrate conformity with the applicable EU directives, the Contractor shall submit the Technical File well before the shipment of the first QPS parts. The Technical File shall include at least:
• A general description of the QPS
• An overall drawing of the product, as well as other drawings to cover specific aspects of the product, such as circuit diagrams. The drawings shall, where appropriate, be accompanied by descriptions and explanations to understand the product.
• The description of the protective measures implemented to eliminate identified hazards or to reduce risks and, when appropriate, the indication of the residual risks associated with the QPS.
• The list of standards and other technical specifications used to show compliance with the essential requirements outlined in the EU directive(s).
• Instructions and other information for the safe use of the product covering at least, but not limited to, handling, shipping, installation, integration, operation, maintenance, de-commissioning, disposal, in English, and Dutch
• Where appropriate, copies of the EU declaration of conformity of components incorporated into the assembly.
• A copy of the QPS EU declaration of conformity in the original language, in English, and Dutch.
• A copy of the nameplate(s) with CE mark.</t>
        </is>
      </c>
      <c r="O6" s="6" t="n">
        <v>3</v>
      </c>
      <c r="P6" s="6" t="n">
        <v>2</v>
      </c>
      <c r="Q6" s="6" t="n">
        <v>0</v>
      </c>
      <c r="R6" s="6" t="n">
        <v>3</v>
      </c>
      <c r="S6" s="6" t="n">
        <v>3</v>
      </c>
      <c r="T6" s="6" t="n">
        <v>0</v>
      </c>
      <c r="U6" s="6" t="n">
        <v>0</v>
      </c>
      <c r="V6" s="6" t="n">
        <v>62.666667</v>
      </c>
      <c r="W6" s="6" t="n">
        <v>100</v>
      </c>
      <c r="X6" s="6" t="n">
        <v>100</v>
      </c>
      <c r="Y6" s="6" t="inlineStr">
        <is>
          <t>Safety / Legal</t>
        </is>
      </c>
      <c r="Z6" s="6" t="inlineStr">
        <is>
          <t>Gate precedence; within T0 ordered by Weighted S.</t>
        </is>
      </c>
      <c r="AA6" s="6" t="inlineStr">
        <is>
          <t>EU declaration of conformity; CE marking</t>
        </is>
      </c>
      <c r="AB6" s="6" t="inlineStr">
        <is>
          <t>EU declaration of conformity; CE marking</t>
        </is>
      </c>
      <c r="AC6" s="6" t="inlineStr">
        <is>
          <t>Technical File submitted and checked line-by-line against this RTM's own 8-item checklist (general description; overall + specific drawings; protective-measures/residual-risk description; standards list; multilingual EN/NL safe-use instructions; component DoC copies where applicable; QPS EU DoC; CE nameplate copy) -- and confirmed to land BEFORE first-parts shipment, not at FAT/SAT. A Technical File that is content-complete but late against the shipment milestone does not satisfy this RTM.</t>
        </is>
      </c>
      <c r="AD6" s="6" t="inlineStr">
        <is>
          <t>EU Declaration of Conformity; Declaration of Conformity; Technical File; Drawing / diagram; Datasheet / technical specification; List / register / matrix</t>
        </is>
      </c>
      <c r="AE6" s="6" t="inlineStr">
        <is>
          <t>L4 Installation; L0 Tender / Offer; L1 Conceptual Design; L2 Detailed Design; L3 Procurement &amp; Manufacturing / FAT; L5 Standalone Commissioning; L6 Site Acceptance Testing</t>
        </is>
      </c>
      <c r="AF6" s="6" t="inlineStr">
        <is>
          <t>Explicit/table-grounded standard; explicit deliverable/test wording</t>
        </is>
      </c>
      <c r="AG6" s="58" t="inlineStr">
        <is>
          <t>OFFER-49 (Supporting)</t>
        </is>
      </c>
    </row>
    <row r="7" ht="177" customHeight="1">
      <c r="A7" s="6" t="n">
        <v>2</v>
      </c>
      <c r="B7" s="6" t="inlineStr">
        <is>
          <t>RTM-595</t>
        </is>
      </c>
      <c r="C7" s="6" t="inlineStr">
        <is>
          <t>Yes</t>
        </is>
      </c>
      <c r="D7" s="6" t="inlineStr">
        <is>
          <t>T0 Gate</t>
        </is>
      </c>
      <c r="E7" s="6" t="inlineStr">
        <is>
          <t>Safety &amp; Protection</t>
        </is>
      </c>
      <c r="F7" s="57" t="inlineStr">
        <is>
          <t>SAFETY</t>
        </is>
      </c>
      <c r="G7" s="58" t="inlineStr">
        <is>
          <t>Personnel Protection</t>
        </is>
      </c>
      <c r="H7" s="58" t="inlineStr">
        <is>
          <t>Hazard identification</t>
        </is>
      </c>
      <c r="I7" s="58" t="inlineStr">
        <is>
          <t>Not linked to an OFFER item</t>
        </is>
      </c>
      <c r="J7" s="6" t="n">
        <v>114</v>
      </c>
      <c r="K7" s="6" t="inlineStr">
        <is>
          <t>5</t>
        </is>
      </c>
      <c r="L7" s="6" t="inlineStr">
        <is>
          <t>Safety and Protection Requirements</t>
        </is>
      </c>
      <c r="M7" s="6" t="inlineStr">
        <is>
          <t>The Contractor shall perform a risk analysis (e.g. HAZOP, FMECA, or an equivalent methodology) and shall implement the required mitigation measures.</t>
        </is>
      </c>
      <c r="N7" s="6" t="inlineStr">
        <is>
          <t>The Contractor shall perform a risk analysis (e.g. HAZOP, FMECA, or an equivalent methodology) and shall implement the required mitigation measures.
• The corresponding report shall be submitted as part of the Conceptual Design Report and, where necessary, updated in the Detailed Design Report.
• The risk analysis shall include, at minimum:
• QPS external interfaces
• Loss of utility (e.g. electricity, water, compressed air, …)
• MIS Interlock Interface failure
• Operation outside the nominal interface parameters and defined operational window
• Operator error
• Any QPS internal failure, such as loss of insulation vacuum or a QPLANT trip</t>
        </is>
      </c>
      <c r="O7" s="6" t="n">
        <v>3</v>
      </c>
      <c r="P7" s="6" t="n">
        <v>2</v>
      </c>
      <c r="Q7" s="6" t="n">
        <v>0</v>
      </c>
      <c r="R7" s="6" t="n">
        <v>3</v>
      </c>
      <c r="S7" s="6" t="n">
        <v>2</v>
      </c>
      <c r="T7" s="6" t="n">
        <v>0</v>
      </c>
      <c r="U7" s="6" t="n">
        <v>0</v>
      </c>
      <c r="V7" s="6" t="n">
        <v>58.666667</v>
      </c>
      <c r="W7" s="6" t="n">
        <v>99.8613</v>
      </c>
      <c r="X7" s="6" t="n">
        <v>98.2081</v>
      </c>
      <c r="Y7" s="6" t="inlineStr">
        <is>
          <t>Safety / Legal</t>
        </is>
      </c>
      <c r="Z7" s="6" t="inlineStr">
        <is>
          <t>Gate precedence; within T0 ordered by Weighted S.</t>
        </is>
      </c>
      <c r="AA7" s="6" t="inlineStr">
        <is>
          <t>None explicitly named in this RTM</t>
        </is>
      </c>
      <c r="AB7" s="6" t="inlineStr">
        <is>
          <t>SCK CEN/90508872 §5; no named external code</t>
        </is>
      </c>
      <c r="AC7" s="6" t="inlineStr">
        <is>
          <t>HAZOP/FMECA report cross-referenced against this RTM's own named hazard scenario list (QPS external interfaces; loss of utility; MIS Interlock Interface failure; off-nominal operation; operator error; internal QPS failure incl. insulation-vacuum loss / QPLANT trip) with a traceable mitigation per scenario -- reject a generic template HAZOP whose scenario list doesn't visibly cover all six. Submitted with the Conceptual Design Report, updated in the Detailed Design Report if findings change.</t>
        </is>
      </c>
      <c r="AD7" s="6" t="inlineStr">
        <is>
          <t>Risk Assessment / HAZOP / FMECA</t>
        </is>
      </c>
      <c r="AE7" s="6" t="inlineStr">
        <is>
          <t>L1 Conceptual Design; L2 Detailed Design; L0 Tender / Offer; L3 Procurement &amp; Manufacturing / FAT; L4 Installation; L5 Standalone Commissioning; L6 Site Acceptance Testing</t>
        </is>
      </c>
      <c r="AF7" s="6" t="inlineStr">
        <is>
          <t>Section/contract-derived reference; explicit deliverable/test wording</t>
        </is>
      </c>
      <c r="AG7" s="58" t="inlineStr">
        <is>
          <t>Not linked to an OFFER item</t>
        </is>
      </c>
    </row>
    <row r="8" ht="86" customHeight="1">
      <c r="A8" s="6" t="n">
        <v>3</v>
      </c>
      <c r="B8" s="6" t="inlineStr">
        <is>
          <t>RTM-687</t>
        </is>
      </c>
      <c r="C8" s="6" t="inlineStr">
        <is>
          <t>Yes</t>
        </is>
      </c>
      <c r="D8" s="6" t="inlineStr">
        <is>
          <t>T0 Gate</t>
        </is>
      </c>
      <c r="E8" s="6" t="inlineStr">
        <is>
          <t>Codes &amp; Standards</t>
        </is>
      </c>
      <c r="F8" s="57" t="inlineStr">
        <is>
          <t>PROJECT</t>
        </is>
      </c>
      <c r="G8" s="58" t="inlineStr">
        <is>
          <t>Quality Assurance</t>
        </is>
      </c>
      <c r="H8" s="58" t="inlineStr">
        <is>
          <t>Standards-compliance traceability</t>
        </is>
      </c>
      <c r="I8" s="58" t="inlineStr">
        <is>
          <t>C7 — Quality, Testing &amp; Risk</t>
        </is>
      </c>
      <c r="J8" s="6" t="n">
        <v>127</v>
      </c>
      <c r="K8" s="6" t="inlineStr">
        <is>
          <t>9</t>
        </is>
      </c>
      <c r="L8" s="6" t="inlineStr">
        <is>
          <t>Applicable legislation, Codes and Standards</t>
        </is>
      </c>
      <c r="M8" s="6" t="inlineStr">
        <is>
          <t>Compliance with a listed standard shall not be limited to design calculations or certificates but shall, where applicable, be reflected in:</t>
        </is>
      </c>
      <c r="N8" s="6" t="inlineStr">
        <is>
          <t>Compliance with a listed standard shall not be limited to design calculations or certificates but shall, where applicable, be reflected in:
• installation practices,
• commissioning and acceptance testing,
• training material and competence transfer,
• maintenance strategy.</t>
        </is>
      </c>
      <c r="O8" s="6" t="n">
        <v>3</v>
      </c>
      <c r="P8" s="6" t="n">
        <v>2</v>
      </c>
      <c r="Q8" s="6" t="n">
        <v>0</v>
      </c>
      <c r="R8" s="6" t="n">
        <v>3</v>
      </c>
      <c r="S8" s="6" t="n">
        <v>0</v>
      </c>
      <c r="T8" s="6" t="n">
        <v>3</v>
      </c>
      <c r="U8" s="6" t="n">
        <v>0</v>
      </c>
      <c r="V8" s="6" t="n">
        <v>57.666667</v>
      </c>
      <c r="W8" s="6" t="n">
        <v>99.7226</v>
      </c>
      <c r="X8" s="6" t="n">
        <v>96.46599999999999</v>
      </c>
      <c r="Y8" s="6" t="inlineStr">
        <is>
          <t>Safety / Legal</t>
        </is>
      </c>
      <c r="Z8" s="6" t="inlineStr">
        <is>
          <t>Gate precedence; within T0 ordered by Weighted S.</t>
        </is>
      </c>
      <c r="AA8" s="6" t="inlineStr">
        <is>
          <t>None explicitly named in this RTM</t>
        </is>
      </c>
      <c r="AB8" s="6" t="inlineStr">
        <is>
          <t>Section-level: ISO 9001; EN 13480; EN 13445; PED</t>
        </is>
      </c>
      <c r="AC8" s="6" t="inlineStr">
        <is>
          <t>Standards compliance traced into all four places this RTM names, not just a design calc or certificate: installation practice (procedure/checklist), commissioning &amp; acceptance test criteria, training material content, and maintenance strategy/RCM plan. A certificate alone, with no downstream trace into these four, does not satisfy this RTM.</t>
        </is>
      </c>
      <c r="AD8" s="6" t="inlineStr">
        <is>
          <t>Maintenance / RCM Plan; Design / calculation package; Certificate / calibration evidence</t>
        </is>
      </c>
      <c r="AE8" s="6" t="inlineStr">
        <is>
          <t>L4 Installation; L0 Tender / Offer; L1 Conceptual Design; L2 Detailed Design; L3 Procurement &amp; Manufacturing / FAT; L5 Standalone Commissioning; L6 Site Acceptance Testing</t>
        </is>
      </c>
      <c r="AF8" s="6" t="inlineStr">
        <is>
          <t>Section/contract-derived reference; explicit deliverable/test wording</t>
        </is>
      </c>
      <c r="AG8" s="58" t="inlineStr">
        <is>
          <t>OFFER-49 (Direct)</t>
        </is>
      </c>
    </row>
    <row r="9" ht="112" customHeight="1">
      <c r="A9" s="6" t="n">
        <v>4</v>
      </c>
      <c r="B9" s="6" t="inlineStr">
        <is>
          <t>RTM-700</t>
        </is>
      </c>
      <c r="C9" s="6" t="inlineStr">
        <is>
          <t>Yes</t>
        </is>
      </c>
      <c r="D9" s="6" t="inlineStr">
        <is>
          <t>T0 Gate</t>
        </is>
      </c>
      <c r="E9" s="6" t="inlineStr">
        <is>
          <t>Codes &amp; Standards</t>
        </is>
      </c>
      <c r="F9" s="57" t="inlineStr">
        <is>
          <t>SYSTEM</t>
        </is>
      </c>
      <c r="G9" s="58" t="inlineStr">
        <is>
          <t>Constraint</t>
        </is>
      </c>
      <c r="H9" s="58" t="inlineStr">
        <is>
          <t>EMC design constraint</t>
        </is>
      </c>
      <c r="I9" s="58" t="inlineStr">
        <is>
          <t>C7 — Quality, Testing &amp; Risk</t>
        </is>
      </c>
      <c r="J9" s="6" t="n">
        <v>128</v>
      </c>
      <c r="K9" s="6" t="inlineStr">
        <is>
          <t>9.3</t>
        </is>
      </c>
      <c r="L9" s="6" t="inlineStr">
        <is>
          <t>Electromagnetic interference</t>
        </is>
      </c>
      <c r="M9" s="6" t="inlineStr">
        <is>
          <t>The proposed solution shall comply with the relevant sections of EN 61000-6-2 (Immunity for industrial environments) and EN 61000-6-4 (Emission for industrial environments), or an equivalent standard approved by SCK CEN. The Contractor shall verify correct implementation by at least:</t>
        </is>
      </c>
      <c r="N9" s="6" t="inlineStr">
        <is>
          <t>The proposed solution shall comply with the relevant sections of EN 61000-6-2 (Immunity for industrial environments) and EN 61000-6-4 (Emission for industrial environments), or an equivalent standard approved by SCK CEN. The Contractor shall verify correct implementation by at least:
• A design dossier including EMI layout drawings and shielding measures,
• A wiring and installation checklist verified during site inspection,
• And, where applicable, EMC type tests or certificates for sensitive components (e.g., sensors, analysers, PLCs).</t>
        </is>
      </c>
      <c r="O9" s="6" t="n">
        <v>3</v>
      </c>
      <c r="P9" s="6" t="n">
        <v>0</v>
      </c>
      <c r="Q9" s="6" t="n">
        <v>1</v>
      </c>
      <c r="R9" s="6" t="n">
        <v>3</v>
      </c>
      <c r="S9" s="6" t="n">
        <v>3</v>
      </c>
      <c r="T9" s="6" t="n">
        <v>0</v>
      </c>
      <c r="U9" s="6" t="n">
        <v>0</v>
      </c>
      <c r="V9" s="6" t="n">
        <v>54.666667</v>
      </c>
      <c r="W9" s="6" t="n">
        <v>99.5839</v>
      </c>
      <c r="X9" s="6" t="n">
        <v>94.77160000000001</v>
      </c>
      <c r="Y9" s="6" t="inlineStr">
        <is>
          <t>Safety / Legal</t>
        </is>
      </c>
      <c r="Z9" s="6" t="inlineStr">
        <is>
          <t>Gate precedence; within T0 ordered by Weighted S.</t>
        </is>
      </c>
      <c r="AA9" s="6" t="inlineStr">
        <is>
          <t>EN 61000-6-2; EN 61000-6-4</t>
        </is>
      </c>
      <c r="AB9" s="6" t="inlineStr">
        <is>
          <t>EN 61000-6-2; EN 61000-6-4</t>
        </is>
      </c>
      <c r="AC9" s="6" t="inlineStr">
        <is>
          <t>EMI layout drawing and shielding measures in the design dossier; a wiring/installation checklist actually verified during a site inspection (not just planned); EMC type-test certificates specifically naming the sensitive components this RTM calls out (sensors, analysers, PLCs) -- evidence should identify which components were tested, not a blanket EN 61000-6-2/6-4 compliance statement.</t>
        </is>
      </c>
      <c r="AD9" s="6" t="inlineStr">
        <is>
          <t>Design / calculation package; Certificate / calibration evidence; Inspection record / checklist; Drawing / diagram</t>
        </is>
      </c>
      <c r="AE9" s="6" t="inlineStr">
        <is>
          <t>L4 Installation; L0 Tender / Offer; L1 Conceptual Design; L2 Detailed Design; L3 Procurement &amp; Manufacturing / FAT; L5 Standalone Commissioning; L6 Site Acceptance Testing</t>
        </is>
      </c>
      <c r="AF9" s="6" t="inlineStr">
        <is>
          <t>Explicit/table-grounded standard; explicit deliverable/test wording</t>
        </is>
      </c>
      <c r="AG9" s="58" t="inlineStr">
        <is>
          <t>OFFER-49 (Supporting)</t>
        </is>
      </c>
    </row>
    <row r="10" ht="138" customHeight="1">
      <c r="A10" s="6" t="n">
        <v>5</v>
      </c>
      <c r="B10" s="6" t="inlineStr">
        <is>
          <t>RTM-608</t>
        </is>
      </c>
      <c r="C10" s="6" t="inlineStr">
        <is>
          <t>Yes</t>
        </is>
      </c>
      <c r="D10" s="6" t="inlineStr">
        <is>
          <t>T0 Gate</t>
        </is>
      </c>
      <c r="E10" s="6" t="inlineStr">
        <is>
          <t>Safety &amp; Protection</t>
        </is>
      </c>
      <c r="F10" s="57" t="inlineStr">
        <is>
          <t>PROJECT</t>
        </is>
      </c>
      <c r="G10" s="58" t="inlineStr">
        <is>
          <t>Governance &amp; Responsibility</t>
        </is>
      </c>
      <c r="H10" s="58" t="inlineStr">
        <is>
          <t>Site safety-file gate</t>
        </is>
      </c>
      <c r="I10" s="58" t="inlineStr">
        <is>
          <t>Not linked to an OFFER item</t>
        </is>
      </c>
      <c r="J10" s="6" t="n">
        <v>115</v>
      </c>
      <c r="K10" s="6" t="inlineStr">
        <is>
          <t>5.2</t>
        </is>
      </c>
      <c r="L10" s="6" t="inlineStr">
        <is>
          <t>Personnel Safety</t>
        </is>
      </c>
      <c r="M10" s="6" t="inlineStr">
        <is>
          <t>The Contractor shall submit a project-specific safety file for review and approval prior to start of site activities. The safety file shall include, as a minimum:</t>
        </is>
      </c>
      <c r="N10" s="6" t="inlineStr">
        <is>
          <t>The Contractor shall submit a project-specific safety file for review and approval prior to start of site activities. The safety file shall include, as a minimum:
• PIF (Post Installation File) inputs and residual risk records for handover.
• No installation, construction, testing, or commissioning activities shall start until the Safety File has been reviewed and accepted by SCK-CEN and the appointed Safety Coordinator.
• Annex 12 – Safety Charter, which shall be issued by SCK-CEN and signed by all participating Contractors and subcontractors.</t>
        </is>
      </c>
      <c r="O10" s="6" t="n">
        <v>3</v>
      </c>
      <c r="P10" s="6" t="n">
        <v>0</v>
      </c>
      <c r="Q10" s="6" t="n">
        <v>0</v>
      </c>
      <c r="R10" s="6" t="n">
        <v>3</v>
      </c>
      <c r="S10" s="6" t="n">
        <v>2</v>
      </c>
      <c r="T10" s="6" t="n">
        <v>2</v>
      </c>
      <c r="U10" s="6" t="n">
        <v>0</v>
      </c>
      <c r="V10" s="6" t="n">
        <v>48.666667</v>
      </c>
      <c r="W10" s="6" t="n">
        <v>99.4452</v>
      </c>
      <c r="X10" s="6" t="n">
        <v>93.12309999999999</v>
      </c>
      <c r="Y10" s="6" t="inlineStr">
        <is>
          <t>Safety / Legal</t>
        </is>
      </c>
      <c r="Z10" s="6" t="inlineStr">
        <is>
          <t>Gate precedence; within T0 ordered by Weighted S.</t>
        </is>
      </c>
      <c r="AA10" s="6" t="inlineStr">
        <is>
          <t>None explicitly named in this RTM</t>
        </is>
      </c>
      <c r="AB10" s="6" t="inlineStr">
        <is>
          <t>Section-level: PED; EN 17527; API 520/521/580</t>
        </is>
      </c>
      <c r="AC10" s="6" t="inlineStr">
        <is>
          <t>Safety-file review/acceptance record dated BEFORE the first site-activity start date -- a scheduling gate, not just a content checklist. PIF inputs and residual-risk records present; Annex 12 Safety Charter signed by every contractor/subcontractor actually on site, cross-checked against the site personnel list rather than a template signature page.</t>
        </is>
      </c>
      <c r="AD10" s="6" t="inlineStr">
        <is>
          <t>Installation File</t>
        </is>
      </c>
      <c r="AE10" s="6" t="inlineStr">
        <is>
          <t>L4 Installation; PAC / Handover; L0 Tender / Offer; L1 Conceptual Design; L2 Detailed Design; L3 Procurement &amp; Manufacturing / FAT; L5 Standalone Commissioning; L6 Site Acceptance Testing</t>
        </is>
      </c>
      <c r="AF10" s="6" t="inlineStr">
        <is>
          <t>Section/contract-derived reference; explicit deliverable/test wording</t>
        </is>
      </c>
      <c r="AG10" s="58" t="inlineStr">
        <is>
          <t>Not linked to an OFFER item</t>
        </is>
      </c>
    </row>
    <row r="11" ht="125" customHeight="1">
      <c r="A11" s="6" t="n">
        <v>6</v>
      </c>
      <c r="B11" s="6" t="inlineStr">
        <is>
          <t>RTM-327</t>
        </is>
      </c>
      <c r="C11" s="6" t="inlineStr">
        <is>
          <t>Yes</t>
        </is>
      </c>
      <c r="D11" s="6" t="inlineStr">
        <is>
          <t>T0 Gate</t>
        </is>
      </c>
      <c r="E11" s="6" t="inlineStr">
        <is>
          <t>Control &amp; Interlock</t>
        </is>
      </c>
      <c r="F11" s="57" t="inlineStr">
        <is>
          <t>PROJECT</t>
        </is>
      </c>
      <c r="G11" s="58" t="inlineStr">
        <is>
          <t>Documentation &amp; Compliance</t>
        </is>
      </c>
      <c r="H11" s="58" t="inlineStr">
        <is>
          <t>CRA digital-element inventory</t>
        </is>
      </c>
      <c r="I11" s="58" t="inlineStr">
        <is>
          <t>C8 — Commercial &amp; Execution</t>
        </is>
      </c>
      <c r="J11" s="6" t="n">
        <v>74</v>
      </c>
      <c r="K11" s="6" t="inlineStr">
        <is>
          <t>4.6.4.5</t>
        </is>
      </c>
      <c r="L11" s="6" t="inlineStr">
        <is>
          <t>Security</t>
        </is>
      </c>
      <c r="M11" s="6" t="inlineStr">
        <is>
          <t>The Contractor shall identify all products with digital elements (as per the EU Cyber Resilience Act (CRA)), which are used in the system. For each of these the Contractor shall (1) verify that Commercial Off-The-Shelf (COTS) products have a valid CE marking, and (2) provide technical documentation and a Declaration of Conformity to show compliance with the CRA for custom-built products. For both the documentation shall be provided to SCK CEN for review and approval prior to SAT.</t>
        </is>
      </c>
      <c r="N11" s="6" t="inlineStr">
        <is>
          <t>The Contractor shall identify all products with digital elements (as per the EU Cyber Resilience Act (CRA)), which are used in the system. For each of these the Contractor shall (1) verify that Commercial Off-The-Shelf (COTS) products have a valid CE marking, and (2) provide technical documentation and a Declaration of Conformity to show compliance with the CRA for custom-built products. For both the documentation shall be provided to SCK CEN for review and approval prior to SAT.</t>
        </is>
      </c>
      <c r="O11" s="6" t="n">
        <v>3</v>
      </c>
      <c r="P11" s="6" t="n">
        <v>0</v>
      </c>
      <c r="Q11" s="6" t="n">
        <v>0</v>
      </c>
      <c r="R11" s="6" t="n">
        <v>3</v>
      </c>
      <c r="S11" s="6" t="n">
        <v>3</v>
      </c>
      <c r="T11" s="6" t="n">
        <v>0</v>
      </c>
      <c r="U11" s="6" t="n">
        <v>0</v>
      </c>
      <c r="V11" s="6" t="n">
        <v>48</v>
      </c>
      <c r="W11" s="6" t="n">
        <v>99.1678</v>
      </c>
      <c r="X11" s="6" t="n">
        <v>89.9568</v>
      </c>
      <c r="Y11" s="6" t="inlineStr">
        <is>
          <t>Safety / Legal</t>
        </is>
      </c>
      <c r="Z11" s="6" t="inlineStr">
        <is>
          <t>Gate precedence; within T0 ordered by Weighted S.</t>
        </is>
      </c>
      <c r="AA11" s="6" t="inlineStr">
        <is>
          <t>EU Cyber Resilience Act (CRA); CE marking</t>
        </is>
      </c>
      <c r="AB11" s="6" t="inlineStr">
        <is>
          <t>EU Cyber Resilience Act (CRA); CE marking</t>
        </is>
      </c>
      <c r="AC11" s="6" t="inlineStr">
        <is>
          <t>An itemised inventory of every digital-element product used in the system (the inventory itself is the first piece of evidence) split COTS (CE marking checked per item) vs. custom-built (DoC per item) -- a single blanket CRA-compliance statement without an itemised list does not satisfy this RTM. Must land before SAT, tracked as a pre-SAT milestone, not a SAT-day submission.</t>
        </is>
      </c>
      <c r="AD11" s="6" t="inlineStr">
        <is>
          <t>Declaration of Conformity</t>
        </is>
      </c>
      <c r="AE11" s="6" t="inlineStr">
        <is>
          <t>L6 Site Acceptance Testing; L1 Conceptual Design; L2 Detailed Design</t>
        </is>
      </c>
      <c r="AF11" s="6" t="inlineStr">
        <is>
          <t>Explicit/table-grounded standard; explicit deliverable/test wording</t>
        </is>
      </c>
      <c r="AG11" s="58" t="inlineStr">
        <is>
          <t>OFFER-25 (Direct)</t>
        </is>
      </c>
    </row>
    <row r="12" ht="73" customHeight="1">
      <c r="A12" s="6" t="n">
        <v>7</v>
      </c>
      <c r="B12" s="6" t="inlineStr">
        <is>
          <t>RTM-514</t>
        </is>
      </c>
      <c r="C12" s="6" t="inlineStr">
        <is>
          <t>Yes</t>
        </is>
      </c>
      <c r="D12" s="6" t="inlineStr">
        <is>
          <t>T0 Gate</t>
        </is>
      </c>
      <c r="E12" s="6" t="inlineStr">
        <is>
          <t>Acceptance Testing</t>
        </is>
      </c>
      <c r="F12" s="57" t="inlineStr">
        <is>
          <t>SAFETY</t>
        </is>
      </c>
      <c r="G12" s="58" t="inlineStr">
        <is>
          <t>Interlock &amp; Control Safety</t>
        </is>
      </c>
      <c r="H12" s="58" t="inlineStr">
        <is>
          <t>SAT safety-function demonstration</t>
        </is>
      </c>
      <c r="I12" s="58" t="inlineStr">
        <is>
          <t>C7 — Quality, Testing &amp; Risk</t>
        </is>
      </c>
      <c r="J12" s="6" t="n">
        <v>98</v>
      </c>
      <c r="K12" s="6" t="inlineStr">
        <is>
          <t>4.13.3.1</t>
        </is>
      </c>
      <c r="L12" s="6" t="inlineStr">
        <is>
          <t>Demonstration of functional behaviour and operability</t>
        </is>
      </c>
      <c r="M12" s="6" t="inlineStr">
        <is>
          <t>The Contractor shall demonstrate the correct operational behaviour of the safety-related functions during the SAT.</t>
        </is>
      </c>
      <c r="N12" s="6" t="inlineStr">
        <is>
          <t>The Contractor shall demonstrate the correct operational behaviour of the safety-related functions during the SAT.
• Where applicable, this shall include the functional tests required to support the verification of the specified safety integrity requirements.</t>
        </is>
      </c>
      <c r="O12" s="6" t="n">
        <v>3</v>
      </c>
      <c r="P12" s="6" t="n">
        <v>0</v>
      </c>
      <c r="Q12" s="6" t="n">
        <v>0</v>
      </c>
      <c r="R12" s="6" t="n">
        <v>3</v>
      </c>
      <c r="S12" s="6" t="n">
        <v>3</v>
      </c>
      <c r="T12" s="6" t="n">
        <v>0</v>
      </c>
      <c r="U12" s="6" t="n">
        <v>0</v>
      </c>
      <c r="V12" s="6" t="n">
        <v>48</v>
      </c>
      <c r="W12" s="6" t="n">
        <v>99.1678</v>
      </c>
      <c r="X12" s="6" t="n">
        <v>89.9568</v>
      </c>
      <c r="Y12" s="6" t="inlineStr">
        <is>
          <t>Safety / Legal</t>
        </is>
      </c>
      <c r="Z12" s="6" t="inlineStr">
        <is>
          <t>Gate precedence; within T0 ordered by Weighted S.</t>
        </is>
      </c>
      <c r="AA12" s="6" t="inlineStr">
        <is>
          <t>None explicitly named in this RTM</t>
        </is>
      </c>
      <c r="AB12" s="6" t="inlineStr">
        <is>
          <t>SCK CEN/90508872 §4.13.3.1; no named external code</t>
        </is>
      </c>
      <c r="AC12" s="6" t="inlineStr">
        <is>
          <t>SAT test procedure exercising each named safety-related function individually against its own stated safety-integrity requirement, with pass/fail criteria fixed BEFORE the test runs. This is an L6-only closure -- a clean design review or FAT result cannot pre-satisfy it; only the witnessed SAT record can.</t>
        </is>
      </c>
      <c r="AD12" s="6" t="inlineStr">
        <is>
          <t>No separate deliverable explicitly named</t>
        </is>
      </c>
      <c r="AE12" s="6" t="inlineStr">
        <is>
          <t>L6 Site Acceptance Testing; L1 Conceptual Design; L2 Detailed Design</t>
        </is>
      </c>
      <c r="AF12" s="6" t="inlineStr">
        <is>
          <t>Section/contract-derived reference; explicit deliverable/test wording</t>
        </is>
      </c>
      <c r="AG12" s="58" t="inlineStr">
        <is>
          <t>OFFER-39 (Supporting)</t>
        </is>
      </c>
    </row>
    <row r="13" ht="73" customHeight="1">
      <c r="A13" s="6" t="n">
        <v>8</v>
      </c>
      <c r="B13" s="6" t="inlineStr">
        <is>
          <t>RTM-613</t>
        </is>
      </c>
      <c r="C13" s="6" t="inlineStr">
        <is>
          <t>Yes</t>
        </is>
      </c>
      <c r="D13" s="6" t="inlineStr">
        <is>
          <t>T0 Gate</t>
        </is>
      </c>
      <c r="E13" s="6" t="inlineStr">
        <is>
          <t>Safety &amp; Protection</t>
        </is>
      </c>
      <c r="F13" s="57" t="inlineStr">
        <is>
          <t>SAFETY</t>
        </is>
      </c>
      <c r="G13" s="58" t="inlineStr">
        <is>
          <t>Interlock &amp; Control Safety</t>
        </is>
      </c>
      <c r="H13" s="58" t="inlineStr">
        <is>
          <t>ODH integration test (dual record)</t>
        </is>
      </c>
      <c r="I13" s="58" t="inlineStr">
        <is>
          <t>Not linked to an OFFER item</t>
        </is>
      </c>
      <c r="J13" s="6" t="n">
        <v>115</v>
      </c>
      <c r="K13" s="6" t="inlineStr">
        <is>
          <t>5.2.1</t>
        </is>
      </c>
      <c r="L13" s="6" t="inlineStr">
        <is>
          <t>Oxygen-Deficiency Hazard</t>
        </is>
      </c>
      <c r="M13" s="6" t="inlineStr">
        <is>
          <t>The Contractor shall perform all the required functional testing of this integration during standalone commissioning and demonstrate it during the SAT.</t>
        </is>
      </c>
      <c r="N13" s="6" t="inlineStr">
        <is>
          <t>The Contractor shall perform all the required functional testing of this integration during standalone commissioning and demonstrate it during the SAT.
• Evidence of such verification shall be included in the Commissioning File and Acceptance Test File.</t>
        </is>
      </c>
      <c r="O13" s="6" t="n">
        <v>3</v>
      </c>
      <c r="P13" s="6" t="n">
        <v>0</v>
      </c>
      <c r="Q13" s="6" t="n">
        <v>0</v>
      </c>
      <c r="R13" s="6" t="n">
        <v>3</v>
      </c>
      <c r="S13" s="6" t="n">
        <v>3</v>
      </c>
      <c r="T13" s="6" t="n">
        <v>0</v>
      </c>
      <c r="U13" s="6" t="n">
        <v>0</v>
      </c>
      <c r="V13" s="6" t="n">
        <v>48</v>
      </c>
      <c r="W13" s="6" t="n">
        <v>99.1678</v>
      </c>
      <c r="X13" s="6" t="n">
        <v>89.9568</v>
      </c>
      <c r="Y13" s="6" t="inlineStr">
        <is>
          <t>Safety / Legal</t>
        </is>
      </c>
      <c r="Z13" s="6" t="inlineStr">
        <is>
          <t>Gate precedence; within T0 ordered by Weighted S.</t>
        </is>
      </c>
      <c r="AA13" s="6" t="inlineStr">
        <is>
          <t>None explicitly named in this RTM</t>
        </is>
      </c>
      <c r="AB13" s="6" t="inlineStr">
        <is>
          <t>Section-level: EN 50104:2019</t>
        </is>
      </c>
      <c r="AC13" s="6" t="inlineStr">
        <is>
          <t>Functional test evidence in TWO places, both required, not either/or: the Commissioning File (standalone, pre-SAT) and the Acceptance Test File (SAT) -- verify the two records test the same ODH integration points rather than the SAT test being a lighter repeat of commissioning.</t>
        </is>
      </c>
      <c r="AD13" s="6" t="inlineStr">
        <is>
          <t>No separate deliverable explicitly named</t>
        </is>
      </c>
      <c r="AE13" s="6" t="inlineStr">
        <is>
          <t>L5 Standalone Commissioning; L6 Site Acceptance Testing; L0 Tender / Offer; L1 Conceptual Design; L2 Detailed Design; L3 Procurement &amp; Manufacturing / FAT; L4 Installation</t>
        </is>
      </c>
      <c r="AF13" s="6" t="inlineStr">
        <is>
          <t>Section/contract-derived reference; explicit deliverable/test wording</t>
        </is>
      </c>
      <c r="AG13" s="58" t="inlineStr">
        <is>
          <t>Not linked to an OFFER item</t>
        </is>
      </c>
    </row>
    <row r="14" ht="164" customHeight="1">
      <c r="A14" s="6" t="n">
        <v>9</v>
      </c>
      <c r="B14" s="6" t="inlineStr">
        <is>
          <t>RTM-075</t>
        </is>
      </c>
      <c r="C14" s="6" t="inlineStr">
        <is>
          <t>Yes</t>
        </is>
      </c>
      <c r="D14" s="6" t="inlineStr">
        <is>
          <t>T0 Gate</t>
        </is>
      </c>
      <c r="E14" s="6" t="inlineStr">
        <is>
          <t>Global Design Criteria</t>
        </is>
      </c>
      <c r="F14" s="57" t="inlineStr">
        <is>
          <t>SYSTEM</t>
        </is>
      </c>
      <c r="G14" s="58" t="inlineStr">
        <is>
          <t>Performance</t>
        </is>
      </c>
      <c r="H14" s="58" t="inlineStr">
        <is>
          <t>invCOP calculation (fixed unit prices)</t>
        </is>
      </c>
      <c r="I14" s="58" t="inlineStr">
        <is>
          <t>C1 — Performance</t>
        </is>
      </c>
      <c r="J14" s="6" t="n">
        <v>40</v>
      </c>
      <c r="K14" s="6" t="inlineStr">
        <is>
          <t>4.3.4.1</t>
        </is>
      </c>
      <c r="L14" s="6" t="inlineStr">
        <is>
          <t>Inverse Coefficient of Performance (invCOP)</t>
        </is>
      </c>
      <c r="M14" s="6" t="inlineStr">
        <is>
          <t>If LN2 Precooling is implemented (§4.2.5), the Contractor shall include an equivalent electrical power contribution in the invCOP calculation based on fixed reference unit prices. To this end, the LN2 consumption shall be converted to an equivalent electrical power (W_LN2_eq) using:</t>
        </is>
      </c>
      <c r="N14" s="6" t="inlineStr">
        <is>
          <t>If LN2 Precooling is implemented (§4.2.5), the Contractor shall include an equivalent electrical power contribution in the invCOP calculation based on fixed reference unit prices. To this end, the LN2 consumption shall be converted to an equivalent electrical power (W_LN2_eq) using:
W_LN2_eq = (m_LN2 · c_LN2) / (Δt · c_elec)
• Where:
• m_LN2 is the total LN2 mass consumed over the considered operating period [kg], including boil-off
• Δt is the duration of the considered operating period [h]
• c_LN2 is the reference market price of LN2 [€/kg] (including delivery to SCK CEN), set at 160 €/ton
• c_elec is the reference electricity price, set at 180 €/MWh</t>
        </is>
      </c>
      <c r="O14" s="6" t="n">
        <v>3</v>
      </c>
      <c r="P14" s="6" t="n">
        <v>0</v>
      </c>
      <c r="Q14" s="6" t="n">
        <v>3</v>
      </c>
      <c r="R14" s="6" t="n">
        <v>0</v>
      </c>
      <c r="S14" s="6" t="n">
        <v>0</v>
      </c>
      <c r="T14" s="6" t="n">
        <v>0</v>
      </c>
      <c r="U14" s="6" t="n">
        <v>3</v>
      </c>
      <c r="V14" s="6" t="n">
        <v>43</v>
      </c>
      <c r="W14" s="6" t="n">
        <v>98.8904</v>
      </c>
      <c r="X14" s="6" t="n">
        <v>86.9537</v>
      </c>
      <c r="Y14" s="6" t="inlineStr">
        <is>
          <t>Safety / Legal / Performance</t>
        </is>
      </c>
      <c r="Z14" s="6" t="inlineStr">
        <is>
          <t>Gate precedence; within T0 ordered by Weighted S.</t>
        </is>
      </c>
      <c r="AA14" s="6" t="inlineStr">
        <is>
          <t>None explicitly named in this RTM</t>
        </is>
      </c>
      <c r="AB14" s="6" t="inlineStr">
        <is>
          <t>SCK CEN/90508872 §4.3.4.1; no named external code</t>
        </is>
      </c>
      <c r="AC14" s="6" t="inlineStr">
        <is>
          <t>Calculation sheet applying the RTM's own W_LN2_eq formula using the CONTRACT-FIXED reference prices (160 €/ton LN2, 180 €/MWh electricity) -- reject any invCOP submission that substitutes the bidder's own market prices, since this RTM fixes them explicitly. Applicability is conditional on LN2 Precooling being implemented at all; confirm the bidder's own §4.2.5 design choice before checking this line.</t>
        </is>
      </c>
      <c r="AD14" s="6" t="inlineStr">
        <is>
          <t>No separate deliverable explicitly named</t>
        </is>
      </c>
      <c r="AE14" s="6" t="inlineStr">
        <is>
          <t>PAC / Handover; L1 Conceptual Design; L2 Detailed Design</t>
        </is>
      </c>
      <c r="AF14" s="6" t="inlineStr">
        <is>
          <t>Section/contract-derived reference; derived evidence route</t>
        </is>
      </c>
      <c r="AG14" s="58" t="inlineStr">
        <is>
          <t>OFFER-12 (Supporting)</t>
        </is>
      </c>
    </row>
    <row r="15" ht="86" customHeight="1">
      <c r="A15" s="6" t="n">
        <v>10</v>
      </c>
      <c r="B15" s="6" t="inlineStr">
        <is>
          <t>RTM-600</t>
        </is>
      </c>
      <c r="C15" s="6" t="inlineStr">
        <is>
          <t>Yes</t>
        </is>
      </c>
      <c r="D15" s="6" t="inlineStr">
        <is>
          <t>T0 Gate</t>
        </is>
      </c>
      <c r="E15" s="6" t="inlineStr">
        <is>
          <t>Safety &amp; Protection</t>
        </is>
      </c>
      <c r="F15" s="57" t="inlineStr">
        <is>
          <t>SYSTEM</t>
        </is>
      </c>
      <c r="G15" s="58" t="inlineStr">
        <is>
          <t>Constraint</t>
        </is>
      </c>
      <c r="H15" s="58" t="inlineStr">
        <is>
          <t>Redundancy for inaccessible components</t>
        </is>
      </c>
      <c r="I15" s="58" t="inlineStr">
        <is>
          <t>Not linked to an OFFER item</t>
        </is>
      </c>
      <c r="J15" s="6" t="n">
        <v>114</v>
      </c>
      <c r="K15" s="6" t="inlineStr">
        <is>
          <t>5</t>
        </is>
      </c>
      <c r="L15" s="6" t="inlineStr">
        <is>
          <t>Safety and Protection Requirements</t>
        </is>
      </c>
      <c r="M15" s="6" t="inlineStr">
        <is>
          <t>The QPS shall include redundant measurement channels and stand-by heaters for all inaccessible components and for components whose failure would jeopardize machine integrity.</t>
        </is>
      </c>
      <c r="N15" s="6" t="inlineStr">
        <is>
          <t>The QPS shall include redundant measurement channels and stand-by heaters for all inaccessible components and for components whose failure would jeopardize machine integrity.</t>
        </is>
      </c>
      <c r="O15" s="6" t="n">
        <v>3</v>
      </c>
      <c r="P15" s="6" t="n">
        <v>3</v>
      </c>
      <c r="Q15" s="6" t="n">
        <v>0</v>
      </c>
      <c r="R15" s="6" t="n">
        <v>0</v>
      </c>
      <c r="S15" s="6" t="n">
        <v>0</v>
      </c>
      <c r="T15" s="6" t="n">
        <v>0</v>
      </c>
      <c r="U15" s="6" t="n">
        <v>0</v>
      </c>
      <c r="V15" s="6" t="n">
        <v>42</v>
      </c>
      <c r="W15" s="6" t="n">
        <v>98.7517</v>
      </c>
      <c r="X15" s="6" t="n">
        <v>85.5097</v>
      </c>
      <c r="Y15" s="6" t="inlineStr">
        <is>
          <t>Reliability</t>
        </is>
      </c>
      <c r="Z15" s="6" t="inlineStr">
        <is>
          <t>Gate precedence; within T0 ordered by Weighted S.</t>
        </is>
      </c>
      <c r="AA15" s="6" t="inlineStr">
        <is>
          <t>None explicitly named in this RTM</t>
        </is>
      </c>
      <c r="AB15" s="6" t="inlineStr">
        <is>
          <t>SCK CEN/90508872 §5; no named external code</t>
        </is>
      </c>
      <c r="AC15" s="6" t="inlineStr">
        <is>
          <t>P&amp;ID / instrument list identifying which components are actually 'inaccessible' in THIS specific design (a project-specific judgment, not a generic rule) with a redundant measurement channel and stand-by heater confirmed against each one named -- a generic 'redundancy provided' claim with no component-level list should not pass.</t>
        </is>
      </c>
      <c r="AD15" s="6" t="inlineStr">
        <is>
          <t>No separate deliverable explicitly named</t>
        </is>
      </c>
      <c r="AE15" s="6" t="inlineStr">
        <is>
          <t>L0 Tender / Offer; L1 Conceptual Design; L2 Detailed Design; L3 Procurement &amp; Manufacturing / FAT; L4 Installation; L5 Standalone Commissioning; L6 Site Acceptance Testing</t>
        </is>
      </c>
      <c r="AF15" s="6" t="inlineStr">
        <is>
          <t>Section/contract-derived reference; derived evidence route</t>
        </is>
      </c>
      <c r="AG15" s="58" t="inlineStr">
        <is>
          <t>Not linked to an OFFER item</t>
        </is>
      </c>
    </row>
    <row r="16" ht="268" customHeight="1">
      <c r="A16" s="6" t="n">
        <v>11</v>
      </c>
      <c r="B16" s="6" t="inlineStr">
        <is>
          <t>RTM-002</t>
        </is>
      </c>
      <c r="C16" s="6" t="inlineStr">
        <is>
          <t>Yes</t>
        </is>
      </c>
      <c r="D16" s="6" t="inlineStr">
        <is>
          <t>T0 Gate</t>
        </is>
      </c>
      <c r="E16" s="6" t="inlineStr">
        <is>
          <t>General / Compliance</t>
        </is>
      </c>
      <c r="F16" s="57" t="inlineStr">
        <is>
          <t>PROJECT</t>
        </is>
      </c>
      <c r="G16" s="58" t="inlineStr">
        <is>
          <t>Governance &amp; Responsibility</t>
        </is>
      </c>
      <c r="H16" s="58" t="inlineStr">
        <is>
          <t>Scope-definition consistency</t>
        </is>
      </c>
      <c r="I16" s="58" t="inlineStr">
        <is>
          <t>C8 — Commercial &amp; Execution</t>
        </is>
      </c>
      <c r="J16" s="6" t="n">
        <v>24</v>
      </c>
      <c r="K16" s="6" t="inlineStr">
        <is>
          <t>4.1</t>
        </is>
      </c>
      <c r="L16" s="6" t="inlineStr">
        <is>
          <t>General Requirements</t>
        </is>
      </c>
      <c r="M16" s="6" t="inlineStr">
        <is>
          <t>The Contractor shall be fully responsible for the correct definition and execution of all activities (including, but not limited to, engineering, manufacturing, packaging, transportation, delivery, installation, testing, commissioning, QC, QA) necessary to duly perform the Contract and to ensure that (each item in) the Contractor’s scope of supply and (each activity in) the Contractor’s scope of work duly meet the requirements imposed on them.</t>
        </is>
      </c>
      <c r="N16" s="6" t="inlineStr">
        <is>
          <t>The Contractor shall be fully responsible for the correct definition and execution of all activities (including, but not limited to, engineering, manufacturing, packaging, transportation, delivery, installation, testing, commissioning, QC, QA) necessary to duly perform the Contract and to ensure that (each item in) the Contractor’s scope of supply and (each activity in) the Contractor’s scope of work duly meet the requirements imposed on them.
• For some activities, specific requirements are imposed by SCK CEN which the Contractor shall adhere to.
• For other activities, the Contractor shall define the appropriate requirements themselves based on the functionality of, as well as the performance requirements imposed on, thereby considering the operational circumstances to which the QPS is subject. In this case, the Contractor shall duly consider all relevant information regarding such functionalities, performance requirements, and operational circumstances as was expressly made known to the Contractor by SCK CEN or could have reasonably been inferred by the Contractor on the basis of its expertise and experience. Any such requirements, defined by the Contractor (regardless of whether they have been included in the Contractor’s Offer or defined during one of the Contractual Phases and accepted by SCK CEN, shall be adhered to thenceforth; any change to such requirements shall be subject to prior written SCK CEN approval.</t>
        </is>
      </c>
      <c r="O16" s="6" t="n">
        <v>3</v>
      </c>
      <c r="P16" s="6" t="n">
        <v>0</v>
      </c>
      <c r="Q16" s="6" t="n">
        <v>0</v>
      </c>
      <c r="R16" s="6" t="n">
        <v>3</v>
      </c>
      <c r="S16" s="6" t="n">
        <v>0</v>
      </c>
      <c r="T16" s="6" t="n">
        <v>0</v>
      </c>
      <c r="U16" s="6" t="n">
        <v>0</v>
      </c>
      <c r="V16" s="6" t="n">
        <v>36</v>
      </c>
      <c r="W16" s="6" t="n">
        <v>98.2663</v>
      </c>
      <c r="X16" s="6" t="n">
        <v>80.7342</v>
      </c>
      <c r="Y16" s="6" t="inlineStr">
        <is>
          <t>Safety / Legal</t>
        </is>
      </c>
      <c r="Z16" s="6" t="inlineStr">
        <is>
          <t>Gate precedence; within T0 ordered by Weighted S.</t>
        </is>
      </c>
      <c r="AA16" s="6" t="inlineStr">
        <is>
          <t>None explicitly named in this RTM</t>
        </is>
      </c>
      <c r="AB16" s="6" t="inlineStr">
        <is>
          <t>SCK CEN/90508872 §4.1; no named external code</t>
        </is>
      </c>
      <c r="AC16" s="6" t="inlineStr">
        <is>
          <t>No single test closes this one -- track via change-log discipline: any requirement the Contractor defines for itself beyond the explicit contract text (once accepted in the Offer or during a Contractual Phase) must reappear consistently in the Contractor's later design/QA records. Evidence is the ABSENCE of drift between what was offered and what's later produced, checked at each design-review gate.</t>
        </is>
      </c>
      <c r="AD16" s="6" t="inlineStr">
        <is>
          <t>No separate deliverable explicitly named</t>
        </is>
      </c>
      <c r="AE16" s="6" t="inlineStr">
        <is>
          <t>L3 Procurement &amp; Manufacturing / FAT; L4 Installation; PAC / Handover; L1 Conceptual Design; L2 Detailed Design</t>
        </is>
      </c>
      <c r="AF16" s="6" t="inlineStr">
        <is>
          <t>Section/contract-derived reference; explicit deliverable/test wording</t>
        </is>
      </c>
      <c r="AG16" s="58" t="inlineStr">
        <is>
          <t>OFFER-01 (Supporting); OFFER-02 (Supporting); OFFER-03 (Direct)</t>
        </is>
      </c>
    </row>
    <row r="17" ht="86" customHeight="1">
      <c r="A17" s="6" t="n">
        <v>12</v>
      </c>
      <c r="B17" s="6" t="inlineStr">
        <is>
          <t>RTM-596</t>
        </is>
      </c>
      <c r="C17" s="6" t="inlineStr">
        <is>
          <t>Yes</t>
        </is>
      </c>
      <c r="D17" s="6" t="inlineStr">
        <is>
          <t>T0 Gate</t>
        </is>
      </c>
      <c r="E17" s="6" t="inlineStr">
        <is>
          <t>Safety &amp; Protection</t>
        </is>
      </c>
      <c r="F17" s="57" t="inlineStr">
        <is>
          <t>SAFETY</t>
        </is>
      </c>
      <c r="G17" s="58" t="inlineStr">
        <is>
          <t>Interlock &amp; Control Safety</t>
        </is>
      </c>
      <c r="H17" s="58" t="inlineStr">
        <is>
          <t>Fail-safe hard-wired interlocks</t>
        </is>
      </c>
      <c r="I17" s="58" t="inlineStr">
        <is>
          <t>Not linked to an OFFER item</t>
        </is>
      </c>
      <c r="J17" s="6" t="n">
        <v>114</v>
      </c>
      <c r="K17" s="6" t="inlineStr">
        <is>
          <t>5</t>
        </is>
      </c>
      <c r="L17" s="6" t="inlineStr">
        <is>
          <t>Safety and Protection Requirements</t>
        </is>
      </c>
      <c r="M17" s="6" t="inlineStr">
        <is>
          <t>The Contractor shall design, implement, and validate fail-safe hard-wired interlock circuits to prevent damage to the QPS.</t>
        </is>
      </c>
      <c r="N17" s="6" t="inlineStr">
        <is>
          <t>The Contractor shall design, implement, and validate fail-safe hard-wired interlock circuits to prevent damage to the QPS.
• These interlock circuits shall remain functional in the event of relevant control-system failures and loss-of-utility events.</t>
        </is>
      </c>
      <c r="O17" s="6" t="n">
        <v>3</v>
      </c>
      <c r="P17" s="6" t="n">
        <v>0</v>
      </c>
      <c r="Q17" s="6" t="n">
        <v>0</v>
      </c>
      <c r="R17" s="6" t="n">
        <v>3</v>
      </c>
      <c r="S17" s="6" t="n">
        <v>0</v>
      </c>
      <c r="T17" s="6" t="n">
        <v>0</v>
      </c>
      <c r="U17" s="6" t="n">
        <v>0</v>
      </c>
      <c r="V17" s="6" t="n">
        <v>36</v>
      </c>
      <c r="W17" s="6" t="n">
        <v>98.2663</v>
      </c>
      <c r="X17" s="6" t="n">
        <v>80.7342</v>
      </c>
      <c r="Y17" s="6" t="inlineStr">
        <is>
          <t>Safety / Legal</t>
        </is>
      </c>
      <c r="Z17" s="6" t="inlineStr">
        <is>
          <t>Gate precedence; within T0 ordered by Weighted S.</t>
        </is>
      </c>
      <c r="AA17" s="6" t="inlineStr">
        <is>
          <t>None explicitly named in this RTM</t>
        </is>
      </c>
      <c r="AB17" s="6" t="inlineStr">
        <is>
          <t>SCK CEN/90508872 §5; no named external code</t>
        </is>
      </c>
      <c r="AC17" s="6" t="inlineStr">
        <is>
          <t>Interlock circuit design + validation record demonstrating the circuits remain functional specifically under the two failure modes this RTM names -- relevant control-system failure and loss-of-utility -- not just a general interlock functional test. A test that only exercises the interlock under normal power/control conditions does not satisfy this RTM.</t>
        </is>
      </c>
      <c r="AD17" s="6" t="inlineStr">
        <is>
          <t>No separate deliverable explicitly named</t>
        </is>
      </c>
      <c r="AE17" s="6" t="inlineStr">
        <is>
          <t>L0 Tender / Offer; L1 Conceptual Design; L2 Detailed Design; L3 Procurement &amp; Manufacturing / FAT; L4 Installation; L5 Standalone Commissioning; L6 Site Acceptance Testing</t>
        </is>
      </c>
      <c r="AF17" s="6" t="inlineStr">
        <is>
          <t>Section/contract-derived reference; derived evidence route</t>
        </is>
      </c>
      <c r="AG17" s="58" t="inlineStr">
        <is>
          <t>Not linked to an OFFER item</t>
        </is>
      </c>
    </row>
    <row r="18" ht="73" customHeight="1">
      <c r="A18" s="6" t="n">
        <v>13</v>
      </c>
      <c r="B18" s="6" t="inlineStr">
        <is>
          <t>RTM-597</t>
        </is>
      </c>
      <c r="C18" s="6" t="inlineStr">
        <is>
          <t>Yes</t>
        </is>
      </c>
      <c r="D18" s="6" t="inlineStr">
        <is>
          <t>T0 Gate</t>
        </is>
      </c>
      <c r="E18" s="6" t="inlineStr">
        <is>
          <t>Safety &amp; Protection</t>
        </is>
      </c>
      <c r="F18" s="57" t="inlineStr">
        <is>
          <t>SYSTEM</t>
        </is>
      </c>
      <c r="G18" s="58" t="inlineStr">
        <is>
          <t>Control</t>
        </is>
      </c>
      <c r="H18" s="58" t="inlineStr">
        <is>
          <t>MIS/QPS interlock boundary</t>
        </is>
      </c>
      <c r="I18" s="58" t="inlineStr">
        <is>
          <t>Not linked to an OFFER item</t>
        </is>
      </c>
      <c r="J18" s="6" t="n">
        <v>114</v>
      </c>
      <c r="K18" s="6" t="inlineStr">
        <is>
          <t>5</t>
        </is>
      </c>
      <c r="L18" s="6" t="inlineStr">
        <is>
          <t>Safety and Protection Requirements</t>
        </is>
      </c>
      <c r="M18" s="6" t="inlineStr">
        <is>
          <t>The QPS shall not rely on the MIS for internal QPS interlock processing, but only for interlock connections to systems outside the QPS.</t>
        </is>
      </c>
      <c r="N18" s="6" t="inlineStr">
        <is>
          <t>The QPS shall not rely on the MIS for internal QPS interlock processing, but only for interlock connections to systems outside the QPS.</t>
        </is>
      </c>
      <c r="O18" s="6" t="n">
        <v>3</v>
      </c>
      <c r="P18" s="6" t="n">
        <v>0</v>
      </c>
      <c r="Q18" s="6" t="n">
        <v>0</v>
      </c>
      <c r="R18" s="6" t="n">
        <v>3</v>
      </c>
      <c r="S18" s="6" t="n">
        <v>0</v>
      </c>
      <c r="T18" s="6" t="n">
        <v>0</v>
      </c>
      <c r="U18" s="6" t="n">
        <v>0</v>
      </c>
      <c r="V18" s="6" t="n">
        <v>36</v>
      </c>
      <c r="W18" s="6" t="n">
        <v>98.2663</v>
      </c>
      <c r="X18" s="6" t="n">
        <v>80.7342</v>
      </c>
      <c r="Y18" s="6" t="inlineStr">
        <is>
          <t>Safety / Legal</t>
        </is>
      </c>
      <c r="Z18" s="6" t="inlineStr">
        <is>
          <t>Gate precedence; within T0 ordered by Weighted S.</t>
        </is>
      </c>
      <c r="AA18" s="6" t="inlineStr">
        <is>
          <t>None explicitly named in this RTM</t>
        </is>
      </c>
      <c r="AB18" s="6" t="inlineStr">
        <is>
          <t>SCK CEN/90508872 §5; no named external code</t>
        </is>
      </c>
      <c r="AC18" s="6" t="inlineStr">
        <is>
          <t>Interlock architecture diagram showing the QPS-internal interlock loop closes entirely within the QPS:CIS, with the MIS appearing ONLY on external-system connections -- reject any design where an internal QPS interlock path routes through the MIS, even transiently.</t>
        </is>
      </c>
      <c r="AD18" s="6" t="inlineStr">
        <is>
          <t>No separate deliverable explicitly named</t>
        </is>
      </c>
      <c r="AE18" s="6" t="inlineStr">
        <is>
          <t>L0 Tender / Offer; L1 Conceptual Design; L2 Detailed Design; L3 Procurement &amp; Manufacturing / FAT; L4 Installation; L5 Standalone Commissioning; L6 Site Acceptance Testing</t>
        </is>
      </c>
      <c r="AF18" s="6" t="inlineStr">
        <is>
          <t>Section/contract-derived reference; derived evidence route</t>
        </is>
      </c>
      <c r="AG18" s="58" t="inlineStr">
        <is>
          <t>Not linked to an OFFER item</t>
        </is>
      </c>
    </row>
    <row r="19" ht="73" customHeight="1">
      <c r="A19" s="6" t="n">
        <v>14</v>
      </c>
      <c r="B19" s="6" t="inlineStr">
        <is>
          <t>RTM-598</t>
        </is>
      </c>
      <c r="C19" s="6" t="inlineStr">
        <is>
          <t>Yes</t>
        </is>
      </c>
      <c r="D19" s="6" t="inlineStr">
        <is>
          <t>T0 Gate</t>
        </is>
      </c>
      <c r="E19" s="6" t="inlineStr">
        <is>
          <t>Safety &amp; Protection</t>
        </is>
      </c>
      <c r="F19" s="57" t="inlineStr">
        <is>
          <t>SYSTEM</t>
        </is>
      </c>
      <c r="G19" s="58" t="inlineStr">
        <is>
          <t>Control</t>
        </is>
      </c>
      <c r="H19" s="58" t="inlineStr">
        <is>
          <t>Interlock status exposure to MCS</t>
        </is>
      </c>
      <c r="I19" s="58" t="inlineStr">
        <is>
          <t>Not linked to an OFFER item</t>
        </is>
      </c>
      <c r="J19" s="6" t="n">
        <v>114</v>
      </c>
      <c r="K19" s="6" t="inlineStr">
        <is>
          <t>5</t>
        </is>
      </c>
      <c r="L19" s="6" t="inlineStr">
        <is>
          <t>Safety and Protection Requirements</t>
        </is>
      </c>
      <c r="M19" s="6" t="inlineStr">
        <is>
          <t>The QPS:CIS shall expose the interlock status of the QPS to the MCS control interface.</t>
        </is>
      </c>
      <c r="N19" s="6" t="inlineStr">
        <is>
          <t>The QPS:CIS shall expose the interlock status of the QPS to the MCS control interface.</t>
        </is>
      </c>
      <c r="O19" s="6" t="n">
        <v>3</v>
      </c>
      <c r="P19" s="6" t="n">
        <v>0</v>
      </c>
      <c r="Q19" s="6" t="n">
        <v>0</v>
      </c>
      <c r="R19" s="6" t="n">
        <v>3</v>
      </c>
      <c r="S19" s="6" t="n">
        <v>0</v>
      </c>
      <c r="T19" s="6" t="n">
        <v>0</v>
      </c>
      <c r="U19" s="6" t="n">
        <v>0</v>
      </c>
      <c r="V19" s="6" t="n">
        <v>36</v>
      </c>
      <c r="W19" s="6" t="n">
        <v>98.2663</v>
      </c>
      <c r="X19" s="6" t="n">
        <v>80.7342</v>
      </c>
      <c r="Y19" s="6" t="inlineStr">
        <is>
          <t>Safety / Legal</t>
        </is>
      </c>
      <c r="Z19" s="6" t="inlineStr">
        <is>
          <t>Gate precedence; within T0 ordered by Weighted S.</t>
        </is>
      </c>
      <c r="AA19" s="6" t="inlineStr">
        <is>
          <t>None explicitly named in this RTM</t>
        </is>
      </c>
      <c r="AB19" s="6" t="inlineStr">
        <is>
          <t>SCK CEN/90508872 §5; no named external code</t>
        </is>
      </c>
      <c r="AC19" s="6" t="inlineStr">
        <is>
          <t>Interface control document (or equivalent) showing the specific QPS:CIS-to-MCS signal(s) that carry interlock status, verified live during standalone commissioning -- a data-sheet claim of 'status available' without a demonstrated live signal at the MCS interface does not satisfy this RTM.</t>
        </is>
      </c>
      <c r="AD19" s="6" t="inlineStr">
        <is>
          <t>No separate deliverable explicitly named</t>
        </is>
      </c>
      <c r="AE19" s="6" t="inlineStr">
        <is>
          <t>L0 Tender / Offer; L1 Conceptual Design; L2 Detailed Design; L3 Procurement &amp; Manufacturing / FAT; L4 Installation; L5 Standalone Commissioning; L6 Site Acceptance Testing</t>
        </is>
      </c>
      <c r="AF19" s="6" t="inlineStr">
        <is>
          <t>Section/contract-derived reference; derived evidence route</t>
        </is>
      </c>
      <c r="AG19" s="58" t="inlineStr">
        <is>
          <t>Not linked to an OFFER item</t>
        </is>
      </c>
    </row>
    <row r="20" ht="86" customHeight="1">
      <c r="A20" s="6" t="n">
        <v>15</v>
      </c>
      <c r="B20" s="6" t="inlineStr">
        <is>
          <t>RTM-599</t>
        </is>
      </c>
      <c r="C20" s="6" t="inlineStr">
        <is>
          <t>Yes</t>
        </is>
      </c>
      <c r="D20" s="6" t="inlineStr">
        <is>
          <t>T0 Gate</t>
        </is>
      </c>
      <c r="E20" s="6" t="inlineStr">
        <is>
          <t>Safety &amp; Protection</t>
        </is>
      </c>
      <c r="F20" s="57" t="inlineStr">
        <is>
          <t>SAFETY</t>
        </is>
      </c>
      <c r="G20" s="58" t="inlineStr">
        <is>
          <t>Interlock &amp; Control Safety</t>
        </is>
      </c>
      <c r="H20" s="58" t="inlineStr">
        <is>
          <t>Positive-logic wiring convention</t>
        </is>
      </c>
      <c r="I20" s="58" t="inlineStr">
        <is>
          <t>Not linked to an OFFER item</t>
        </is>
      </c>
      <c r="J20" s="6" t="n">
        <v>114</v>
      </c>
      <c r="K20" s="6" t="inlineStr">
        <is>
          <t>5</t>
        </is>
      </c>
      <c r="L20" s="6" t="inlineStr">
        <is>
          <t>Safety and Protection Requirements</t>
        </is>
      </c>
      <c r="M20" s="6" t="inlineStr">
        <is>
          <t>Electrical contacts associated with the hard-wired interlock sensors (flow, pressure, temperature, level, valve-end switches, etc.) shall be wired “positive-logic” (open = abnormal/trip) so that any loss of signal, power, or cable integrity forces the affected component to a safe state.</t>
        </is>
      </c>
      <c r="N20" s="6" t="inlineStr">
        <is>
          <t>Electrical contacts associated with the hard-wired interlock sensors (flow, pressure, temperature, level, valve-end switches, etc.) shall be wired “positive-logic” (open = abnormal/trip) so that any loss of signal, power, or cable integrity forces the affected component to a safe state.</t>
        </is>
      </c>
      <c r="O20" s="6" t="n">
        <v>3</v>
      </c>
      <c r="P20" s="6" t="n">
        <v>0</v>
      </c>
      <c r="Q20" s="6" t="n">
        <v>0</v>
      </c>
      <c r="R20" s="6" t="n">
        <v>3</v>
      </c>
      <c r="S20" s="6" t="n">
        <v>0</v>
      </c>
      <c r="T20" s="6" t="n">
        <v>0</v>
      </c>
      <c r="U20" s="6" t="n">
        <v>0</v>
      </c>
      <c r="V20" s="6" t="n">
        <v>36</v>
      </c>
      <c r="W20" s="6" t="n">
        <v>98.2663</v>
      </c>
      <c r="X20" s="6" t="n">
        <v>80.7342</v>
      </c>
      <c r="Y20" s="6" t="inlineStr">
        <is>
          <t>Safety / Legal</t>
        </is>
      </c>
      <c r="Z20" s="6" t="inlineStr">
        <is>
          <t>Gate precedence; within T0 ordered by Weighted S.</t>
        </is>
      </c>
      <c r="AA20" s="6" t="inlineStr">
        <is>
          <t>None explicitly named in this RTM</t>
        </is>
      </c>
      <c r="AB20" s="6" t="inlineStr">
        <is>
          <t>SCK CEN/90508872 §5; no named external code</t>
        </is>
      </c>
      <c r="AC20" s="6" t="inlineStr">
        <is>
          <t>Loop-by-loop wiring verification (not a general statement) that every hard-wired interlock sensor named in this RTM -- flow, pressure, temperature, level, valve-end switch -- is wired open-circuit-on-trip, demonstrated by physically breaking a sample of loops during commissioning and confirming the safe-state response, not just a drawing review.</t>
        </is>
      </c>
      <c r="AD20" s="6" t="inlineStr">
        <is>
          <t>No separate deliverable explicitly named</t>
        </is>
      </c>
      <c r="AE20" s="6" t="inlineStr">
        <is>
          <t>L0 Tender / Offer; L1 Conceptual Design; L2 Detailed Design; L3 Procurement &amp; Manufacturing / FAT; L4 Installation; L5 Standalone Commissioning; L6 Site Acceptance Testing</t>
        </is>
      </c>
      <c r="AF20" s="6" t="inlineStr">
        <is>
          <t>Section/contract-derived reference; derived evidence route</t>
        </is>
      </c>
      <c r="AG20" s="58" t="inlineStr">
        <is>
          <t>Not linked to an OFFER item</t>
        </is>
      </c>
    </row>
    <row r="21" ht="86" customHeight="1">
      <c r="A21" s="6" t="n">
        <v>16</v>
      </c>
      <c r="B21" s="6" t="inlineStr">
        <is>
          <t>RTM-612</t>
        </is>
      </c>
      <c r="C21" s="6" t="inlineStr">
        <is>
          <t>Yes</t>
        </is>
      </c>
      <c r="D21" s="6" t="inlineStr">
        <is>
          <t>T0 Gate</t>
        </is>
      </c>
      <c r="E21" s="6" t="inlineStr">
        <is>
          <t>Safety &amp; Protection</t>
        </is>
      </c>
      <c r="F21" s="57" t="inlineStr">
        <is>
          <t>PROJECT</t>
        </is>
      </c>
      <c r="G21" s="58" t="inlineStr">
        <is>
          <t>Governance &amp; Responsibility</t>
        </is>
      </c>
      <c r="H21" s="58" t="inlineStr">
        <is>
          <t>ODH interface-location decision</t>
        </is>
      </c>
      <c r="I21" s="58" t="inlineStr">
        <is>
          <t>Not linked to an OFFER item</t>
        </is>
      </c>
      <c r="J21" s="6" t="n">
        <v>115</v>
      </c>
      <c r="K21" s="6" t="inlineStr">
        <is>
          <t>5.2.1</t>
        </is>
      </c>
      <c r="L21" s="6" t="inlineStr">
        <is>
          <t>Oxygen-Deficiency Hazard</t>
        </is>
      </c>
      <c r="M21" s="6" t="inlineStr">
        <is>
          <t>The Contractor shall define the interface location where SCK CEN shall provide the ODH monitor signals to the QPS. The interface shall be either at:</t>
        </is>
      </c>
      <c r="N21" s="6" t="inlineStr">
        <is>
          <t>The Contractor shall define the interface location where SCK CEN shall provide the ODH monitor signals to the QPS. The interface shall be either at:
• each monitor (signal splitters scope of SCK CEN)
• a centralized location of a SCK CEN safety-interlock aggregator.</t>
        </is>
      </c>
      <c r="O21" s="6" t="n">
        <v>3</v>
      </c>
      <c r="P21" s="6" t="n">
        <v>0</v>
      </c>
      <c r="Q21" s="6" t="n">
        <v>0</v>
      </c>
      <c r="R21" s="6" t="n">
        <v>3</v>
      </c>
      <c r="S21" s="6" t="n">
        <v>0</v>
      </c>
      <c r="T21" s="6" t="n">
        <v>0</v>
      </c>
      <c r="U21" s="6" t="n">
        <v>0</v>
      </c>
      <c r="V21" s="6" t="n">
        <v>36</v>
      </c>
      <c r="W21" s="6" t="n">
        <v>98.2663</v>
      </c>
      <c r="X21" s="6" t="n">
        <v>80.7342</v>
      </c>
      <c r="Y21" s="6" t="inlineStr">
        <is>
          <t>Safety / Legal</t>
        </is>
      </c>
      <c r="Z21" s="6" t="inlineStr">
        <is>
          <t>Gate precedence; within T0 ordered by Weighted S.</t>
        </is>
      </c>
      <c r="AA21" s="6" t="inlineStr">
        <is>
          <t>None explicitly named in this RTM</t>
        </is>
      </c>
      <c r="AB21" s="6" t="inlineStr">
        <is>
          <t>Section-level: EN 50104:2019</t>
        </is>
      </c>
      <c r="AC21" s="6" t="inlineStr">
        <is>
          <t>A single explicit design decision recorded (per-monitor splitters vs. centralized aggregator) with the chosen interface point shown on the I/O list -- this RTM asks for a decision + its documentation, not a test; evidence is the decision record itself, cross-checked against the actual as-built I/O list at commissioning.</t>
        </is>
      </c>
      <c r="AD21" s="6" t="inlineStr">
        <is>
          <t>No separate deliverable explicitly named</t>
        </is>
      </c>
      <c r="AE21" s="6" t="inlineStr">
        <is>
          <t>L0 Tender / Offer; L1 Conceptual Design; L2 Detailed Design; L3 Procurement &amp; Manufacturing / FAT; L4 Installation; L5 Standalone Commissioning; L6 Site Acceptance Testing</t>
        </is>
      </c>
      <c r="AF21" s="6" t="inlineStr">
        <is>
          <t>Section/contract-derived reference; derived evidence route</t>
        </is>
      </c>
      <c r="AG21" s="58" t="inlineStr">
        <is>
          <t>Not linked to an OFFER item</t>
        </is>
      </c>
    </row>
    <row r="22" ht="138" customHeight="1">
      <c r="A22" s="6" t="n">
        <v>17</v>
      </c>
      <c r="B22" s="6" t="inlineStr">
        <is>
          <t>RTM-686</t>
        </is>
      </c>
      <c r="C22" s="6" t="inlineStr">
        <is>
          <t>Yes</t>
        </is>
      </c>
      <c r="D22" s="6" t="inlineStr">
        <is>
          <t>T0 Gate</t>
        </is>
      </c>
      <c r="E22" s="6" t="inlineStr">
        <is>
          <t>Quality Assurance &amp; Control</t>
        </is>
      </c>
      <c r="F22" s="57" t="inlineStr">
        <is>
          <t>PROJECT</t>
        </is>
      </c>
      <c r="G22" s="58" t="inlineStr">
        <is>
          <t>Documentation &amp; Compliance</t>
        </is>
      </c>
      <c r="H22" s="58" t="inlineStr">
        <is>
          <t>Final Declaration of Conformity</t>
        </is>
      </c>
      <c r="I22" s="81" t="inlineStr">
        <is>
          <t>Inferred: C7 — Quality, Testing &amp; Risk (high conf.)</t>
        </is>
      </c>
      <c r="J22" s="6" t="n">
        <v>126</v>
      </c>
      <c r="K22" s="6" t="inlineStr">
        <is>
          <t>8.2.2</t>
        </is>
      </c>
      <c r="L22" s="6" t="inlineStr">
        <is>
          <t>Declaration of conformity with all requirements</t>
        </is>
      </c>
      <c r="M22" s="6" t="inlineStr">
        <is>
          <t>Together with the delivery, the Contractor shall submit to SCK CEN a Declaration of Conformity certifying that all the requirements have been met. Such declaration shall include at least the following information:</t>
        </is>
      </c>
      <c r="N22" s="6" t="inlineStr">
        <is>
          <t>Together with the delivery, the Contractor shall submit to SCK CEN a Declaration of Conformity certifying that all the requirements have been met. Such declaration shall include at least the following information:
• Identification of the deliverable, including the purchase order reference no. and Contract reference.
• A list of approved changes, waivers, or deviations from the specifications.
• Such declaration shall be dated and signed by a duly authorized representative of the Contractor responsible for quality assurance as shown in the approved QAP.</t>
        </is>
      </c>
      <c r="O22" s="6" t="n">
        <v>3</v>
      </c>
      <c r="P22" s="6" t="n">
        <v>0</v>
      </c>
      <c r="Q22" s="6" t="n">
        <v>0</v>
      </c>
      <c r="R22" s="6" t="n">
        <v>0</v>
      </c>
      <c r="S22" s="6" t="n">
        <v>3</v>
      </c>
      <c r="T22" s="6" t="n">
        <v>0</v>
      </c>
      <c r="U22" s="6" t="n">
        <v>3</v>
      </c>
      <c r="V22" s="6" t="n">
        <v>35</v>
      </c>
      <c r="W22" s="6" t="n">
        <v>97.7809</v>
      </c>
      <c r="X22" s="6" t="n">
        <v>76.35299999999999</v>
      </c>
      <c r="Y22" s="6" t="inlineStr">
        <is>
          <t>Safety / Legal</t>
        </is>
      </c>
      <c r="Z22" s="6" t="inlineStr">
        <is>
          <t>Gate precedence; within T0 ordered by Weighted S.</t>
        </is>
      </c>
      <c r="AA22" s="6" t="inlineStr">
        <is>
          <t>None explicitly named in this RTM</t>
        </is>
      </c>
      <c r="AB22" s="6" t="inlineStr">
        <is>
          <t>SCK CEN/90508872 §8.2.2; no named external code</t>
        </is>
      </c>
      <c r="AC22" s="6" t="inlineStr">
        <is>
          <t>Declaration of Conformity delivered WITH the shipment (not before, not as a separate later submission) naming the purchase-order and Contract reference, listing every approved change/waiver/deviation up to that point, signed by the individual named as quality-assurance-responsible in the approved QAP -- a declaration signed by someone not matching the QAP's named signatory should be queried, not accepted at face value.</t>
        </is>
      </c>
      <c r="AD22" s="6" t="inlineStr">
        <is>
          <t>Declaration of Conformity; Quality Assurance Plan (QAP); List / register / matrix</t>
        </is>
      </c>
      <c r="AE22" s="6" t="inlineStr">
        <is>
          <t>PAC / Handover; L0 Tender / Offer; L1 Conceptual Design; L2 Detailed Design; L3 Procurement &amp; Manufacturing / FAT; L4 Installation; L5 Standalone Commissioning; L6 Site Acceptance Testing</t>
        </is>
      </c>
      <c r="AF22" s="6" t="inlineStr">
        <is>
          <t>Section/contract-derived reference; explicit deliverable/test wording</t>
        </is>
      </c>
      <c r="AG22" s="58" t="inlineStr">
        <is>
          <t>Not linked to an OFFER item</t>
        </is>
      </c>
    </row>
    <row r="23" ht="73" customHeight="1">
      <c r="A23" s="6" t="n">
        <v>18</v>
      </c>
      <c r="B23" s="6" t="inlineStr">
        <is>
          <t>RTM-605</t>
        </is>
      </c>
      <c r="C23" s="6" t="inlineStr">
        <is>
          <t>Yes</t>
        </is>
      </c>
      <c r="D23" s="6" t="inlineStr">
        <is>
          <t>T0 Gate</t>
        </is>
      </c>
      <c r="E23" s="6" t="inlineStr">
        <is>
          <t>Safety &amp; Protection</t>
        </is>
      </c>
      <c r="F23" s="57" t="inlineStr">
        <is>
          <t>PROJECT</t>
        </is>
      </c>
      <c r="G23" s="58" t="inlineStr">
        <is>
          <t>Governance &amp; Responsibility</t>
        </is>
      </c>
      <c r="H23" s="58" t="inlineStr">
        <is>
          <t>Third-party inspection ownership</t>
        </is>
      </c>
      <c r="I23" s="58" t="inlineStr">
        <is>
          <t>Not linked to an OFFER item</t>
        </is>
      </c>
      <c r="J23" s="6" t="n">
        <v>115</v>
      </c>
      <c r="K23" s="6" t="inlineStr">
        <is>
          <t>5.2</t>
        </is>
      </c>
      <c r="L23" s="6" t="inlineStr">
        <is>
          <t>Personnel Safety</t>
        </is>
      </c>
      <c r="M23" s="6" t="inlineStr">
        <is>
          <t>The Contractor shall be responsible for any required 3rd party for inspection or certification (e.g. PED auditor).</t>
        </is>
      </c>
      <c r="N23" s="6" t="inlineStr">
        <is>
          <t>The Contractor shall be responsible for any required 3rd party for inspection or certification (e.g. PED auditor).</t>
        </is>
      </c>
      <c r="O23" s="6" t="n">
        <v>3</v>
      </c>
      <c r="P23" s="6" t="n">
        <v>0</v>
      </c>
      <c r="Q23" s="6" t="n">
        <v>0</v>
      </c>
      <c r="R23" s="6" t="n">
        <v>0</v>
      </c>
      <c r="S23" s="6" t="n">
        <v>3</v>
      </c>
      <c r="T23" s="6" t="n">
        <v>0</v>
      </c>
      <c r="U23" s="6" t="n">
        <v>0</v>
      </c>
      <c r="V23" s="6" t="n">
        <v>32</v>
      </c>
      <c r="W23" s="6" t="n">
        <v>97.4341</v>
      </c>
      <c r="X23" s="6" t="n">
        <v>73.4396</v>
      </c>
      <c r="Y23" s="6" t="inlineStr">
        <is>
          <t>Safety / Legal</t>
        </is>
      </c>
      <c r="Z23" s="6" t="inlineStr">
        <is>
          <t>Gate precedence; within T0 ordered by Weighted S.</t>
        </is>
      </c>
      <c r="AA23" s="6" t="inlineStr">
        <is>
          <t>PED</t>
        </is>
      </c>
      <c r="AB23" s="6" t="inlineStr">
        <is>
          <t>PED</t>
        </is>
      </c>
      <c r="AC23" s="6" t="inlineStr">
        <is>
          <t>Named 3rd-party inspector/certifier (e.g. PED auditor) engaged and paid by the Contractor, evidenced by the inspection contract or engagement letter -- not just a certificate appearing in the deliverable set with no record of who commissioned it or on whose account.</t>
        </is>
      </c>
      <c r="AD23" s="6" t="inlineStr">
        <is>
          <t>No separate deliverable explicitly named</t>
        </is>
      </c>
      <c r="AE23" s="6" t="inlineStr">
        <is>
          <t>L0 Tender / Offer; L1 Conceptual Design; L2 Detailed Design; L3 Procurement &amp; Manufacturing / FAT; L4 Installation; L5 Standalone Commissioning; L6 Site Acceptance Testing</t>
        </is>
      </c>
      <c r="AF23" s="6" t="inlineStr">
        <is>
          <t>Explicit/table-grounded standard; derived evidence route</t>
        </is>
      </c>
      <c r="AG23" s="58" t="inlineStr">
        <is>
          <t>Not linked to an OFFER item</t>
        </is>
      </c>
    </row>
    <row r="24" ht="73" customHeight="1">
      <c r="A24" s="6" t="n">
        <v>19</v>
      </c>
      <c r="B24" s="6" t="inlineStr">
        <is>
          <t>RTM-689</t>
        </is>
      </c>
      <c r="C24" s="6" t="inlineStr">
        <is>
          <t>Yes</t>
        </is>
      </c>
      <c r="D24" s="6" t="inlineStr">
        <is>
          <t>T0 Gate</t>
        </is>
      </c>
      <c r="E24" s="6" t="inlineStr">
        <is>
          <t>Codes &amp; Standards</t>
        </is>
      </c>
      <c r="F24" s="57" t="inlineStr">
        <is>
          <t>PROJECT</t>
        </is>
      </c>
      <c r="G24" s="58" t="inlineStr">
        <is>
          <t>Documentation &amp; Compliance</t>
        </is>
      </c>
      <c r="H24" s="58" t="inlineStr">
        <is>
          <t>EU DoC + CE marking, all components</t>
        </is>
      </c>
      <c r="I24" s="58" t="inlineStr">
        <is>
          <t>C7 — Quality, Testing &amp; Risk</t>
        </is>
      </c>
      <c r="J24" s="6" t="n">
        <v>127</v>
      </c>
      <c r="K24" s="6" t="inlineStr">
        <is>
          <t>9.1</t>
        </is>
      </c>
      <c r="L24" s="6" t="inlineStr">
        <is>
          <t>Applicable legislation</t>
        </is>
      </c>
      <c r="M24" s="6" t="inlineStr">
        <is>
          <t>The Contractor shall provide an EU declaration of conformity for the QPS and CE mark all QPS components.</t>
        </is>
      </c>
      <c r="N24" s="6" t="inlineStr">
        <is>
          <t>The Contractor shall provide an EU declaration of conformity for the QPS and CE mark all QPS components.</t>
        </is>
      </c>
      <c r="O24" s="6" t="n">
        <v>3</v>
      </c>
      <c r="P24" s="6" t="n">
        <v>0</v>
      </c>
      <c r="Q24" s="6" t="n">
        <v>0</v>
      </c>
      <c r="R24" s="6" t="n">
        <v>0</v>
      </c>
      <c r="S24" s="6" t="n">
        <v>3</v>
      </c>
      <c r="T24" s="6" t="n">
        <v>0</v>
      </c>
      <c r="U24" s="6" t="n">
        <v>0</v>
      </c>
      <c r="V24" s="6" t="n">
        <v>32</v>
      </c>
      <c r="W24" s="6" t="n">
        <v>97.4341</v>
      </c>
      <c r="X24" s="6" t="n">
        <v>73.4396</v>
      </c>
      <c r="Y24" s="6" t="inlineStr">
        <is>
          <t>Safety / Legal</t>
        </is>
      </c>
      <c r="Z24" s="6" t="inlineStr">
        <is>
          <t>Gate precedence; within T0 ordered by Weighted S.</t>
        </is>
      </c>
      <c r="AA24" s="6" t="inlineStr">
        <is>
          <t>EU declaration of conformity; CE marking</t>
        </is>
      </c>
      <c r="AB24" s="6" t="inlineStr">
        <is>
          <t>EU declaration of conformity; CE marking</t>
        </is>
      </c>
      <c r="AC24" s="6" t="inlineStr">
        <is>
          <t>EU Declaration of Conformity for the QPS as a whole, PLUS a component-by-component CE-marking check against the full equipment list (not a sample) -- flag any named QPS component missing CE marking rather than accepting an overall DoC as sufficient proof for every sub-component.</t>
        </is>
      </c>
      <c r="AD24" s="6" t="inlineStr">
        <is>
          <t>EU Declaration of Conformity; Declaration of Conformity</t>
        </is>
      </c>
      <c r="AE24" s="6" t="inlineStr">
        <is>
          <t>L0 Tender / Offer; L1 Conceptual Design; L2 Detailed Design; L3 Procurement &amp; Manufacturing / FAT; L4 Installation; L5 Standalone Commissioning; L6 Site Acceptance Testing</t>
        </is>
      </c>
      <c r="AF24" s="6" t="inlineStr">
        <is>
          <t>Explicit/table-grounded standard; explicit deliverable/test wording</t>
        </is>
      </c>
      <c r="AG24" s="58" t="inlineStr">
        <is>
          <t>OFFER-49 (Supporting)</t>
        </is>
      </c>
    </row>
    <row r="25" ht="125" customHeight="1">
      <c r="A25" s="6" t="n">
        <v>20</v>
      </c>
      <c r="B25" s="6" t="inlineStr">
        <is>
          <t>RTM-691</t>
        </is>
      </c>
      <c r="C25" s="6" t="inlineStr">
        <is>
          <t>Yes</t>
        </is>
      </c>
      <c r="D25" s="6" t="inlineStr">
        <is>
          <t>T0 Gate</t>
        </is>
      </c>
      <c r="E25" s="6" t="inlineStr">
        <is>
          <t>Codes &amp; Standards</t>
        </is>
      </c>
      <c r="F25" s="57" t="inlineStr">
        <is>
          <t>PROJECT</t>
        </is>
      </c>
      <c r="G25" s="58" t="inlineStr">
        <is>
          <t>Governance &amp; Responsibility</t>
        </is>
      </c>
      <c r="H25" s="58" t="inlineStr">
        <is>
          <t>PED Manufacturer-role assumption</t>
        </is>
      </c>
      <c r="I25" s="58" t="inlineStr">
        <is>
          <t>C7 — Quality, Testing &amp; Risk</t>
        </is>
      </c>
      <c r="J25" s="6" t="n">
        <v>127</v>
      </c>
      <c r="K25" s="6" t="inlineStr">
        <is>
          <t>9.1</t>
        </is>
      </c>
      <c r="L25" s="6" t="inlineStr">
        <is>
          <t>Applicable legislation</t>
        </is>
      </c>
      <c r="M25" s="6" t="inlineStr">
        <is>
          <t>For pressure equipment and associated piping, the Contractor shall assume the role of Manufacturer (or equivalent designation under the applicable pressure equipment legislation and standards) and shall be responsible for design, manufacturing, conformity assessment, marking, and documentation in accordance with Pressure Equipment Directive (2014/68/EU). These responsibilities shall be clearly reflected in the Responsibility Matrix and the Codes and Standards Register which form part of the continuously updated QAP.</t>
        </is>
      </c>
      <c r="N25" s="6" t="inlineStr">
        <is>
          <t>For pressure equipment and associated piping, the Contractor shall assume the role of Manufacturer (or equivalent designation under the applicable pressure equipment legislation and standards) and shall be responsible for design, manufacturing, conformity assessment, marking, and documentation in accordance with Pressure Equipment Directive (2014/68/EU). These responsibilities shall be clearly reflected in the Responsibility Matrix and the Codes and Standards Register which form part of the continuously updated QAP.</t>
        </is>
      </c>
      <c r="O25" s="6" t="n">
        <v>3</v>
      </c>
      <c r="P25" s="6" t="n">
        <v>0</v>
      </c>
      <c r="Q25" s="6" t="n">
        <v>0</v>
      </c>
      <c r="R25" s="6" t="n">
        <v>0</v>
      </c>
      <c r="S25" s="6" t="n">
        <v>3</v>
      </c>
      <c r="T25" s="6" t="n">
        <v>0</v>
      </c>
      <c r="U25" s="6" t="n">
        <v>0</v>
      </c>
      <c r="V25" s="6" t="n">
        <v>32</v>
      </c>
      <c r="W25" s="6" t="n">
        <v>97.4341</v>
      </c>
      <c r="X25" s="6" t="n">
        <v>73.4396</v>
      </c>
      <c r="Y25" s="6" t="inlineStr">
        <is>
          <t>Safety / Legal</t>
        </is>
      </c>
      <c r="Z25" s="6" t="inlineStr">
        <is>
          <t>Gate precedence; within T0 ordered by Weighted S.</t>
        </is>
      </c>
      <c r="AA25" s="6" t="inlineStr">
        <is>
          <t>Pressure Equipment Directive 2014/68/EU</t>
        </is>
      </c>
      <c r="AB25" s="6" t="inlineStr">
        <is>
          <t>Pressure Equipment Directive 2014/68/EU</t>
        </is>
      </c>
      <c r="AC25" s="6" t="inlineStr">
        <is>
          <t>Responsibility Matrix and Codes &amp; Standards Register (inside the QAP) explicitly naming the Contractor as Manufacturer under PED 2014/68/EU for each pressure item and associated piping -- a generic 'PED compliant' statement without the Contractor's role being named in the Responsibility Matrix does not satisfy this RTM.</t>
        </is>
      </c>
      <c r="AD25" s="6" t="inlineStr">
        <is>
          <t>Quality Assurance Plan (QAP); Codes and Standards Register; Responsibility Matrix; List / register / matrix</t>
        </is>
      </c>
      <c r="AE25" s="6" t="inlineStr">
        <is>
          <t>L3 Procurement &amp; Manufacturing / FAT; L0 Tender / Offer; L1 Conceptual Design; L2 Detailed Design; L4 Installation; L5 Standalone Commissioning; L6 Site Acceptance Testing</t>
        </is>
      </c>
      <c r="AF25" s="6" t="inlineStr">
        <is>
          <t>Explicit/table-grounded standard; explicit deliverable/test wording</t>
        </is>
      </c>
      <c r="AG25" s="58" t="inlineStr">
        <is>
          <t>OFFER-49 (Supporting)</t>
        </is>
      </c>
    </row>
    <row r="26" ht="99" customHeight="1">
      <c r="A26" s="6" t="n">
        <v>21</v>
      </c>
      <c r="B26" s="6" t="inlineStr">
        <is>
          <t>RTM-695</t>
        </is>
      </c>
      <c r="C26" s="6" t="inlineStr">
        <is>
          <t>Yes</t>
        </is>
      </c>
      <c r="D26" s="6" t="inlineStr">
        <is>
          <t>T0 Gate</t>
        </is>
      </c>
      <c r="E26" s="6" t="inlineStr">
        <is>
          <t>Codes &amp; Standards</t>
        </is>
      </c>
      <c r="F26" s="57" t="inlineStr">
        <is>
          <t>PROJECT</t>
        </is>
      </c>
      <c r="G26" s="58" t="inlineStr">
        <is>
          <t>Documentation &amp; Compliance</t>
        </is>
      </c>
      <c r="H26" s="58" t="inlineStr">
        <is>
          <t>Technical File update on request</t>
        </is>
      </c>
      <c r="I26" s="58" t="inlineStr">
        <is>
          <t>C7 — Quality, Testing &amp; Risk</t>
        </is>
      </c>
      <c r="J26" s="6" t="n">
        <v>128</v>
      </c>
      <c r="K26" s="6" t="inlineStr">
        <is>
          <t>9.1</t>
        </is>
      </c>
      <c r="L26" s="6" t="inlineStr">
        <is>
          <t>Applicable legislation</t>
        </is>
      </c>
      <c r="M26" s="6" t="inlineStr">
        <is>
          <t>If requested by SCK CEN, the Contractor shall submit an updated version of the Technical File including more detail on specific section to demonstrate conformity with the directive(s) in more detail. This may require adding e.g.:</t>
        </is>
      </c>
      <c r="N26" s="6" t="inlineStr">
        <is>
          <t>If requested by SCK CEN, the Contractor shall submit an updated version of the Technical File including more detail on specific section to demonstrate conformity with the directive(s) in more detail. This may require adding e.g.:
• Full detailed drawings.
• Calculation notes,
• Test reports, certificates, ...</t>
        </is>
      </c>
      <c r="O26" s="6" t="n">
        <v>3</v>
      </c>
      <c r="P26" s="6" t="n">
        <v>0</v>
      </c>
      <c r="Q26" s="6" t="n">
        <v>0</v>
      </c>
      <c r="R26" s="6" t="n">
        <v>0</v>
      </c>
      <c r="S26" s="6" t="n">
        <v>3</v>
      </c>
      <c r="T26" s="6" t="n">
        <v>0</v>
      </c>
      <c r="U26" s="6" t="n">
        <v>0</v>
      </c>
      <c r="V26" s="6" t="n">
        <v>32</v>
      </c>
      <c r="W26" s="6" t="n">
        <v>97.4341</v>
      </c>
      <c r="X26" s="6" t="n">
        <v>73.4396</v>
      </c>
      <c r="Y26" s="6" t="inlineStr">
        <is>
          <t>Safety / Legal</t>
        </is>
      </c>
      <c r="Z26" s="6" t="inlineStr">
        <is>
          <t>Gate precedence; within T0 ordered by Weighted S.</t>
        </is>
      </c>
      <c r="AA26" s="6" t="inlineStr">
        <is>
          <t>None explicitly named in this RTM</t>
        </is>
      </c>
      <c r="AB26" s="6" t="inlineStr">
        <is>
          <t>Section-level: EU declaration of conformity; CE marking; Low Voltage Directive 2014/35/EU; Machinery Directive 2006/42/EC; EMC Directive 2014/30/EU; Pressure Equipment Directive 2014/68/EU; EU Eco-design Directive 2009/125/EC; VLAREM II</t>
        </is>
      </c>
      <c r="AC26" s="6" t="inlineStr">
        <is>
          <t>Not testable until triggered -- this is a standing obligation to respond to an SCK CEN request with an updated Technical File section (drawings/calc notes/test reports as needed). Evidence is a documented response-time commitment in the QAP, verified only if/when SCK CEN actually issues such a request during the contract.</t>
        </is>
      </c>
      <c r="AD26" s="6" t="inlineStr">
        <is>
          <t>Technical File; Test procedure / report; Certificate / calibration evidence; Drawing / diagram</t>
        </is>
      </c>
      <c r="AE26" s="6" t="inlineStr">
        <is>
          <t>L0 Tender / Offer; L1 Conceptual Design; L2 Detailed Design; L3 Procurement &amp; Manufacturing / FAT; L4 Installation; L5 Standalone Commissioning; L6 Site Acceptance Testing</t>
        </is>
      </c>
      <c r="AF26" s="6" t="inlineStr">
        <is>
          <t>Section/contract-derived reference; explicit deliverable/test wording</t>
        </is>
      </c>
      <c r="AG26" s="58" t="inlineStr">
        <is>
          <t>OFFER-49 (Supporting)</t>
        </is>
      </c>
    </row>
    <row r="27" ht="99" customHeight="1">
      <c r="A27" s="6" t="n">
        <v>22</v>
      </c>
      <c r="B27" s="6" t="inlineStr">
        <is>
          <t>RTM-603</t>
        </is>
      </c>
      <c r="C27" s="6" t="inlineStr">
        <is>
          <t>Yes</t>
        </is>
      </c>
      <c r="D27" s="6" t="inlineStr">
        <is>
          <t>T0 Gate</t>
        </is>
      </c>
      <c r="E27" s="6" t="inlineStr">
        <is>
          <t>Safety &amp; Protection</t>
        </is>
      </c>
      <c r="F27" s="57" t="inlineStr">
        <is>
          <t>SAFETY</t>
        </is>
      </c>
      <c r="G27" s="58" t="inlineStr">
        <is>
          <t>Personnel Protection</t>
        </is>
      </c>
      <c r="H27" s="58" t="inlineStr">
        <is>
          <t>Cryogenic hazard PPE &amp; procedures</t>
        </is>
      </c>
      <c r="I27" s="58" t="inlineStr">
        <is>
          <t>Not linked to an OFFER item</t>
        </is>
      </c>
      <c r="J27" s="6" t="n">
        <v>114</v>
      </c>
      <c r="K27" s="6" t="inlineStr">
        <is>
          <t>5.2</t>
        </is>
      </c>
      <c r="L27" s="6" t="inlineStr">
        <is>
          <t>Personnel Safety</t>
        </is>
      </c>
      <c r="M27" s="6" t="inlineStr">
        <is>
          <t>The Contractor shall design, implement, supply and document all safety measures, including engineered safety devices, personal protective equipment (PPE), and operational procedures, to eliminate, reduce, or mitigate safety hazards, including but not limited to the cryogenic ones:</t>
        </is>
      </c>
      <c r="N27" s="6" t="inlineStr">
        <is>
          <t>The Contractor shall design, implement, supply and document all safety measures, including engineered safety devices, personal protective equipment (PPE), and operational procedures, to eliminate, reduce, or mitigate safety hazards, including but not limited to the cryogenic ones:
• Oxygen-Deficiency Hazard (ODH) with Asphyxiation / anoxia as the ultimate physiological consequence of unmitigated ODH.
• Cold burn (cryogenic frostbite).</t>
        </is>
      </c>
      <c r="O27" s="6" t="n">
        <v>3</v>
      </c>
      <c r="P27" s="6" t="n">
        <v>0</v>
      </c>
      <c r="Q27" s="6" t="n">
        <v>0</v>
      </c>
      <c r="R27" s="6" t="n">
        <v>2</v>
      </c>
      <c r="S27" s="6" t="n">
        <v>0</v>
      </c>
      <c r="T27" s="6" t="n">
        <v>0</v>
      </c>
      <c r="U27" s="6" t="n">
        <v>0</v>
      </c>
      <c r="V27" s="6" t="n">
        <v>30.666667</v>
      </c>
      <c r="W27" s="6" t="n">
        <v>97.018</v>
      </c>
      <c r="X27" s="6" t="n">
        <v>70.1584</v>
      </c>
      <c r="Y27" s="6" t="inlineStr">
        <is>
          <t>Safety / Legal</t>
        </is>
      </c>
      <c r="Z27" s="6" t="inlineStr">
        <is>
          <t>Gate precedence; within T0 ordered by Weighted S.</t>
        </is>
      </c>
      <c r="AA27" s="6" t="inlineStr">
        <is>
          <t>None explicitly named in this RTM</t>
        </is>
      </c>
      <c r="AB27" s="6" t="inlineStr">
        <is>
          <t>Section-level: PED; EN 17527; API 520/521/580</t>
        </is>
      </c>
      <c r="AC27" s="6" t="inlineStr">
        <is>
          <t>Procedure/work-instruction set naming the two hazards this RTM specifically calls out -- Oxygen-Deficiency Hazard (asphyxiation) and cold burn (cryogenic frostbite) -- each with its own engineered device, PPE item, and operational procedure, not a single generic 'cryogenic safety procedure' covering both without differentiation.</t>
        </is>
      </c>
      <c r="AD27" s="6" t="inlineStr">
        <is>
          <t>Procedure / work instruction</t>
        </is>
      </c>
      <c r="AE27" s="6" t="inlineStr">
        <is>
          <t>L0 Tender / Offer; L1 Conceptual Design; L2 Detailed Design; L3 Procurement &amp; Manufacturing / FAT; L4 Installation; L5 Standalone Commissioning; L6 Site Acceptance Testing</t>
        </is>
      </c>
      <c r="AF27" s="6" t="inlineStr">
        <is>
          <t>Section/contract-derived reference; explicit deliverable/test wording</t>
        </is>
      </c>
      <c r="AG27" s="58" t="inlineStr">
        <is>
          <t>Not linked to an OFFER item</t>
        </is>
      </c>
    </row>
    <row r="28" ht="73" customHeight="1">
      <c r="A28" s="6" t="n">
        <v>23</v>
      </c>
      <c r="B28" s="6" t="inlineStr">
        <is>
          <t>RTM-604</t>
        </is>
      </c>
      <c r="C28" s="6" t="inlineStr">
        <is>
          <t>Yes</t>
        </is>
      </c>
      <c r="D28" s="6" t="inlineStr">
        <is>
          <t>T0 Gate</t>
        </is>
      </c>
      <c r="E28" s="6" t="inlineStr">
        <is>
          <t>Safety &amp; Protection</t>
        </is>
      </c>
      <c r="F28" s="57" t="inlineStr">
        <is>
          <t>SAFETY</t>
        </is>
      </c>
      <c r="G28" s="58" t="inlineStr">
        <is>
          <t>Personnel Protection</t>
        </is>
      </c>
      <c r="H28" s="58" t="inlineStr">
        <is>
          <t>Hazard-analysis documentation</t>
        </is>
      </c>
      <c r="I28" s="58" t="inlineStr">
        <is>
          <t>Not linked to an OFFER item</t>
        </is>
      </c>
      <c r="J28" s="6" t="n">
        <v>115</v>
      </c>
      <c r="K28" s="6" t="inlineStr">
        <is>
          <t>5.2</t>
        </is>
      </c>
      <c r="L28" s="6" t="inlineStr">
        <is>
          <t>Personnel Safety</t>
        </is>
      </c>
      <c r="M28" s="6" t="inlineStr">
        <is>
          <t>The Contractor shall document the hazard analysis, selected mitigation measures, detection and protection devices, PPE requirements, and associated procedures.</t>
        </is>
      </c>
      <c r="N28" s="6" t="inlineStr">
        <is>
          <t>The Contractor shall document the hazard analysis, selected mitigation measures, detection and protection devices, PPE requirements, and associated procedures.</t>
        </is>
      </c>
      <c r="O28" s="6" t="n">
        <v>3</v>
      </c>
      <c r="P28" s="6" t="n">
        <v>0</v>
      </c>
      <c r="Q28" s="6" t="n">
        <v>0</v>
      </c>
      <c r="R28" s="6" t="n">
        <v>2</v>
      </c>
      <c r="S28" s="6" t="n">
        <v>0</v>
      </c>
      <c r="T28" s="6" t="n">
        <v>0</v>
      </c>
      <c r="U28" s="6" t="n">
        <v>0</v>
      </c>
      <c r="V28" s="6" t="n">
        <v>30.666667</v>
      </c>
      <c r="W28" s="6" t="n">
        <v>97.018</v>
      </c>
      <c r="X28" s="6" t="n">
        <v>70.1584</v>
      </c>
      <c r="Y28" s="6" t="inlineStr">
        <is>
          <t>Safety / Legal</t>
        </is>
      </c>
      <c r="Z28" s="6" t="inlineStr">
        <is>
          <t>Gate precedence; within T0 ordered by Weighted S.</t>
        </is>
      </c>
      <c r="AA28" s="6" t="inlineStr">
        <is>
          <t>None explicitly named in this RTM</t>
        </is>
      </c>
      <c r="AB28" s="6" t="inlineStr">
        <is>
          <t>Section-level: PED; EN 17527; API 520/521/580</t>
        </is>
      </c>
      <c r="AC28" s="6" t="inlineStr">
        <is>
          <t>Single traceable document chaining hazard -&gt; selected mitigation -&gt; detection/protection device -&gt; PPE requirement -&gt; procedure, for every hazard identified under RTM-595/603 -- reject documentation where any one of these five links is missing for a named hazard.</t>
        </is>
      </c>
      <c r="AD28" s="6" t="inlineStr">
        <is>
          <t>Procedure / work instruction</t>
        </is>
      </c>
      <c r="AE28" s="6" t="inlineStr">
        <is>
          <t>L0 Tender / Offer; L1 Conceptual Design; L2 Detailed Design; L3 Procurement &amp; Manufacturing / FAT; L4 Installation; L5 Standalone Commissioning; L6 Site Acceptance Testing</t>
        </is>
      </c>
      <c r="AF28" s="6" t="inlineStr">
        <is>
          <t>Section/contract-derived reference; explicit deliverable/test wording</t>
        </is>
      </c>
      <c r="AG28" s="58" t="inlineStr">
        <is>
          <t>Not linked to an OFFER item</t>
        </is>
      </c>
    </row>
    <row r="29" ht="112" customHeight="1">
      <c r="A29" s="6" t="n">
        <v>24</v>
      </c>
      <c r="B29" s="6" t="inlineStr">
        <is>
          <t>RTM-609</t>
        </is>
      </c>
      <c r="C29" s="6" t="inlineStr">
        <is>
          <t>Yes</t>
        </is>
      </c>
      <c r="D29" s="6" t="inlineStr">
        <is>
          <t>T0 Gate</t>
        </is>
      </c>
      <c r="E29" s="6" t="inlineStr">
        <is>
          <t>Safety &amp; Protection</t>
        </is>
      </c>
      <c r="F29" s="57" t="inlineStr">
        <is>
          <t>SAFETY</t>
        </is>
      </c>
      <c r="G29" s="58" t="inlineStr">
        <is>
          <t>Equipment Protection</t>
        </is>
      </c>
      <c r="H29" s="58" t="inlineStr">
        <is>
          <t>ODH monitor placement proposal</t>
        </is>
      </c>
      <c r="I29" s="58" t="inlineStr">
        <is>
          <t>Not linked to an OFFER item</t>
        </is>
      </c>
      <c r="J29" s="6" t="n">
        <v>115</v>
      </c>
      <c r="K29" s="6" t="inlineStr">
        <is>
          <t>5.2.1</t>
        </is>
      </c>
      <c r="L29" s="6" t="inlineStr">
        <is>
          <t>Oxygen-Deficiency Hazard</t>
        </is>
      </c>
      <c r="M29" s="6" t="inlineStr">
        <is>
          <t>The Contractor shall supply a substantiated proposal for the locations of Oxygen-Deficiency Hazard (ODH) monitors on all rooms housing the QPS equipment. The proposal shall be based on the following boundary conditions:</t>
        </is>
      </c>
      <c r="N29" s="6" t="inlineStr">
        <is>
          <t>The Contractor shall supply a substantiated proposal for the locations of Oxygen-Deficiency Hazard (ODH) monitors on all rooms housing the QPS equipment. The proposal shall be based on the following boundary conditions:
• The ODH monitors will be installed by SCK CEN
• The ODH monitors will be fixed, compliant with EN 50104:2019, and rated to performance class SIL-2
• The ODH monitors will be integrated by SCK CEN into the MINERVA wide site alarm and access control system</t>
        </is>
      </c>
      <c r="O29" s="6" t="n">
        <v>3</v>
      </c>
      <c r="P29" s="6" t="n">
        <v>1</v>
      </c>
      <c r="Q29" s="6" t="n">
        <v>0</v>
      </c>
      <c r="R29" s="6" t="n">
        <v>0</v>
      </c>
      <c r="S29" s="6" t="n">
        <v>0</v>
      </c>
      <c r="T29" s="6" t="n">
        <v>0</v>
      </c>
      <c r="U29" s="6" t="n">
        <v>0</v>
      </c>
      <c r="V29" s="6" t="n">
        <v>27.333333</v>
      </c>
      <c r="W29" s="6" t="n">
        <v>96.81</v>
      </c>
      <c r="X29" s="6" t="n">
        <v>68.5993</v>
      </c>
      <c r="Y29" s="6" t="inlineStr">
        <is>
          <t>Safety / Legal</t>
        </is>
      </c>
      <c r="Z29" s="6" t="inlineStr">
        <is>
          <t>Gate precedence; within T0 ordered by Weighted S.</t>
        </is>
      </c>
      <c r="AA29" s="6" t="inlineStr">
        <is>
          <t>EN 50104:2019</t>
        </is>
      </c>
      <c r="AB29" s="6" t="inlineStr">
        <is>
          <t>EN 50104:2019</t>
        </is>
      </c>
      <c r="AC29" s="6" t="inlineStr">
        <is>
          <t>Monitor-location proposal explicitly built on this RTM's three stated boundary conditions (SCK CEN installs the monitors; monitors are fixed, EN 50104:2019-compliant, SIL-2 rated; SCK CEN integrates them into the MINERVA site alarm/access-control system) -- a proposal that silently assumes a different monitor type or integration path should be queried before acceptance.</t>
        </is>
      </c>
      <c r="AD29" s="6" t="inlineStr">
        <is>
          <t>No separate deliverable explicitly named</t>
        </is>
      </c>
      <c r="AE29" s="6" t="inlineStr">
        <is>
          <t>L0 Tender / Offer; L1 Conceptual Design; L2 Detailed Design; L3 Procurement &amp; Manufacturing / FAT; L4 Installation; L5 Standalone Commissioning; L6 Site Acceptance Testing</t>
        </is>
      </c>
      <c r="AF29" s="6" t="inlineStr">
        <is>
          <t>Explicit/table-grounded standard; derived evidence route</t>
        </is>
      </c>
      <c r="AG29" s="58" t="inlineStr">
        <is>
          <t>Not linked to an OFFER item</t>
        </is>
      </c>
    </row>
    <row r="30" ht="151" customHeight="1">
      <c r="A30" s="6" t="n">
        <v>25</v>
      </c>
      <c r="B30" s="6" t="inlineStr">
        <is>
          <t>RTM-001</t>
        </is>
      </c>
      <c r="C30" s="6" t="inlineStr">
        <is>
          <t>Yes</t>
        </is>
      </c>
      <c r="D30" s="6" t="inlineStr">
        <is>
          <t>T0 Gate</t>
        </is>
      </c>
      <c r="E30" s="6" t="inlineStr">
        <is>
          <t>General / Compliance</t>
        </is>
      </c>
      <c r="F30" s="57" t="inlineStr">
        <is>
          <t>PROJECT</t>
        </is>
      </c>
      <c r="G30" s="58" t="inlineStr">
        <is>
          <t>Governance &amp; Responsibility</t>
        </is>
      </c>
      <c r="H30" s="58" t="inlineStr">
        <is>
          <t>No-post-offer-information-gap defence</t>
        </is>
      </c>
      <c r="I30" s="58" t="inlineStr">
        <is>
          <t>C8 — Commercial &amp; Execution</t>
        </is>
      </c>
      <c r="J30" s="6" t="n">
        <v>24</v>
      </c>
      <c r="K30" s="6" t="inlineStr">
        <is>
          <t>4.1</t>
        </is>
      </c>
      <c r="L30" s="6" t="inlineStr">
        <is>
          <t>General Requirements</t>
        </is>
      </c>
      <c r="M30" s="6" t="inlineStr">
        <is>
          <t>The Contractor shall be fully responsible for ensuring that the Deliverables and Services provided fully meet the specified requirements for the Contract.</t>
        </is>
      </c>
      <c r="N30" s="6" t="inlineStr">
        <is>
          <t>The Contractor shall be fully responsible for ensuring that the Deliverables and Services provided fully meet the specified requirements for the Contract.
• In accordance with §1.11 of the Main Tender Document, the Contractor shall not rely on any alleged lack or insufficiency of information after submission of its offer.
• In accordance with § 1.13 of the Main Tender Document, the Contractor may no longer rely on information lacking after the deadline for submitting questions.
• Any lack of information during the performance of the Contract shall not constitute grounds for a Variation.</t>
        </is>
      </c>
      <c r="O30" s="6" t="n">
        <v>3</v>
      </c>
      <c r="P30" s="6" t="n">
        <v>0</v>
      </c>
      <c r="Q30" s="6" t="n">
        <v>0</v>
      </c>
      <c r="R30" s="6" t="n">
        <v>0</v>
      </c>
      <c r="S30" s="6" t="n">
        <v>0</v>
      </c>
      <c r="T30" s="6" t="n">
        <v>0</v>
      </c>
      <c r="U30" s="6" t="n">
        <v>0</v>
      </c>
      <c r="V30" s="6" t="n">
        <v>20</v>
      </c>
      <c r="W30" s="6" t="n">
        <v>95.423</v>
      </c>
      <c r="X30" s="6" t="n">
        <v>59.401</v>
      </c>
      <c r="Y30" s="6" t="inlineStr">
        <is>
          <t>Safety / Legal</t>
        </is>
      </c>
      <c r="Z30" s="6" t="inlineStr">
        <is>
          <t>Gate precedence; within T0 ordered by Weighted S.</t>
        </is>
      </c>
      <c r="AA30" s="6" t="inlineStr">
        <is>
          <t>None explicitly named in this RTM</t>
        </is>
      </c>
      <c r="AB30" s="6" t="inlineStr">
        <is>
          <t>SCK CEN/90508872 §4.1; no named external code</t>
        </is>
      </c>
      <c r="AC30" s="6" t="inlineStr">
        <is>
          <t>Not a document to review -- a standing contractual position. Evidence is the ABSENCE of any Contractor claim, during contract performance, that missing information excuses a shortfall; any such claim raised should be checked against §1.11/§1.13 of the Main Tender Document and rejected as a Variation basis per this RTM.</t>
        </is>
      </c>
      <c r="AD30" s="6" t="inlineStr">
        <is>
          <t>No separate deliverable explicitly named</t>
        </is>
      </c>
      <c r="AE30" s="6" t="inlineStr">
        <is>
          <t>L1 Conceptual Design; L2 Detailed Design</t>
        </is>
      </c>
      <c r="AF30" s="6" t="inlineStr">
        <is>
          <t>Section/contract-derived reference; derived evidence route</t>
        </is>
      </c>
      <c r="AG30" s="58" t="inlineStr">
        <is>
          <t>OFFER-01 (Direct); OFFER-02 (Supporting); OFFER-03 (Supporting)</t>
        </is>
      </c>
    </row>
    <row r="31" ht="73" customHeight="1">
      <c r="A31" s="6" t="n">
        <v>26</v>
      </c>
      <c r="B31" s="6" t="inlineStr">
        <is>
          <t>RTM-003</t>
        </is>
      </c>
      <c r="C31" s="6" t="inlineStr">
        <is>
          <t>Yes</t>
        </is>
      </c>
      <c r="D31" s="6" t="inlineStr">
        <is>
          <t>T0 Gate</t>
        </is>
      </c>
      <c r="E31" s="6" t="inlineStr">
        <is>
          <t>General / Compliance</t>
        </is>
      </c>
      <c r="F31" s="57" t="inlineStr">
        <is>
          <t>PROJECT</t>
        </is>
      </c>
      <c r="G31" s="58" t="inlineStr">
        <is>
          <t>Governance &amp; Responsibility</t>
        </is>
      </c>
      <c r="H31" s="58" t="inlineStr">
        <is>
          <t>Standards-document procurement</t>
        </is>
      </c>
      <c r="I31" s="58" t="inlineStr">
        <is>
          <t>C8 — Commercial &amp; Execution</t>
        </is>
      </c>
      <c r="J31" s="6" t="n">
        <v>24</v>
      </c>
      <c r="K31" s="6" t="inlineStr">
        <is>
          <t>4.1</t>
        </is>
      </c>
      <c r="L31" s="6" t="inlineStr">
        <is>
          <t>General Requirements</t>
        </is>
      </c>
      <c r="M31" s="6" t="inlineStr">
        <is>
          <t>The Contractor shall be responsible to obtain the corresponding documents for referenced norms, standards, etc.</t>
        </is>
      </c>
      <c r="N31" s="6" t="inlineStr">
        <is>
          <t>The Contractor shall be responsible to obtain the corresponding documents for referenced norms, standards, etc.</t>
        </is>
      </c>
      <c r="O31" s="6" t="n">
        <v>3</v>
      </c>
      <c r="P31" s="6" t="n">
        <v>0</v>
      </c>
      <c r="Q31" s="6" t="n">
        <v>0</v>
      </c>
      <c r="R31" s="6" t="n">
        <v>0</v>
      </c>
      <c r="S31" s="6" t="n">
        <v>0</v>
      </c>
      <c r="T31" s="6" t="n">
        <v>0</v>
      </c>
      <c r="U31" s="6" t="n">
        <v>0</v>
      </c>
      <c r="V31" s="6" t="n">
        <v>20</v>
      </c>
      <c r="W31" s="6" t="n">
        <v>95.423</v>
      </c>
      <c r="X31" s="6" t="n">
        <v>59.401</v>
      </c>
      <c r="Y31" s="6" t="inlineStr">
        <is>
          <t>Safety / Legal</t>
        </is>
      </c>
      <c r="Z31" s="6" t="inlineStr">
        <is>
          <t>Gate precedence; within T0 ordered by Weighted S.</t>
        </is>
      </c>
      <c r="AA31" s="6" t="inlineStr">
        <is>
          <t>None explicitly named in this RTM</t>
        </is>
      </c>
      <c r="AB31" s="6" t="inlineStr">
        <is>
          <t>SCK CEN/90508872 §4.1; no named external code</t>
        </is>
      </c>
      <c r="AC31" s="6" t="inlineStr">
        <is>
          <t>Confirm the Contractor holds (or can produce on request) the actual current text of every named standard/norm it claims compliance with -- a reference to a standard number in a submittal is not itself evidence the Contractor obtained and applied the current document.</t>
        </is>
      </c>
      <c r="AD31" s="6" t="inlineStr">
        <is>
          <t>No separate deliverable explicitly named</t>
        </is>
      </c>
      <c r="AE31" s="6" t="inlineStr">
        <is>
          <t>L1 Conceptual Design; L2 Detailed Design</t>
        </is>
      </c>
      <c r="AF31" s="6" t="inlineStr">
        <is>
          <t>Section/contract-derived reference; derived evidence route</t>
        </is>
      </c>
      <c r="AG31" s="58" t="inlineStr">
        <is>
          <t>OFFER-01 (Direct); OFFER-02 (Supporting); OFFER-03 (Supporting)</t>
        </is>
      </c>
    </row>
    <row r="32" ht="216" customHeight="1">
      <c r="A32" s="6" t="n">
        <v>27</v>
      </c>
      <c r="B32" s="6" t="inlineStr">
        <is>
          <t>RTM-004</t>
        </is>
      </c>
      <c r="C32" s="6" t="inlineStr">
        <is>
          <t>Yes</t>
        </is>
      </c>
      <c r="D32" s="6" t="inlineStr">
        <is>
          <t>T0 Gate</t>
        </is>
      </c>
      <c r="E32" s="6" t="inlineStr">
        <is>
          <t>General / Compliance</t>
        </is>
      </c>
      <c r="F32" s="57" t="inlineStr">
        <is>
          <t>PROJECT</t>
        </is>
      </c>
      <c r="G32" s="58" t="inlineStr">
        <is>
          <t>Governance &amp; Responsibility</t>
        </is>
      </c>
      <c r="H32" s="58" t="inlineStr">
        <is>
          <t>Deviation/modification approval gate</t>
        </is>
      </c>
      <c r="I32" s="58" t="inlineStr">
        <is>
          <t>C8 — Commercial &amp; Execution</t>
        </is>
      </c>
      <c r="J32" s="6" t="n">
        <v>25</v>
      </c>
      <c r="K32" s="6" t="inlineStr">
        <is>
          <t>4.1</t>
        </is>
      </c>
      <c r="L32" s="6" t="inlineStr">
        <is>
          <t>General Requirements</t>
        </is>
      </c>
      <c r="M32" s="6" t="inlineStr">
        <is>
          <t>Any deviations or modifications shall require prior written approval by SCK CEN to be implemented.</t>
        </is>
      </c>
      <c r="N32" s="6" t="inlineStr">
        <is>
          <t>Any deviations or modifications shall require prior written approval by SCK CEN to be implemented.
• During negotiations (if any), identified deviations and suggested modifications shall be discussed between SCK CEN and the Applicant. SCK CEN reserves the right to accept or reject any deviation or modification at its sole discretion and without justification.
• SCK CEN’s shall only consider deviations or modifications that are explicitly identified as such in the Applicant’s offer in a dedicated section as required according to the mandatory structure of the offer as defined in § 1.9 of the Main Tender Document.
• SCK CEN’s acceptance of the Applicant’s offer shall not imply acceptance of any deviations or modifications that have not been duly identified. Any such deviations or modifications shall be treated as Non-Conformities, for which the Contractor shall be responsible to duly correct and implement the necessary solutions during Contract performance, at its own risk and expense. Such Non-Conformities shall not constitute grounds for a Variation.</t>
        </is>
      </c>
      <c r="O32" s="6" t="n">
        <v>3</v>
      </c>
      <c r="P32" s="6" t="n">
        <v>0</v>
      </c>
      <c r="Q32" s="6" t="n">
        <v>0</v>
      </c>
      <c r="R32" s="6" t="n">
        <v>0</v>
      </c>
      <c r="S32" s="6" t="n">
        <v>0</v>
      </c>
      <c r="T32" s="6" t="n">
        <v>0</v>
      </c>
      <c r="U32" s="6" t="n">
        <v>0</v>
      </c>
      <c r="V32" s="6" t="n">
        <v>20</v>
      </c>
      <c r="W32" s="6" t="n">
        <v>95.423</v>
      </c>
      <c r="X32" s="6" t="n">
        <v>59.401</v>
      </c>
      <c r="Y32" s="6" t="inlineStr">
        <is>
          <t>Safety / Legal</t>
        </is>
      </c>
      <c r="Z32" s="6" t="inlineStr">
        <is>
          <t>Gate precedence; within T0 ordered by Weighted S.</t>
        </is>
      </c>
      <c r="AA32" s="6" t="inlineStr">
        <is>
          <t>None explicitly named in this RTM</t>
        </is>
      </c>
      <c r="AB32" s="6" t="inlineStr">
        <is>
          <t>SCK CEN/90508872 §4.1; no named external code</t>
        </is>
      </c>
      <c r="AC32" s="6" t="inlineStr">
        <is>
          <t>Cross-check: every deviation later found in as-built work traces back to an explicit entry in the Applicant's Offer's dedicated deviations section (§1.9 Main Tender Document structure) -- any deviation discovered that was NOT pre-declared there is by this RTM's own definition a Non-Conformity, not a Variation, and the cost/schedule risk sits with the Contractor.</t>
        </is>
      </c>
      <c r="AD32" s="6" t="inlineStr">
        <is>
          <t>No separate deliverable explicitly named</t>
        </is>
      </c>
      <c r="AE32" s="6" t="inlineStr">
        <is>
          <t>L1 Conceptual Design; L2 Detailed Design</t>
        </is>
      </c>
      <c r="AF32" s="6" t="inlineStr">
        <is>
          <t>Section/contract-derived reference; derived evidence route</t>
        </is>
      </c>
      <c r="AG32" s="58" t="inlineStr">
        <is>
          <t>OFFER-01 (Supporting); OFFER-02 (Direct); OFFER-03 (Supporting)</t>
        </is>
      </c>
    </row>
    <row r="33" ht="73" customHeight="1">
      <c r="A33" s="6" t="n">
        <v>28</v>
      </c>
      <c r="B33" s="6" t="inlineStr">
        <is>
          <t>RTM-594</t>
        </is>
      </c>
      <c r="C33" s="6" t="inlineStr">
        <is>
          <t>Yes</t>
        </is>
      </c>
      <c r="D33" s="6" t="inlineStr">
        <is>
          <t>T0 Gate</t>
        </is>
      </c>
      <c r="E33" s="6" t="inlineStr">
        <is>
          <t>Safety &amp; Protection</t>
        </is>
      </c>
      <c r="F33" s="57" t="inlineStr">
        <is>
          <t>SYSTEM</t>
        </is>
      </c>
      <c r="G33" s="58" t="inlineStr">
        <is>
          <t>Constraint</t>
        </is>
      </c>
      <c r="H33" s="58" t="inlineStr">
        <is>
          <t>Damage prevention/detection/mitigation</t>
        </is>
      </c>
      <c r="I33" s="58" t="inlineStr">
        <is>
          <t>Not linked to an OFFER item</t>
        </is>
      </c>
      <c r="J33" s="6" t="n">
        <v>114</v>
      </c>
      <c r="K33" s="6" t="inlineStr">
        <is>
          <t>5</t>
        </is>
      </c>
      <c r="L33" s="6" t="inlineStr">
        <is>
          <t>Safety and Protection Requirements</t>
        </is>
      </c>
      <c r="M33" s="6" t="inlineStr">
        <is>
          <t>The QPS shall be designed to prevent, detect, and mitigate conditions that could damage the QPS, so far as reasonably practicable.</t>
        </is>
      </c>
      <c r="N33" s="6" t="inlineStr">
        <is>
          <t>The QPS shall be designed to prevent, detect, and mitigate conditions that could damage the QPS, so far as reasonably practicable.</t>
        </is>
      </c>
      <c r="O33" s="6" t="n">
        <v>3</v>
      </c>
      <c r="P33" s="6" t="n">
        <v>0</v>
      </c>
      <c r="Q33" s="6" t="n">
        <v>0</v>
      </c>
      <c r="R33" s="6" t="n">
        <v>0</v>
      </c>
      <c r="S33" s="6" t="n">
        <v>0</v>
      </c>
      <c r="T33" s="6" t="n">
        <v>0</v>
      </c>
      <c r="U33" s="6" t="n">
        <v>0</v>
      </c>
      <c r="V33" s="6" t="n">
        <v>20</v>
      </c>
      <c r="W33" s="6" t="n">
        <v>95.423</v>
      </c>
      <c r="X33" s="6" t="n">
        <v>59.401</v>
      </c>
      <c r="Y33" s="6" t="inlineStr">
        <is>
          <t>Safety / Legal</t>
        </is>
      </c>
      <c r="Z33" s="6" t="inlineStr">
        <is>
          <t>Gate precedence; within T0 ordered by Weighted S.</t>
        </is>
      </c>
      <c r="AA33" s="6" t="inlineStr">
        <is>
          <t>None explicitly named in this RTM</t>
        </is>
      </c>
      <c r="AB33" s="6" t="inlineStr">
        <is>
          <t>SCK CEN/90508872 §5; no named external code</t>
        </is>
      </c>
      <c r="AC33" s="6" t="inlineStr">
        <is>
          <t>This is a broad design-philosophy requirement rather than a single test point -- evidence is the design FMEA/HAZOP showing prevent/detect/mitigate layers were considered for each identified damage mechanism, cross-referenced against RTM-595's risk register rather than treated as a separate standalone deliverable.</t>
        </is>
      </c>
      <c r="AD33" s="6" t="inlineStr">
        <is>
          <t>No separate deliverable explicitly named</t>
        </is>
      </c>
      <c r="AE33" s="6" t="inlineStr">
        <is>
          <t>L0 Tender / Offer; L1 Conceptual Design; L2 Detailed Design; L3 Procurement &amp; Manufacturing / FAT; L4 Installation; L5 Standalone Commissioning; L6 Site Acceptance Testing</t>
        </is>
      </c>
      <c r="AF33" s="6" t="inlineStr">
        <is>
          <t>Section/contract-derived reference; derived evidence route</t>
        </is>
      </c>
      <c r="AG33" s="58" t="inlineStr">
        <is>
          <t>Not linked to an OFFER item</t>
        </is>
      </c>
    </row>
    <row r="34" ht="99" customHeight="1">
      <c r="A34" s="6" t="n">
        <v>29</v>
      </c>
      <c r="B34" s="6" t="inlineStr">
        <is>
          <t>RTM-601</t>
        </is>
      </c>
      <c r="C34" s="6" t="inlineStr">
        <is>
          <t>Yes</t>
        </is>
      </c>
      <c r="D34" s="6" t="inlineStr">
        <is>
          <t>T0 Gate</t>
        </is>
      </c>
      <c r="E34" s="6" t="inlineStr">
        <is>
          <t>Safety &amp; Protection</t>
        </is>
      </c>
      <c r="F34" s="57" t="inlineStr">
        <is>
          <t>SYSTEM</t>
        </is>
      </c>
      <c r="G34" s="58" t="inlineStr">
        <is>
          <t>Constraint</t>
        </is>
      </c>
      <c r="H34" s="58" t="inlineStr">
        <is>
          <t>Scope-boundary conditions</t>
        </is>
      </c>
      <c r="I34" s="58" t="inlineStr">
        <is>
          <t>Not linked to an OFFER item</t>
        </is>
      </c>
      <c r="J34" s="6" t="n">
        <v>114</v>
      </c>
      <c r="K34" s="6" t="inlineStr">
        <is>
          <t>5.2</t>
        </is>
      </c>
      <c r="L34" s="6" t="inlineStr">
        <is>
          <t>Personnel Safety</t>
        </is>
      </c>
      <c r="M34" s="6" t="inlineStr">
        <is>
          <t>The Contractor shall comply with the following boundary conditions:</t>
        </is>
      </c>
      <c r="N34" s="6" t="inlineStr">
        <is>
          <t>The Contractor shall comply with the following boundary conditions:
• The QCELLs have a dedicated bursting disk venting system that is not connected to the QPS and not within the scope of this Contract.
• SCK CEN shall be responsible for the fire detection and fighting equipment in all the QPS related rooms/areas.
• SCK CEN shall be responsible for the access control system to all the QPS rooms/areas</t>
        </is>
      </c>
      <c r="O34" s="6" t="n">
        <v>3</v>
      </c>
      <c r="P34" s="6" t="n">
        <v>0</v>
      </c>
      <c r="Q34" s="6" t="n">
        <v>0</v>
      </c>
      <c r="R34" s="6" t="n">
        <v>0</v>
      </c>
      <c r="S34" s="6" t="n">
        <v>0</v>
      </c>
      <c r="T34" s="6" t="n">
        <v>0</v>
      </c>
      <c r="U34" s="6" t="n">
        <v>0</v>
      </c>
      <c r="V34" s="6" t="n">
        <v>20</v>
      </c>
      <c r="W34" s="6" t="n">
        <v>95.423</v>
      </c>
      <c r="X34" s="6" t="n">
        <v>59.401</v>
      </c>
      <c r="Y34" s="6" t="inlineStr">
        <is>
          <t>Safety / Legal</t>
        </is>
      </c>
      <c r="Z34" s="6" t="inlineStr">
        <is>
          <t>Gate precedence; within T0 ordered by Weighted S.</t>
        </is>
      </c>
      <c r="AA34" s="6" t="inlineStr">
        <is>
          <t>None explicitly named in this RTM</t>
        </is>
      </c>
      <c r="AB34" s="6" t="inlineStr">
        <is>
          <t>Section-level: PED; EN 17527; API 520/521/580</t>
        </is>
      </c>
      <c r="AC34" s="6" t="inlineStr">
        <is>
          <t>Interface/scope-boundary confirmation that the three named exclusions are correctly reflected in the Contractor's design scope: QCELL bursting-disk venting excluded, SCK CEN owns fire detection/fighting, SCK CEN owns access control -- flag any Contractor deliverable that silently assumes ownership of one of these three SCK CEN-retained scopes (a common inter-package boundary error).</t>
        </is>
      </c>
      <c r="AD34" s="6" t="inlineStr">
        <is>
          <t>No separate deliverable explicitly named</t>
        </is>
      </c>
      <c r="AE34" s="6" t="inlineStr">
        <is>
          <t>L0 Tender / Offer; L1 Conceptual Design; L2 Detailed Design; L3 Procurement &amp; Manufacturing / FAT; L4 Installation; L5 Standalone Commissioning; L6 Site Acceptance Testing</t>
        </is>
      </c>
      <c r="AF34" s="6" t="inlineStr">
        <is>
          <t>Section/contract-derived reference; derived evidence route</t>
        </is>
      </c>
      <c r="AG34" s="58" t="inlineStr">
        <is>
          <t>Not linked to an OFFER item</t>
        </is>
      </c>
    </row>
    <row r="35" ht="86" customHeight="1">
      <c r="A35" s="6" t="n">
        <v>30</v>
      </c>
      <c r="B35" s="6" t="inlineStr">
        <is>
          <t>RTM-602</t>
        </is>
      </c>
      <c r="C35" s="6" t="inlineStr">
        <is>
          <t>Yes</t>
        </is>
      </c>
      <c r="D35" s="6" t="inlineStr">
        <is>
          <t>T0 Gate</t>
        </is>
      </c>
      <c r="E35" s="6" t="inlineStr">
        <is>
          <t>Safety &amp; Protection</t>
        </is>
      </c>
      <c r="F35" s="57" t="inlineStr">
        <is>
          <t>PROJECT</t>
        </is>
      </c>
      <c r="G35" s="58" t="inlineStr">
        <is>
          <t>Quality Assurance</t>
        </is>
      </c>
      <c r="H35" s="58" t="inlineStr">
        <is>
          <t>Safety-documentation structure</t>
        </is>
      </c>
      <c r="I35" s="58" t="inlineStr">
        <is>
          <t>Not linked to an OFFER item</t>
        </is>
      </c>
      <c r="J35" s="6" t="n">
        <v>114</v>
      </c>
      <c r="K35" s="6" t="inlineStr">
        <is>
          <t>5.2</t>
        </is>
      </c>
      <c r="L35" s="6" t="inlineStr">
        <is>
          <t>Personnel Safety</t>
        </is>
      </c>
      <c r="M35" s="6" t="inlineStr">
        <is>
          <t>The treatment of safety aspects shall make a clear distinction between</t>
        </is>
      </c>
      <c r="N35" s="6" t="inlineStr">
        <is>
          <t>The treatment of safety aspects shall make a clear distinction between
• hazards (detectable physical conditions),
• consequences (physiological or mechanical outcomes)
• mitigation layers (engineering, organizational, and procedural).</t>
        </is>
      </c>
      <c r="O35" s="6" t="n">
        <v>3</v>
      </c>
      <c r="P35" s="6" t="n">
        <v>0</v>
      </c>
      <c r="Q35" s="6" t="n">
        <v>0</v>
      </c>
      <c r="R35" s="6" t="n">
        <v>0</v>
      </c>
      <c r="S35" s="6" t="n">
        <v>0</v>
      </c>
      <c r="T35" s="6" t="n">
        <v>0</v>
      </c>
      <c r="U35" s="6" t="n">
        <v>0</v>
      </c>
      <c r="V35" s="6" t="n">
        <v>20</v>
      </c>
      <c r="W35" s="6" t="n">
        <v>95.423</v>
      </c>
      <c r="X35" s="6" t="n">
        <v>59.401</v>
      </c>
      <c r="Y35" s="6" t="inlineStr">
        <is>
          <t>Safety / Legal</t>
        </is>
      </c>
      <c r="Z35" s="6" t="inlineStr">
        <is>
          <t>Gate precedence; within T0 ordered by Weighted S.</t>
        </is>
      </c>
      <c r="AA35" s="6" t="inlineStr">
        <is>
          <t>None explicitly named in this RTM</t>
        </is>
      </c>
      <c r="AB35" s="6" t="inlineStr">
        <is>
          <t>Section-level: PED; EN 17527; API 520/521/580</t>
        </is>
      </c>
      <c r="AC35" s="6" t="inlineStr">
        <is>
          <t>A structural/editorial check, not a technical test: confirm the Contractor's safety documentation set keeps hazards, consequences, and mitigation layers in visibly separate sections rather than blended together -- reject a safety file that lists mitigations without a traceable one-to-one link back to a named hazard and consequence.</t>
        </is>
      </c>
      <c r="AD35" s="6" t="inlineStr">
        <is>
          <t>No separate deliverable explicitly named</t>
        </is>
      </c>
      <c r="AE35" s="6" t="inlineStr">
        <is>
          <t>L0 Tender / Offer; L1 Conceptual Design; L2 Detailed Design; L3 Procurement &amp; Manufacturing / FAT; L4 Installation; L5 Standalone Commissioning; L6 Site Acceptance Testing</t>
        </is>
      </c>
      <c r="AF35" s="6" t="inlineStr">
        <is>
          <t>Section/contract-derived reference; derived evidence route</t>
        </is>
      </c>
      <c r="AG35" s="58" t="inlineStr">
        <is>
          <t>Not linked to an OFFER item</t>
        </is>
      </c>
    </row>
    <row r="36" ht="73" customHeight="1">
      <c r="A36" s="6" t="n">
        <v>31</v>
      </c>
      <c r="B36" s="6" t="inlineStr">
        <is>
          <t>RTM-606</t>
        </is>
      </c>
      <c r="C36" s="6" t="inlineStr">
        <is>
          <t>Yes</t>
        </is>
      </c>
      <c r="D36" s="6" t="inlineStr">
        <is>
          <t>T0 Gate</t>
        </is>
      </c>
      <c r="E36" s="6" t="inlineStr">
        <is>
          <t>Safety &amp; Protection</t>
        </is>
      </c>
      <c r="F36" s="57" t="inlineStr">
        <is>
          <t>SAFETY</t>
        </is>
      </c>
      <c r="G36" s="58" t="inlineStr">
        <is>
          <t>Equipment Protection</t>
        </is>
      </c>
      <c r="H36" s="58" t="inlineStr">
        <is>
          <t>Cold-helium relief devices</t>
        </is>
      </c>
      <c r="I36" s="58" t="inlineStr">
        <is>
          <t>Not linked to an OFFER item</t>
        </is>
      </c>
      <c r="J36" s="6" t="n">
        <v>115</v>
      </c>
      <c r="K36" s="6" t="inlineStr">
        <is>
          <t>5.2</t>
        </is>
      </c>
      <c r="L36" s="6" t="inlineStr">
        <is>
          <t>Personnel Safety</t>
        </is>
      </c>
      <c r="M36" s="6" t="inlineStr">
        <is>
          <t>Any Cold helium volume shall be protected by safety devices in accordance with EN 17527 (supplemented, where applicable, by API 520/521/580 for warm service).</t>
        </is>
      </c>
      <c r="N36" s="6" t="inlineStr">
        <is>
          <t>Any Cold helium volume shall be protected by safety devices in accordance with EN 17527 (supplemented, where applicable, by API 520/521/580 for warm service).</t>
        </is>
      </c>
      <c r="O36" s="6" t="n">
        <v>3</v>
      </c>
      <c r="P36" s="6" t="n">
        <v>0</v>
      </c>
      <c r="Q36" s="6" t="n">
        <v>0</v>
      </c>
      <c r="R36" s="6" t="n">
        <v>0</v>
      </c>
      <c r="S36" s="6" t="n">
        <v>0</v>
      </c>
      <c r="T36" s="6" t="n">
        <v>0</v>
      </c>
      <c r="U36" s="6" t="n">
        <v>0</v>
      </c>
      <c r="V36" s="6" t="n">
        <v>20</v>
      </c>
      <c r="W36" s="6" t="n">
        <v>95.423</v>
      </c>
      <c r="X36" s="6" t="n">
        <v>59.401</v>
      </c>
      <c r="Y36" s="6" t="inlineStr">
        <is>
          <t>Safety / Legal</t>
        </is>
      </c>
      <c r="Z36" s="6" t="inlineStr">
        <is>
          <t>Gate precedence; within T0 ordered by Weighted S.</t>
        </is>
      </c>
      <c r="AA36" s="6" t="inlineStr">
        <is>
          <t>EN 17527; API 520/521/580</t>
        </is>
      </c>
      <c r="AB36" s="6" t="inlineStr">
        <is>
          <t>EN 17527; API 520/521/580</t>
        </is>
      </c>
      <c r="AC36" s="6" t="inlineStr">
        <is>
          <t>Relief-device sizing calculation per EN 17527 for every cold-helium volume, with API 520/521/580 additionally invoked wherever a device also sees warm-service conditions -- a single relief-device spec sheet without a volume-by-volume sizing calc does not satisfy this RTM.</t>
        </is>
      </c>
      <c r="AD36" s="6" t="inlineStr">
        <is>
          <t>No separate deliverable explicitly named</t>
        </is>
      </c>
      <c r="AE36" s="6" t="inlineStr">
        <is>
          <t>L0 Tender / Offer; L1 Conceptual Design; L2 Detailed Design; L3 Procurement &amp; Manufacturing / FAT; L4 Installation; L5 Standalone Commissioning; L6 Site Acceptance Testing</t>
        </is>
      </c>
      <c r="AF36" s="6" t="inlineStr">
        <is>
          <t>Explicit/table-grounded standard; derived evidence route</t>
        </is>
      </c>
      <c r="AG36" s="58" t="inlineStr">
        <is>
          <t>Not linked to an OFFER item</t>
        </is>
      </c>
    </row>
    <row r="37" ht="73" customHeight="1">
      <c r="A37" s="6" t="n">
        <v>32</v>
      </c>
      <c r="B37" s="6" t="inlineStr">
        <is>
          <t>RTM-607</t>
        </is>
      </c>
      <c r="C37" s="6" t="inlineStr">
        <is>
          <t>Yes</t>
        </is>
      </c>
      <c r="D37" s="6" t="inlineStr">
        <is>
          <t>T0 Gate</t>
        </is>
      </c>
      <c r="E37" s="6" t="inlineStr">
        <is>
          <t>Safety &amp; Protection</t>
        </is>
      </c>
      <c r="F37" s="57" t="inlineStr">
        <is>
          <t>SAFETY</t>
        </is>
      </c>
      <c r="G37" s="58" t="inlineStr">
        <is>
          <t>Equipment Protection</t>
        </is>
      </c>
      <c r="H37" s="58" t="inlineStr">
        <is>
          <t>Isolatable cold-volume relief devices</t>
        </is>
      </c>
      <c r="I37" s="58" t="inlineStr">
        <is>
          <t>Not linked to an OFFER item</t>
        </is>
      </c>
      <c r="J37" s="6" t="n">
        <v>115</v>
      </c>
      <c r="K37" s="6" t="inlineStr">
        <is>
          <t>5.2</t>
        </is>
      </c>
      <c r="L37" s="6" t="inlineStr">
        <is>
          <t>Personnel Safety</t>
        </is>
      </c>
      <c r="M37" s="6" t="inlineStr">
        <is>
          <t>Any cold volume that can be isolated by valves and all insulation vacuum volumes shall have dedicated safety devices.</t>
        </is>
      </c>
      <c r="N37" s="6" t="inlineStr">
        <is>
          <t>Any cold volume that can be isolated by valves and all insulation vacuum volumes shall have dedicated safety devices.</t>
        </is>
      </c>
      <c r="O37" s="6" t="n">
        <v>3</v>
      </c>
      <c r="P37" s="6" t="n">
        <v>0</v>
      </c>
      <c r="Q37" s="6" t="n">
        <v>0</v>
      </c>
      <c r="R37" s="6" t="n">
        <v>0</v>
      </c>
      <c r="S37" s="6" t="n">
        <v>0</v>
      </c>
      <c r="T37" s="6" t="n">
        <v>0</v>
      </c>
      <c r="U37" s="6" t="n">
        <v>0</v>
      </c>
      <c r="V37" s="6" t="n">
        <v>20</v>
      </c>
      <c r="W37" s="6" t="n">
        <v>95.423</v>
      </c>
      <c r="X37" s="6" t="n">
        <v>59.401</v>
      </c>
      <c r="Y37" s="6" t="inlineStr">
        <is>
          <t>Safety / Legal</t>
        </is>
      </c>
      <c r="Z37" s="6" t="inlineStr">
        <is>
          <t>Gate precedence; within T0 ordered by Weighted S.</t>
        </is>
      </c>
      <c r="AA37" s="6" t="inlineStr">
        <is>
          <t>None explicitly named in this RTM</t>
        </is>
      </c>
      <c r="AB37" s="6" t="inlineStr">
        <is>
          <t>Section-level: PED; EN 17527; API 520/521/580</t>
        </is>
      </c>
      <c r="AC37" s="6" t="inlineStr">
        <is>
          <t>Valve/volume list cross-checked against the relief-device schedule -- every volume that CAN be isolated by a valve (not just ones that normally are) must show a dedicated safety device, including insulation-vacuum volumes, which are easy to miss since they aren't process volumes in the conventional sense.</t>
        </is>
      </c>
      <c r="AD37" s="6" t="inlineStr">
        <is>
          <t>No separate deliverable explicitly named</t>
        </is>
      </c>
      <c r="AE37" s="6" t="inlineStr">
        <is>
          <t>L0 Tender / Offer; L1 Conceptual Design; L2 Detailed Design; L3 Procurement &amp; Manufacturing / FAT; L4 Installation; L5 Standalone Commissioning; L6 Site Acceptance Testing</t>
        </is>
      </c>
      <c r="AF37" s="6" t="inlineStr">
        <is>
          <t>Section/contract-derived reference; derived evidence route</t>
        </is>
      </c>
      <c r="AG37" s="58" t="inlineStr">
        <is>
          <t>Not linked to an OFFER item</t>
        </is>
      </c>
    </row>
    <row r="38" ht="86" customHeight="1">
      <c r="A38" s="6" t="n">
        <v>33</v>
      </c>
      <c r="B38" s="6" t="inlineStr">
        <is>
          <t>RTM-610</t>
        </is>
      </c>
      <c r="C38" s="6" t="inlineStr">
        <is>
          <t>Yes</t>
        </is>
      </c>
      <c r="D38" s="6" t="inlineStr">
        <is>
          <t>T0 Gate</t>
        </is>
      </c>
      <c r="E38" s="6" t="inlineStr">
        <is>
          <t>Safety &amp; Protection</t>
        </is>
      </c>
      <c r="F38" s="57" t="inlineStr">
        <is>
          <t>PROJECT</t>
        </is>
      </c>
      <c r="G38" s="58" t="inlineStr">
        <is>
          <t>Documentation &amp; Compliance</t>
        </is>
      </c>
      <c r="H38" s="58" t="inlineStr">
        <is>
          <t>ODH certification technical input</t>
        </is>
      </c>
      <c r="I38" s="58" t="inlineStr">
        <is>
          <t>Not linked to an OFFER item</t>
        </is>
      </c>
      <c r="J38" s="6" t="n">
        <v>115</v>
      </c>
      <c r="K38" s="6" t="inlineStr">
        <is>
          <t>5.2.1</t>
        </is>
      </c>
      <c r="L38" s="6" t="inlineStr">
        <is>
          <t>Oxygen-Deficiency Hazard</t>
        </is>
      </c>
      <c r="M38" s="6" t="inlineStr">
        <is>
          <t>The Contractor shall provide all technical input related to the QPS required for SCK CEN to complete the ODH system certification.</t>
        </is>
      </c>
      <c r="N38" s="6" t="inlineStr">
        <is>
          <t>The Contractor shall provide all technical input related to the QPS required for SCK CEN to complete the ODH system certification.</t>
        </is>
      </c>
      <c r="O38" s="6" t="n">
        <v>3</v>
      </c>
      <c r="P38" s="6" t="n">
        <v>0</v>
      </c>
      <c r="Q38" s="6" t="n">
        <v>0</v>
      </c>
      <c r="R38" s="6" t="n">
        <v>0</v>
      </c>
      <c r="S38" s="6" t="n">
        <v>0</v>
      </c>
      <c r="T38" s="6" t="n">
        <v>0</v>
      </c>
      <c r="U38" s="6" t="n">
        <v>0</v>
      </c>
      <c r="V38" s="6" t="n">
        <v>20</v>
      </c>
      <c r="W38" s="6" t="n">
        <v>95.423</v>
      </c>
      <c r="X38" s="6" t="n">
        <v>59.401</v>
      </c>
      <c r="Y38" s="6" t="inlineStr">
        <is>
          <t>Safety / Legal</t>
        </is>
      </c>
      <c r="Z38" s="6" t="inlineStr">
        <is>
          <t>Gate precedence; within T0 ordered by Weighted S.</t>
        </is>
      </c>
      <c r="AA38" s="6" t="inlineStr">
        <is>
          <t>None explicitly named in this RTM</t>
        </is>
      </c>
      <c r="AB38" s="6" t="inlineStr">
        <is>
          <t>Section-level: EN 50104:2019</t>
        </is>
      </c>
      <c r="AC38" s="6" t="inlineStr">
        <is>
          <t>Technical-input package (monitor interface data, room geometry/ventilation inputs, etc.) delivered to SCK CEN in the form and timeline SCK CEN's ODH certification process actually requires -- evidence is SCK CEN's acknowledgement that the input package was sufficient to proceed with certification, not just that something was sent.</t>
        </is>
      </c>
      <c r="AD38" s="6" t="inlineStr">
        <is>
          <t>No separate deliverable explicitly named</t>
        </is>
      </c>
      <c r="AE38" s="6" t="inlineStr">
        <is>
          <t>L0 Tender / Offer; L1 Conceptual Design; L2 Detailed Design; L3 Procurement &amp; Manufacturing / FAT; L4 Installation; L5 Standalone Commissioning; L6 Site Acceptance Testing</t>
        </is>
      </c>
      <c r="AF38" s="6" t="inlineStr">
        <is>
          <t>Section/contract-derived reference; derived evidence route</t>
        </is>
      </c>
      <c r="AG38" s="58" t="inlineStr">
        <is>
          <t>Not linked to an OFFER item</t>
        </is>
      </c>
    </row>
    <row r="39" ht="73" customHeight="1">
      <c r="A39" s="6" t="n">
        <v>34</v>
      </c>
      <c r="B39" s="6" t="inlineStr">
        <is>
          <t>RTM-611</t>
        </is>
      </c>
      <c r="C39" s="6" t="inlineStr">
        <is>
          <t>Yes</t>
        </is>
      </c>
      <c r="D39" s="6" t="inlineStr">
        <is>
          <t>T0 Gate</t>
        </is>
      </c>
      <c r="E39" s="6" t="inlineStr">
        <is>
          <t>Safety &amp; Protection</t>
        </is>
      </c>
      <c r="F39" s="57" t="inlineStr">
        <is>
          <t>SYSTEM</t>
        </is>
      </c>
      <c r="G39" s="58" t="inlineStr">
        <is>
          <t>Control</t>
        </is>
      </c>
      <c r="H39" s="58" t="inlineStr">
        <is>
          <t>ODH monitor signal integration</t>
        </is>
      </c>
      <c r="I39" s="58" t="inlineStr">
        <is>
          <t>Not linked to an OFFER item</t>
        </is>
      </c>
      <c r="J39" s="6" t="n">
        <v>115</v>
      </c>
      <c r="K39" s="6" t="inlineStr">
        <is>
          <t>5.2.1</t>
        </is>
      </c>
      <c r="L39" s="6" t="inlineStr">
        <is>
          <t>Oxygen-Deficiency Hazard</t>
        </is>
      </c>
      <c r="M39" s="6" t="inlineStr">
        <is>
          <t>The Contractor shall integrate the ODH monitor signal(s) into the QPS:CIS to perform mitigating actions.</t>
        </is>
      </c>
      <c r="N39" s="6" t="inlineStr">
        <is>
          <t>The Contractor shall integrate the ODH monitor signal(s) into the QPS:CIS to perform mitigating actions.</t>
        </is>
      </c>
      <c r="O39" s="6" t="n">
        <v>3</v>
      </c>
      <c r="P39" s="6" t="n">
        <v>0</v>
      </c>
      <c r="Q39" s="6" t="n">
        <v>0</v>
      </c>
      <c r="R39" s="6" t="n">
        <v>0</v>
      </c>
      <c r="S39" s="6" t="n">
        <v>0</v>
      </c>
      <c r="T39" s="6" t="n">
        <v>0</v>
      </c>
      <c r="U39" s="6" t="n">
        <v>0</v>
      </c>
      <c r="V39" s="6" t="n">
        <v>20</v>
      </c>
      <c r="W39" s="6" t="n">
        <v>95.423</v>
      </c>
      <c r="X39" s="6" t="n">
        <v>59.401</v>
      </c>
      <c r="Y39" s="6" t="inlineStr">
        <is>
          <t>Safety / Legal</t>
        </is>
      </c>
      <c r="Z39" s="6" t="inlineStr">
        <is>
          <t>Gate precedence; within T0 ordered by Weighted S.</t>
        </is>
      </c>
      <c r="AA39" s="6" t="inlineStr">
        <is>
          <t>None explicitly named in this RTM</t>
        </is>
      </c>
      <c r="AB39" s="6" t="inlineStr">
        <is>
          <t>Section-level: EN 50104:2019</t>
        </is>
      </c>
      <c r="AC39" s="6" t="inlineStr">
        <is>
          <t>QPS:CIS logic demonstration showing the ODH monitor signal(s) actually trigger the intended mitigating action(s) end-to-end (signal in -&gt; logic -&gt; actuator/alarm out), tested live during commissioning -- a wiring continuity check alone, without the logic-to-action demonstration, does not satisfy this RTM.</t>
        </is>
      </c>
      <c r="AD39" s="6" t="inlineStr">
        <is>
          <t>No separate deliverable explicitly named</t>
        </is>
      </c>
      <c r="AE39" s="6" t="inlineStr">
        <is>
          <t>L0 Tender / Offer; L1 Conceptual Design; L2 Detailed Design; L3 Procurement &amp; Manufacturing / FAT; L4 Installation; L5 Standalone Commissioning; L6 Site Acceptance Testing</t>
        </is>
      </c>
      <c r="AF39" s="6" t="inlineStr">
        <is>
          <t>Section/contract-derived reference; derived evidence route</t>
        </is>
      </c>
      <c r="AG39" s="58" t="inlineStr">
        <is>
          <t>Not linked to an OFFER item</t>
        </is>
      </c>
    </row>
    <row r="40" ht="73" customHeight="1">
      <c r="A40" s="6" t="n">
        <v>35</v>
      </c>
      <c r="B40" s="6" t="inlineStr">
        <is>
          <t>RTM-688</t>
        </is>
      </c>
      <c r="C40" s="6" t="inlineStr">
        <is>
          <t>Yes</t>
        </is>
      </c>
      <c r="D40" s="6" t="inlineStr">
        <is>
          <t>T0 Gate</t>
        </is>
      </c>
      <c r="E40" s="6" t="inlineStr">
        <is>
          <t>Codes &amp; Standards</t>
        </is>
      </c>
      <c r="F40" s="57" t="inlineStr">
        <is>
          <t>PROJECT</t>
        </is>
      </c>
      <c r="G40" s="58" t="inlineStr">
        <is>
          <t>Quality Assurance</t>
        </is>
      </c>
      <c r="H40" s="58" t="inlineStr">
        <is>
          <t>Codes &amp; standards hierarchy</t>
        </is>
      </c>
      <c r="I40" s="58" t="inlineStr">
        <is>
          <t>C7 — Quality, Testing &amp; Risk</t>
        </is>
      </c>
      <c r="J40" s="6" t="n">
        <v>127</v>
      </c>
      <c r="K40" s="6" t="inlineStr">
        <is>
          <t>9</t>
        </is>
      </c>
      <c r="L40" s="6" t="inlineStr">
        <is>
          <t>Applicable legislation, Codes and Standards</t>
        </is>
      </c>
      <c r="M40" s="6" t="inlineStr">
        <is>
          <t>The Contractor shall organise the applicable codes and standards in a hierarchical manner where management-system standards (e.g. ISO 9001) act as parents to project-level requirements and technical standards (e.g. PED, EN 13480, EN 13445, IEC functional-safety standards).</t>
        </is>
      </c>
      <c r="N40" s="6" t="inlineStr">
        <is>
          <t>The Contractor shall organise the applicable codes and standards in a hierarchical manner where management-system standards (e.g. ISO 9001) act as parents to project-level requirements and technical standards (e.g. PED, EN 13480, EN 13445, IEC functional-safety standards).</t>
        </is>
      </c>
      <c r="O40" s="6" t="n">
        <v>3</v>
      </c>
      <c r="P40" s="6" t="n">
        <v>0</v>
      </c>
      <c r="Q40" s="6" t="n">
        <v>0</v>
      </c>
      <c r="R40" s="6" t="n">
        <v>0</v>
      </c>
      <c r="S40" s="6" t="n">
        <v>0</v>
      </c>
      <c r="T40" s="6" t="n">
        <v>0</v>
      </c>
      <c r="U40" s="6" t="n">
        <v>0</v>
      </c>
      <c r="V40" s="6" t="n">
        <v>20</v>
      </c>
      <c r="W40" s="6" t="n">
        <v>95.423</v>
      </c>
      <c r="X40" s="6" t="n">
        <v>59.401</v>
      </c>
      <c r="Y40" s="6" t="inlineStr">
        <is>
          <t>Safety / Legal</t>
        </is>
      </c>
      <c r="Z40" s="6" t="inlineStr">
        <is>
          <t>Gate precedence; within T0 ordered by Weighted S.</t>
        </is>
      </c>
      <c r="AA40" s="6" t="inlineStr">
        <is>
          <t>ISO 9001; EN 13480; EN 13445; PED</t>
        </is>
      </c>
      <c r="AB40" s="6" t="inlineStr">
        <is>
          <t>ISO 9001; EN 13480; EN 13445; PED</t>
        </is>
      </c>
      <c r="AC40" s="6" t="inlineStr">
        <is>
          <t>Codes and Standards Register showing an explicit parent/child structure (e.g. ISO 9001 as parent to PED, EN 13480, EN 13445, IEC functional-safety standards as children) -- a flat, unordered list of applicable standards with no stated hierarchy does not satisfy this RTM's own organisational requirement.</t>
        </is>
      </c>
      <c r="AD40" s="6" t="inlineStr">
        <is>
          <t>No separate deliverable explicitly named</t>
        </is>
      </c>
      <c r="AE40" s="6" t="inlineStr">
        <is>
          <t>L0 Tender / Offer; L1 Conceptual Design; L2 Detailed Design; L3 Procurement &amp; Manufacturing / FAT; L4 Installation; L5 Standalone Commissioning; L6 Site Acceptance Testing</t>
        </is>
      </c>
      <c r="AF40" s="6" t="inlineStr">
        <is>
          <t>Explicit/table-grounded standard; derived evidence route</t>
        </is>
      </c>
      <c r="AG40" s="58" t="inlineStr">
        <is>
          <t>OFFER-49 (Direct)</t>
        </is>
      </c>
    </row>
    <row r="41" ht="125" customHeight="1">
      <c r="A41" s="6" t="n">
        <v>36</v>
      </c>
      <c r="B41" s="6" t="inlineStr">
        <is>
          <t>RTM-690</t>
        </is>
      </c>
      <c r="C41" s="6" t="inlineStr">
        <is>
          <t>Yes</t>
        </is>
      </c>
      <c r="D41" s="6" t="inlineStr">
        <is>
          <t>T0 Gate</t>
        </is>
      </c>
      <c r="E41" s="6" t="inlineStr">
        <is>
          <t>Codes &amp; Standards</t>
        </is>
      </c>
      <c r="F41" s="57" t="inlineStr">
        <is>
          <t>PROJECT</t>
        </is>
      </c>
      <c r="G41" s="58" t="inlineStr">
        <is>
          <t>Documentation &amp; Compliance</t>
        </is>
      </c>
      <c r="H41" s="58" t="inlineStr">
        <is>
          <t>EU directive applicability register</t>
        </is>
      </c>
      <c r="I41" s="58" t="inlineStr">
        <is>
          <t>C7 — Quality, Testing &amp; Risk</t>
        </is>
      </c>
      <c r="J41" s="6" t="n">
        <v>127</v>
      </c>
      <c r="K41" s="6" t="inlineStr">
        <is>
          <t>9.1</t>
        </is>
      </c>
      <c r="L41" s="6" t="inlineStr">
        <is>
          <t>Applicable legislation</t>
        </is>
      </c>
      <c r="M41" s="6" t="inlineStr">
        <is>
          <t>The Contractor shall identify all EU directives applicable to the QPS and ensure compliance with said EU directives. The directives listed below are identified by SCK CEN as a minimum requirement but does not exclude other directives from being applicable:</t>
        </is>
      </c>
      <c r="N41" s="6" t="inlineStr">
        <is>
          <t>The Contractor shall identify all EU directives applicable to the QPS and ensure compliance with said EU directives. The directives listed below are identified by SCK CEN as a minimum requirement but does not exclude other directives from being applicable:
• Low Voltage Directive 2014/35/EU
• Machinery Directive 2006/42/EC
• EMC Directive 2014/30/EU
• Pressure Equipment Directive (2014/68/EU)
• EU Eco-design Directive 2009/125/EC</t>
        </is>
      </c>
      <c r="O41" s="6" t="n">
        <v>3</v>
      </c>
      <c r="P41" s="6" t="n">
        <v>0</v>
      </c>
      <c r="Q41" s="6" t="n">
        <v>0</v>
      </c>
      <c r="R41" s="6" t="n">
        <v>0</v>
      </c>
      <c r="S41" s="6" t="n">
        <v>0</v>
      </c>
      <c r="T41" s="6" t="n">
        <v>0</v>
      </c>
      <c r="U41" s="6" t="n">
        <v>0</v>
      </c>
      <c r="V41" s="6" t="n">
        <v>20</v>
      </c>
      <c r="W41" s="6" t="n">
        <v>95.423</v>
      </c>
      <c r="X41" s="6" t="n">
        <v>59.401</v>
      </c>
      <c r="Y41" s="6" t="inlineStr">
        <is>
          <t>Safety / Legal</t>
        </is>
      </c>
      <c r="Z41" s="6" t="inlineStr">
        <is>
          <t>Gate precedence; within T0 ordered by Weighted S.</t>
        </is>
      </c>
      <c r="AA41" s="6" t="inlineStr">
        <is>
          <t>Low Voltage Directive 2014/35/EU; Machinery Directive 2006/42/EC; EMC Directive 2014/30/EU; Pressure Equipment Directive 2014/68/EU; EU Eco-design Directive 2009/125/EC</t>
        </is>
      </c>
      <c r="AB41" s="6" t="inlineStr">
        <is>
          <t>Low Voltage Directive 2014/35/EU; Machinery Directive 2006/42/EC; EMC Directive 2014/30/EU; Pressure Equipment Directive 2014/68/EU; EU Eco-design Directive 2009/125/EC</t>
        </is>
      </c>
      <c r="AC41" s="6" t="inlineStr">
        <is>
          <t>Directive-applicability register covering at minimum the five directives this RTM names (Low Voltage 2014/35/EU, Machinery 2006/42/EC, EMC 2014/30/EU, Pressure Equipment 2014/68/EU, Eco-design 2009/125/EC) PLUS an explicit statement of any additional directive the Contractor identified beyond that minimum list -- a register that only reproduces the five named directives without addressing 'other directives that may be applicable' has not fully answered this RTM.</t>
        </is>
      </c>
      <c r="AD41" s="6" t="inlineStr">
        <is>
          <t>No separate deliverable explicitly named</t>
        </is>
      </c>
      <c r="AE41" s="6" t="inlineStr">
        <is>
          <t>L0 Tender / Offer; L1 Conceptual Design; L2 Detailed Design; L3 Procurement &amp; Manufacturing / FAT; L4 Installation; L5 Standalone Commissioning; L6 Site Acceptance Testing</t>
        </is>
      </c>
      <c r="AF41" s="6" t="inlineStr">
        <is>
          <t>Explicit/table-grounded standard; derived evidence route</t>
        </is>
      </c>
      <c r="AG41" s="58" t="inlineStr">
        <is>
          <t>OFFER-49 (Supporting)</t>
        </is>
      </c>
    </row>
    <row r="42" ht="73" customHeight="1">
      <c r="A42" s="6" t="n">
        <v>37</v>
      </c>
      <c r="B42" s="6" t="inlineStr">
        <is>
          <t>RTM-692</t>
        </is>
      </c>
      <c r="C42" s="6" t="inlineStr">
        <is>
          <t>Yes</t>
        </is>
      </c>
      <c r="D42" s="6" t="inlineStr">
        <is>
          <t>T0 Gate</t>
        </is>
      </c>
      <c r="E42" s="6" t="inlineStr">
        <is>
          <t>Codes &amp; Standards</t>
        </is>
      </c>
      <c r="F42" s="57" t="inlineStr">
        <is>
          <t>PROJECT</t>
        </is>
      </c>
      <c r="G42" s="58" t="inlineStr">
        <is>
          <t>Documentation &amp; Compliance</t>
        </is>
      </c>
      <c r="H42" s="58" t="inlineStr">
        <is>
          <t>Applicable-norms identification</t>
        </is>
      </c>
      <c r="I42" s="58" t="inlineStr">
        <is>
          <t>C7 — Quality, Testing &amp; Risk</t>
        </is>
      </c>
      <c r="J42" s="6" t="n">
        <v>127</v>
      </c>
      <c r="K42" s="6" t="inlineStr">
        <is>
          <t>9.1</t>
        </is>
      </c>
      <c r="L42" s="6" t="inlineStr">
        <is>
          <t>Applicable legislation</t>
        </is>
      </c>
      <c r="M42" s="6" t="inlineStr">
        <is>
          <t>The Contractor shall identify and apply all applicable norms and directives.</t>
        </is>
      </c>
      <c r="N42" s="6" t="inlineStr">
        <is>
          <t>The Contractor shall identify and apply all applicable norms and directives.</t>
        </is>
      </c>
      <c r="O42" s="6" t="n">
        <v>3</v>
      </c>
      <c r="P42" s="6" t="n">
        <v>0</v>
      </c>
      <c r="Q42" s="6" t="n">
        <v>0</v>
      </c>
      <c r="R42" s="6" t="n">
        <v>0</v>
      </c>
      <c r="S42" s="6" t="n">
        <v>0</v>
      </c>
      <c r="T42" s="6" t="n">
        <v>0</v>
      </c>
      <c r="U42" s="6" t="n">
        <v>0</v>
      </c>
      <c r="V42" s="6" t="n">
        <v>20</v>
      </c>
      <c r="W42" s="6" t="n">
        <v>95.423</v>
      </c>
      <c r="X42" s="6" t="n">
        <v>59.401</v>
      </c>
      <c r="Y42" s="6" t="inlineStr">
        <is>
          <t>Safety / Legal</t>
        </is>
      </c>
      <c r="Z42" s="6" t="inlineStr">
        <is>
          <t>Gate precedence; within T0 ordered by Weighted S.</t>
        </is>
      </c>
      <c r="AA42" s="6" t="inlineStr">
        <is>
          <t>None explicitly named in this RTM</t>
        </is>
      </c>
      <c r="AB42" s="6" t="inlineStr">
        <is>
          <t>Section-level: EU declaration of conformity; CE marking; Low Voltage Directive 2014/35/EU; Machinery Directive 2006/42/EC; EMC Directive 2014/30/EU; Pressure Equipment Directive 2014/68/EU; EU Eco-design Directive 2009/125/EC; VLAREM II</t>
        </is>
      </c>
      <c r="AC42" s="6" t="inlineStr">
        <is>
          <t>Overlaps RTM-690/RTM-688/RTM-702-705 -- treat as satisfied by the same Codes and Standards Register rather than a separate deliverable; verify at review time that this register is the single register referenced by all of these RTMs, not four different partial lists.</t>
        </is>
      </c>
      <c r="AD42" s="6" t="inlineStr">
        <is>
          <t>No separate deliverable explicitly named</t>
        </is>
      </c>
      <c r="AE42" s="6" t="inlineStr">
        <is>
          <t>L0 Tender / Offer; L1 Conceptual Design; L2 Detailed Design; L3 Procurement &amp; Manufacturing / FAT; L4 Installation; L5 Standalone Commissioning; L6 Site Acceptance Testing</t>
        </is>
      </c>
      <c r="AF42" s="6" t="inlineStr">
        <is>
          <t>Section/contract-derived reference; derived evidence route</t>
        </is>
      </c>
      <c r="AG42" s="58" t="inlineStr">
        <is>
          <t>OFFER-49 (Supporting)</t>
        </is>
      </c>
    </row>
    <row r="43" ht="112" customHeight="1">
      <c r="A43" s="6" t="n">
        <v>38</v>
      </c>
      <c r="B43" s="6" t="inlineStr">
        <is>
          <t>RTM-694</t>
        </is>
      </c>
      <c r="C43" s="6" t="inlineStr">
        <is>
          <t>Yes</t>
        </is>
      </c>
      <c r="D43" s="6" t="inlineStr">
        <is>
          <t>T0 Gate</t>
        </is>
      </c>
      <c r="E43" s="6" t="inlineStr">
        <is>
          <t>Codes &amp; Standards</t>
        </is>
      </c>
      <c r="F43" s="57" t="inlineStr">
        <is>
          <t>PROJECT</t>
        </is>
      </c>
      <c r="G43" s="58" t="inlineStr">
        <is>
          <t>Documentation &amp; Compliance</t>
        </is>
      </c>
      <c r="H43" s="58" t="inlineStr">
        <is>
          <t>Belgian/Flemish environmental compliance</t>
        </is>
      </c>
      <c r="I43" s="58" t="inlineStr">
        <is>
          <t>C7 — Quality, Testing &amp; Risk</t>
        </is>
      </c>
      <c r="J43" s="6" t="n">
        <v>128</v>
      </c>
      <c r="K43" s="6" t="inlineStr">
        <is>
          <t>9.1</t>
        </is>
      </c>
      <c r="L43" s="6" t="inlineStr">
        <is>
          <t>Applicable legislation</t>
        </is>
      </c>
      <c r="M43" s="6" t="inlineStr">
        <is>
          <t>The Contractor shall identify and document the applicable Belgian and Flemish environmental regulatory requirements and proof or demonstration with compliance for associated with the QPS installation. This shall include, but is not limited to, requirements imposed by local environmental laws specific VLAREM II (Environmental Permit Regulation).</t>
        </is>
      </c>
      <c r="N43" s="6" t="inlineStr">
        <is>
          <t>The Contractor shall identify and document the applicable Belgian and Flemish environmental regulatory requirements and proof or demonstration with compliance for associated with the QPS installation. This shall include, but is not limited to, requirements imposed by local environmental laws specific VLAREM II (Environmental Permit Regulation).
• According to VLAREM II, e.g. a helium inventory of &gt;300 kg triggers an environmental classification. At least, the following studies are required: acoustic study, energy study.</t>
        </is>
      </c>
      <c r="O43" s="6" t="n">
        <v>3</v>
      </c>
      <c r="P43" s="6" t="n">
        <v>0</v>
      </c>
      <c r="Q43" s="6" t="n">
        <v>0</v>
      </c>
      <c r="R43" s="6" t="n">
        <v>0</v>
      </c>
      <c r="S43" s="6" t="n">
        <v>0</v>
      </c>
      <c r="T43" s="6" t="n">
        <v>0</v>
      </c>
      <c r="U43" s="6" t="n">
        <v>0</v>
      </c>
      <c r="V43" s="6" t="n">
        <v>20</v>
      </c>
      <c r="W43" s="6" t="n">
        <v>95.423</v>
      </c>
      <c r="X43" s="6" t="n">
        <v>59.401</v>
      </c>
      <c r="Y43" s="6" t="inlineStr">
        <is>
          <t>Safety / Legal</t>
        </is>
      </c>
      <c r="Z43" s="6" t="inlineStr">
        <is>
          <t>Gate precedence; within T0 ordered by Weighted S.</t>
        </is>
      </c>
      <c r="AA43" s="6" t="inlineStr">
        <is>
          <t>VLAREM II</t>
        </is>
      </c>
      <c r="AB43" s="6" t="inlineStr">
        <is>
          <t>VLAREM II</t>
        </is>
      </c>
      <c r="AC43" s="6" t="inlineStr">
        <is>
          <t>VLAREM II applicability assessment explicitly checking the &gt;300 kg helium-inventory classification threshold this RTM names, and if triggered, both named studies present (acoustic study, energy study) -- a generic 'environmental compliance confirmed' statement without the threshold check and, where triggered, the two named studies, does not satisfy this RTM.</t>
        </is>
      </c>
      <c r="AD43" s="6" t="inlineStr">
        <is>
          <t>No separate deliverable explicitly named</t>
        </is>
      </c>
      <c r="AE43" s="6" t="inlineStr">
        <is>
          <t>L4 Installation; L0 Tender / Offer; L1 Conceptual Design; L2 Detailed Design; L3 Procurement &amp; Manufacturing / FAT; L5 Standalone Commissioning; L6 Site Acceptance Testing</t>
        </is>
      </c>
      <c r="AF43" s="6" t="inlineStr">
        <is>
          <t>Explicit/table-grounded standard; derived evidence route</t>
        </is>
      </c>
      <c r="AG43" s="58" t="inlineStr">
        <is>
          <t>OFFER-49 (Supporting)</t>
        </is>
      </c>
    </row>
    <row r="44" ht="86" customHeight="1">
      <c r="A44" s="6" t="n">
        <v>39</v>
      </c>
      <c r="B44" s="6" t="inlineStr">
        <is>
          <t>RTM-696</t>
        </is>
      </c>
      <c r="C44" s="6" t="inlineStr">
        <is>
          <t>Yes</t>
        </is>
      </c>
      <c r="D44" s="6" t="inlineStr">
        <is>
          <t>T0 Gate</t>
        </is>
      </c>
      <c r="E44" s="6" t="inlineStr">
        <is>
          <t>Codes &amp; Standards</t>
        </is>
      </c>
      <c r="F44" s="57" t="inlineStr">
        <is>
          <t>PROJECT</t>
        </is>
      </c>
      <c r="G44" s="58" t="inlineStr">
        <is>
          <t>Governance &amp; Responsibility</t>
        </is>
      </c>
      <c r="H44" s="58" t="inlineStr">
        <is>
          <t>HSE Plan alignment to MINERVA [AD_02]</t>
        </is>
      </c>
      <c r="I44" s="58" t="inlineStr">
        <is>
          <t>C7 — Quality, Testing &amp; Risk</t>
        </is>
      </c>
      <c r="J44" s="6" t="n">
        <v>128</v>
      </c>
      <c r="K44" s="6" t="inlineStr">
        <is>
          <t>9.1</t>
        </is>
      </c>
      <c r="L44" s="6" t="inlineStr">
        <is>
          <t>Applicable legislation</t>
        </is>
      </c>
      <c r="M44" s="6" t="inlineStr">
        <is>
          <t>The Contractor’s Health, Safety and Environmental Plan shall comply with the MINERVA Health, Safety and Environmental Plan [AD_02].</t>
        </is>
      </c>
      <c r="N44" s="6" t="inlineStr">
        <is>
          <t>The Contractor’s Health, Safety and Environmental Plan shall comply with the MINERVA Health, Safety and Environmental Plan [AD_02].</t>
        </is>
      </c>
      <c r="O44" s="6" t="n">
        <v>3</v>
      </c>
      <c r="P44" s="6" t="n">
        <v>0</v>
      </c>
      <c r="Q44" s="6" t="n">
        <v>0</v>
      </c>
      <c r="R44" s="6" t="n">
        <v>0</v>
      </c>
      <c r="S44" s="6" t="n">
        <v>0</v>
      </c>
      <c r="T44" s="6" t="n">
        <v>0</v>
      </c>
      <c r="U44" s="6" t="n">
        <v>0</v>
      </c>
      <c r="V44" s="6" t="n">
        <v>20</v>
      </c>
      <c r="W44" s="6" t="n">
        <v>95.423</v>
      </c>
      <c r="X44" s="6" t="n">
        <v>59.401</v>
      </c>
      <c r="Y44" s="6" t="inlineStr">
        <is>
          <t>Safety / Legal</t>
        </is>
      </c>
      <c r="Z44" s="6" t="inlineStr">
        <is>
          <t>Gate precedence; within T0 ordered by Weighted S.</t>
        </is>
      </c>
      <c r="AA44" s="6" t="inlineStr">
        <is>
          <t>None explicitly named in this RTM</t>
        </is>
      </c>
      <c r="AB44" s="6" t="inlineStr">
        <is>
          <t>Section-level: EU declaration of conformity; CE marking; Low Voltage Directive 2014/35/EU; Machinery Directive 2006/42/EC; EMC Directive 2014/30/EU; Pressure Equipment Directive 2014/68/EU; EU Eco-design Directive 2009/125/EC; VLAREM II</t>
        </is>
      </c>
      <c r="AC44" s="6" t="inlineStr">
        <is>
          <t>Contractor HSE Plan reviewed clause-by-clause against SCK CEN's MINERVA HSE Plan [AD_02] with any deviation explicitly called out and justified -- a Contractor HSE Plan that doesn't reference [AD_02] at all should be queried before acceptance, since alignment (not just independent adequacy) is what this RTM asks for.</t>
        </is>
      </c>
      <c r="AD44" s="6" t="inlineStr">
        <is>
          <t>No separate deliverable explicitly named</t>
        </is>
      </c>
      <c r="AE44" s="6" t="inlineStr">
        <is>
          <t>L0 Tender / Offer; L1 Conceptual Design; L2 Detailed Design; L3 Procurement &amp; Manufacturing / FAT; L4 Installation; L5 Standalone Commissioning; L6 Site Acceptance Testing</t>
        </is>
      </c>
      <c r="AF44" s="6" t="inlineStr">
        <is>
          <t>Section/contract-derived reference; derived evidence route</t>
        </is>
      </c>
      <c r="AG44" s="58" t="inlineStr">
        <is>
          <t>OFFER-49 (Supporting)</t>
        </is>
      </c>
    </row>
    <row r="45" ht="99" customHeight="1">
      <c r="A45" s="6" t="n">
        <v>40</v>
      </c>
      <c r="B45" s="6" t="inlineStr">
        <is>
          <t>RTM-702</t>
        </is>
      </c>
      <c r="C45" s="6" t="inlineStr">
        <is>
          <t>Yes</t>
        </is>
      </c>
      <c r="D45" s="6" t="inlineStr">
        <is>
          <t>T0 Gate</t>
        </is>
      </c>
      <c r="E45" s="6" t="inlineStr">
        <is>
          <t>Codes &amp; Standards</t>
        </is>
      </c>
      <c r="F45" s="57" t="inlineStr">
        <is>
          <t>SAFETY</t>
        </is>
      </c>
      <c r="G45" s="58" t="inlineStr">
        <is>
          <t>Regulatory / Certification</t>
        </is>
      </c>
      <c r="H45" s="58" t="inlineStr">
        <is>
          <t>Pressure equipment &amp; safety standards (Table 24)</t>
        </is>
      </c>
      <c r="I45" s="58" t="inlineStr">
        <is>
          <t>C7 — Quality, Testing &amp; Risk</t>
        </is>
      </c>
      <c r="J45" s="6" t="n">
        <v>129</v>
      </c>
      <c r="K45" s="6" t="inlineStr">
        <is>
          <t>9.4</t>
        </is>
      </c>
      <c r="L45" s="6" t="inlineStr">
        <is>
          <t>Pressure Equipment &amp; Safety</t>
        </is>
      </c>
      <c r="M45" s="6" t="inlineStr">
        <is>
          <t>The Contractor shall comply at least with the standards specified in Table 24.</t>
        </is>
      </c>
      <c r="N45" s="6" t="inlineStr">
        <is>
          <t>The Contractor shall comply at least with the standards specified in Table 24.</t>
        </is>
      </c>
      <c r="O45" s="6" t="n">
        <v>3</v>
      </c>
      <c r="P45" s="6" t="n">
        <v>0</v>
      </c>
      <c r="Q45" s="6" t="n">
        <v>0</v>
      </c>
      <c r="R45" s="6" t="n">
        <v>0</v>
      </c>
      <c r="S45" s="6" t="n">
        <v>0</v>
      </c>
      <c r="T45" s="6" t="n">
        <v>0</v>
      </c>
      <c r="U45" s="6" t="n">
        <v>0</v>
      </c>
      <c r="V45" s="6" t="n">
        <v>20</v>
      </c>
      <c r="W45" s="6" t="n">
        <v>95.423</v>
      </c>
      <c r="X45" s="6" t="n">
        <v>59.401</v>
      </c>
      <c r="Y45" s="6" t="inlineStr">
        <is>
          <t>Safety / Legal</t>
        </is>
      </c>
      <c r="Z45" s="6" t="inlineStr">
        <is>
          <t>Gate precedence; within T0 ordered by Weighted S.</t>
        </is>
      </c>
      <c r="AA45" s="6" t="inlineStr">
        <is>
          <t>PED 2014/68/EU; ASME VIII-1; EN 13445; API 520/521; EN ISO 4126; ISO 21013-1/2</t>
        </is>
      </c>
      <c r="AB45" s="6" t="inlineStr">
        <is>
          <t>PED 2014/68/EU; ASME VIII-1; EN 13445; API 520/521; EN ISO 4126; ISO 21013-1/2</t>
        </is>
      </c>
      <c r="AC45" s="6" t="inlineStr">
        <is>
          <t>Standard-by-standard compliance check against the specific list this RTM points to (PED 2014/68/EU, ASME VIII-1, EN 13445, API 520/521, EN ISO 4126, ISO 21013-1/2) -- request the Table-24-referenced list explicitly rather than accepting a general 'pressure equipment code compliant' statement, since which of these six actually applies depends on the specific vessel/relief-device type.</t>
        </is>
      </c>
      <c r="AD45" s="6" t="inlineStr">
        <is>
          <t>No separate deliverable explicitly named</t>
        </is>
      </c>
      <c r="AE45" s="6" t="inlineStr">
        <is>
          <t>L0 Tender / Offer; L1 Conceptual Design; L2 Detailed Design; L3 Procurement &amp; Manufacturing / FAT; L4 Installation; L5 Standalone Commissioning; L6 Site Acceptance Testing</t>
        </is>
      </c>
      <c r="AF45" s="6" t="inlineStr">
        <is>
          <t>Explicit/table-grounded standard; derived evidence route</t>
        </is>
      </c>
      <c r="AG45" s="58" t="inlineStr">
        <is>
          <t>OFFER-49 (Supporting)</t>
        </is>
      </c>
    </row>
    <row r="46" ht="73" customHeight="1">
      <c r="A46" s="6" t="n">
        <v>41</v>
      </c>
      <c r="B46" s="6" t="inlineStr">
        <is>
          <t>RTM-703</t>
        </is>
      </c>
      <c r="C46" s="6" t="inlineStr">
        <is>
          <t>Yes</t>
        </is>
      </c>
      <c r="D46" s="6" t="inlineStr">
        <is>
          <t>T0 Gate</t>
        </is>
      </c>
      <c r="E46" s="6" t="inlineStr">
        <is>
          <t>Codes &amp; Standards</t>
        </is>
      </c>
      <c r="F46" s="57" t="inlineStr">
        <is>
          <t>SAFETY</t>
        </is>
      </c>
      <c r="G46" s="58" t="inlineStr">
        <is>
          <t>Interlock &amp; Control Safety</t>
        </is>
      </c>
      <c r="H46" s="58" t="inlineStr">
        <is>
          <t>Functional safety &amp; control standards (Table 25)</t>
        </is>
      </c>
      <c r="I46" s="58" t="inlineStr">
        <is>
          <t>C7 — Quality, Testing &amp; Risk</t>
        </is>
      </c>
      <c r="J46" s="6" t="n">
        <v>129</v>
      </c>
      <c r="K46" s="6" t="inlineStr">
        <is>
          <t>9.5</t>
        </is>
      </c>
      <c r="L46" s="6" t="inlineStr">
        <is>
          <t>Functional Safety &amp; Control</t>
        </is>
      </c>
      <c r="M46" s="6" t="inlineStr">
        <is>
          <t>The Contractor shall comply at least with the standards specified in Table 25.</t>
        </is>
      </c>
      <c r="N46" s="6" t="inlineStr">
        <is>
          <t>The Contractor shall comply at least with the standards specified in Table 25.</t>
        </is>
      </c>
      <c r="O46" s="6" t="n">
        <v>3</v>
      </c>
      <c r="P46" s="6" t="n">
        <v>0</v>
      </c>
      <c r="Q46" s="6" t="n">
        <v>0</v>
      </c>
      <c r="R46" s="6" t="n">
        <v>0</v>
      </c>
      <c r="S46" s="6" t="n">
        <v>0</v>
      </c>
      <c r="T46" s="6" t="n">
        <v>0</v>
      </c>
      <c r="U46" s="6" t="n">
        <v>0</v>
      </c>
      <c r="V46" s="6" t="n">
        <v>20</v>
      </c>
      <c r="W46" s="6" t="n">
        <v>95.423</v>
      </c>
      <c r="X46" s="6" t="n">
        <v>59.401</v>
      </c>
      <c r="Y46" s="6" t="inlineStr">
        <is>
          <t>Safety / Legal</t>
        </is>
      </c>
      <c r="Z46" s="6" t="inlineStr">
        <is>
          <t>Gate precedence; within T0 ordered by Weighted S.</t>
        </is>
      </c>
      <c r="AA46" s="6" t="inlineStr">
        <is>
          <t>IEC 61508; IEC 61511; IEC 60204-1 / 61439; IEC 60300-3-3</t>
        </is>
      </c>
      <c r="AB46" s="6" t="inlineStr">
        <is>
          <t>IEC 61508; IEC 61511; IEC 60204-1 / 61439; IEC 60300-3-3</t>
        </is>
      </c>
      <c r="AC46" s="6" t="inlineStr">
        <is>
          <t>Standard-by-standard compliance check against Table 25's list (IEC 61508, IEC 61511, IEC 60204-1/61439, IEC 60300-3-3) mapped to the specific control loops/panels each one governs -- a blanket 'IEC 61508 compliant' claim without naming which loops were assessed under which standard does not satisfy this RTM.</t>
        </is>
      </c>
      <c r="AD46" s="6" t="inlineStr">
        <is>
          <t>No separate deliverable explicitly named</t>
        </is>
      </c>
      <c r="AE46" s="6" t="inlineStr">
        <is>
          <t>L0 Tender / Offer; L1 Conceptual Design; L2 Detailed Design; L3 Procurement &amp; Manufacturing / FAT; L4 Installation; L5 Standalone Commissioning; L6 Site Acceptance Testing</t>
        </is>
      </c>
      <c r="AF46" s="6" t="inlineStr">
        <is>
          <t>Explicit/table-grounded standard; derived evidence route</t>
        </is>
      </c>
      <c r="AG46" s="58" t="inlineStr">
        <is>
          <t>OFFER-49 (Supporting)</t>
        </is>
      </c>
    </row>
    <row r="47" ht="99" customHeight="1">
      <c r="A47" s="6" t="n">
        <v>42</v>
      </c>
      <c r="B47" s="6" t="inlineStr">
        <is>
          <t>RTM-704</t>
        </is>
      </c>
      <c r="C47" s="6" t="inlineStr">
        <is>
          <t>Yes</t>
        </is>
      </c>
      <c r="D47" s="6" t="inlineStr">
        <is>
          <t>T0 Gate</t>
        </is>
      </c>
      <c r="E47" s="6" t="inlineStr">
        <is>
          <t>Codes &amp; Standards</t>
        </is>
      </c>
      <c r="F47" s="57" t="inlineStr">
        <is>
          <t>SAFETY</t>
        </is>
      </c>
      <c r="G47" s="58" t="inlineStr">
        <is>
          <t>Interlock &amp; Control Safety</t>
        </is>
      </c>
      <c r="H47" s="58" t="inlineStr">
        <is>
          <t>Personnel-protection SIL design basis</t>
        </is>
      </c>
      <c r="I47" s="58" t="inlineStr">
        <is>
          <t>C7 — Quality, Testing &amp; Risk</t>
        </is>
      </c>
      <c r="J47" s="6" t="n">
        <v>129</v>
      </c>
      <c r="K47" s="6" t="inlineStr">
        <is>
          <t>9.5</t>
        </is>
      </c>
      <c r="L47" s="6" t="inlineStr">
        <is>
          <t>Functional Safety &amp; Control</t>
        </is>
      </c>
      <c r="M47" s="6" t="inlineStr">
        <is>
          <t>Any system involved in personnel protection shall be designed according to standards IEC 61508 (Functional Safety) or one of the sector-specific derived standards (IEC 62061, IEC 61511) or alternative (e.g. ISO 13849-1).</t>
        </is>
      </c>
      <c r="N47" s="6" t="inlineStr">
        <is>
          <t>Any system involved in personnel protection shall be designed according to standards IEC 61508 (Functional Safety) or one of the sector-specific derived standards (IEC 62061, IEC 61511) or alternative (e.g. ISO 13849-1).</t>
        </is>
      </c>
      <c r="O47" s="6" t="n">
        <v>3</v>
      </c>
      <c r="P47" s="6" t="n">
        <v>0</v>
      </c>
      <c r="Q47" s="6" t="n">
        <v>0</v>
      </c>
      <c r="R47" s="6" t="n">
        <v>0</v>
      </c>
      <c r="S47" s="6" t="n">
        <v>0</v>
      </c>
      <c r="T47" s="6" t="n">
        <v>0</v>
      </c>
      <c r="U47" s="6" t="n">
        <v>0</v>
      </c>
      <c r="V47" s="6" t="n">
        <v>20</v>
      </c>
      <c r="W47" s="6" t="n">
        <v>95.423</v>
      </c>
      <c r="X47" s="6" t="n">
        <v>59.401</v>
      </c>
      <c r="Y47" s="6" t="inlineStr">
        <is>
          <t>Safety / Legal</t>
        </is>
      </c>
      <c r="Z47" s="6" t="inlineStr">
        <is>
          <t>Gate precedence; within T0 ordered by Weighted S.</t>
        </is>
      </c>
      <c r="AA47" s="6" t="inlineStr">
        <is>
          <t>IEC 61508; IEC 62061; IEC 61511; ISO 13849-1</t>
        </is>
      </c>
      <c r="AB47" s="6" t="inlineStr">
        <is>
          <t>IEC 61508; IEC 62061; IEC 61511; ISO 13849-1</t>
        </is>
      </c>
      <c r="AC47" s="6" t="inlineStr">
        <is>
          <t>SIL-determination record (or equivalent, e.g. ISO 13849-1 Performance Level derivation) for every system involved in personnel protection, naming which of IEC 61508 / IEC 62061 / IEC 61511 / ISO 13849-1 was used and why -- a device datasheet claiming 'SIL-2 capable' without a project-specific SIL-determination record for how it's actually applied here does not satisfy this RTM.</t>
        </is>
      </c>
      <c r="AD47" s="6" t="inlineStr">
        <is>
          <t>No separate deliverable explicitly named</t>
        </is>
      </c>
      <c r="AE47" s="6" t="inlineStr">
        <is>
          <t>L0 Tender / Offer; L1 Conceptual Design; L2 Detailed Design; L3 Procurement &amp; Manufacturing / FAT; L4 Installation; L5 Standalone Commissioning; L6 Site Acceptance Testing</t>
        </is>
      </c>
      <c r="AF47" s="6" t="inlineStr">
        <is>
          <t>Explicit/table-grounded standard; derived evidence route</t>
        </is>
      </c>
      <c r="AG47" s="58" t="inlineStr">
        <is>
          <t>OFFER-49 (Supporting)</t>
        </is>
      </c>
    </row>
    <row r="48" ht="73" customHeight="1">
      <c r="A48" s="6" t="n">
        <v>43</v>
      </c>
      <c r="B48" s="6" t="inlineStr">
        <is>
          <t>RTM-705</t>
        </is>
      </c>
      <c r="C48" s="6" t="inlineStr">
        <is>
          <t>Yes</t>
        </is>
      </c>
      <c r="D48" s="6" t="inlineStr">
        <is>
          <t>T0 Gate</t>
        </is>
      </c>
      <c r="E48" s="6" t="inlineStr">
        <is>
          <t>Codes &amp; Standards</t>
        </is>
      </c>
      <c r="F48" s="57" t="inlineStr">
        <is>
          <t>SYSTEM</t>
        </is>
      </c>
      <c r="G48" s="58" t="inlineStr">
        <is>
          <t>Constraint</t>
        </is>
      </c>
      <c r="H48" s="58" t="inlineStr">
        <is>
          <t>Cleanliness &amp; purity standards (Table 26)</t>
        </is>
      </c>
      <c r="I48" s="58" t="inlineStr">
        <is>
          <t>C7 — Quality, Testing &amp; Risk</t>
        </is>
      </c>
      <c r="J48" s="6" t="n">
        <v>129</v>
      </c>
      <c r="K48" s="6" t="inlineStr">
        <is>
          <t>9.6</t>
        </is>
      </c>
      <c r="L48" s="6" t="inlineStr">
        <is>
          <t>Cleanliness &amp; Purity</t>
        </is>
      </c>
      <c r="M48" s="6" t="inlineStr">
        <is>
          <t>The Contractor shall comply at least with the standards specified in Table 26.</t>
        </is>
      </c>
      <c r="N48" s="6" t="inlineStr">
        <is>
          <t>The Contractor shall comply at least with the standards specified in Table 26.</t>
        </is>
      </c>
      <c r="O48" s="6" t="n">
        <v>3</v>
      </c>
      <c r="P48" s="6" t="n">
        <v>0</v>
      </c>
      <c r="Q48" s="6" t="n">
        <v>0</v>
      </c>
      <c r="R48" s="6" t="n">
        <v>0</v>
      </c>
      <c r="S48" s="6" t="n">
        <v>0</v>
      </c>
      <c r="T48" s="6" t="n">
        <v>0</v>
      </c>
      <c r="U48" s="6" t="n">
        <v>0</v>
      </c>
      <c r="V48" s="6" t="n">
        <v>20</v>
      </c>
      <c r="W48" s="6" t="n">
        <v>95.423</v>
      </c>
      <c r="X48" s="6" t="n">
        <v>59.401</v>
      </c>
      <c r="Y48" s="6" t="inlineStr">
        <is>
          <t>Safety / Legal</t>
        </is>
      </c>
      <c r="Z48" s="6" t="inlineStr">
        <is>
          <t>Gate precedence; within T0 ordered by Weighted S.</t>
        </is>
      </c>
      <c r="AA48" s="6" t="inlineStr">
        <is>
          <t>ISO 8573-1 Class 0; ASTM D5464</t>
        </is>
      </c>
      <c r="AB48" s="6" t="inlineStr">
        <is>
          <t>ISO 8573-1 Class 0; ASTM D5464</t>
        </is>
      </c>
      <c r="AC48" s="6" t="inlineStr">
        <is>
          <t>Cleanliness/purity test certificates against the specific standards Table 26 names (ISO 8573-1 Class 0, ASTM D5464), tied to the actual helium/gas circuits they apply to -- a general 'clean assembly practices used' statement without a Class-0-referenced test certificate does not satisfy this RTM.</t>
        </is>
      </c>
      <c r="AD48" s="6" t="inlineStr">
        <is>
          <t>No separate deliverable explicitly named</t>
        </is>
      </c>
      <c r="AE48" s="6" t="inlineStr">
        <is>
          <t>L0 Tender / Offer; L1 Conceptual Design; L2 Detailed Design; L3 Procurement &amp; Manufacturing / FAT; L4 Installation; L5 Standalone Commissioning; L6 Site Acceptance Testing</t>
        </is>
      </c>
      <c r="AF48" s="6" t="inlineStr">
        <is>
          <t>Explicit/table-grounded standard; derived evidence route</t>
        </is>
      </c>
      <c r="AG48" s="58" t="inlineStr">
        <is>
          <t>OFFER-49 (Supporting)</t>
        </is>
      </c>
    </row>
    <row r="49" ht="242" customHeight="1">
      <c r="A49" s="6" t="n">
        <v>44</v>
      </c>
      <c r="B49" s="6" t="inlineStr">
        <is>
          <t>RTM-482</t>
        </is>
      </c>
      <c r="C49" s="6" t="inlineStr">
        <is>
          <t>No</t>
        </is>
      </c>
      <c r="D49" s="6" t="inlineStr">
        <is>
          <t>T1 Primary</t>
        </is>
      </c>
      <c r="E49" s="6" t="inlineStr">
        <is>
          <t>Commissioning</t>
        </is>
      </c>
      <c r="F49" s="82" t="inlineStr">
        <is>
          <t>PROJECT</t>
        </is>
      </c>
      <c r="G49" s="83" t="inlineStr">
        <is>
          <t>Governance &amp; Responsibility</t>
        </is>
      </c>
      <c r="H49" s="59" t="inlineStr">
        <is>
          <t>—</t>
        </is>
      </c>
      <c r="I49" s="58" t="inlineStr">
        <is>
          <t>Not linked to an OFFER item</t>
        </is>
      </c>
      <c r="J49" s="6" t="n">
        <v>93</v>
      </c>
      <c r="K49" s="6" t="inlineStr">
        <is>
          <t>4.11</t>
        </is>
      </c>
      <c r="L49" s="6" t="inlineStr">
        <is>
          <t>Commissioning Requirements</t>
        </is>
      </c>
      <c r="M49" s="6" t="inlineStr">
        <is>
          <t>The Contractor shall perform all required performance and capacity testing to validate full compliance with all specified performance, capacity, and quality criteria defined in this Technical Specification.</t>
        </is>
      </c>
      <c r="N49" s="6" t="inlineStr">
        <is>
          <t>The Contractor shall perform all required performance and capacity testing to validate full compliance with all specified performance, capacity, and quality criteria defined in this Technical Specification.
• The Contractor shall perform these tests as part of the Commissioning phase and thus before the SAT. This shall ensure that the subsequent SAT can be performed efficiently.
• This shall include but is not limited to:
• The helium inventory required to perform the SAT of the QPS is available.
• Long Duration Test: The compression station shall operate continuously for a minimum of 24 hours at specified conditions to demonstrate thermal stability and mechanical reliability.
• Cycle Gas Purity: During long-duration operation, impurity levels (O₂, N₂, H₂O) shall remain equal to or lower than the guaranteed values.
• Oil Removal Efficiency validation
• Dryer Capacity validation (potentially by controlled water injection).
• Vibration Spectral Analysis to identify potential vibration sources.
• Validation of all interface control logic between QPS:CIS and: MCS, MIT and MIS</t>
        </is>
      </c>
      <c r="O49" s="6" t="n">
        <v>2</v>
      </c>
      <c r="P49" s="6" t="n">
        <v>3</v>
      </c>
      <c r="Q49" s="6" t="n">
        <v>2</v>
      </c>
      <c r="R49" s="6" t="n">
        <v>3</v>
      </c>
      <c r="S49" s="6" t="n">
        <v>3</v>
      </c>
      <c r="T49" s="6" t="n">
        <v>0</v>
      </c>
      <c r="U49" s="6" t="n">
        <v>0</v>
      </c>
      <c r="V49" s="6" t="n">
        <v>76.666667</v>
      </c>
      <c r="W49" s="6" t="n">
        <v>94.0361</v>
      </c>
      <c r="X49" s="6" t="n">
        <v>51.8933</v>
      </c>
      <c r="Y49" s="6" t="inlineStr">
        <is>
          <t>Reliability</t>
        </is>
      </c>
      <c r="Z49" s="6" t="inlineStr">
        <is>
          <t>Frozen-weight composite; strongest contribution: Reliability.</t>
        </is>
      </c>
      <c r="AA49" s="6" t="inlineStr">
        <is>
          <t>None explicitly named in this RTM</t>
        </is>
      </c>
      <c r="AB49" s="6" t="inlineStr">
        <is>
          <t>SCK CEN/90508872 §4.11; no named external code</t>
        </is>
      </c>
      <c r="AC49" s="6" t="inlineStr">
        <is>
          <t>Submit and review the named deliverable with RTM traceability and approval status; Witnessed FAT/SAT/commissioning test against stated acceptance criteria; Calculation/model plus calibrated measurement or recorded trend</t>
        </is>
      </c>
      <c r="AD49" s="6" t="inlineStr">
        <is>
          <t>Datasheet / technical specification</t>
        </is>
      </c>
      <c r="AE49" s="6" t="inlineStr">
        <is>
          <t>L6 Site Acceptance Testing; L1 Conceptual Design; L2 Detailed Design</t>
        </is>
      </c>
      <c r="AF49" s="6" t="inlineStr">
        <is>
          <t>Section/contract-derived reference; explicit deliverable/test wording</t>
        </is>
      </c>
      <c r="AG49" s="58" t="inlineStr">
        <is>
          <t>Not linked to an OFFER item</t>
        </is>
      </c>
    </row>
    <row r="50" ht="255" customHeight="1">
      <c r="A50" s="6" t="n">
        <v>45</v>
      </c>
      <c r="B50" s="6" t="inlineStr">
        <is>
          <t>RTM-522</t>
        </is>
      </c>
      <c r="C50" s="6" t="inlineStr">
        <is>
          <t>No</t>
        </is>
      </c>
      <c r="D50" s="6" t="inlineStr">
        <is>
          <t>T1 Primary</t>
        </is>
      </c>
      <c r="E50" s="6" t="inlineStr">
        <is>
          <t>Acceptance Testing</t>
        </is>
      </c>
      <c r="F50" s="82" t="inlineStr">
        <is>
          <t>PROJECT</t>
        </is>
      </c>
      <c r="G50" s="83" t="inlineStr">
        <is>
          <t>Governance &amp; Responsibility</t>
        </is>
      </c>
      <c r="H50" s="59" t="inlineStr">
        <is>
          <t>—</t>
        </is>
      </c>
      <c r="I50" s="58" t="inlineStr">
        <is>
          <t>C7 — Quality, Testing &amp; Risk</t>
        </is>
      </c>
      <c r="J50" s="6" t="n">
        <v>101</v>
      </c>
      <c r="K50" s="6" t="inlineStr">
        <is>
          <t>4.13.3.3.1</t>
        </is>
      </c>
      <c r="L50" s="6" t="inlineStr">
        <is>
          <t>Demonstration of the cooling capacity</t>
        </is>
      </c>
      <c r="M50" s="6" t="inlineStr">
        <is>
          <t>For the TS-SB scenario, the Contractor shall perform the following cooling-capacity test during the SAT:</t>
        </is>
      </c>
      <c r="N50" s="6" t="inlineStr">
        <is>
          <t>For the TS-SB scenario, the Contractor shall perform the following cooling-capacity test during the SAT:
• Test conditions
• The demonstrated operating points shall be:
• POINT_A = QPLANT Predefined Test Point, as defined in RTM-503, within the 4K-SB scenario
• POINT_B = QPLANT Predefined Test Point, as defined in RTM-503, within the TS-SB scenario
• The test run shall be performed without operation of the VLP compressors.
• Test execution
• The QPS shall start at the operating POINT_A.
• The QPS shall transition from POINT_A to POINT_B.
• The QPS shall operate for at least 24 h under steady-state conditions at POINT_B.
• After completion of the run, the QPS shall return to POINT_A.
• Acceptance criteria
• No discontinuous operation shall occur during the full testing period.
• The achieved values shall comply with the specified performance requirements.</t>
        </is>
      </c>
      <c r="O50" s="6" t="n">
        <v>2</v>
      </c>
      <c r="P50" s="6" t="n">
        <v>3</v>
      </c>
      <c r="Q50" s="6" t="n">
        <v>3</v>
      </c>
      <c r="R50" s="6" t="n">
        <v>0</v>
      </c>
      <c r="S50" s="6" t="n">
        <v>3</v>
      </c>
      <c r="T50" s="6" t="n">
        <v>0</v>
      </c>
      <c r="U50" s="6" t="n">
        <v>0</v>
      </c>
      <c r="V50" s="6" t="n">
        <v>67.333333</v>
      </c>
      <c r="W50" s="6" t="n">
        <v>93.6893</v>
      </c>
      <c r="X50" s="6" t="n">
        <v>50.2298</v>
      </c>
      <c r="Y50" s="6" t="inlineStr">
        <is>
          <t>Reliability</t>
        </is>
      </c>
      <c r="Z50" s="6" t="inlineStr">
        <is>
          <t>Frozen-weight composite; strongest contribution: Reliability.</t>
        </is>
      </c>
      <c r="AA50" s="6" t="inlineStr">
        <is>
          <t>None explicitly named in this RTM</t>
        </is>
      </c>
      <c r="AB50" s="6" t="inlineStr">
        <is>
          <t>SCK CEN/90508872 §4.13.3.3.1; no named external code</t>
        </is>
      </c>
      <c r="AC50" s="6" t="inlineStr">
        <is>
          <t>Witnessed FAT/SAT/commissioning test against stated acceptance criteria; Calculation/model plus calibrated measurement or recorded trend; RAM/maintenance substantiation and recovery/failure-response evidence</t>
        </is>
      </c>
      <c r="AD50" s="6" t="inlineStr">
        <is>
          <t>No separate deliverable explicitly named</t>
        </is>
      </c>
      <c r="AE50" s="6" t="inlineStr">
        <is>
          <t>L6 Site Acceptance Testing; L1 Conceptual Design; L2 Detailed Design</t>
        </is>
      </c>
      <c r="AF50" s="6" t="inlineStr">
        <is>
          <t>Section/contract-derived reference; explicit deliverable/test wording</t>
        </is>
      </c>
      <c r="AG50" s="58" t="inlineStr">
        <is>
          <t>OFFER-39 (Supporting)</t>
        </is>
      </c>
    </row>
    <row r="51" ht="320" customHeight="1">
      <c r="A51" s="6" t="n">
        <v>46</v>
      </c>
      <c r="B51" s="6" t="inlineStr">
        <is>
          <t>RTM-523</t>
        </is>
      </c>
      <c r="C51" s="6" t="inlineStr">
        <is>
          <t>No</t>
        </is>
      </c>
      <c r="D51" s="6" t="inlineStr">
        <is>
          <t>T1 Primary</t>
        </is>
      </c>
      <c r="E51" s="6" t="inlineStr">
        <is>
          <t>Acceptance Testing</t>
        </is>
      </c>
      <c r="F51" s="82" t="inlineStr">
        <is>
          <t>PROJECT</t>
        </is>
      </c>
      <c r="G51" s="83" t="inlineStr">
        <is>
          <t>Governance &amp; Responsibility</t>
        </is>
      </c>
      <c r="H51" s="59" t="inlineStr">
        <is>
          <t>—</t>
        </is>
      </c>
      <c r="I51" s="58" t="inlineStr">
        <is>
          <t>C7 — Quality, Testing &amp; Risk</t>
        </is>
      </c>
      <c r="J51" s="6" t="n">
        <v>101</v>
      </c>
      <c r="K51" s="6" t="inlineStr">
        <is>
          <t>4.13.3.3.1</t>
        </is>
      </c>
      <c r="L51" s="6" t="inlineStr">
        <is>
          <t>Demonstration of the cooling capacity</t>
        </is>
      </c>
      <c r="M51" s="6" t="inlineStr">
        <is>
          <t>For the 10K-SB scenario, the Contractor shall perform the following cooling-capacity test during the SAT:</t>
        </is>
      </c>
      <c r="N51" s="6" t="inlineStr">
        <is>
          <t>For the 10K-SB scenario, the Contractor shall perform the following cooling-capacity test during the SAT:
• Test conditions
• The demonstrated operating points shall be:
• POINT_A = QPLANT Predefined Test Point, as defined in RTM-503, within the 4K-SB scenario
• POINT_B = QPLANT Predefined Test Point, as defined in RTM-503, within the 10K-SB scenario
• POINT_C = QPLANT Predefined Test Point, as defined in RTM-503, within the 10K-SB scenario
• The test run shall be performed without operation of the VLP compressors.
• Test execution
• The QPS shall start at the operating POINT_A.
• The QPS shall transition from POINT_A to POINT_B.
• The QPS shall operate for at least 12 h under steady-state conditions at POINT_B.
• The QPS shall transition from POINT_B to POINT_C.
• The QPS shall operate for at least 12 h under steady-state conditions at POINT_C.
• After completion of the run, the QPS shall return to POINT_A.
• Acceptance criteria
• No discontinuous operation shall occur during the full testing period.
• The achieved values shall comply with the specified performance requirements.</t>
        </is>
      </c>
      <c r="O51" s="6" t="n">
        <v>2</v>
      </c>
      <c r="P51" s="6" t="n">
        <v>3</v>
      </c>
      <c r="Q51" s="6" t="n">
        <v>3</v>
      </c>
      <c r="R51" s="6" t="n">
        <v>0</v>
      </c>
      <c r="S51" s="6" t="n">
        <v>3</v>
      </c>
      <c r="T51" s="6" t="n">
        <v>0</v>
      </c>
      <c r="U51" s="6" t="n">
        <v>0</v>
      </c>
      <c r="V51" s="6" t="n">
        <v>67.333333</v>
      </c>
      <c r="W51" s="6" t="n">
        <v>93.6893</v>
      </c>
      <c r="X51" s="6" t="n">
        <v>50.2298</v>
      </c>
      <c r="Y51" s="6" t="inlineStr">
        <is>
          <t>Reliability</t>
        </is>
      </c>
      <c r="Z51" s="6" t="inlineStr">
        <is>
          <t>Frozen-weight composite; strongest contribution: Reliability.</t>
        </is>
      </c>
      <c r="AA51" s="6" t="inlineStr">
        <is>
          <t>None explicitly named in this RTM</t>
        </is>
      </c>
      <c r="AB51" s="6" t="inlineStr">
        <is>
          <t>SCK CEN/90508872 §4.13.3.3.1; no named external code</t>
        </is>
      </c>
      <c r="AC51" s="6" t="inlineStr">
        <is>
          <t>Witnessed FAT/SAT/commissioning test against stated acceptance criteria; Calculation/model plus calibrated measurement or recorded trend; RAM/maintenance substantiation and recovery/failure-response evidence</t>
        </is>
      </c>
      <c r="AD51" s="6" t="inlineStr">
        <is>
          <t>No separate deliverable explicitly named</t>
        </is>
      </c>
      <c r="AE51" s="6" t="inlineStr">
        <is>
          <t>L6 Site Acceptance Testing; L1 Conceptual Design; L2 Detailed Design</t>
        </is>
      </c>
      <c r="AF51" s="6" t="inlineStr">
        <is>
          <t>Section/contract-derived reference; explicit deliverable/test wording</t>
        </is>
      </c>
      <c r="AG51" s="58" t="inlineStr">
        <is>
          <t>OFFER-39 (Supporting)</t>
        </is>
      </c>
    </row>
    <row r="52" ht="242" customHeight="1">
      <c r="A52" s="6" t="n">
        <v>47</v>
      </c>
      <c r="B52" s="6" t="inlineStr">
        <is>
          <t>RTM-524</t>
        </is>
      </c>
      <c r="C52" s="6" t="inlineStr">
        <is>
          <t>No</t>
        </is>
      </c>
      <c r="D52" s="6" t="inlineStr">
        <is>
          <t>T1 Primary</t>
        </is>
      </c>
      <c r="E52" s="6" t="inlineStr">
        <is>
          <t>Acceptance Testing</t>
        </is>
      </c>
      <c r="F52" s="82" t="inlineStr">
        <is>
          <t>PROJECT</t>
        </is>
      </c>
      <c r="G52" s="83" t="inlineStr">
        <is>
          <t>Governance &amp; Responsibility</t>
        </is>
      </c>
      <c r="H52" s="59" t="inlineStr">
        <is>
          <t>—</t>
        </is>
      </c>
      <c r="I52" s="58" t="inlineStr">
        <is>
          <t>C7 — Quality, Testing &amp; Risk</t>
        </is>
      </c>
      <c r="J52" s="6" t="n">
        <v>101</v>
      </c>
      <c r="K52" s="6" t="inlineStr">
        <is>
          <t>4.13.3.3.1</t>
        </is>
      </c>
      <c r="L52" s="6" t="inlineStr">
        <is>
          <t>Demonstration of the cooling capacity</t>
        </is>
      </c>
      <c r="M52" s="6" t="inlineStr">
        <is>
          <t>For the 4K-SB scenario, the Contractor shall perform the following cooling-capacity test during the SAT:</t>
        </is>
      </c>
      <c r="N52" s="6" t="inlineStr">
        <is>
          <t>For the 4K-SB scenario, the Contractor shall perform the following cooling-capacity test during the SAT:
• Test conditions
• The demonstrated operating points shall be:
• POINT_A = QPLANT Predefined Test Point, as defined in RTM-503, within the 4K-SB scenario
• POINT_B = QPLANT Standby Point
• All liquid-helium baths shall be filled at least to their minimum operating levels.
• Test execution
• The QPS shall run for at least 48 h at POINT_A.
• The sub-atmospheric compressors shall not be running during the 48 h run.
• After completion of the run, the QPS shall transition to POINT_B, including start-up of the sub-atmospheric compressors.
• Acceptance criteria
• No discontinuous operation shall occur during the full testing period.
• The achieved values shall comply with the specified performance requirements.</t>
        </is>
      </c>
      <c r="O52" s="6" t="n">
        <v>2</v>
      </c>
      <c r="P52" s="6" t="n">
        <v>3</v>
      </c>
      <c r="Q52" s="6" t="n">
        <v>3</v>
      </c>
      <c r="R52" s="6" t="n">
        <v>0</v>
      </c>
      <c r="S52" s="6" t="n">
        <v>3</v>
      </c>
      <c r="T52" s="6" t="n">
        <v>0</v>
      </c>
      <c r="U52" s="6" t="n">
        <v>0</v>
      </c>
      <c r="V52" s="6" t="n">
        <v>67.333333</v>
      </c>
      <c r="W52" s="6" t="n">
        <v>93.6893</v>
      </c>
      <c r="X52" s="6" t="n">
        <v>50.2298</v>
      </c>
      <c r="Y52" s="6" t="inlineStr">
        <is>
          <t>Reliability</t>
        </is>
      </c>
      <c r="Z52" s="6" t="inlineStr">
        <is>
          <t>Frozen-weight composite; strongest contribution: Reliability.</t>
        </is>
      </c>
      <c r="AA52" s="6" t="inlineStr">
        <is>
          <t>None explicitly named in this RTM</t>
        </is>
      </c>
      <c r="AB52" s="6" t="inlineStr">
        <is>
          <t>SCK CEN/90508872 §4.13.3.3.1; no named external code</t>
        </is>
      </c>
      <c r="AC52" s="6" t="inlineStr">
        <is>
          <t>Witnessed FAT/SAT/commissioning test against stated acceptance criteria; Calculation/model plus calibrated measurement or recorded trend; RAM/maintenance substantiation and recovery/failure-response evidence</t>
        </is>
      </c>
      <c r="AD52" s="6" t="inlineStr">
        <is>
          <t>No separate deliverable explicitly named</t>
        </is>
      </c>
      <c r="AE52" s="6" t="inlineStr">
        <is>
          <t>L6 Site Acceptance Testing; L1 Conceptual Design; L2 Detailed Design</t>
        </is>
      </c>
      <c r="AF52" s="6" t="inlineStr">
        <is>
          <t>Section/contract-derived reference; explicit deliverable/test wording</t>
        </is>
      </c>
      <c r="AG52" s="58" t="inlineStr">
        <is>
          <t>OFFER-39 (Supporting)</t>
        </is>
      </c>
    </row>
    <row r="53" ht="255" customHeight="1">
      <c r="A53" s="6" t="n">
        <v>48</v>
      </c>
      <c r="B53" s="6" t="inlineStr">
        <is>
          <t>RTM-525</t>
        </is>
      </c>
      <c r="C53" s="6" t="inlineStr">
        <is>
          <t>No</t>
        </is>
      </c>
      <c r="D53" s="6" t="inlineStr">
        <is>
          <t>T1 Primary</t>
        </is>
      </c>
      <c r="E53" s="6" t="inlineStr">
        <is>
          <t>Acceptance Testing</t>
        </is>
      </c>
      <c r="F53" s="82" t="inlineStr">
        <is>
          <t>PROJECT</t>
        </is>
      </c>
      <c r="G53" s="83" t="inlineStr">
        <is>
          <t>Governance &amp; Responsibility</t>
        </is>
      </c>
      <c r="H53" s="59" t="inlineStr">
        <is>
          <t>—</t>
        </is>
      </c>
      <c r="I53" s="58" t="inlineStr">
        <is>
          <t>C7 — Quality, Testing &amp; Risk</t>
        </is>
      </c>
      <c r="J53" s="6" t="n">
        <v>102</v>
      </c>
      <c r="K53" s="6" t="inlineStr">
        <is>
          <t>4.13.3.3.1</t>
        </is>
      </c>
      <c r="L53" s="6" t="inlineStr">
        <is>
          <t>Demonstration of the cooling capacity</t>
        </is>
      </c>
      <c r="M53" s="6" t="inlineStr">
        <is>
          <t>For the 2K-OP and 2K-SB scenarios, the Contractor shall perform the following cooling-capacity tests during the SAT:</t>
        </is>
      </c>
      <c r="N53" s="6" t="inlineStr">
        <is>
          <t>For the 2K-OP and 2K-SB scenarios, the Contractor shall perform the following cooling-capacity tests during the SAT:
• Test conditions
• The demonstrated operating points shall be:
• POINT_A = QPLANT Standby Point
• POINT_B = QPLANT Predefined Test Point, as defined in RTM-503, within the 2K-OP scenario.
• POINT_C = QPLANT Design Point
• Test execution
• Three (3) runs shall be performed back-to-back.
• The 1st run shall be performed for at least 48 h at POINT_A.
• The 2nd run shall be performed for at least 48 h at POINT_B.
• The 3rd run shall be performed for at least 48 h at POINT_C.
• Acceptance criteria
• No discontinuous operation shall occur during the full testing period.
• The VLP bath pressure stability shall remain within the specified limits during the full duration of each run.
• The achieved values shall comply with the applicable performance requirements.</t>
        </is>
      </c>
      <c r="O53" s="6" t="n">
        <v>2</v>
      </c>
      <c r="P53" s="6" t="n">
        <v>3</v>
      </c>
      <c r="Q53" s="6" t="n">
        <v>3</v>
      </c>
      <c r="R53" s="6" t="n">
        <v>0</v>
      </c>
      <c r="S53" s="6" t="n">
        <v>3</v>
      </c>
      <c r="T53" s="6" t="n">
        <v>0</v>
      </c>
      <c r="U53" s="6" t="n">
        <v>0</v>
      </c>
      <c r="V53" s="6" t="n">
        <v>67.333333</v>
      </c>
      <c r="W53" s="6" t="n">
        <v>93.6893</v>
      </c>
      <c r="X53" s="6" t="n">
        <v>50.2298</v>
      </c>
      <c r="Y53" s="6" t="inlineStr">
        <is>
          <t>Reliability</t>
        </is>
      </c>
      <c r="Z53" s="6" t="inlineStr">
        <is>
          <t>Frozen-weight composite; strongest contribution: Reliability.</t>
        </is>
      </c>
      <c r="AA53" s="6" t="inlineStr">
        <is>
          <t>None explicitly named in this RTM</t>
        </is>
      </c>
      <c r="AB53" s="6" t="inlineStr">
        <is>
          <t>SCK CEN/90508872 §4.13.3.3.1; no named external code</t>
        </is>
      </c>
      <c r="AC53" s="6" t="inlineStr">
        <is>
          <t>Witnessed FAT/SAT/commissioning test against stated acceptance criteria; Calculation/model plus calibrated measurement or recorded trend; RAM/maintenance substantiation and recovery/failure-response evidence</t>
        </is>
      </c>
      <c r="AD53" s="6" t="inlineStr">
        <is>
          <t>No separate deliverable explicitly named</t>
        </is>
      </c>
      <c r="AE53" s="6" t="inlineStr">
        <is>
          <t>L6 Site Acceptance Testing; L1 Conceptual Design; L2 Detailed Design</t>
        </is>
      </c>
      <c r="AF53" s="6" t="inlineStr">
        <is>
          <t>Section/contract-derived reference; explicit deliverable/test wording</t>
        </is>
      </c>
      <c r="AG53" s="58" t="inlineStr">
        <is>
          <t>OFFER-39 (Supporting)</t>
        </is>
      </c>
    </row>
    <row r="54" ht="60" customHeight="1">
      <c r="A54" s="6" t="n">
        <v>49</v>
      </c>
      <c r="B54" s="6" t="inlineStr">
        <is>
          <t>RTM-300</t>
        </is>
      </c>
      <c r="C54" s="6" t="inlineStr">
        <is>
          <t>No</t>
        </is>
      </c>
      <c r="D54" s="6" t="inlineStr">
        <is>
          <t>T1 Primary</t>
        </is>
      </c>
      <c r="E54" s="6" t="inlineStr">
        <is>
          <t>Control &amp; Interlock</t>
        </is>
      </c>
      <c r="F54" s="82" t="inlineStr">
        <is>
          <t>SYSTEM</t>
        </is>
      </c>
      <c r="G54" s="83" t="inlineStr">
        <is>
          <t>Control</t>
        </is>
      </c>
      <c r="H54" s="59" t="inlineStr">
        <is>
          <t>—</t>
        </is>
      </c>
      <c r="I54" s="81" t="inlineStr">
        <is>
          <t>Inferred: C4 — Software &amp; Control (high conf.)</t>
        </is>
      </c>
      <c r="J54" s="6" t="n">
        <v>71</v>
      </c>
      <c r="K54" s="6" t="inlineStr">
        <is>
          <t>4.6.3</t>
        </is>
      </c>
      <c r="L54" s="6" t="inlineStr">
        <is>
          <t>General requirements</t>
        </is>
      </c>
      <c r="M54" s="6" t="inlineStr">
        <is>
          <t>The QPS:CIS shall use a commercially available, industrial-grade control platform with documented lifecycle support and vendor independence.</t>
        </is>
      </c>
      <c r="N54" s="6" t="inlineStr">
        <is>
          <t>The QPS:CIS shall use a commercially available, industrial-grade control platform with documented lifecycle support and vendor independence.
• It shall meet applicable safety, performance, and reliability standards and shall comply with all relevant regulatory frameworks.</t>
        </is>
      </c>
      <c r="O54" s="6" t="n">
        <v>2</v>
      </c>
      <c r="P54" s="6" t="n">
        <v>3</v>
      </c>
      <c r="Q54" s="6" t="n">
        <v>0</v>
      </c>
      <c r="R54" s="6" t="n">
        <v>3</v>
      </c>
      <c r="S54" s="6" t="n">
        <v>2</v>
      </c>
      <c r="T54" s="6" t="n">
        <v>3</v>
      </c>
      <c r="U54" s="6" t="n">
        <v>0</v>
      </c>
      <c r="V54" s="6" t="n">
        <v>66.333333</v>
      </c>
      <c r="W54" s="6" t="n">
        <v>93.3426</v>
      </c>
      <c r="X54" s="6" t="n">
        <v>48.641</v>
      </c>
      <c r="Y54" s="6" t="inlineStr">
        <is>
          <t>Reliability</t>
        </is>
      </c>
      <c r="Z54" s="6" t="inlineStr">
        <is>
          <t>Frozen-weight composite; strongest contribution: Reliability.</t>
        </is>
      </c>
      <c r="AA54" s="6" t="inlineStr">
        <is>
          <t>None explicitly named in this RTM</t>
        </is>
      </c>
      <c r="AB54" s="6" t="inlineStr">
        <is>
          <t>SCK CEN/90508872 §4.6.3; no named external code</t>
        </is>
      </c>
      <c r="AC54" s="6" t="inlineStr">
        <is>
          <t>Functional design/configuration review and sequence/interface demonstration; RAM/maintenance substantiation and recovery/failure-response evidence; Document review, inspection, certification, audit or traceable QC record</t>
        </is>
      </c>
      <c r="AD54" s="6" t="inlineStr">
        <is>
          <t>No separate deliverable explicitly named</t>
        </is>
      </c>
      <c r="AE54" s="6" t="inlineStr">
        <is>
          <t>L1 Conceptual Design; L2 Detailed Design</t>
        </is>
      </c>
      <c r="AF54" s="6" t="inlineStr">
        <is>
          <t>Section/contract-derived reference; derived evidence route</t>
        </is>
      </c>
      <c r="AG54" s="58" t="inlineStr">
        <is>
          <t>Not linked to an OFFER item</t>
        </is>
      </c>
    </row>
    <row r="55" ht="86" customHeight="1">
      <c r="A55" s="6" t="n">
        <v>50</v>
      </c>
      <c r="B55" s="6" t="inlineStr">
        <is>
          <t>RTM-161</t>
        </is>
      </c>
      <c r="C55" s="6" t="inlineStr">
        <is>
          <t>No</t>
        </is>
      </c>
      <c r="D55" s="6" t="inlineStr">
        <is>
          <t>T1 Primary</t>
        </is>
      </c>
      <c r="E55" s="6" t="inlineStr">
        <is>
          <t>Subsystems</t>
        </is>
      </c>
      <c r="F55" s="82" t="inlineStr">
        <is>
          <t>PROJECT</t>
        </is>
      </c>
      <c r="G55" s="83" t="inlineStr">
        <is>
          <t>Documentation &amp; Compliance</t>
        </is>
      </c>
      <c r="H55" s="59" t="inlineStr">
        <is>
          <t>—</t>
        </is>
      </c>
      <c r="I55" s="81" t="inlineStr">
        <is>
          <t>Inferred: C6 — Reliability &amp; Maintenance (medium conf.)</t>
        </is>
      </c>
      <c r="J55" s="6" t="n">
        <v>51</v>
      </c>
      <c r="K55" s="6" t="inlineStr">
        <is>
          <t>4.4.3.5</t>
        </is>
      </c>
      <c r="L55" s="6" t="inlineStr">
        <is>
          <t>Oil</t>
        </is>
      </c>
      <c r="M55" s="6" t="inlineStr">
        <is>
          <t>The Contractor shall include, in the operation and maintenance manual, at minimum, the following oil-related information:</t>
        </is>
      </c>
      <c r="N55" s="6" t="inlineStr">
        <is>
          <t>The Contractor shall include, in the operation and maintenance manual, at minimum, the following oil-related information:
• Detailed procedures for oil preparation, dehydration, and filtration.
• The sampling frequency for routine oil analysis.
• The specifications and acceptance limits for particle count, water content, and acid number.</t>
        </is>
      </c>
      <c r="O55" s="6" t="n">
        <v>2</v>
      </c>
      <c r="P55" s="6" t="n">
        <v>2</v>
      </c>
      <c r="Q55" s="6" t="n">
        <v>2</v>
      </c>
      <c r="R55" s="6" t="n">
        <v>2</v>
      </c>
      <c r="S55" s="6" t="n">
        <v>2</v>
      </c>
      <c r="T55" s="6" t="n">
        <v>2</v>
      </c>
      <c r="U55" s="6" t="n">
        <v>0</v>
      </c>
      <c r="V55" s="6" t="n">
        <v>64.666667</v>
      </c>
      <c r="W55" s="6" t="n">
        <v>92.9958</v>
      </c>
      <c r="X55" s="6" t="n">
        <v>47.1222</v>
      </c>
      <c r="Y55" s="6" t="inlineStr">
        <is>
          <t>Reliability</t>
        </is>
      </c>
      <c r="Z55" s="6" t="inlineStr">
        <is>
          <t>Frozen-weight composite; strongest contribution: Reliability.</t>
        </is>
      </c>
      <c r="AA55" s="6" t="inlineStr">
        <is>
          <t>None explicitly named in this RTM</t>
        </is>
      </c>
      <c r="AB55" s="6" t="inlineStr">
        <is>
          <t>SCK CEN/90508872 §4.4.3.5; no named external code</t>
        </is>
      </c>
      <c r="AC55" s="6" t="inlineStr">
        <is>
          <t>Submit and review the named deliverable with RTM traceability and approval status; Calculation/model plus calibrated measurement or recorded trend; Functional design/configuration review and sequence/interface demonstration</t>
        </is>
      </c>
      <c r="AD55" s="6" t="inlineStr">
        <is>
          <t>User and Maintenance Manuals; Procedure / work instruction</t>
        </is>
      </c>
      <c r="AE55" s="6" t="inlineStr">
        <is>
          <t>L1 Conceptual Design; L2 Detailed Design</t>
        </is>
      </c>
      <c r="AF55" s="6" t="inlineStr">
        <is>
          <t>Section/contract-derived reference; explicit deliverable/test wording</t>
        </is>
      </c>
      <c r="AG55" s="58" t="inlineStr">
        <is>
          <t>Not linked to an OFFER item</t>
        </is>
      </c>
    </row>
    <row r="56" ht="125" customHeight="1">
      <c r="A56" s="6" t="n">
        <v>51</v>
      </c>
      <c r="B56" s="6" t="inlineStr">
        <is>
          <t>RTM-239</t>
        </is>
      </c>
      <c r="C56" s="6" t="inlineStr">
        <is>
          <t>No</t>
        </is>
      </c>
      <c r="D56" s="6" t="inlineStr">
        <is>
          <t>T1 Primary</t>
        </is>
      </c>
      <c r="E56" s="6" t="inlineStr">
        <is>
          <t>Subsystems</t>
        </is>
      </c>
      <c r="F56" s="82" t="inlineStr">
        <is>
          <t>SYSTEM</t>
        </is>
      </c>
      <c r="G56" s="83" t="inlineStr">
        <is>
          <t>Control</t>
        </is>
      </c>
      <c r="H56" s="59" t="inlineStr">
        <is>
          <t>—</t>
        </is>
      </c>
      <c r="I56" s="58" t="inlineStr">
        <is>
          <t>C2 (+) — Process Design + others</t>
        </is>
      </c>
      <c r="J56" s="6" t="n">
        <v>60</v>
      </c>
      <c r="K56" s="6" t="inlineStr">
        <is>
          <t>4.4.5.2</t>
        </is>
      </c>
      <c r="L56" s="6" t="inlineStr">
        <is>
          <t>WSH Requirements</t>
        </is>
      </c>
      <c r="M56" s="6" t="inlineStr">
        <is>
          <t>The WSH shall fulfil, at minimum, the following functions:</t>
        </is>
      </c>
      <c r="N56" s="6" t="inlineStr">
        <is>
          <t>The WSH shall fulfil, at minimum, the following functions:
• Pressure balancing between the pressure sides of the WCS
• Helium inventory management and buffering
• Stabilisation of compressor suction pressure during transient events
• Temporary storage of redistributed helium during cooldown, warm-up, and filling operations
• Recovery and reintegration of helium discharged during abnormal events
• Interface with helium purification, if applicable
• Interface with external helium supply systems</t>
        </is>
      </c>
      <c r="O56" s="6" t="n">
        <v>0</v>
      </c>
      <c r="P56" s="6" t="n">
        <v>3</v>
      </c>
      <c r="Q56" s="6" t="n">
        <v>3</v>
      </c>
      <c r="R56" s="6" t="n">
        <v>2</v>
      </c>
      <c r="S56" s="6" t="n">
        <v>3</v>
      </c>
      <c r="T56" s="6" t="n">
        <v>0</v>
      </c>
      <c r="U56" s="6" t="n">
        <v>0</v>
      </c>
      <c r="V56" s="6" t="n">
        <v>64.666667</v>
      </c>
      <c r="W56" s="6" t="n">
        <v>92.9958</v>
      </c>
      <c r="X56" s="6" t="n">
        <v>47.1222</v>
      </c>
      <c r="Y56" s="6" t="inlineStr">
        <is>
          <t>Reliability</t>
        </is>
      </c>
      <c r="Z56" s="6" t="inlineStr">
        <is>
          <t>Frozen-weight composite; strongest contribution: Reliability.</t>
        </is>
      </c>
      <c r="AA56" s="6" t="inlineStr">
        <is>
          <t>None explicitly named in this RTM</t>
        </is>
      </c>
      <c r="AB56" s="6" t="inlineStr">
        <is>
          <t>SCK CEN/90508872 §4.4.5.2; no named external code</t>
        </is>
      </c>
      <c r="AC56" s="6" t="inlineStr">
        <is>
          <t>Witnessed FAT/SAT/commissioning test against stated acceptance criteria; Calculation/model plus calibrated measurement or recorded trend; Functional design/configuration review and sequence/interface demonstration</t>
        </is>
      </c>
      <c r="AD56" s="6" t="inlineStr">
        <is>
          <t>No separate deliverable explicitly named</t>
        </is>
      </c>
      <c r="AE56" s="6" t="inlineStr">
        <is>
          <t>L6 Site Acceptance Testing; L1 Conceptual Design; L2 Detailed Design</t>
        </is>
      </c>
      <c r="AF56" s="6" t="inlineStr">
        <is>
          <t>Section/contract-derived reference; derived evidence route</t>
        </is>
      </c>
      <c r="AG56" s="58" t="inlineStr">
        <is>
          <t>OFFER-13 (Broad/contextual — main component specification); OFFER-19 (Direct)</t>
        </is>
      </c>
    </row>
    <row r="57" ht="60" customHeight="1">
      <c r="A57" s="6" t="n">
        <v>52</v>
      </c>
      <c r="B57" s="6" t="inlineStr">
        <is>
          <t>RTM-280</t>
        </is>
      </c>
      <c r="C57" s="6" t="inlineStr">
        <is>
          <t>No</t>
        </is>
      </c>
      <c r="D57" s="6" t="inlineStr">
        <is>
          <t>T1 Primary</t>
        </is>
      </c>
      <c r="E57" s="6" t="inlineStr">
        <is>
          <t>Subsystems</t>
        </is>
      </c>
      <c r="F57" s="82" t="inlineStr">
        <is>
          <t>SYSTEM</t>
        </is>
      </c>
      <c r="G57" s="83" t="inlineStr">
        <is>
          <t>Control</t>
        </is>
      </c>
      <c r="H57" s="59" t="inlineStr">
        <is>
          <t>—</t>
        </is>
      </c>
      <c r="I57" s="58" t="inlineStr">
        <is>
          <t>C2 — Process Design</t>
        </is>
      </c>
      <c r="J57" s="6" t="n">
        <v>66</v>
      </c>
      <c r="K57" s="6" t="inlineStr">
        <is>
          <t>4.4.8.2</t>
        </is>
      </c>
      <c r="L57" s="6" t="inlineStr">
        <is>
          <t>Warm GHe Recovery from WGR-MAC</t>
        </is>
      </c>
      <c r="M57" s="6" t="inlineStr">
        <is>
          <t>The QPLANT shall include manual vent and purge valves at the interface with line QRB.G20 to allow drying and conditioning, controlled depressurisation, and safe warm-up of the interface and connected user line.</t>
        </is>
      </c>
      <c r="N57" s="6" t="inlineStr">
        <is>
          <t>The QPLANT shall include manual vent and purge valves at the interface with line QRB.G20 to allow drying and conditioning, controlled depressurisation, and safe warm-up of the interface and connected user line.</t>
        </is>
      </c>
      <c r="O57" s="6" t="n">
        <v>0</v>
      </c>
      <c r="P57" s="6" t="n">
        <v>3</v>
      </c>
      <c r="Q57" s="6" t="n">
        <v>3</v>
      </c>
      <c r="R57" s="6" t="n">
        <v>2</v>
      </c>
      <c r="S57" s="6" t="n">
        <v>3</v>
      </c>
      <c r="T57" s="6" t="n">
        <v>0</v>
      </c>
      <c r="U57" s="6" t="n">
        <v>0</v>
      </c>
      <c r="V57" s="6" t="n">
        <v>64.666667</v>
      </c>
      <c r="W57" s="6" t="n">
        <v>92.9958</v>
      </c>
      <c r="X57" s="6" t="n">
        <v>47.1222</v>
      </c>
      <c r="Y57" s="6" t="inlineStr">
        <is>
          <t>Reliability</t>
        </is>
      </c>
      <c r="Z57" s="6" t="inlineStr">
        <is>
          <t>Frozen-weight composite; strongest contribution: Reliability.</t>
        </is>
      </c>
      <c r="AA57" s="6" t="inlineStr">
        <is>
          <t>None explicitly named in this RTM</t>
        </is>
      </c>
      <c r="AB57" s="6" t="inlineStr">
        <is>
          <t>SCK CEN/90508872 §4.4.8.2; no named external code</t>
        </is>
      </c>
      <c r="AC57" s="6" t="inlineStr">
        <is>
          <t>Witnessed FAT/SAT/commissioning test against stated acceptance criteria; Calculation/model plus calibrated measurement or recorded trend; Functional design/configuration review and sequence/interface demonstration</t>
        </is>
      </c>
      <c r="AD57" s="6" t="inlineStr">
        <is>
          <t>No separate deliverable explicitly named</t>
        </is>
      </c>
      <c r="AE57" s="6" t="inlineStr">
        <is>
          <t>L6 Site Acceptance Testing; L1 Conceptual Design; L2 Detailed Design</t>
        </is>
      </c>
      <c r="AF57" s="6" t="inlineStr">
        <is>
          <t>Section/contract-derived reference; derived evidence route</t>
        </is>
      </c>
      <c r="AG57" s="58" t="inlineStr">
        <is>
          <t>OFFER-24 (Direct)</t>
        </is>
      </c>
    </row>
    <row r="58" ht="86" customHeight="1">
      <c r="A58" s="6" t="n">
        <v>53</v>
      </c>
      <c r="B58" s="6" t="inlineStr">
        <is>
          <t>RTM-351</t>
        </is>
      </c>
      <c r="C58" s="6" t="inlineStr">
        <is>
          <t>No</t>
        </is>
      </c>
      <c r="D58" s="6" t="inlineStr">
        <is>
          <t>T1 Primary</t>
        </is>
      </c>
      <c r="E58" s="6" t="inlineStr">
        <is>
          <t>Control &amp; Interlock</t>
        </is>
      </c>
      <c r="F58" s="82" t="inlineStr">
        <is>
          <t>SYSTEM</t>
        </is>
      </c>
      <c r="G58" s="83" t="inlineStr">
        <is>
          <t>Performance</t>
        </is>
      </c>
      <c r="H58" s="59" t="inlineStr">
        <is>
          <t>—</t>
        </is>
      </c>
      <c r="I58" s="58" t="inlineStr">
        <is>
          <t>C4 — Software &amp; Control</t>
        </is>
      </c>
      <c r="J58" s="6" t="n">
        <v>76</v>
      </c>
      <c r="K58" s="6" t="inlineStr">
        <is>
          <t>4.6.8</t>
        </is>
      </c>
      <c r="L58" s="6" t="inlineStr">
        <is>
          <t>SCADA, HMI, and Data Historian Infrastructure</t>
        </is>
      </c>
      <c r="M58" s="6" t="inlineStr">
        <is>
          <t>The Contractor shall ensure that all operator stations (HMI panels or industrial touch PCs) use industrial-grade hardware suitable for continuous operation under QPS environmental conditions, including temperature, dust, and vibration. Hardware shall comply with relevant industrial standards.</t>
        </is>
      </c>
      <c r="N58" s="6" t="inlineStr">
        <is>
          <t>The Contractor shall ensure that all operator stations (HMI panels or industrial touch PCs) use industrial-grade hardware suitable for continuous operation under QPS environmental conditions, including temperature, dust, and vibration. Hardware shall comply with relevant industrial standards.</t>
        </is>
      </c>
      <c r="O58" s="6" t="n">
        <v>2</v>
      </c>
      <c r="P58" s="6" t="n">
        <v>3</v>
      </c>
      <c r="Q58" s="6" t="n">
        <v>2</v>
      </c>
      <c r="R58" s="6" t="n">
        <v>3</v>
      </c>
      <c r="S58" s="6" t="n">
        <v>0</v>
      </c>
      <c r="T58" s="6" t="n">
        <v>0</v>
      </c>
      <c r="U58" s="6" t="n">
        <v>0</v>
      </c>
      <c r="V58" s="6" t="n">
        <v>64.666667</v>
      </c>
      <c r="W58" s="6" t="n">
        <v>92.9958</v>
      </c>
      <c r="X58" s="6" t="n">
        <v>47.1222</v>
      </c>
      <c r="Y58" s="6" t="inlineStr">
        <is>
          <t>Reliability</t>
        </is>
      </c>
      <c r="Z58" s="6" t="inlineStr">
        <is>
          <t>Frozen-weight composite; strongest contribution: Reliability.</t>
        </is>
      </c>
      <c r="AA58" s="6" t="inlineStr">
        <is>
          <t>None explicitly named in this RTM</t>
        </is>
      </c>
      <c r="AB58" s="6" t="inlineStr">
        <is>
          <t>SCK CEN/90508872 §4.6.8; no named external code</t>
        </is>
      </c>
      <c r="AC58" s="6" t="inlineStr">
        <is>
          <t>Calculation/model plus calibrated measurement or recorded trend; RAM/maintenance substantiation and recovery/failure-response evidence</t>
        </is>
      </c>
      <c r="AD58" s="6" t="inlineStr">
        <is>
          <t>No separate deliverable explicitly named</t>
        </is>
      </c>
      <c r="AE58" s="6" t="inlineStr">
        <is>
          <t>L1 Conceptual Design; L2 Detailed Design</t>
        </is>
      </c>
      <c r="AF58" s="6" t="inlineStr">
        <is>
          <t>Section/contract-derived reference; derived evidence route</t>
        </is>
      </c>
      <c r="AG58" s="58" t="inlineStr">
        <is>
          <t>OFFER-29 (Direct)</t>
        </is>
      </c>
    </row>
    <row r="59" ht="400" customHeight="1">
      <c r="A59" s="6" t="n">
        <v>54</v>
      </c>
      <c r="B59" s="6" t="inlineStr">
        <is>
          <t>RTM-517</t>
        </is>
      </c>
      <c r="C59" s="6" t="inlineStr">
        <is>
          <t>No</t>
        </is>
      </c>
      <c r="D59" s="6" t="inlineStr">
        <is>
          <t>T1 Primary</t>
        </is>
      </c>
      <c r="E59" s="6" t="inlineStr">
        <is>
          <t>Acceptance Testing</t>
        </is>
      </c>
      <c r="F59" s="82" t="inlineStr">
        <is>
          <t>PROJECT</t>
        </is>
      </c>
      <c r="G59" s="83" t="inlineStr">
        <is>
          <t>Documentation &amp; Compliance</t>
        </is>
      </c>
      <c r="H59" s="59" t="inlineStr">
        <is>
          <t>—</t>
        </is>
      </c>
      <c r="I59" s="58" t="inlineStr">
        <is>
          <t>C7 — Quality, Testing &amp; Risk</t>
        </is>
      </c>
      <c r="J59" s="6" t="n">
        <v>99</v>
      </c>
      <c r="K59" s="6" t="inlineStr">
        <is>
          <t>4.13.3.2</t>
        </is>
      </c>
      <c r="L59" s="6" t="inlineStr">
        <is>
          <t>Specific Functional demonstrations</t>
        </is>
      </c>
      <c r="M59" s="6" t="inlineStr">
        <is>
          <t>For the QPS, the Contractor shall perform the following abnormal-event tests during the SAT:</t>
        </is>
      </c>
      <c r="N59" s="6" t="inlineStr">
        <is>
          <t>For the QPS, the Contractor shall perform the following abnormal-event tests during the SAT:
• Test conditions
• The demonstrated operating point shall be:
• POINT_A = QPLANT Design Point
• The simulated abnormal events shall include, at minimum
• Failure of the QPS:CIS
• Partial or total loss of electrical power
• Partial or total loss of cooling water
• Partial or total loss of instrument air
• Partial or total loss of insulation vacuum
• Five (5) abnormal events selected by SCK CEN from a list proposed by the Contractor. For this purpose, the Contractor shall include in the SAT Programme a list of at least twenty (20) distinct credible, critical, and testable abnormal events relevant to the supplied system, affecting power supply, control signals, instrumentation, communication, auxiliary systems, or utilities
• Test execution
• Prior to the simulation of each abnormal event, the QPS shall be operating at POINT_A.
• The Contractor shall simulate each abnormal event individually.
• For each simulated abnormal event, the Contractor shall verify the QPS response, including alarms, interlocks, shutdown functions, and state transitions.
• The Contractor shall verify the safe shutdown of the QPS following each simulated abnormal event.
• After completion of each test run, the Contractor shall restore normal operating conditions before the next abnormal event is simulated.
• The Contractor shall record the QPS response for each simulated abnormal event.
• Acceptance criteria
• The QPS shall respond to each simulated abnormal mode in accordance with the functional analysis, the defined fail-safe philosophy, and the recovery procedures.
• No uncontrolled or undefined operating state shall occur during the test.
• All alarms, interlocks, shutdown functions, and state transitions shall operate as specified.
• All demonstrated characteristics and functions shall comply with the corresponding requirements and specified limits.</t>
        </is>
      </c>
      <c r="O59" s="6" t="n">
        <v>2</v>
      </c>
      <c r="P59" s="6" t="n">
        <v>3</v>
      </c>
      <c r="Q59" s="6" t="n">
        <v>0</v>
      </c>
      <c r="R59" s="6" t="n">
        <v>3</v>
      </c>
      <c r="S59" s="6" t="n">
        <v>3</v>
      </c>
      <c r="T59" s="6" t="n">
        <v>0</v>
      </c>
      <c r="U59" s="6" t="n">
        <v>0</v>
      </c>
      <c r="V59" s="6" t="n">
        <v>63.333333</v>
      </c>
      <c r="W59" s="6" t="n">
        <v>92.6491</v>
      </c>
      <c r="X59" s="6" t="n">
        <v>45.6693</v>
      </c>
      <c r="Y59" s="6" t="inlineStr">
        <is>
          <t>Reliability</t>
        </is>
      </c>
      <c r="Z59" s="6" t="inlineStr">
        <is>
          <t>Frozen-weight composite; strongest contribution: Reliability.</t>
        </is>
      </c>
      <c r="AA59" s="6" t="inlineStr">
        <is>
          <t>None explicitly named in this RTM</t>
        </is>
      </c>
      <c r="AB59" s="6" t="inlineStr">
        <is>
          <t>SCK CEN/90508872 §4.13.3.2; no named external code</t>
        </is>
      </c>
      <c r="AC59" s="6" t="inlineStr">
        <is>
          <t>Submit and review the named deliverable with RTM traceability and approval status; Witnessed FAT/SAT/commissioning test against stated acceptance criteria; Functional design/configuration review and sequence/interface demonstration</t>
        </is>
      </c>
      <c r="AD59" s="6" t="inlineStr">
        <is>
          <t>Procedure / work instruction; List / register / matrix</t>
        </is>
      </c>
      <c r="AE59" s="6" t="inlineStr">
        <is>
          <t>L6 Site Acceptance Testing; L1 Conceptual Design; L2 Detailed Design</t>
        </is>
      </c>
      <c r="AF59" s="6" t="inlineStr">
        <is>
          <t>Section/contract-derived reference; explicit deliverable/test wording</t>
        </is>
      </c>
      <c r="AG59" s="58" t="inlineStr">
        <is>
          <t>OFFER-39 (Supporting)</t>
        </is>
      </c>
    </row>
    <row r="60" ht="400" customHeight="1">
      <c r="A60" s="6" t="n">
        <v>55</v>
      </c>
      <c r="B60" s="6" t="inlineStr">
        <is>
          <t>RTM-478</t>
        </is>
      </c>
      <c r="C60" s="6" t="inlineStr">
        <is>
          <t>No</t>
        </is>
      </c>
      <c r="D60" s="6" t="inlineStr">
        <is>
          <t>T1 Primary</t>
        </is>
      </c>
      <c r="E60" s="6" t="inlineStr">
        <is>
          <t>Installation</t>
        </is>
      </c>
      <c r="F60" s="82" t="inlineStr">
        <is>
          <t>PROJECT</t>
        </is>
      </c>
      <c r="G60" s="83" t="inlineStr">
        <is>
          <t>Documentation &amp; Compliance</t>
        </is>
      </c>
      <c r="H60" s="59" t="inlineStr">
        <is>
          <t>—</t>
        </is>
      </c>
      <c r="I60" s="58" t="inlineStr">
        <is>
          <t>Not linked to an OFFER item</t>
        </is>
      </c>
      <c r="J60" s="6" t="n">
        <v>92</v>
      </c>
      <c r="K60" s="6" t="inlineStr">
        <is>
          <t>4.10</t>
        </is>
      </c>
      <c r="L60" s="6" t="inlineStr">
        <is>
          <t>Installation Requirements</t>
        </is>
      </c>
      <c r="M60" s="6" t="inlineStr">
        <is>
          <t>The Contractor shall perform, at minimum, the following installation-related activities and checks, and shall record the outcome in the Installation File:</t>
        </is>
      </c>
      <c r="N60" s="6" t="inlineStr">
        <is>
          <t>The Contractor shall perform, at minimum, the following installation-related activities and checks, and shall record the outcome in the Installation File:
• Mechanical installation and conformity checks
• Verification of interface geometry and mechanical placement.
• Verification of conformity of the installed assembly with the P&amp;IDs and 3D model.
• Verification of labelling and weld inspections.
• Pressure &amp; leak Integrity activities
• Performance of the required pressure tests and static leak tests on all applicable pressure-containing components in accordance with the applicable codes and standards.
• Pressure tests on helium-service components shall be pneumatic, unless otherwise specified. (Note: not applicable to water systems)
• Provision of the corresponding test certificates.
• Electrical &amp; Instrumentation activities
• Performance of electrical continuity, insulation, and functional checks.
• Calibration and verification of all applicable instruments, including sensors, valves, and gas analysers
• Safety Logic verification
• Checking safety interlocks and fail-safe functions to confirm correct behaviour under fault conditions.
• Control System verification
• Verification of the correct execution of the implemented control procedures.
• Cleanliness, conditioning, and machinery activities
• Conditioning of all gas circuits and verification that they are clean.
• Performance of initial static vibration checks on the compressors.
• Insulation vacuum activities
• Verification that the insulation vacuum of the cold box is below 10E-5 mbar, unless a different acceptance value is justified.</t>
        </is>
      </c>
      <c r="O60" s="6" t="n">
        <v>2</v>
      </c>
      <c r="P60" s="6" t="n">
        <v>1</v>
      </c>
      <c r="Q60" s="6" t="n">
        <v>2</v>
      </c>
      <c r="R60" s="6" t="n">
        <v>3</v>
      </c>
      <c r="S60" s="6" t="n">
        <v>3</v>
      </c>
      <c r="T60" s="6" t="n">
        <v>0</v>
      </c>
      <c r="U60" s="6" t="n">
        <v>0</v>
      </c>
      <c r="V60" s="6" t="n">
        <v>62</v>
      </c>
      <c r="W60" s="6" t="n">
        <v>92.5104</v>
      </c>
      <c r="X60" s="6" t="n">
        <v>45.1056</v>
      </c>
      <c r="Y60" s="6" t="inlineStr">
        <is>
          <t>Functional</t>
        </is>
      </c>
      <c r="Z60" s="6" t="inlineStr">
        <is>
          <t>Frozen-weight composite; strongest contribution: Functional.</t>
        </is>
      </c>
      <c r="AA60" s="6" t="inlineStr">
        <is>
          <t>None explicitly named in this RTM</t>
        </is>
      </c>
      <c r="AB60" s="6" t="inlineStr">
        <is>
          <t>SCK CEN/90508872 §4.10; no named external code</t>
        </is>
      </c>
      <c r="AC60" s="6" t="inlineStr">
        <is>
          <t>Submit and review the named deliverable with RTM traceability and approval status; Witnessed FAT/SAT/commissioning test against stated acceptance criteria; Calculation/model plus calibrated measurement or recorded trend</t>
        </is>
      </c>
      <c r="AD60" s="6" t="inlineStr">
        <is>
          <t>Installation File; 3D / CAD Model; Certificate / calibration evidence; Procedure / work instruction</t>
        </is>
      </c>
      <c r="AE60" s="6" t="inlineStr">
        <is>
          <t>L4 Installation; L1 Conceptual Design; L2 Detailed Design</t>
        </is>
      </c>
      <c r="AF60" s="6" t="inlineStr">
        <is>
          <t>Section/contract-derived reference; explicit deliverable/test wording</t>
        </is>
      </c>
      <c r="AG60" s="58" t="inlineStr">
        <is>
          <t>Not linked to an OFFER item</t>
        </is>
      </c>
    </row>
    <row r="61" ht="86" customHeight="1">
      <c r="A61" s="6" t="n">
        <v>56</v>
      </c>
      <c r="B61" s="6" t="inlineStr">
        <is>
          <t>RTM-026</t>
        </is>
      </c>
      <c r="C61" s="6" t="inlineStr">
        <is>
          <t>No</t>
        </is>
      </c>
      <c r="D61" s="6" t="inlineStr">
        <is>
          <t>T1 Primary</t>
        </is>
      </c>
      <c r="E61" s="6" t="inlineStr">
        <is>
          <t>Process &amp; Functional</t>
        </is>
      </c>
      <c r="F61" s="82" t="inlineStr">
        <is>
          <t>PROJECT</t>
        </is>
      </c>
      <c r="G61" s="83" t="inlineStr">
        <is>
          <t>Documentation &amp; Compliance</t>
        </is>
      </c>
      <c r="H61" s="59" t="inlineStr">
        <is>
          <t>—</t>
        </is>
      </c>
      <c r="I61" s="58" t="inlineStr">
        <is>
          <t>C8 — Commercial &amp; Execution</t>
        </is>
      </c>
      <c r="J61" s="6" t="n">
        <v>30</v>
      </c>
      <c r="K61" s="6" t="inlineStr">
        <is>
          <t>4.2.2.4.1</t>
        </is>
      </c>
      <c r="L61" s="6" t="inlineStr">
        <is>
          <t>Purging and Conditioning</t>
        </is>
      </c>
      <c r="M61" s="6" t="inlineStr">
        <is>
          <t>The Contractor shall provide documented procedures for purging and conditioning of the QPS. The procedures shall include, at minimum:</t>
        </is>
      </c>
      <c r="N61" s="6" t="inlineStr">
        <is>
          <t>The Contractor shall provide documented procedures for purging and conditioning of the QPS. The procedures shall include, at minimum:
• Instrumentation verification steps.
• Specification of purge gas quality requirements
• Definition of vent routing and discharge conditions
• Defined acceptance criteria prior to cooldown (e.g. helium purity).</t>
        </is>
      </c>
      <c r="O61" s="6" t="n">
        <v>2</v>
      </c>
      <c r="P61" s="6" t="n">
        <v>0</v>
      </c>
      <c r="Q61" s="6" t="n">
        <v>3</v>
      </c>
      <c r="R61" s="6" t="n">
        <v>3</v>
      </c>
      <c r="S61" s="6" t="n">
        <v>3</v>
      </c>
      <c r="T61" s="6" t="n">
        <v>0</v>
      </c>
      <c r="U61" s="6" t="n">
        <v>0</v>
      </c>
      <c r="V61" s="6" t="n">
        <v>61.333333</v>
      </c>
      <c r="W61" s="6" t="n">
        <v>92.30240000000001</v>
      </c>
      <c r="X61" s="6" t="n">
        <v>44.2782</v>
      </c>
      <c r="Y61" s="6" t="inlineStr">
        <is>
          <t>Performance</t>
        </is>
      </c>
      <c r="Z61" s="6" t="inlineStr">
        <is>
          <t>Frozen-weight composite; strongest contribution: Performance.</t>
        </is>
      </c>
      <c r="AA61" s="6" t="inlineStr">
        <is>
          <t>None explicitly named in this RTM</t>
        </is>
      </c>
      <c r="AB61" s="6" t="inlineStr">
        <is>
          <t>SCK CEN/90508872 §4.2.2.4.1; no named external code</t>
        </is>
      </c>
      <c r="AC61" s="6" t="inlineStr">
        <is>
          <t>Submit and review the named deliverable with RTM traceability and approval status; Calculation/model plus calibrated measurement or recorded trend; Functional design/configuration review and sequence/interface demonstration</t>
        </is>
      </c>
      <c r="AD61" s="6" t="inlineStr">
        <is>
          <t>Procedure / work instruction</t>
        </is>
      </c>
      <c r="AE61" s="6" t="inlineStr">
        <is>
          <t>L1 Conceptual Design; L2 Detailed Design</t>
        </is>
      </c>
      <c r="AF61" s="6" t="inlineStr">
        <is>
          <t>Section/contract-derived reference; explicit deliverable/test wording</t>
        </is>
      </c>
      <c r="AG61" s="58" t="inlineStr">
        <is>
          <t>OFFER-05 (Direct)</t>
        </is>
      </c>
    </row>
    <row r="62" ht="99" customHeight="1">
      <c r="A62" s="6" t="n">
        <v>57</v>
      </c>
      <c r="B62" s="6" t="inlineStr">
        <is>
          <t>RTM-029</t>
        </is>
      </c>
      <c r="C62" s="6" t="inlineStr">
        <is>
          <t>No</t>
        </is>
      </c>
      <c r="D62" s="6" t="inlineStr">
        <is>
          <t>T1 Primary</t>
        </is>
      </c>
      <c r="E62" s="6" t="inlineStr">
        <is>
          <t>Process &amp; Functional</t>
        </is>
      </c>
      <c r="F62" s="82" t="inlineStr">
        <is>
          <t>PROJECT</t>
        </is>
      </c>
      <c r="G62" s="83" t="inlineStr">
        <is>
          <t>Documentation &amp; Compliance</t>
        </is>
      </c>
      <c r="H62" s="59" t="inlineStr">
        <is>
          <t>—</t>
        </is>
      </c>
      <c r="I62" s="81" t="inlineStr">
        <is>
          <t>Inferred: C2 — Process Design (low conf.)</t>
        </is>
      </c>
      <c r="J62" s="6" t="n">
        <v>31</v>
      </c>
      <c r="K62" s="6" t="inlineStr">
        <is>
          <t>4.2.2.4.2</t>
        </is>
      </c>
      <c r="L62" s="6" t="inlineStr">
        <is>
          <t>Startup preparation</t>
        </is>
      </c>
      <c r="M62" s="6" t="inlineStr">
        <is>
          <t>The Contractor shall provide documented procedures for the startup preparation. The procedures shall include, at minimum:</t>
        </is>
      </c>
      <c r="N62" s="6" t="inlineStr">
        <is>
          <t>The Contractor shall provide documented procedures for the startup preparation. The procedures shall include, at minimum:
• Verification of instrumentation and control system readiness.
• Verification of valve positions and isolation status.
• Confirmation of purge completion and gas purity levels.
• Verification of safety interlocks and protection systems.
• Defined acceptance criteria prior to initiation of cool-down.</t>
        </is>
      </c>
      <c r="O62" s="6" t="n">
        <v>2</v>
      </c>
      <c r="P62" s="6" t="n">
        <v>0</v>
      </c>
      <c r="Q62" s="6" t="n">
        <v>3</v>
      </c>
      <c r="R62" s="6" t="n">
        <v>3</v>
      </c>
      <c r="S62" s="6" t="n">
        <v>3</v>
      </c>
      <c r="T62" s="6" t="n">
        <v>0</v>
      </c>
      <c r="U62" s="6" t="n">
        <v>0</v>
      </c>
      <c r="V62" s="6" t="n">
        <v>61.333333</v>
      </c>
      <c r="W62" s="6" t="n">
        <v>92.30240000000001</v>
      </c>
      <c r="X62" s="6" t="n">
        <v>44.2782</v>
      </c>
      <c r="Y62" s="6" t="inlineStr">
        <is>
          <t>Performance</t>
        </is>
      </c>
      <c r="Z62" s="6" t="inlineStr">
        <is>
          <t>Frozen-weight composite; strongest contribution: Performance.</t>
        </is>
      </c>
      <c r="AA62" s="6" t="inlineStr">
        <is>
          <t>None explicitly named in this RTM</t>
        </is>
      </c>
      <c r="AB62" s="6" t="inlineStr">
        <is>
          <t>SCK CEN/90508872 §4.2.2.4.2; no named external code</t>
        </is>
      </c>
      <c r="AC62" s="6" t="inlineStr">
        <is>
          <t>Submit and review the named deliverable with RTM traceability and approval status; Calculation/model plus calibrated measurement or recorded trend; Functional design/configuration review and sequence/interface demonstration</t>
        </is>
      </c>
      <c r="AD62" s="6" t="inlineStr">
        <is>
          <t>Procedure / work instruction</t>
        </is>
      </c>
      <c r="AE62" s="6" t="inlineStr">
        <is>
          <t>L1 Conceptual Design; L2 Detailed Design</t>
        </is>
      </c>
      <c r="AF62" s="6" t="inlineStr">
        <is>
          <t>Section/contract-derived reference; explicit deliverable/test wording</t>
        </is>
      </c>
      <c r="AG62" s="58" t="inlineStr">
        <is>
          <t>Not linked to an OFFER item</t>
        </is>
      </c>
    </row>
    <row r="63" ht="333" customHeight="1">
      <c r="A63" s="6" t="n">
        <v>58</v>
      </c>
      <c r="B63" s="6" t="inlineStr">
        <is>
          <t>RTM-537</t>
        </is>
      </c>
      <c r="C63" s="6" t="inlineStr">
        <is>
          <t>No</t>
        </is>
      </c>
      <c r="D63" s="6" t="inlineStr">
        <is>
          <t>T1 Primary</t>
        </is>
      </c>
      <c r="E63" s="6" t="inlineStr">
        <is>
          <t>Acceptance Testing</t>
        </is>
      </c>
      <c r="F63" s="82" t="inlineStr">
        <is>
          <t>PROJECT</t>
        </is>
      </c>
      <c r="G63" s="83" t="inlineStr">
        <is>
          <t>Governance &amp; Responsibility</t>
        </is>
      </c>
      <c r="H63" s="59" t="inlineStr">
        <is>
          <t>—</t>
        </is>
      </c>
      <c r="I63" s="58" t="inlineStr">
        <is>
          <t>C7 — Quality, Testing &amp; Risk</t>
        </is>
      </c>
      <c r="J63" s="6" t="n">
        <v>104</v>
      </c>
      <c r="K63" s="6" t="inlineStr">
        <is>
          <t>4.13.3.3.5</t>
        </is>
      </c>
      <c r="L63" s="6" t="inlineStr">
        <is>
          <t>Demonstration of rotating and compression equipment</t>
        </is>
      </c>
      <c r="M63" s="6" t="inlineStr">
        <is>
          <t>For the WCS, the Contractor shall perform the following capacity test during the SAT:</t>
        </is>
      </c>
      <c r="N63" s="6" t="inlineStr">
        <is>
          <t>For the WCS, the Contractor shall perform the following capacity test during the SAT:
• Test conditions
• The QPS may be at room temperature
• The WCS shall operate over 48 h under steady-state conditions corresponding to the maximum mass-flow rate for each compression stage and the maximum pressure ratio.
• All compressors shall operate at full charge during the full duration of the test.
• Test execution
• The following quantities shall be continuously monitored and recorded during the full test period:
• Mass-flow rates delivered by the compressors.
• Pressures at VLP, LP, and HP.
• Helium temperatures.
• Cooling-water temperatures.
• The performance of the oil-removal system, including the hydrocarbon level downstream of the ORS.
• The performance of the dryer.
• Individual electrical motor currents and voltages.
• Acceptance criteria
• No discontinuous operation shall occur during the full testing period.
• The cooling-water temperatures shall remain within the specified limits.
• The compressor stability shall remain within the following limits: LP: ±3 %; HP: ±2 %.</t>
        </is>
      </c>
      <c r="O63" s="6" t="n">
        <v>2</v>
      </c>
      <c r="P63" s="6" t="n">
        <v>3</v>
      </c>
      <c r="Q63" s="6" t="n">
        <v>2</v>
      </c>
      <c r="R63" s="6" t="n">
        <v>0</v>
      </c>
      <c r="S63" s="6" t="n">
        <v>3</v>
      </c>
      <c r="T63" s="6" t="n">
        <v>0</v>
      </c>
      <c r="U63" s="6" t="n">
        <v>0</v>
      </c>
      <c r="V63" s="6" t="n">
        <v>60.666667</v>
      </c>
      <c r="W63" s="6" t="n">
        <v>92.0943</v>
      </c>
      <c r="X63" s="6" t="n">
        <v>43.4718</v>
      </c>
      <c r="Y63" s="6" t="inlineStr">
        <is>
          <t>Reliability</t>
        </is>
      </c>
      <c r="Z63" s="6" t="inlineStr">
        <is>
          <t>Frozen-weight composite; strongest contribution: Reliability.</t>
        </is>
      </c>
      <c r="AA63" s="6" t="inlineStr">
        <is>
          <t>None explicitly named in this RTM</t>
        </is>
      </c>
      <c r="AB63" s="6" t="inlineStr">
        <is>
          <t>SCK CEN/90508872 §4.13.3.3.5; no named external code</t>
        </is>
      </c>
      <c r="AC63" s="6" t="inlineStr">
        <is>
          <t>Witnessed FAT/SAT/commissioning test against stated acceptance criteria; Calculation/model plus calibrated measurement or recorded trend; RAM/maintenance substantiation and recovery/failure-response evidence</t>
        </is>
      </c>
      <c r="AD63" s="6" t="inlineStr">
        <is>
          <t>No separate deliverable explicitly named</t>
        </is>
      </c>
      <c r="AE63" s="6" t="inlineStr">
        <is>
          <t>L6 Site Acceptance Testing; L1 Conceptual Design; L2 Detailed Design</t>
        </is>
      </c>
      <c r="AF63" s="6" t="inlineStr">
        <is>
          <t>Section/contract-derived reference; explicit deliverable/test wording</t>
        </is>
      </c>
      <c r="AG63" s="58" t="inlineStr">
        <is>
          <t>OFFER-39 (Supporting)</t>
        </is>
      </c>
    </row>
    <row r="64" ht="177" customHeight="1">
      <c r="A64" s="6" t="n">
        <v>59</v>
      </c>
      <c r="B64" s="6" t="inlineStr">
        <is>
          <t>RTM-014</t>
        </is>
      </c>
      <c r="C64" s="6" t="inlineStr">
        <is>
          <t>No</t>
        </is>
      </c>
      <c r="D64" s="6" t="inlineStr">
        <is>
          <t>T1 Primary</t>
        </is>
      </c>
      <c r="E64" s="6" t="inlineStr">
        <is>
          <t>Process &amp; Functional</t>
        </is>
      </c>
      <c r="F64" s="82" t="inlineStr">
        <is>
          <t>SYSTEM</t>
        </is>
      </c>
      <c r="G64" s="83" t="inlineStr">
        <is>
          <t>Constraint</t>
        </is>
      </c>
      <c r="H64" s="59" t="inlineStr">
        <is>
          <t>—</t>
        </is>
      </c>
      <c r="I64" s="81" t="inlineStr">
        <is>
          <t>Inferred: C2 — Process Design (low conf.)</t>
        </is>
      </c>
      <c r="J64" s="6" t="n">
        <v>27</v>
      </c>
      <c r="K64" s="6" t="inlineStr">
        <is>
          <t>4.2.2</t>
        </is>
      </c>
      <c r="L64" s="6" t="inlineStr">
        <is>
          <t>Operational Scenarios and Transitions</t>
        </is>
      </c>
      <c r="M64" s="6" t="inlineStr">
        <is>
          <t>For each operational scenario and transition, the Contractor shall define the interaction with the Cryogenic Users in terms of the QPS behaviour and constraints. At minimum, this shall include:</t>
        </is>
      </c>
      <c r="N64" s="6" t="inlineStr">
        <is>
          <t>For each operational scenario and transition, the Contractor shall define the interaction with the Cryogenic Users in terms of the QPS behaviour and constraints. At minimum, this shall include:
• The boundary conditions and operational constraints imposed by the QPS at each user interface.
• The interface process variable envelopes and ramp limits that the QPS will apply for each scenario/sub step.
• The QPS-provided readiness-to-proceed, hold, and abort conditions and their triggers.
• The QPS interface behaviour during trips and recovery, including any constraints imposed on the Cryogenic Users.
• The QPS state/status information and identifiers required to allow the user-side broker system to manage user actions based on QPS states.</t>
        </is>
      </c>
      <c r="O64" s="6" t="n">
        <v>0</v>
      </c>
      <c r="P64" s="6" t="n">
        <v>3</v>
      </c>
      <c r="Q64" s="6" t="n">
        <v>3</v>
      </c>
      <c r="R64" s="6" t="n">
        <v>3</v>
      </c>
      <c r="S64" s="6" t="n">
        <v>0</v>
      </c>
      <c r="T64" s="6" t="n">
        <v>0</v>
      </c>
      <c r="U64" s="6" t="n">
        <v>0</v>
      </c>
      <c r="V64" s="6" t="n">
        <v>58</v>
      </c>
      <c r="W64" s="6" t="n">
        <v>91.88630000000001</v>
      </c>
      <c r="X64" s="6" t="n">
        <v>42.6857</v>
      </c>
      <c r="Y64" s="6" t="inlineStr">
        <is>
          <t>Reliability</t>
        </is>
      </c>
      <c r="Z64" s="6" t="inlineStr">
        <is>
          <t>Frozen-weight composite; strongest contribution: Reliability.</t>
        </is>
      </c>
      <c r="AA64" s="6" t="inlineStr">
        <is>
          <t>None explicitly named in this RTM</t>
        </is>
      </c>
      <c r="AB64" s="6" t="inlineStr">
        <is>
          <t>SCK CEN/90508872 §4.2.2; no named external code</t>
        </is>
      </c>
      <c r="AC64" s="6" t="inlineStr">
        <is>
          <t>Calculation/model plus calibrated measurement or recorded trend; Functional design/configuration review and sequence/interface demonstration; RAM/maintenance substantiation and recovery/failure-response evidence</t>
        </is>
      </c>
      <c r="AD64" s="6" t="inlineStr">
        <is>
          <t>No separate deliverable explicitly named</t>
        </is>
      </c>
      <c r="AE64" s="6" t="inlineStr">
        <is>
          <t>L1 Conceptual Design; L2 Detailed Design</t>
        </is>
      </c>
      <c r="AF64" s="6" t="inlineStr">
        <is>
          <t>Section/contract-derived reference; derived evidence route</t>
        </is>
      </c>
      <c r="AG64" s="58" t="inlineStr">
        <is>
          <t>Not linked to an OFFER item</t>
        </is>
      </c>
    </row>
    <row r="65" ht="138" customHeight="1">
      <c r="A65" s="6" t="n">
        <v>60</v>
      </c>
      <c r="B65" s="6" t="inlineStr">
        <is>
          <t>RTM-043</t>
        </is>
      </c>
      <c r="C65" s="6" t="inlineStr">
        <is>
          <t>No</t>
        </is>
      </c>
      <c r="D65" s="6" t="inlineStr">
        <is>
          <t>T1 Primary</t>
        </is>
      </c>
      <c r="E65" s="6" t="inlineStr">
        <is>
          <t>Process &amp; Functional</t>
        </is>
      </c>
      <c r="F65" s="82" t="inlineStr">
        <is>
          <t>SYSTEM</t>
        </is>
      </c>
      <c r="G65" s="83" t="inlineStr">
        <is>
          <t>Performance</t>
        </is>
      </c>
      <c r="H65" s="59" t="inlineStr">
        <is>
          <t>—</t>
        </is>
      </c>
      <c r="I65" s="58" t="inlineStr">
        <is>
          <t>C2 — Process Design</t>
        </is>
      </c>
      <c r="J65" s="6" t="n">
        <v>31</v>
      </c>
      <c r="K65" s="6" t="inlineStr">
        <is>
          <t>4.2.4</t>
        </is>
      </c>
      <c r="L65" s="6" t="inlineStr">
        <is>
          <t>Cooling Capacity</t>
        </is>
      </c>
      <c r="M65" s="6" t="inlineStr">
        <is>
          <t>The QPS design shall not include additional installed refrigeration or liquefaction capacity beyond that required to meet RTM-040 (Design Cooling Capacity) solely for the purpose of aiding or reducing the duration of Capacity-Constrained Operational Scenarios. Capacity-Constrained Operational Scenarios shall include:</t>
        </is>
      </c>
      <c r="N65" s="6" t="inlineStr">
        <is>
          <t>The QPS design shall not include additional installed refrigeration or liquefaction capacity beyond that required to meet RTM-040 (Design Cooling Capacity) solely for the purpose of aiding or reducing the duration of Capacity-Constrained Operational Scenarios. Capacity-Constrained Operational Scenarios shall include:
• All Standby Operational Scenarios, as defined in §4.2.2.1 and not covered by RTM-040
• All Transient Operational Scenarios, as defined in §4.2.2.2
• All Other Operational Scenarios, as defined in §4.2.2.4
• The External Helium Withdrawal and Recovery, as defined in §4.4.8</t>
        </is>
      </c>
      <c r="O65" s="6" t="n">
        <v>0</v>
      </c>
      <c r="P65" s="6" t="n">
        <v>3</v>
      </c>
      <c r="Q65" s="6" t="n">
        <v>3</v>
      </c>
      <c r="R65" s="6" t="n">
        <v>3</v>
      </c>
      <c r="S65" s="6" t="n">
        <v>0</v>
      </c>
      <c r="T65" s="6" t="n">
        <v>0</v>
      </c>
      <c r="U65" s="6" t="n">
        <v>0</v>
      </c>
      <c r="V65" s="6" t="n">
        <v>58</v>
      </c>
      <c r="W65" s="6" t="n">
        <v>91.88630000000001</v>
      </c>
      <c r="X65" s="6" t="n">
        <v>42.6857</v>
      </c>
      <c r="Y65" s="6" t="inlineStr">
        <is>
          <t>Reliability</t>
        </is>
      </c>
      <c r="Z65" s="6" t="inlineStr">
        <is>
          <t>Frozen-weight composite; strongest contribution: Reliability.</t>
        </is>
      </c>
      <c r="AA65" s="6" t="inlineStr">
        <is>
          <t>None explicitly named in this RTM</t>
        </is>
      </c>
      <c r="AB65" s="6" t="inlineStr">
        <is>
          <t>SCK CEN/90508872 §4.2.4; no named external code</t>
        </is>
      </c>
      <c r="AC65" s="6" t="inlineStr">
        <is>
          <t>Calculation/model plus calibrated measurement or recorded trend; Functional design/configuration review and sequence/interface demonstration; RAM/maintenance substantiation and recovery/failure-response evidence</t>
        </is>
      </c>
      <c r="AD65" s="6" t="inlineStr">
        <is>
          <t>No separate deliverable explicitly named</t>
        </is>
      </c>
      <c r="AE65" s="6" t="inlineStr">
        <is>
          <t>L1 Conceptual Design; L2 Detailed Design</t>
        </is>
      </c>
      <c r="AF65" s="6" t="inlineStr">
        <is>
          <t>Section/contract-derived reference; derived evidence route</t>
        </is>
      </c>
      <c r="AG65" s="58" t="inlineStr">
        <is>
          <t>OFFER-07 (Direct)</t>
        </is>
      </c>
    </row>
    <row r="66" ht="73" customHeight="1">
      <c r="A66" s="6" t="n">
        <v>61</v>
      </c>
      <c r="B66" s="6" t="inlineStr">
        <is>
          <t>RTM-271</t>
        </is>
      </c>
      <c r="C66" s="6" t="inlineStr">
        <is>
          <t>No</t>
        </is>
      </c>
      <c r="D66" s="6" t="inlineStr">
        <is>
          <t>T1 Primary</t>
        </is>
      </c>
      <c r="E66" s="6" t="inlineStr">
        <is>
          <t>Subsystems</t>
        </is>
      </c>
      <c r="F66" s="82" t="inlineStr">
        <is>
          <t>SYSTEM</t>
        </is>
      </c>
      <c r="G66" s="83" t="inlineStr">
        <is>
          <t>Performance</t>
        </is>
      </c>
      <c r="H66" s="59" t="inlineStr">
        <is>
          <t>—</t>
        </is>
      </c>
      <c r="I66" s="58" t="inlineStr">
        <is>
          <t>C1 — Performance</t>
        </is>
      </c>
      <c r="J66" s="6" t="n">
        <v>65</v>
      </c>
      <c r="K66" s="6" t="inlineStr">
        <is>
          <t>4.4.8.1</t>
        </is>
      </c>
      <c r="L66" s="6" t="inlineStr">
        <is>
          <t>Dewar Filling Station</t>
        </is>
      </c>
      <c r="M66" s="6" t="inlineStr">
        <is>
          <t>The Contractor shall demonstrate that the Dewar filling operations do not adversely affect the availability, operational stability, or reliability of the QPS. At minimum, the Contractor shall:</t>
        </is>
      </c>
      <c r="N66" s="6" t="inlineStr">
        <is>
          <t>The Contractor shall demonstrate that the Dewar filling operations do not adversely affect the availability, operational stability, or reliability of the QPS. At minimum, the Contractor shall:
• Substantiate compliance in the Engineering File
• Demonstrate compliance during SAT</t>
        </is>
      </c>
      <c r="O66" s="6" t="n">
        <v>2</v>
      </c>
      <c r="P66" s="6" t="n">
        <v>3</v>
      </c>
      <c r="Q66" s="6" t="n">
        <v>0</v>
      </c>
      <c r="R66" s="6" t="n">
        <v>2</v>
      </c>
      <c r="S66" s="6" t="n">
        <v>3</v>
      </c>
      <c r="T66" s="6" t="n">
        <v>0</v>
      </c>
      <c r="U66" s="6" t="n">
        <v>0</v>
      </c>
      <c r="V66" s="6" t="n">
        <v>58</v>
      </c>
      <c r="W66" s="6" t="n">
        <v>91.5395</v>
      </c>
      <c r="X66" s="6" t="n">
        <v>41.4185</v>
      </c>
      <c r="Y66" s="6" t="inlineStr">
        <is>
          <t>Reliability</t>
        </is>
      </c>
      <c r="Z66" s="6" t="inlineStr">
        <is>
          <t>Frozen-weight composite; strongest contribution: Reliability.</t>
        </is>
      </c>
      <c r="AA66" s="6" t="inlineStr">
        <is>
          <t>None explicitly named in this RTM</t>
        </is>
      </c>
      <c r="AB66" s="6" t="inlineStr">
        <is>
          <t>SCK CEN/90508872 §4.4.8.1; no named external code</t>
        </is>
      </c>
      <c r="AC66" s="6" t="inlineStr">
        <is>
          <t>Submit and review the named deliverable with RTM traceability and approval status; Witnessed FAT/SAT/commissioning test against stated acceptance criteria; Functional design/configuration review and sequence/interface demonstration</t>
        </is>
      </c>
      <c r="AD66" s="6" t="inlineStr">
        <is>
          <t>Engineering File</t>
        </is>
      </c>
      <c r="AE66" s="6" t="inlineStr">
        <is>
          <t>L6 Site Acceptance Testing; L1 Conceptual Design; L2 Detailed Design</t>
        </is>
      </c>
      <c r="AF66" s="6" t="inlineStr">
        <is>
          <t>Section/contract-derived reference; explicit deliverable/test wording</t>
        </is>
      </c>
      <c r="AG66" s="58" t="inlineStr">
        <is>
          <t>OFFER-23 (Direct)</t>
        </is>
      </c>
    </row>
    <row r="67" ht="99" customHeight="1">
      <c r="A67" s="6" t="n">
        <v>62</v>
      </c>
      <c r="B67" s="6" t="inlineStr">
        <is>
          <t>RTM-276</t>
        </is>
      </c>
      <c r="C67" s="6" t="inlineStr">
        <is>
          <t>No</t>
        </is>
      </c>
      <c r="D67" s="6" t="inlineStr">
        <is>
          <t>T1 Primary</t>
        </is>
      </c>
      <c r="E67" s="6" t="inlineStr">
        <is>
          <t>Subsystems</t>
        </is>
      </c>
      <c r="F67" s="82" t="inlineStr">
        <is>
          <t>SYSTEM</t>
        </is>
      </c>
      <c r="G67" s="83" t="inlineStr">
        <is>
          <t>Performance</t>
        </is>
      </c>
      <c r="H67" s="59" t="inlineStr">
        <is>
          <t>—</t>
        </is>
      </c>
      <c r="I67" s="58" t="inlineStr">
        <is>
          <t>C2 — Process Design</t>
        </is>
      </c>
      <c r="J67" s="6" t="n">
        <v>65</v>
      </c>
      <c r="K67" s="6" t="inlineStr">
        <is>
          <t>4.4.8.2</t>
        </is>
      </c>
      <c r="L67" s="6" t="inlineStr">
        <is>
          <t>Warm GHe Recovery from WGR-MAC</t>
        </is>
      </c>
      <c r="M67" s="6" t="inlineStr">
        <is>
          <t>The QPLANT shall accept the returning helium only when the following conditions are simultaneously satisfied:</t>
        </is>
      </c>
      <c r="N67" s="6" t="inlineStr">
        <is>
          <t>The QPLANT shall accept the returning helium only when the following conditions are simultaneously satisfied:
• The interface fluid conditions at line QRB.G20 are in accordance with the specified interface conditions
• The measured helium purity complies with the defined helium acceptance criteria
• The QPLANT operation can be maintained without disturbance</t>
        </is>
      </c>
      <c r="O67" s="6" t="n">
        <v>2</v>
      </c>
      <c r="P67" s="6" t="n">
        <v>3</v>
      </c>
      <c r="Q67" s="6" t="n">
        <v>0</v>
      </c>
      <c r="R67" s="6" t="n">
        <v>2</v>
      </c>
      <c r="S67" s="6" t="n">
        <v>3</v>
      </c>
      <c r="T67" s="6" t="n">
        <v>0</v>
      </c>
      <c r="U67" s="6" t="n">
        <v>0</v>
      </c>
      <c r="V67" s="6" t="n">
        <v>58</v>
      </c>
      <c r="W67" s="6" t="n">
        <v>91.5395</v>
      </c>
      <c r="X67" s="6" t="n">
        <v>41.4185</v>
      </c>
      <c r="Y67" s="6" t="inlineStr">
        <is>
          <t>Reliability</t>
        </is>
      </c>
      <c r="Z67" s="6" t="inlineStr">
        <is>
          <t>Frozen-weight composite; strongest contribution: Reliability.</t>
        </is>
      </c>
      <c r="AA67" s="6" t="inlineStr">
        <is>
          <t>None explicitly named in this RTM</t>
        </is>
      </c>
      <c r="AB67" s="6" t="inlineStr">
        <is>
          <t>SCK CEN/90508872 §4.4.8.2; no named external code</t>
        </is>
      </c>
      <c r="AC67" s="6" t="inlineStr">
        <is>
          <t>Witnessed FAT/SAT/commissioning test against stated acceptance criteria; Functional design/configuration review and sequence/interface demonstration; RAM/maintenance substantiation and recovery/failure-response evidence</t>
        </is>
      </c>
      <c r="AD67" s="6" t="inlineStr">
        <is>
          <t>No separate deliverable explicitly named</t>
        </is>
      </c>
      <c r="AE67" s="6" t="inlineStr">
        <is>
          <t>L6 Site Acceptance Testing; L1 Conceptual Design; L2 Detailed Design</t>
        </is>
      </c>
      <c r="AF67" s="6" t="inlineStr">
        <is>
          <t>Section/contract-derived reference; derived evidence route</t>
        </is>
      </c>
      <c r="AG67" s="58" t="inlineStr">
        <is>
          <t>OFFER-24 (Direct)</t>
        </is>
      </c>
    </row>
    <row r="68" ht="125" customHeight="1">
      <c r="A68" s="6" t="n">
        <v>63</v>
      </c>
      <c r="B68" s="6" t="inlineStr">
        <is>
          <t>RTM-416</t>
        </is>
      </c>
      <c r="C68" s="6" t="inlineStr">
        <is>
          <t>No</t>
        </is>
      </c>
      <c r="D68" s="6" t="inlineStr">
        <is>
          <t>T1 Primary</t>
        </is>
      </c>
      <c r="E68" s="6" t="inlineStr">
        <is>
          <t>Buildings &amp; Utilities</t>
        </is>
      </c>
      <c r="F68" s="82" t="inlineStr">
        <is>
          <t>SYSTEM</t>
        </is>
      </c>
      <c r="G68" s="83" t="inlineStr">
        <is>
          <t>Performance</t>
        </is>
      </c>
      <c r="H68" s="59" t="inlineStr">
        <is>
          <t>—</t>
        </is>
      </c>
      <c r="I68" s="81" t="inlineStr">
        <is>
          <t>Inferred: C5 — Infrastructure &amp; Integration (high conf.)</t>
        </is>
      </c>
      <c r="J68" s="6" t="n">
        <v>83</v>
      </c>
      <c r="K68" s="6" t="inlineStr">
        <is>
          <t>4.7.4.3</t>
        </is>
      </c>
      <c r="L68" s="6" t="inlineStr">
        <is>
          <t>Water Heat exchangers</t>
        </is>
      </c>
      <c r="M68" s="6" t="inlineStr">
        <is>
          <t>The water heat exchangers shall comply with the following water conditions:</t>
        </is>
      </c>
      <c r="N68" s="6" t="inlineStr">
        <is>
          <t>The water heat exchangers shall comply with the following water conditions:
• Nominal supply water temperature
• For the Heat-Recovery Heat Exchanger: 30°C, with an allowable range from 20°C to 45°C.
• For all other heat exchangers: 27 °C ±5°C
• Exceptional supply water temperature
• Lower than nominal conditions during the coldest outdoor conditions after a long shutdown
(SCK CEN will implement provision to prevent condensation).</t>
        </is>
      </c>
      <c r="O68" s="6" t="n">
        <v>0</v>
      </c>
      <c r="P68" s="6" t="n">
        <v>3</v>
      </c>
      <c r="Q68" s="6" t="n">
        <v>2</v>
      </c>
      <c r="R68" s="6" t="n">
        <v>2</v>
      </c>
      <c r="S68" s="6" t="n">
        <v>3</v>
      </c>
      <c r="T68" s="6" t="n">
        <v>0</v>
      </c>
      <c r="U68" s="6" t="n">
        <v>0</v>
      </c>
      <c r="V68" s="6" t="n">
        <v>58</v>
      </c>
      <c r="W68" s="6" t="n">
        <v>91.5395</v>
      </c>
      <c r="X68" s="6" t="n">
        <v>41.4185</v>
      </c>
      <c r="Y68" s="6" t="inlineStr">
        <is>
          <t>Reliability</t>
        </is>
      </c>
      <c r="Z68" s="6" t="inlineStr">
        <is>
          <t>Frozen-weight composite; strongest contribution: Reliability.</t>
        </is>
      </c>
      <c r="AA68" s="6" t="inlineStr">
        <is>
          <t>None explicitly named in this RTM</t>
        </is>
      </c>
      <c r="AB68" s="6" t="inlineStr">
        <is>
          <t>SCK CEN/90508872 §4.7.4.3; no named external code</t>
        </is>
      </c>
      <c r="AC68" s="6" t="inlineStr">
        <is>
          <t>Witnessed FAT/SAT/commissioning test against stated acceptance criteria; Calculation/model plus calibrated measurement or recorded trend; RAM/maintenance substantiation and recovery/failure-response evidence</t>
        </is>
      </c>
      <c r="AD68" s="6" t="inlineStr">
        <is>
          <t>No separate deliverable explicitly named</t>
        </is>
      </c>
      <c r="AE68" s="6" t="inlineStr">
        <is>
          <t>L6 Site Acceptance Testing; L1 Conceptual Design; L2 Detailed Design</t>
        </is>
      </c>
      <c r="AF68" s="6" t="inlineStr">
        <is>
          <t>Section/contract-derived reference; derived evidence route</t>
        </is>
      </c>
      <c r="AG68" s="58" t="inlineStr">
        <is>
          <t>Not linked to an OFFER item</t>
        </is>
      </c>
    </row>
    <row r="69" ht="112" customHeight="1">
      <c r="A69" s="6" t="n">
        <v>64</v>
      </c>
      <c r="B69" s="6" t="inlineStr">
        <is>
          <t>RTM-644</t>
        </is>
      </c>
      <c r="C69" s="6" t="inlineStr">
        <is>
          <t>No</t>
        </is>
      </c>
      <c r="D69" s="6" t="inlineStr">
        <is>
          <t>T1 Primary</t>
        </is>
      </c>
      <c r="E69" s="6" t="inlineStr">
        <is>
          <t>Quality Assurance &amp; Control</t>
        </is>
      </c>
      <c r="F69" s="82" t="inlineStr">
        <is>
          <t>PROJECT</t>
        </is>
      </c>
      <c r="G69" s="83" t="inlineStr">
        <is>
          <t>Quality Assurance</t>
        </is>
      </c>
      <c r="H69" s="59" t="inlineStr">
        <is>
          <t>—</t>
        </is>
      </c>
      <c r="I69" s="81" t="inlineStr">
        <is>
          <t>Inferred: C7 — Quality, Testing &amp; Risk (high conf.)</t>
        </is>
      </c>
      <c r="J69" s="6" t="n">
        <v>122</v>
      </c>
      <c r="K69" s="6" t="inlineStr">
        <is>
          <t>8.1.1</t>
        </is>
      </c>
      <c r="L69" s="6" t="inlineStr">
        <is>
          <t>General requirements</t>
        </is>
      </c>
      <c r="M69" s="6" t="inlineStr">
        <is>
          <t>During the warranty and after-sales period, the Contractor shall maintain application of its ISO 9001 Quality Management System to all services provided under this Contract, including maintenance, repairs, modifications, and upgrades. Non-conformities, changes, and configuration updates during the warranty period shall be managed according to the same Non-Conformity and Change Management processes as applied during the project phases.</t>
        </is>
      </c>
      <c r="N69" s="6" t="inlineStr">
        <is>
          <t>During the warranty and after-sales period, the Contractor shall maintain application of its ISO 9001 Quality Management System to all services provided under this Contract, including maintenance, repairs, modifications, and upgrades. Non-conformities, changes, and configuration updates during the warranty period shall be managed according to the same Non-Conformity and Change Management processes as applied during the project phases.</t>
        </is>
      </c>
      <c r="O69" s="6" t="n">
        <v>2</v>
      </c>
      <c r="P69" s="6" t="n">
        <v>2</v>
      </c>
      <c r="Q69" s="6" t="n">
        <v>0</v>
      </c>
      <c r="R69" s="6" t="n">
        <v>2</v>
      </c>
      <c r="S69" s="6" t="n">
        <v>3</v>
      </c>
      <c r="T69" s="6" t="n">
        <v>3</v>
      </c>
      <c r="U69" s="6" t="n">
        <v>0</v>
      </c>
      <c r="V69" s="6" t="n">
        <v>57.666667</v>
      </c>
      <c r="W69" s="6" t="n">
        <v>91.2621</v>
      </c>
      <c r="X69" s="6" t="n">
        <v>40.4419</v>
      </c>
      <c r="Y69" s="6" t="inlineStr">
        <is>
          <t>Reliability</t>
        </is>
      </c>
      <c r="Z69" s="6" t="inlineStr">
        <is>
          <t>Frozen-weight composite; strongest contribution: Reliability.</t>
        </is>
      </c>
      <c r="AA69" s="6" t="inlineStr">
        <is>
          <t>ISO 9001</t>
        </is>
      </c>
      <c r="AB69" s="6" t="inlineStr">
        <is>
          <t>ISO 9001</t>
        </is>
      </c>
      <c r="AC69" s="6" t="inlineStr">
        <is>
          <t>RAM/maintenance substantiation and recovery/failure-response evidence; Document review, inspection, certification, audit or traceable QC record</t>
        </is>
      </c>
      <c r="AD69" s="6" t="inlineStr">
        <is>
          <t>No separate deliverable explicitly named</t>
        </is>
      </c>
      <c r="AE69" s="6" t="inlineStr">
        <is>
          <t>Warranty; L0 Tender / Offer; L1 Conceptual Design; L2 Detailed Design; L3 Procurement &amp; Manufacturing / FAT; L4 Installation; L5 Standalone Commissioning; L6 Site Acceptance Testing</t>
        </is>
      </c>
      <c r="AF69" s="6" t="inlineStr">
        <is>
          <t>Explicit/table-grounded standard; derived evidence route</t>
        </is>
      </c>
      <c r="AG69" s="58" t="inlineStr">
        <is>
          <t>Not linked to an OFFER item</t>
        </is>
      </c>
    </row>
    <row r="70" ht="112" customHeight="1">
      <c r="A70" s="6" t="n">
        <v>65</v>
      </c>
      <c r="B70" s="6" t="inlineStr">
        <is>
          <t>RTM-274</t>
        </is>
      </c>
      <c r="C70" s="6" t="inlineStr">
        <is>
          <t>No</t>
        </is>
      </c>
      <c r="D70" s="6" t="inlineStr">
        <is>
          <t>T1 Primary</t>
        </is>
      </c>
      <c r="E70" s="6" t="inlineStr">
        <is>
          <t>Subsystems</t>
        </is>
      </c>
      <c r="F70" s="82" t="inlineStr">
        <is>
          <t>SYSTEM</t>
        </is>
      </c>
      <c r="G70" s="83" t="inlineStr">
        <is>
          <t>Performance</t>
        </is>
      </c>
      <c r="H70" s="59" t="inlineStr">
        <is>
          <t>—</t>
        </is>
      </c>
      <c r="I70" s="58" t="inlineStr">
        <is>
          <t>C2 — Process Design</t>
        </is>
      </c>
      <c r="J70" s="6" t="n">
        <v>65</v>
      </c>
      <c r="K70" s="6" t="inlineStr">
        <is>
          <t>4.4.8.2</t>
        </is>
      </c>
      <c r="L70" s="6" t="inlineStr">
        <is>
          <t>Warm GHe Recovery from WGR-MAC</t>
        </is>
      </c>
      <c r="M70" s="6" t="inlineStr">
        <is>
          <t>The QPLANT shall be designed for interfacing with line QRB.G20 under the following fluid conditions</t>
        </is>
      </c>
      <c r="N70" s="6" t="inlineStr">
        <is>
          <t>The QPLANT shall be designed for interfacing with line QRB.G20 under the following fluid conditions
• Fluid: gaseous Helium
• Nominal temperature: 300K
• Nominal pressure: 1.1 bar(a) ± 0.02 bar(a)
• Maximal pressure: 1.5 bar(a)
• Nominal mass flow: 0.1 g/s
• Maximal mass flow: 0.5 g/s</t>
        </is>
      </c>
      <c r="O70" s="6" t="n">
        <v>0</v>
      </c>
      <c r="P70" s="6" t="n">
        <v>3</v>
      </c>
      <c r="Q70" s="6" t="n">
        <v>3</v>
      </c>
      <c r="R70" s="6" t="n">
        <v>2</v>
      </c>
      <c r="S70" s="6" t="n">
        <v>1</v>
      </c>
      <c r="T70" s="6" t="n">
        <v>0</v>
      </c>
      <c r="U70" s="6" t="n">
        <v>0</v>
      </c>
      <c r="V70" s="6" t="n">
        <v>56.666667</v>
      </c>
      <c r="W70" s="6" t="n">
        <v>91.1234</v>
      </c>
      <c r="X70" s="6" t="n">
        <v>39.9655</v>
      </c>
      <c r="Y70" s="6" t="inlineStr">
        <is>
          <t>Reliability</t>
        </is>
      </c>
      <c r="Z70" s="6" t="inlineStr">
        <is>
          <t>Frozen-weight composite; strongest contribution: Reliability.</t>
        </is>
      </c>
      <c r="AA70" s="6" t="inlineStr">
        <is>
          <t>None explicitly named in this RTM</t>
        </is>
      </c>
      <c r="AB70" s="6" t="inlineStr">
        <is>
          <t>SCK CEN/90508872 §4.4.8.2; no named external code</t>
        </is>
      </c>
      <c r="AC70" s="6" t="inlineStr">
        <is>
          <t>Calculation/model plus calibrated measurement or recorded trend; RAM/maintenance substantiation and recovery/failure-response evidence</t>
        </is>
      </c>
      <c r="AD70" s="6" t="inlineStr">
        <is>
          <t>No separate deliverable explicitly named</t>
        </is>
      </c>
      <c r="AE70" s="6" t="inlineStr">
        <is>
          <t>L1 Conceptual Design; L2 Detailed Design</t>
        </is>
      </c>
      <c r="AF70" s="6" t="inlineStr">
        <is>
          <t>Section/contract-derived reference; derived evidence route</t>
        </is>
      </c>
      <c r="AG70" s="58" t="inlineStr">
        <is>
          <t>OFFER-24 (Direct)</t>
        </is>
      </c>
    </row>
    <row r="71" ht="216" customHeight="1">
      <c r="A71" s="6" t="n">
        <v>66</v>
      </c>
      <c r="B71" s="6" t="inlineStr">
        <is>
          <t>RTM-498</t>
        </is>
      </c>
      <c r="C71" s="6" t="inlineStr">
        <is>
          <t>No</t>
        </is>
      </c>
      <c r="D71" s="6" t="inlineStr">
        <is>
          <t>T1 Primary</t>
        </is>
      </c>
      <c r="E71" s="6" t="inlineStr">
        <is>
          <t>Acceptance Testing</t>
        </is>
      </c>
      <c r="F71" s="82" t="inlineStr">
        <is>
          <t>PROJECT</t>
        </is>
      </c>
      <c r="G71" s="83" t="inlineStr">
        <is>
          <t>Governance &amp; Responsibility</t>
        </is>
      </c>
      <c r="H71" s="59" t="inlineStr">
        <is>
          <t>—</t>
        </is>
      </c>
      <c r="I71" s="58" t="inlineStr">
        <is>
          <t>C7 — Quality, Testing &amp; Risk</t>
        </is>
      </c>
      <c r="J71" s="6" t="n">
        <v>96</v>
      </c>
      <c r="K71" s="6" t="inlineStr">
        <is>
          <t>4.13.2</t>
        </is>
      </c>
      <c r="L71" s="6" t="inlineStr">
        <is>
          <t>Factory Acceptance Test (FAT)</t>
        </is>
      </c>
      <c r="M71" s="6" t="inlineStr">
        <is>
          <t>The FAT shall include, at minimum, the following tests and activities:</t>
        </is>
      </c>
      <c r="N71" s="6" t="inlineStr">
        <is>
          <t>The FAT shall include, at minimum, the following tests and activities:
• Dimensional and geometrical controls.
• Pressure and He leak tests.
• Instrumentation and wiring tests incl. e.g. Insulation resistance, earthing continuity checks, visual inspection of cabling, labelling, and conformity to wiring diagrams.
• Actuated Parts operability tests.
• Hydraulic characterization.
• Compressors &amp; Motors tests, including flow rate, pressure, power consumption, efficiency, vibration, and noise.
• Turbines &amp; Cold Compressors tests, including verification of rotor stability and vibration levels at design rotation speed.
• Validation of the local control and HMI for each individual system
• Review of the QCR for conformity to the approved QAP.
• Review of completeness of documentation included in the Contractor’s scope.</t>
        </is>
      </c>
      <c r="O71" s="6" t="n">
        <v>2</v>
      </c>
      <c r="P71" s="6" t="n">
        <v>0</v>
      </c>
      <c r="Q71" s="6" t="n">
        <v>2</v>
      </c>
      <c r="R71" s="6" t="n">
        <v>3</v>
      </c>
      <c r="S71" s="6" t="n">
        <v>3</v>
      </c>
      <c r="T71" s="6" t="n">
        <v>0</v>
      </c>
      <c r="U71" s="6" t="n">
        <v>2</v>
      </c>
      <c r="V71" s="6" t="n">
        <v>56.666667</v>
      </c>
      <c r="W71" s="6" t="n">
        <v>90.846</v>
      </c>
      <c r="X71" s="6" t="n">
        <v>39.0354</v>
      </c>
      <c r="Y71" s="6" t="inlineStr">
        <is>
          <t>Functional</t>
        </is>
      </c>
      <c r="Z71" s="6" t="inlineStr">
        <is>
          <t>Frozen-weight composite; strongest contribution: Functional.</t>
        </is>
      </c>
      <c r="AA71" s="6" t="inlineStr">
        <is>
          <t>None explicitly named in this RTM</t>
        </is>
      </c>
      <c r="AB71" s="6" t="inlineStr">
        <is>
          <t>SCK CEN/90508872 §4.13.2; no named external code</t>
        </is>
      </c>
      <c r="AC71" s="6" t="inlineStr">
        <is>
          <t>Submit and review the named deliverable with RTM traceability and approval status; Witnessed FAT/SAT/commissioning test against stated acceptance criteria; Calculation/model plus calibrated measurement or recorded trend</t>
        </is>
      </c>
      <c r="AD71" s="6" t="inlineStr">
        <is>
          <t>Quality Assurance Plan (QAP); Drawing / diagram</t>
        </is>
      </c>
      <c r="AE71" s="6" t="inlineStr">
        <is>
          <t>L1 Conceptual Design; L2 Detailed Design</t>
        </is>
      </c>
      <c r="AF71" s="6" t="inlineStr">
        <is>
          <t>Section/contract-derived reference; explicit deliverable/test wording</t>
        </is>
      </c>
      <c r="AG71" s="58" t="inlineStr">
        <is>
          <t>OFFER-39 (Supporting)</t>
        </is>
      </c>
    </row>
    <row r="72" ht="99" customHeight="1">
      <c r="A72" s="6" t="n">
        <v>67</v>
      </c>
      <c r="B72" s="6" t="inlineStr">
        <is>
          <t>RTM-512</t>
        </is>
      </c>
      <c r="C72" s="6" t="inlineStr">
        <is>
          <t>No</t>
        </is>
      </c>
      <c r="D72" s="6" t="inlineStr">
        <is>
          <t>T1 Primary</t>
        </is>
      </c>
      <c r="E72" s="6" t="inlineStr">
        <is>
          <t>Acceptance Testing</t>
        </is>
      </c>
      <c r="F72" s="82" t="inlineStr">
        <is>
          <t>PROJECT</t>
        </is>
      </c>
      <c r="G72" s="83" t="inlineStr">
        <is>
          <t>Governance &amp; Responsibility</t>
        </is>
      </c>
      <c r="H72" s="59" t="inlineStr">
        <is>
          <t>—</t>
        </is>
      </c>
      <c r="I72" s="58" t="inlineStr">
        <is>
          <t>C7 — Quality, Testing &amp; Risk</t>
        </is>
      </c>
      <c r="J72" s="6" t="n">
        <v>98</v>
      </c>
      <c r="K72" s="6" t="inlineStr">
        <is>
          <t>4.13.3.1</t>
        </is>
      </c>
      <c r="L72" s="6" t="inlineStr">
        <is>
          <t>Demonstration of functional behaviour and operability</t>
        </is>
      </c>
      <c r="M72" s="6" t="inlineStr">
        <is>
          <t>The Contractor shall demonstrate the correct behaviour of the QPS under specified abnormal events by applying or triggering the relevant event conditions during the SAT. This shall include, at minimum:</t>
        </is>
      </c>
      <c r="N72" s="6" t="inlineStr">
        <is>
          <t>The Contractor shall demonstrate the correct behaviour of the QPS under specified abnormal events by applying or triggering the relevant event conditions during the SAT. This shall include, at minimum:
• Automatic switching to backup utility configurations
• Helium recovery behaviour
• Valve logic and interlock behaviour
• Response behaviour to abnormal events (e.g. LOOP)</t>
        </is>
      </c>
      <c r="O72" s="6" t="n">
        <v>1</v>
      </c>
      <c r="P72" s="6" t="n">
        <v>3</v>
      </c>
      <c r="Q72" s="6" t="n">
        <v>0</v>
      </c>
      <c r="R72" s="6" t="n">
        <v>3</v>
      </c>
      <c r="S72" s="6" t="n">
        <v>3</v>
      </c>
      <c r="T72" s="6" t="n">
        <v>0</v>
      </c>
      <c r="U72" s="6" t="n">
        <v>0</v>
      </c>
      <c r="V72" s="6" t="n">
        <v>56.666667</v>
      </c>
      <c r="W72" s="6" t="n">
        <v>90.846</v>
      </c>
      <c r="X72" s="6" t="n">
        <v>39.0354</v>
      </c>
      <c r="Y72" s="6" t="inlineStr">
        <is>
          <t>Reliability</t>
        </is>
      </c>
      <c r="Z72" s="6" t="inlineStr">
        <is>
          <t>Frozen-weight composite; strongest contribution: Reliability.</t>
        </is>
      </c>
      <c r="AA72" s="6" t="inlineStr">
        <is>
          <t>None explicitly named in this RTM</t>
        </is>
      </c>
      <c r="AB72" s="6" t="inlineStr">
        <is>
          <t>SCK CEN/90508872 §4.13.3.1; no named external code</t>
        </is>
      </c>
      <c r="AC72" s="6" t="inlineStr">
        <is>
          <t>Witnessed FAT/SAT/commissioning test against stated acceptance criteria; Functional design/configuration review and sequence/interface demonstration; RAM/maintenance substantiation and recovery/failure-response evidence</t>
        </is>
      </c>
      <c r="AD72" s="6" t="inlineStr">
        <is>
          <t>No separate deliverable explicitly named</t>
        </is>
      </c>
      <c r="AE72" s="6" t="inlineStr">
        <is>
          <t>L6 Site Acceptance Testing; L1 Conceptual Design; L2 Detailed Design</t>
        </is>
      </c>
      <c r="AF72" s="6" t="inlineStr">
        <is>
          <t>Section/contract-derived reference; explicit deliverable/test wording</t>
        </is>
      </c>
      <c r="AG72" s="58" t="inlineStr">
        <is>
          <t>OFFER-39 (Supporting)</t>
        </is>
      </c>
    </row>
    <row r="73" ht="112" customHeight="1">
      <c r="A73" s="6" t="n">
        <v>68</v>
      </c>
      <c r="B73" s="6" t="inlineStr">
        <is>
          <t>RTM-549</t>
        </is>
      </c>
      <c r="C73" s="6" t="inlineStr">
        <is>
          <t>No</t>
        </is>
      </c>
      <c r="D73" s="6" t="inlineStr">
        <is>
          <t>T1 Primary</t>
        </is>
      </c>
      <c r="E73" s="6" t="inlineStr">
        <is>
          <t>Acceptance Testing</t>
        </is>
      </c>
      <c r="F73" s="82" t="inlineStr">
        <is>
          <t>PROJECT</t>
        </is>
      </c>
      <c r="G73" s="83" t="inlineStr">
        <is>
          <t>Governance &amp; Responsibility</t>
        </is>
      </c>
      <c r="H73" s="59" t="inlineStr">
        <is>
          <t>—</t>
        </is>
      </c>
      <c r="I73" s="58" t="inlineStr">
        <is>
          <t>C7 — Quality, Testing &amp; Risk</t>
        </is>
      </c>
      <c r="J73" s="6" t="n">
        <v>106</v>
      </c>
      <c r="K73" s="6" t="inlineStr">
        <is>
          <t>4.13.3.5</t>
        </is>
      </c>
      <c r="L73" s="6" t="inlineStr">
        <is>
          <t>Demonstration of control system behaviour</t>
        </is>
      </c>
      <c r="M73" s="6" t="inlineStr">
        <is>
          <t>The Contractor shall demonstrate the continuity and failover behaviour of the QPS:CIS, where applicable. This shall include, at minimum:</t>
        </is>
      </c>
      <c r="N73" s="6" t="inlineStr">
        <is>
          <t>The Contractor shall demonstrate the continuity and failover behaviour of the QPS:CIS, where applicable. This shall include, at minimum:
• The behaviour of the PLC and SCADA during failover, restart, and recovery conditions.
• The correct restoration of the relevant control-system functions after failover or restart.
• The preservation or orderly recovery of the relevant control states, alarms, and operator functions.</t>
        </is>
      </c>
      <c r="O73" s="6" t="n">
        <v>1</v>
      </c>
      <c r="P73" s="6" t="n">
        <v>3</v>
      </c>
      <c r="Q73" s="6" t="n">
        <v>0</v>
      </c>
      <c r="R73" s="6" t="n">
        <v>3</v>
      </c>
      <c r="S73" s="6" t="n">
        <v>3</v>
      </c>
      <c r="T73" s="6" t="n">
        <v>0</v>
      </c>
      <c r="U73" s="6" t="n">
        <v>0</v>
      </c>
      <c r="V73" s="6" t="n">
        <v>56.666667</v>
      </c>
      <c r="W73" s="6" t="n">
        <v>90.846</v>
      </c>
      <c r="X73" s="6" t="n">
        <v>39.0354</v>
      </c>
      <c r="Y73" s="6" t="inlineStr">
        <is>
          <t>Reliability</t>
        </is>
      </c>
      <c r="Z73" s="6" t="inlineStr">
        <is>
          <t>Frozen-weight composite; strongest contribution: Reliability.</t>
        </is>
      </c>
      <c r="AA73" s="6" t="inlineStr">
        <is>
          <t>None explicitly named in this RTM</t>
        </is>
      </c>
      <c r="AB73" s="6" t="inlineStr">
        <is>
          <t>SCK CEN/90508872 §4.13.3.5; no named external code</t>
        </is>
      </c>
      <c r="AC73" s="6" t="inlineStr">
        <is>
          <t>Witnessed FAT/SAT/commissioning test against stated acceptance criteria; Functional design/configuration review and sequence/interface demonstration; RAM/maintenance substantiation and recovery/failure-response evidence</t>
        </is>
      </c>
      <c r="AD73" s="6" t="inlineStr">
        <is>
          <t>No separate deliverable explicitly named</t>
        </is>
      </c>
      <c r="AE73" s="6" t="inlineStr">
        <is>
          <t>L1 Conceptual Design; L2 Detailed Design</t>
        </is>
      </c>
      <c r="AF73" s="6" t="inlineStr">
        <is>
          <t>Section/contract-derived reference; explicit deliverable/test wording</t>
        </is>
      </c>
      <c r="AG73" s="58" t="inlineStr">
        <is>
          <t>OFFER-39 (Supporting)</t>
        </is>
      </c>
    </row>
    <row r="74" ht="138" customHeight="1">
      <c r="A74" s="6" t="n">
        <v>69</v>
      </c>
      <c r="B74" s="6" t="inlineStr">
        <is>
          <t>RTM-462</t>
        </is>
      </c>
      <c r="C74" s="6" t="inlineStr">
        <is>
          <t>No</t>
        </is>
      </c>
      <c r="D74" s="6" t="inlineStr">
        <is>
          <t>T1 Primary</t>
        </is>
      </c>
      <c r="E74" s="6" t="inlineStr">
        <is>
          <t>Design &amp; Fabrication</t>
        </is>
      </c>
      <c r="F74" s="82" t="inlineStr">
        <is>
          <t>SYSTEM</t>
        </is>
      </c>
      <c r="G74" s="83" t="inlineStr">
        <is>
          <t>Constraint</t>
        </is>
      </c>
      <c r="H74" s="59" t="inlineStr">
        <is>
          <t>—</t>
        </is>
      </c>
      <c r="I74" s="81" t="inlineStr">
        <is>
          <t>Inferred: C5 — Infrastructure &amp; Integration (medium conf.)</t>
        </is>
      </c>
      <c r="J74" s="6" t="n">
        <v>90</v>
      </c>
      <c r="K74" s="6" t="inlineStr">
        <is>
          <t>4.8.4.3</t>
        </is>
      </c>
      <c r="L74" s="6" t="inlineStr">
        <is>
          <t>Weld testing &amp; inspections</t>
        </is>
      </c>
      <c r="M74" s="6" t="inlineStr">
        <is>
          <t>The examination of welds shall comply with the following requirements:</t>
        </is>
      </c>
      <c r="N74" s="6" t="inlineStr">
        <is>
          <t>The examination of welds shall comply with the following requirements:
• Personnel performing the examination shall be qualified/certified in accordance with ISO 9712;
• Radiographic inspections for bulk defects shall comply with EN 17636 and ISO 5817;
• Acceptance criteria for weld imperfections shall comply with ISO 5817, quality level B;
• All welds shall be free from defects such as inclusions or microcracks;
• All welds shall demonstrate no degradation following a cool down, when applicable (e.g. after cooldown).</t>
        </is>
      </c>
      <c r="O74" s="6" t="n">
        <v>2</v>
      </c>
      <c r="P74" s="6" t="n">
        <v>0</v>
      </c>
      <c r="Q74" s="6" t="n">
        <v>3</v>
      </c>
      <c r="R74" s="6" t="n">
        <v>2</v>
      </c>
      <c r="S74" s="6" t="n">
        <v>3</v>
      </c>
      <c r="T74" s="6" t="n">
        <v>0</v>
      </c>
      <c r="U74" s="6" t="n">
        <v>0</v>
      </c>
      <c r="V74" s="6" t="n">
        <v>56</v>
      </c>
      <c r="W74" s="6" t="n">
        <v>90.56870000000001</v>
      </c>
      <c r="X74" s="6" t="n">
        <v>38.1347</v>
      </c>
      <c r="Y74" s="6" t="inlineStr">
        <is>
          <t>Performance</t>
        </is>
      </c>
      <c r="Z74" s="6" t="inlineStr">
        <is>
          <t>Frozen-weight composite; strongest contribution: Performance.</t>
        </is>
      </c>
      <c r="AA74" s="6" t="inlineStr">
        <is>
          <t>ISO 9712; EN 17636; ISO 5817</t>
        </is>
      </c>
      <c r="AB74" s="6" t="inlineStr">
        <is>
          <t>ISO 9712; EN 17636; ISO 5817</t>
        </is>
      </c>
      <c r="AC74" s="6" t="inlineStr">
        <is>
          <t>Witnessed FAT/SAT/commissioning test against stated acceptance criteria; Calculation/model plus calibrated measurement or recorded trend; Document review, inspection, certification, audit or traceable QC record</t>
        </is>
      </c>
      <c r="AD74" s="6" t="inlineStr">
        <is>
          <t>No separate deliverable explicitly named</t>
        </is>
      </c>
      <c r="AE74" s="6" t="inlineStr">
        <is>
          <t>L1 Conceptual Design; L2 Detailed Design</t>
        </is>
      </c>
      <c r="AF74" s="6" t="inlineStr">
        <is>
          <t>Explicit/table-grounded standard; explicit deliverable/test wording</t>
        </is>
      </c>
      <c r="AG74" s="58" t="inlineStr">
        <is>
          <t>Not linked to an OFFER item</t>
        </is>
      </c>
    </row>
    <row r="75" ht="216" customHeight="1">
      <c r="A75" s="6" t="n">
        <v>70</v>
      </c>
      <c r="B75" s="6" t="inlineStr">
        <is>
          <t>RTM-267</t>
        </is>
      </c>
      <c r="C75" s="6" t="inlineStr">
        <is>
          <t>No</t>
        </is>
      </c>
      <c r="D75" s="6" t="inlineStr">
        <is>
          <t>T1 Primary</t>
        </is>
      </c>
      <c r="E75" s="6" t="inlineStr">
        <is>
          <t>Subsystems</t>
        </is>
      </c>
      <c r="F75" s="82" t="inlineStr">
        <is>
          <t>SYSTEM</t>
        </is>
      </c>
      <c r="G75" s="83" t="inlineStr">
        <is>
          <t>Control</t>
        </is>
      </c>
      <c r="H75" s="59" t="inlineStr">
        <is>
          <t>—</t>
        </is>
      </c>
      <c r="I75" s="58" t="inlineStr">
        <is>
          <t>C3 — Mechanical &amp; Equipment</t>
        </is>
      </c>
      <c r="J75" s="6" t="n">
        <v>64</v>
      </c>
      <c r="K75" s="6" t="inlineStr">
        <is>
          <t>4.4.8</t>
        </is>
      </c>
      <c r="L75" s="6" t="inlineStr">
        <is>
          <t>External Helium Withdrawal and Recovery</t>
        </is>
      </c>
      <c r="M75" s="6" t="inlineStr">
        <is>
          <t>The Contractor shall substantiate the design of the Dewar Filling Station in the Engineering File. At minimum, the substantiation shall include:</t>
        </is>
      </c>
      <c r="N75" s="6" t="inlineStr">
        <is>
          <t>The Contractor shall substantiate the design of the Dewar Filling Station in the Engineering File. At minimum, the substantiation shall include:
• Mass and energy balance calculations
• Quantification of LHe consumption associated to the Dewar filling operations, excluding the net liquid withdrawal delivered to the External Dewar Users
• Assessment of the impact on overall QPS availability and operational stability, with particular emphasis on disturbances during 2K-OP.
• Control logic and interlocks during Dewar filling operations, including Helium flow paths, pressure, and level control response.
• Description of the control philosophy and interlocks during Dewar filling operations, including helium flow paths and pressure and level control response,
• Definition and justification of acceptance criteria for operational parameters (e.g. pressure fluctuations), helium inventory impact, and helium purity.</t>
        </is>
      </c>
      <c r="O75" s="6" t="n">
        <v>2</v>
      </c>
      <c r="P75" s="6" t="n">
        <v>3</v>
      </c>
      <c r="Q75" s="6" t="n">
        <v>0</v>
      </c>
      <c r="R75" s="6" t="n">
        <v>3</v>
      </c>
      <c r="S75" s="6" t="n">
        <v>1</v>
      </c>
      <c r="T75" s="6" t="n">
        <v>0</v>
      </c>
      <c r="U75" s="6" t="n">
        <v>0</v>
      </c>
      <c r="V75" s="6" t="n">
        <v>55.333333</v>
      </c>
      <c r="W75" s="6" t="n">
        <v>90.36060000000001</v>
      </c>
      <c r="X75" s="6" t="n">
        <v>37.4776</v>
      </c>
      <c r="Y75" s="6" t="inlineStr">
        <is>
          <t>Reliability</t>
        </is>
      </c>
      <c r="Z75" s="6" t="inlineStr">
        <is>
          <t>Frozen-weight composite; strongest contribution: Reliability.</t>
        </is>
      </c>
      <c r="AA75" s="6" t="inlineStr">
        <is>
          <t>None explicitly named in this RTM</t>
        </is>
      </c>
      <c r="AB75" s="6" t="inlineStr">
        <is>
          <t>SCK CEN/90508872 §4.4.8; no named external code</t>
        </is>
      </c>
      <c r="AC75" s="6" t="inlineStr">
        <is>
          <t>Submit and review the named deliverable with RTM traceability and approval status; Calculation/model plus calibrated measurement or recorded trend; Functional design/configuration review and sequence/interface demonstration</t>
        </is>
      </c>
      <c r="AD75" s="6" t="inlineStr">
        <is>
          <t>Engineering File</t>
        </is>
      </c>
      <c r="AE75" s="6" t="inlineStr">
        <is>
          <t>L1 Conceptual Design; L2 Detailed Design</t>
        </is>
      </c>
      <c r="AF75" s="6" t="inlineStr">
        <is>
          <t>Section/contract-derived reference; explicit deliverable/test wording</t>
        </is>
      </c>
      <c r="AG75" s="58" t="inlineStr">
        <is>
          <t>OFFER-13 (Broad/contextual — main component specification)</t>
        </is>
      </c>
    </row>
    <row r="76" ht="138" customHeight="1">
      <c r="A76" s="6" t="n">
        <v>71</v>
      </c>
      <c r="B76" s="6" t="inlineStr">
        <is>
          <t>RTM-481</t>
        </is>
      </c>
      <c r="C76" s="6" t="inlineStr">
        <is>
          <t>No</t>
        </is>
      </c>
      <c r="D76" s="6" t="inlineStr">
        <is>
          <t>T1 Primary</t>
        </is>
      </c>
      <c r="E76" s="6" t="inlineStr">
        <is>
          <t>Commissioning</t>
        </is>
      </c>
      <c r="F76" s="82" t="inlineStr">
        <is>
          <t>PROJECT</t>
        </is>
      </c>
      <c r="G76" s="83" t="inlineStr">
        <is>
          <t>Governance &amp; Responsibility</t>
        </is>
      </c>
      <c r="H76" s="59" t="inlineStr">
        <is>
          <t>—</t>
        </is>
      </c>
      <c r="I76" s="58" t="inlineStr">
        <is>
          <t>Not linked to an OFFER item</t>
        </is>
      </c>
      <c r="J76" s="6" t="n">
        <v>92</v>
      </c>
      <c r="K76" s="6" t="inlineStr">
        <is>
          <t>4.11</t>
        </is>
      </c>
      <c r="L76" s="6" t="inlineStr">
        <is>
          <t>Commissioning Requirements</t>
        </is>
      </c>
      <c r="M76" s="6" t="inlineStr">
        <is>
          <t>The Contractor shall perform at least the following activities:</t>
        </is>
      </c>
      <c r="N76" s="6" t="inlineStr">
        <is>
          <t>The Contractor shall perform at least the following activities:
• Pressure integrity testing
• Control &amp; interlock logic commissioning
• Validation of correct Instrument calibration
• Compressor Control Tuning to achieve stable suction and discharge pressures.
• Adsorber Sequence Logic automation for regeneration and switching sequences for warm and cold adsorbers.
• Turbine Optimization for rotational speed.
• Tuning of labyrinth sealing parameters</t>
        </is>
      </c>
      <c r="O76" s="6" t="n">
        <v>1</v>
      </c>
      <c r="P76" s="6" t="n">
        <v>1</v>
      </c>
      <c r="Q76" s="6" t="n">
        <v>2</v>
      </c>
      <c r="R76" s="6" t="n">
        <v>3</v>
      </c>
      <c r="S76" s="6" t="n">
        <v>3</v>
      </c>
      <c r="T76" s="6" t="n">
        <v>0</v>
      </c>
      <c r="U76" s="6" t="n">
        <v>0</v>
      </c>
      <c r="V76" s="6" t="n">
        <v>55.333333</v>
      </c>
      <c r="W76" s="6" t="n">
        <v>90.36060000000001</v>
      </c>
      <c r="X76" s="6" t="n">
        <v>37.4776</v>
      </c>
      <c r="Y76" s="6" t="inlineStr">
        <is>
          <t>Functional</t>
        </is>
      </c>
      <c r="Z76" s="6" t="inlineStr">
        <is>
          <t>Frozen-weight composite; strongest contribution: Functional.</t>
        </is>
      </c>
      <c r="AA76" s="6" t="inlineStr">
        <is>
          <t>None explicitly named in this RTM</t>
        </is>
      </c>
      <c r="AB76" s="6" t="inlineStr">
        <is>
          <t>SCK CEN/90508872 §4.11; no named external code</t>
        </is>
      </c>
      <c r="AC76" s="6" t="inlineStr">
        <is>
          <t>Witnessed FAT/SAT/commissioning test against stated acceptance criteria; Calculation/model plus calibrated measurement or recorded trend; Functional design/configuration review and sequence/interface demonstration</t>
        </is>
      </c>
      <c r="AD76" s="6" t="inlineStr">
        <is>
          <t>No separate deliverable explicitly named</t>
        </is>
      </c>
      <c r="AE76" s="6" t="inlineStr">
        <is>
          <t>L1 Conceptual Design; L2 Detailed Design</t>
        </is>
      </c>
      <c r="AF76" s="6" t="inlineStr">
        <is>
          <t>Section/contract-derived reference; explicit deliverable/test wording</t>
        </is>
      </c>
      <c r="AG76" s="58" t="inlineStr">
        <is>
          <t>Not linked to an OFFER item</t>
        </is>
      </c>
    </row>
    <row r="77" ht="242" customHeight="1">
      <c r="A77" s="6" t="n">
        <v>72</v>
      </c>
      <c r="B77" s="6" t="inlineStr">
        <is>
          <t>RTM-515</t>
        </is>
      </c>
      <c r="C77" s="6" t="inlineStr">
        <is>
          <t>No</t>
        </is>
      </c>
      <c r="D77" s="6" t="inlineStr">
        <is>
          <t>T1 Primary</t>
        </is>
      </c>
      <c r="E77" s="6" t="inlineStr">
        <is>
          <t>Acceptance Testing</t>
        </is>
      </c>
      <c r="F77" s="82" t="inlineStr">
        <is>
          <t>PROJECT</t>
        </is>
      </c>
      <c r="G77" s="83" t="inlineStr">
        <is>
          <t>Governance &amp; Responsibility</t>
        </is>
      </c>
      <c r="H77" s="59" t="inlineStr">
        <is>
          <t>—</t>
        </is>
      </c>
      <c r="I77" s="58" t="inlineStr">
        <is>
          <t>C7 — Quality, Testing &amp; Risk</t>
        </is>
      </c>
      <c r="J77" s="6" t="n">
        <v>98</v>
      </c>
      <c r="K77" s="6" t="inlineStr">
        <is>
          <t>4.13.3.2</t>
        </is>
      </c>
      <c r="L77" s="6" t="inlineStr">
        <is>
          <t>Specific Functional demonstrations</t>
        </is>
      </c>
      <c r="M77" s="6" t="inlineStr">
        <is>
          <t>For the WCS, the Contractor shall perform the following functional tests during the SAT:</t>
        </is>
      </c>
      <c r="N77" s="6" t="inlineStr">
        <is>
          <t>For the WCS, the Contractor shall perform the following functional tests during the SAT:
• Test conditions
• The WCS shall be tested in stand-alone configuration
• Tests execution
• Checking the mechanical characteristics
• Measurement of vibrations, noise, oil pressures, and oil temperatures.
• Checking of the cooling-water system.
• Testing of the control software and interlocks during operation and under simulated failures.
• Measurement of the main process characteristics, including helium flow rates, pressures, and temperatures.
• Acceptance criteria
• No abnormal or unstable operation shall occur during the test.
• The measured vibration and noise levels shall comply with the specified limits
• All demonstrated characteristics shall comply with the corresponding requirements and specified limits.</t>
        </is>
      </c>
      <c r="O77" s="6" t="n">
        <v>2</v>
      </c>
      <c r="P77" s="6" t="n">
        <v>0</v>
      </c>
      <c r="Q77" s="6" t="n">
        <v>2</v>
      </c>
      <c r="R77" s="6" t="n">
        <v>3</v>
      </c>
      <c r="S77" s="6" t="n">
        <v>3</v>
      </c>
      <c r="T77" s="6" t="n">
        <v>0</v>
      </c>
      <c r="U77" s="6" t="n">
        <v>0</v>
      </c>
      <c r="V77" s="6" t="n">
        <v>54.666667</v>
      </c>
      <c r="W77" s="6" t="n">
        <v>90.01390000000001</v>
      </c>
      <c r="X77" s="6" t="n">
        <v>36.4163</v>
      </c>
      <c r="Y77" s="6" t="inlineStr">
        <is>
          <t>Functional</t>
        </is>
      </c>
      <c r="Z77" s="6" t="inlineStr">
        <is>
          <t>Frozen-weight composite; strongest contribution: Functional.</t>
        </is>
      </c>
      <c r="AA77" s="6" t="inlineStr">
        <is>
          <t>None explicitly named in this RTM</t>
        </is>
      </c>
      <c r="AB77" s="6" t="inlineStr">
        <is>
          <t>SCK CEN/90508872 §4.13.3.2; no named external code</t>
        </is>
      </c>
      <c r="AC77" s="6" t="inlineStr">
        <is>
          <t>Witnessed FAT/SAT/commissioning test against stated acceptance criteria; Calculation/model plus calibrated measurement or recorded trend; Functional design/configuration review and sequence/interface demonstration</t>
        </is>
      </c>
      <c r="AD77" s="6" t="inlineStr">
        <is>
          <t>No separate deliverable explicitly named</t>
        </is>
      </c>
      <c r="AE77" s="6" t="inlineStr">
        <is>
          <t>L6 Site Acceptance Testing; L1 Conceptual Design; L2 Detailed Design</t>
        </is>
      </c>
      <c r="AF77" s="6" t="inlineStr">
        <is>
          <t>Section/contract-derived reference; explicit deliverable/test wording</t>
        </is>
      </c>
      <c r="AG77" s="58" t="inlineStr">
        <is>
          <t>OFFER-39 (Supporting)</t>
        </is>
      </c>
    </row>
    <row r="78" ht="268" customHeight="1">
      <c r="A78" s="6" t="n">
        <v>73</v>
      </c>
      <c r="B78" s="6" t="inlineStr">
        <is>
          <t>RTM-516</t>
        </is>
      </c>
      <c r="C78" s="6" t="inlineStr">
        <is>
          <t>No</t>
        </is>
      </c>
      <c r="D78" s="6" t="inlineStr">
        <is>
          <t>T1 Primary</t>
        </is>
      </c>
      <c r="E78" s="6" t="inlineStr">
        <is>
          <t>Acceptance Testing</t>
        </is>
      </c>
      <c r="F78" s="82" t="inlineStr">
        <is>
          <t>PROJECT</t>
        </is>
      </c>
      <c r="G78" s="83" t="inlineStr">
        <is>
          <t>Governance &amp; Responsibility</t>
        </is>
      </c>
      <c r="H78" s="59" t="inlineStr">
        <is>
          <t>—</t>
        </is>
      </c>
      <c r="I78" s="58" t="inlineStr">
        <is>
          <t>C7 — Quality, Testing &amp; Risk</t>
        </is>
      </c>
      <c r="J78" s="6" t="n">
        <v>99</v>
      </c>
      <c r="K78" s="6" t="inlineStr">
        <is>
          <t>4.13.3.2</t>
        </is>
      </c>
      <c r="L78" s="6" t="inlineStr">
        <is>
          <t>Specific Functional demonstrations</t>
        </is>
      </c>
      <c r="M78" s="6" t="inlineStr">
        <is>
          <t>For the QRB, the Contractor shall perform the following functional tests during the SAT:</t>
        </is>
      </c>
      <c r="N78" s="6" t="inlineStr">
        <is>
          <t>For the QRB, the Contractor shall perform the following functional tests during the SAT:
• Test conditions
• After successful completion of all individual WCS tests.
• Test execution
• Checking of the mechanical characteristics.
• Measurement of the vibrations of the rotating machines.
• Checking of the control software and interlocks in accordance with the functional analysis.
• Testing of the cold compressors at the design operating points (minimum and nominal) and at full speed.
• Checking of the operation of all valves, instruments, heaters, and rotating machines in the QRB and associated warm panels for all defined operating modes.
• Acceptance criteria
• Checking of the control software and interlocks in accordance with the functional analysis.
• Acceptance criteria
• All demonstrated characteristics and functions shall comply with the corresponding requirements and specified limits.</t>
        </is>
      </c>
      <c r="O78" s="6" t="n">
        <v>2</v>
      </c>
      <c r="P78" s="6" t="n">
        <v>0</v>
      </c>
      <c r="Q78" s="6" t="n">
        <v>2</v>
      </c>
      <c r="R78" s="6" t="n">
        <v>3</v>
      </c>
      <c r="S78" s="6" t="n">
        <v>3</v>
      </c>
      <c r="T78" s="6" t="n">
        <v>0</v>
      </c>
      <c r="U78" s="6" t="n">
        <v>0</v>
      </c>
      <c r="V78" s="6" t="n">
        <v>54.666667</v>
      </c>
      <c r="W78" s="6" t="n">
        <v>90.01390000000001</v>
      </c>
      <c r="X78" s="6" t="n">
        <v>36.4163</v>
      </c>
      <c r="Y78" s="6" t="inlineStr">
        <is>
          <t>Functional</t>
        </is>
      </c>
      <c r="Z78" s="6" t="inlineStr">
        <is>
          <t>Frozen-weight composite; strongest contribution: Functional.</t>
        </is>
      </c>
      <c r="AA78" s="6" t="inlineStr">
        <is>
          <t>None explicitly named in this RTM</t>
        </is>
      </c>
      <c r="AB78" s="6" t="inlineStr">
        <is>
          <t>SCK CEN/90508872 §4.13.3.2; no named external code</t>
        </is>
      </c>
      <c r="AC78" s="6" t="inlineStr">
        <is>
          <t>Witnessed FAT/SAT/commissioning test against stated acceptance criteria; Calculation/model plus calibrated measurement or recorded trend; Functional design/configuration review and sequence/interface demonstration</t>
        </is>
      </c>
      <c r="AD78" s="6" t="inlineStr">
        <is>
          <t>No separate deliverable explicitly named</t>
        </is>
      </c>
      <c r="AE78" s="6" t="inlineStr">
        <is>
          <t>L6 Site Acceptance Testing; L1 Conceptual Design; L2 Detailed Design</t>
        </is>
      </c>
      <c r="AF78" s="6" t="inlineStr">
        <is>
          <t>Section/contract-derived reference; explicit deliverable/test wording</t>
        </is>
      </c>
      <c r="AG78" s="58" t="inlineStr">
        <is>
          <t>OFFER-39 (Supporting)</t>
        </is>
      </c>
    </row>
    <row r="79" ht="216" customHeight="1">
      <c r="A79" s="6" t="n">
        <v>74</v>
      </c>
      <c r="B79" s="6" t="inlineStr">
        <is>
          <t>RTM-520</t>
        </is>
      </c>
      <c r="C79" s="6" t="inlineStr">
        <is>
          <t>No</t>
        </is>
      </c>
      <c r="D79" s="6" t="inlineStr">
        <is>
          <t>T1 Primary</t>
        </is>
      </c>
      <c r="E79" s="6" t="inlineStr">
        <is>
          <t>Acceptance Testing</t>
        </is>
      </c>
      <c r="F79" s="82" t="inlineStr">
        <is>
          <t>PROJECT</t>
        </is>
      </c>
      <c r="G79" s="83" t="inlineStr">
        <is>
          <t>Governance &amp; Responsibility</t>
        </is>
      </c>
      <c r="H79" s="59" t="inlineStr">
        <is>
          <t>—</t>
        </is>
      </c>
      <c r="I79" s="58" t="inlineStr">
        <is>
          <t>C7 — Quality, Testing &amp; Risk</t>
        </is>
      </c>
      <c r="J79" s="6" t="n">
        <v>100</v>
      </c>
      <c r="K79" s="6" t="inlineStr">
        <is>
          <t>4.13.3.3</t>
        </is>
      </c>
      <c r="L79" s="6" t="inlineStr">
        <is>
          <t>Demonstration of performance and capacity</t>
        </is>
      </c>
      <c r="M79" s="6" t="inlineStr">
        <is>
          <t>The Contractor shall demonstrate stable operation at the QPS for each operational scenario and for the relevant transitions between them. Where applicable, the Contractor shall demonstrate:</t>
        </is>
      </c>
      <c r="N79" s="6" t="inlineStr">
        <is>
          <t>The Contractor shall demonstrate stable operation at the QPS for each operational scenario and for the relevant transitions between them. Where applicable, the Contractor shall demonstrate:
• The achievement and sustainment of the required refrigeration power.
• The available refrigeration power margin.
• The mass-flow capability.
• The stability of the relevant regulation loops.
• The suction-pressure stability.
• The ΔT stability.
• The correct cold-box load balancing.
• The response to representative step changes in applied heat load, operational configuration, and boundary conditions.
• The short-term transient response and the longer-term steady-state stability.
• The absence of any choke, surge, or other unstable operating modes.
• The pressure-drop behaviour of the relevant circuits.</t>
        </is>
      </c>
      <c r="O79" s="6" t="n">
        <v>1</v>
      </c>
      <c r="P79" s="6" t="n">
        <v>0</v>
      </c>
      <c r="Q79" s="6" t="n">
        <v>3</v>
      </c>
      <c r="R79" s="6" t="n">
        <v>3</v>
      </c>
      <c r="S79" s="6" t="n">
        <v>3</v>
      </c>
      <c r="T79" s="6" t="n">
        <v>0</v>
      </c>
      <c r="U79" s="6" t="n">
        <v>0</v>
      </c>
      <c r="V79" s="6" t="n">
        <v>54.666667</v>
      </c>
      <c r="W79" s="6" t="n">
        <v>90.01390000000001</v>
      </c>
      <c r="X79" s="6" t="n">
        <v>36.4163</v>
      </c>
      <c r="Y79" s="6" t="inlineStr">
        <is>
          <t>Performance</t>
        </is>
      </c>
      <c r="Z79" s="6" t="inlineStr">
        <is>
          <t>Frozen-weight composite; strongest contribution: Performance.</t>
        </is>
      </c>
      <c r="AA79" s="6" t="inlineStr">
        <is>
          <t>None explicitly named in this RTM</t>
        </is>
      </c>
      <c r="AB79" s="6" t="inlineStr">
        <is>
          <t>SCK CEN/90508872 §4.13.3.3; no named external code</t>
        </is>
      </c>
      <c r="AC79" s="6" t="inlineStr">
        <is>
          <t>Witnessed FAT/SAT/commissioning test against stated acceptance criteria; Calculation/model plus calibrated measurement or recorded trend; Functional design/configuration review and sequence/interface demonstration</t>
        </is>
      </c>
      <c r="AD79" s="6" t="inlineStr">
        <is>
          <t>No separate deliverable explicitly named</t>
        </is>
      </c>
      <c r="AE79" s="6" t="inlineStr">
        <is>
          <t>L1 Conceptual Design; L2 Detailed Design</t>
        </is>
      </c>
      <c r="AF79" s="6" t="inlineStr">
        <is>
          <t>Section/contract-derived reference; explicit deliverable/test wording</t>
        </is>
      </c>
      <c r="AG79" s="58" t="inlineStr">
        <is>
          <t>OFFER-39 (Supporting)</t>
        </is>
      </c>
    </row>
    <row r="80" ht="86" customHeight="1">
      <c r="A80" s="6" t="n">
        <v>75</v>
      </c>
      <c r="B80" s="6" t="inlineStr">
        <is>
          <t>RTM-197</t>
        </is>
      </c>
      <c r="C80" s="6" t="inlineStr">
        <is>
          <t>No</t>
        </is>
      </c>
      <c r="D80" s="6" t="inlineStr">
        <is>
          <t>T1 Primary</t>
        </is>
      </c>
      <c r="E80" s="6" t="inlineStr">
        <is>
          <t>Subsystems</t>
        </is>
      </c>
      <c r="F80" s="82" t="inlineStr">
        <is>
          <t>SYSTEM</t>
        </is>
      </c>
      <c r="G80" s="83" t="inlineStr">
        <is>
          <t>Performance</t>
        </is>
      </c>
      <c r="H80" s="59" t="inlineStr">
        <is>
          <t>—</t>
        </is>
      </c>
      <c r="I80" s="58" t="inlineStr">
        <is>
          <t>C5 (+) — Infrastructure &amp; Integration + others</t>
        </is>
      </c>
      <c r="J80" s="6" t="n">
        <v>55</v>
      </c>
      <c r="K80" s="6" t="inlineStr">
        <is>
          <t>4.4.4.1</t>
        </is>
      </c>
      <c r="L80" s="6" t="inlineStr">
        <is>
          <t>General Requirements</t>
        </is>
      </c>
      <c r="M80" s="6" t="inlineStr">
        <is>
          <t>The interface between the QRB and the WCS shall comply with the following requirements on the QRB side of the interface</t>
        </is>
      </c>
      <c r="N80" s="6" t="inlineStr">
        <is>
          <t>The interface between the QRB and the WCS shall comply with the following requirements on the QRB side of the interface
• Each process line shall include an isolation valve.
• The process lines (HP/LP/VLP) shall pass through designated wall sleeves and shall include provisions for thermal expansion compensation and removable spool pieces to allow maintenance access.</t>
        </is>
      </c>
      <c r="O80" s="6" t="n">
        <v>0</v>
      </c>
      <c r="P80" s="6" t="n">
        <v>2</v>
      </c>
      <c r="Q80" s="6" t="n">
        <v>2</v>
      </c>
      <c r="R80" s="6" t="n">
        <v>2</v>
      </c>
      <c r="S80" s="6" t="n">
        <v>3</v>
      </c>
      <c r="T80" s="6" t="n">
        <v>0</v>
      </c>
      <c r="U80" s="6" t="n">
        <v>3</v>
      </c>
      <c r="V80" s="6" t="n">
        <v>53.666667</v>
      </c>
      <c r="W80" s="6" t="n">
        <v>89.73650000000001</v>
      </c>
      <c r="X80" s="6" t="n">
        <v>35.5964</v>
      </c>
      <c r="Y80" s="6" t="inlineStr">
        <is>
          <t>Reliability</t>
        </is>
      </c>
      <c r="Z80" s="6" t="inlineStr">
        <is>
          <t>Frozen-weight composite; strongest contribution: Reliability.</t>
        </is>
      </c>
      <c r="AA80" s="6" t="inlineStr">
        <is>
          <t>None explicitly named in this RTM</t>
        </is>
      </c>
      <c r="AB80" s="6" t="inlineStr">
        <is>
          <t>SCK CEN/90508872 §4.4.4.1; no named external code</t>
        </is>
      </c>
      <c r="AC80" s="6" t="inlineStr">
        <is>
          <t>Witnessed FAT/SAT/commissioning test against stated acceptance criteria; Calculation/model plus calibrated measurement or recorded trend; Functional design/configuration review and sequence/interface demonstration</t>
        </is>
      </c>
      <c r="AD80" s="6" t="inlineStr">
        <is>
          <t>No separate deliverable explicitly named</t>
        </is>
      </c>
      <c r="AE80" s="6" t="inlineStr">
        <is>
          <t>L6 Site Acceptance Testing; L1 Conceptual Design; L2 Detailed Design</t>
        </is>
      </c>
      <c r="AF80" s="6" t="inlineStr">
        <is>
          <t>Section/contract-derived reference; derived evidence route</t>
        </is>
      </c>
      <c r="AG80" s="58" t="inlineStr">
        <is>
          <t>OFFER-13 (Broad/contextual — main component specification); OFFER-17 (Direct)</t>
        </is>
      </c>
    </row>
    <row r="81" ht="400" customHeight="1">
      <c r="A81" s="6" t="n">
        <v>76</v>
      </c>
      <c r="B81" s="6" t="inlineStr">
        <is>
          <t>RTM-493</t>
        </is>
      </c>
      <c r="C81" s="6" t="inlineStr">
        <is>
          <t>No</t>
        </is>
      </c>
      <c r="D81" s="6" t="inlineStr">
        <is>
          <t>T1 Primary</t>
        </is>
      </c>
      <c r="E81" s="6" t="inlineStr">
        <is>
          <t>Acceptance Testing</t>
        </is>
      </c>
      <c r="F81" s="82" t="inlineStr">
        <is>
          <t>PROJECT</t>
        </is>
      </c>
      <c r="G81" s="83" t="inlineStr">
        <is>
          <t>Documentation &amp; Compliance</t>
        </is>
      </c>
      <c r="H81" s="59" t="inlineStr">
        <is>
          <t>—</t>
        </is>
      </c>
      <c r="I81" s="58" t="inlineStr">
        <is>
          <t>C7 — Quality, Testing &amp; Risk</t>
        </is>
      </c>
      <c r="J81" s="6" t="n">
        <v>95</v>
      </c>
      <c r="K81" s="6" t="inlineStr">
        <is>
          <t>4.13.1</t>
        </is>
      </c>
      <c r="L81" s="6" t="inlineStr">
        <is>
          <t>General Requirements</t>
        </is>
      </c>
      <c r="M81" s="6" t="inlineStr">
        <is>
          <t>Each acceptance test programme shall, at minimum, contain:</t>
        </is>
      </c>
      <c r="N81" s="6" t="inlineStr">
        <is>
          <t>Each acceptance test programme shall, at minimum, contain:
• A general overview, including:
• The purpose of the acceptance test.
• A comprehensive list of the tests to be performed.
• The participants required on site during the acceptance test.
• A description of the communication strategy and logistical organization for conducting the tests.
• General requirements, including:
• The equipment, tools, instrumentation, and computing devices to be used.
• The environmental conditions that must be in place.
• The required consumables and utilities (e.g. process gas, electricity).
• The qualifications of the personnel required to conduct the testing.
• Safety requirements, including:
• The safety conditions and precautions to be respected during the acceptance test.
• The required personal protective equipment.
• The applicable permits, authorisations, and access conditions.
• The emergency arrangements and stop criteria applicable to the acceptance test.
• The identification of the hazards relevant to the acceptance test and the corresponding mitigation measures.
• The parameters to be measured, including:
• Their target values and acceptance limits.
• The measurement instruments used and their measurement accuracy.
• The measurement methodology.
• The calculation methods to be applied where direct measurement is not possible.
• The test setups and methods, including:
• A description of each test setup.
• A description of each test method used to obtain representative and reliable results.
• The reporting requirements, including:
• How the acceptance tests shall be documented.
• What the resulting documents shall contain.
• To which organisations the resulting documents shall be transmitted.</t>
        </is>
      </c>
      <c r="O81" s="6" t="n">
        <v>2</v>
      </c>
      <c r="P81" s="6" t="n">
        <v>2</v>
      </c>
      <c r="Q81" s="6" t="n">
        <v>2</v>
      </c>
      <c r="R81" s="6" t="n">
        <v>0</v>
      </c>
      <c r="S81" s="6" t="n">
        <v>3</v>
      </c>
      <c r="T81" s="6" t="n">
        <v>0</v>
      </c>
      <c r="U81" s="6" t="n">
        <v>0</v>
      </c>
      <c r="V81" s="6" t="n">
        <v>53.333333</v>
      </c>
      <c r="W81" s="6" t="n">
        <v>89.59780000000001</v>
      </c>
      <c r="X81" s="6" t="n">
        <v>35.1958</v>
      </c>
      <c r="Y81" s="6" t="inlineStr">
        <is>
          <t>Reliability</t>
        </is>
      </c>
      <c r="Z81" s="6" t="inlineStr">
        <is>
          <t>Frozen-weight composite; strongest contribution: Reliability.</t>
        </is>
      </c>
      <c r="AA81" s="6" t="inlineStr">
        <is>
          <t>None explicitly named in this RTM</t>
        </is>
      </c>
      <c r="AB81" s="6" t="inlineStr">
        <is>
          <t>SCK CEN/90508872 §4.13.1; no named external code</t>
        </is>
      </c>
      <c r="AC81" s="6" t="inlineStr">
        <is>
          <t>Submit and review the named deliverable with RTM traceability and approval status; Witnessed FAT/SAT/commissioning test against stated acceptance criteria; Calculation/model plus calibrated measurement or recorded trend</t>
        </is>
      </c>
      <c r="AD81" s="6" t="inlineStr">
        <is>
          <t>List / register / matrix</t>
        </is>
      </c>
      <c r="AE81" s="6" t="inlineStr">
        <is>
          <t>L6 Site Acceptance Testing; L1 Conceptual Design; L2 Detailed Design</t>
        </is>
      </c>
      <c r="AF81" s="6" t="inlineStr">
        <is>
          <t>Section/contract-derived reference; explicit deliverable/test wording</t>
        </is>
      </c>
      <c r="AG81" s="58" t="inlineStr">
        <is>
          <t>OFFER-39 (Direct)</t>
        </is>
      </c>
    </row>
    <row r="82" ht="138" customHeight="1">
      <c r="A82" s="6" t="n">
        <v>77</v>
      </c>
      <c r="B82" s="6" t="inlineStr">
        <is>
          <t>RTM-186</t>
        </is>
      </c>
      <c r="C82" s="6" t="inlineStr">
        <is>
          <t>No</t>
        </is>
      </c>
      <c r="D82" s="6" t="inlineStr">
        <is>
          <t>T1 Primary</t>
        </is>
      </c>
      <c r="E82" s="6" t="inlineStr">
        <is>
          <t>Subsystems</t>
        </is>
      </c>
      <c r="F82" s="82" t="inlineStr">
        <is>
          <t>SYSTEM</t>
        </is>
      </c>
      <c r="G82" s="83" t="inlineStr">
        <is>
          <t>Constraint</t>
        </is>
      </c>
      <c r="H82" s="59" t="inlineStr">
        <is>
          <t>—</t>
        </is>
      </c>
      <c r="I82" s="81" t="inlineStr">
        <is>
          <t>Inferred: C6 — Reliability &amp; Maintenance (medium conf.)</t>
        </is>
      </c>
      <c r="J82" s="6" t="n">
        <v>53</v>
      </c>
      <c r="K82" s="6" t="inlineStr">
        <is>
          <t>4.4.3.7</t>
        </is>
      </c>
      <c r="L82" s="6" t="inlineStr">
        <is>
          <t>Helium dryer</t>
        </is>
      </c>
      <c r="M82" s="6" t="inlineStr">
        <is>
          <t>The helium dryer system shall comply with the following architectural requirements:</t>
        </is>
      </c>
      <c r="N82" s="6" t="inlineStr">
        <is>
          <t>The helium dryer system shall comply with the following architectural requirements:
• It shall comprise at least two identical helium dryers installed in parallel.
• The arrangement shall provide operational redundancy.
• The arrangement shall allow continuous drying of the full HP helium mass flow with one dryer in operation while the other dryer is in regeneration, maintenance, or otherwise unavailable.
• The adsorbent material shall be a molecular sieve of alkali alumina-silicate (zeolite) or an equivalent material.</t>
        </is>
      </c>
      <c r="O82" s="6" t="n">
        <v>0</v>
      </c>
      <c r="P82" s="6" t="n">
        <v>3</v>
      </c>
      <c r="Q82" s="6" t="n">
        <v>3</v>
      </c>
      <c r="R82" s="6" t="n">
        <v>2</v>
      </c>
      <c r="S82" s="6" t="n">
        <v>0</v>
      </c>
      <c r="T82" s="6" t="n">
        <v>0</v>
      </c>
      <c r="U82" s="6" t="n">
        <v>0</v>
      </c>
      <c r="V82" s="6" t="n">
        <v>52.666667</v>
      </c>
      <c r="W82" s="6" t="n">
        <v>89.18170000000001</v>
      </c>
      <c r="X82" s="6" t="n">
        <v>34.0297</v>
      </c>
      <c r="Y82" s="6" t="inlineStr">
        <is>
          <t>Reliability</t>
        </is>
      </c>
      <c r="Z82" s="6" t="inlineStr">
        <is>
          <t>Frozen-weight composite; strongest contribution: Reliability.</t>
        </is>
      </c>
      <c r="AA82" s="6" t="inlineStr">
        <is>
          <t>None explicitly named in this RTM</t>
        </is>
      </c>
      <c r="AB82" s="6" t="inlineStr">
        <is>
          <t>SCK CEN/90508872 §4.4.3.7; no named external code</t>
        </is>
      </c>
      <c r="AC82" s="6" t="inlineStr">
        <is>
          <t>Calculation/model plus calibrated measurement or recorded trend; Functional design/configuration review and sequence/interface demonstration; RAM/maintenance substantiation and recovery/failure-response evidence</t>
        </is>
      </c>
      <c r="AD82" s="6" t="inlineStr">
        <is>
          <t>No separate deliverable explicitly named</t>
        </is>
      </c>
      <c r="AE82" s="6" t="inlineStr">
        <is>
          <t>L1 Conceptual Design; L2 Detailed Design</t>
        </is>
      </c>
      <c r="AF82" s="6" t="inlineStr">
        <is>
          <t>Section/contract-derived reference; derived evidence route</t>
        </is>
      </c>
      <c r="AG82" s="58" t="inlineStr">
        <is>
          <t>Not linked to an OFFER item</t>
        </is>
      </c>
    </row>
    <row r="83" ht="60" customHeight="1">
      <c r="A83" s="6" t="n">
        <v>78</v>
      </c>
      <c r="B83" s="6" t="inlineStr">
        <is>
          <t>RTM-264</t>
        </is>
      </c>
      <c r="C83" s="6" t="inlineStr">
        <is>
          <t>No</t>
        </is>
      </c>
      <c r="D83" s="6" t="inlineStr">
        <is>
          <t>T1 Primary</t>
        </is>
      </c>
      <c r="E83" s="6" t="inlineStr">
        <is>
          <t>Subsystems</t>
        </is>
      </c>
      <c r="F83" s="82" t="inlineStr">
        <is>
          <t>SYSTEM</t>
        </is>
      </c>
      <c r="G83" s="83" t="inlineStr">
        <is>
          <t>Performance</t>
        </is>
      </c>
      <c r="H83" s="59" t="inlineStr">
        <is>
          <t>—</t>
        </is>
      </c>
      <c r="I83" s="58" t="inlineStr">
        <is>
          <t>C3 — Mechanical &amp; Equipment</t>
        </is>
      </c>
      <c r="J83" s="6" t="n">
        <v>64</v>
      </c>
      <c r="K83" s="6" t="inlineStr">
        <is>
          <t>4.4.8</t>
        </is>
      </c>
      <c r="L83" s="6" t="inlineStr">
        <is>
          <t>External Helium Withdrawal and Recovery</t>
        </is>
      </c>
      <c r="M83" s="6" t="inlineStr">
        <is>
          <t>The QPS shall serve the External Dewar Users using the installed cooling capacity as specified in §4.2.4.</t>
        </is>
      </c>
      <c r="N83" s="6" t="inlineStr">
        <is>
          <t>The QPS shall serve the External Dewar Users using the installed cooling capacity as specified in §4.2.4.
• No additional capacity shall be added solely to accommodate the needs of the External Dewar Users.</t>
        </is>
      </c>
      <c r="O83" s="6" t="n">
        <v>0</v>
      </c>
      <c r="P83" s="6" t="n">
        <v>3</v>
      </c>
      <c r="Q83" s="6" t="n">
        <v>3</v>
      </c>
      <c r="R83" s="6" t="n">
        <v>2</v>
      </c>
      <c r="S83" s="6" t="n">
        <v>0</v>
      </c>
      <c r="T83" s="6" t="n">
        <v>0</v>
      </c>
      <c r="U83" s="6" t="n">
        <v>0</v>
      </c>
      <c r="V83" s="6" t="n">
        <v>52.666667</v>
      </c>
      <c r="W83" s="6" t="n">
        <v>89.18170000000001</v>
      </c>
      <c r="X83" s="6" t="n">
        <v>34.0297</v>
      </c>
      <c r="Y83" s="6" t="inlineStr">
        <is>
          <t>Reliability</t>
        </is>
      </c>
      <c r="Z83" s="6" t="inlineStr">
        <is>
          <t>Frozen-weight composite; strongest contribution: Reliability.</t>
        </is>
      </c>
      <c r="AA83" s="6" t="inlineStr">
        <is>
          <t>None explicitly named in this RTM</t>
        </is>
      </c>
      <c r="AB83" s="6" t="inlineStr">
        <is>
          <t>SCK CEN/90508872 §4.4.8; no named external code</t>
        </is>
      </c>
      <c r="AC83" s="6" t="inlineStr">
        <is>
          <t>Calculation/model plus calibrated measurement or recorded trend; RAM/maintenance substantiation and recovery/failure-response evidence</t>
        </is>
      </c>
      <c r="AD83" s="6" t="inlineStr">
        <is>
          <t>No separate deliverable explicitly named</t>
        </is>
      </c>
      <c r="AE83" s="6" t="inlineStr">
        <is>
          <t>L1 Conceptual Design; L2 Detailed Design</t>
        </is>
      </c>
      <c r="AF83" s="6" t="inlineStr">
        <is>
          <t>Section/contract-derived reference; derived evidence route</t>
        </is>
      </c>
      <c r="AG83" s="58" t="inlineStr">
        <is>
          <t>OFFER-13 (Broad/contextual — main component specification)</t>
        </is>
      </c>
    </row>
    <row r="84" ht="177" customHeight="1">
      <c r="A84" s="6" t="n">
        <v>79</v>
      </c>
      <c r="B84" s="6" t="inlineStr">
        <is>
          <t>RTM-269</t>
        </is>
      </c>
      <c r="C84" s="6" t="inlineStr">
        <is>
          <t>No</t>
        </is>
      </c>
      <c r="D84" s="6" t="inlineStr">
        <is>
          <t>T1 Primary</t>
        </is>
      </c>
      <c r="E84" s="6" t="inlineStr">
        <is>
          <t>Subsystems</t>
        </is>
      </c>
      <c r="F84" s="82" t="inlineStr">
        <is>
          <t>SYSTEM</t>
        </is>
      </c>
      <c r="G84" s="83" t="inlineStr">
        <is>
          <t>Constraint</t>
        </is>
      </c>
      <c r="H84" s="59" t="inlineStr">
        <is>
          <t>—</t>
        </is>
      </c>
      <c r="I84" s="58" t="inlineStr">
        <is>
          <t>C1 — Performance</t>
        </is>
      </c>
      <c r="J84" s="6" t="n">
        <v>64</v>
      </c>
      <c r="K84" s="6" t="inlineStr">
        <is>
          <t>4.4.8.1</t>
        </is>
      </c>
      <c r="L84" s="6" t="inlineStr">
        <is>
          <t>Dewar Filling Station</t>
        </is>
      </c>
      <c r="M84" s="6" t="inlineStr">
        <is>
          <t>Within the operational and boundary constraints defined in RTM-264, the Dewar Filling Station shall be designed to accommodate the following LHe filling requirements:</t>
        </is>
      </c>
      <c r="N84" s="6" t="inlineStr">
        <is>
          <t>Within the operational and boundary constraints defined in RTM-264, the Dewar Filling Station shall be designed to accommodate the following LHe filling requirements:
• Filling demand during active Dewar User campaigns
• Peak demand: A sporadic net withdrawal of up to 200 L of LHe at the start of Dewar User campaign
• Nominal demand: An average net withdrawal of 50 L of LHe per day throughout the duration of a Dewar User campaign.
• Net withdrawal definition
• The net withdrawal shall correspond to the LHe delivered to the External Dewar User and shall exclude any additional liquid consumption associated to the filling operation (e.g. conditioning, cool-down, boil-off losses, or vapour recovery).</t>
        </is>
      </c>
      <c r="O84" s="6" t="n">
        <v>0</v>
      </c>
      <c r="P84" s="6" t="n">
        <v>3</v>
      </c>
      <c r="Q84" s="6" t="n">
        <v>3</v>
      </c>
      <c r="R84" s="6" t="n">
        <v>2</v>
      </c>
      <c r="S84" s="6" t="n">
        <v>0</v>
      </c>
      <c r="T84" s="6" t="n">
        <v>0</v>
      </c>
      <c r="U84" s="6" t="n">
        <v>0</v>
      </c>
      <c r="V84" s="6" t="n">
        <v>52.666667</v>
      </c>
      <c r="W84" s="6" t="n">
        <v>89.18170000000001</v>
      </c>
      <c r="X84" s="6" t="n">
        <v>34.0297</v>
      </c>
      <c r="Y84" s="6" t="inlineStr">
        <is>
          <t>Reliability</t>
        </is>
      </c>
      <c r="Z84" s="6" t="inlineStr">
        <is>
          <t>Frozen-weight composite; strongest contribution: Reliability.</t>
        </is>
      </c>
      <c r="AA84" s="6" t="inlineStr">
        <is>
          <t>None explicitly named in this RTM</t>
        </is>
      </c>
      <c r="AB84" s="6" t="inlineStr">
        <is>
          <t>SCK CEN/90508872 §4.4.8.1; no named external code</t>
        </is>
      </c>
      <c r="AC84" s="6" t="inlineStr">
        <is>
          <t>Calculation/model plus calibrated measurement or recorded trend; Functional design/configuration review and sequence/interface demonstration; RAM/maintenance substantiation and recovery/failure-response evidence</t>
        </is>
      </c>
      <c r="AD84" s="6" t="inlineStr">
        <is>
          <t>No separate deliverable explicitly named</t>
        </is>
      </c>
      <c r="AE84" s="6" t="inlineStr">
        <is>
          <t>L1 Conceptual Design; L2 Detailed Design</t>
        </is>
      </c>
      <c r="AF84" s="6" t="inlineStr">
        <is>
          <t>Section/contract-derived reference; derived evidence route</t>
        </is>
      </c>
      <c r="AG84" s="58" t="inlineStr">
        <is>
          <t>OFFER-23 (Direct)</t>
        </is>
      </c>
    </row>
    <row r="85" ht="112" customHeight="1">
      <c r="A85" s="6" t="n">
        <v>80</v>
      </c>
      <c r="B85" s="6" t="inlineStr">
        <is>
          <t>RTM-270</t>
        </is>
      </c>
      <c r="C85" s="6" t="inlineStr">
        <is>
          <t>No</t>
        </is>
      </c>
      <c r="D85" s="6" t="inlineStr">
        <is>
          <t>T1 Primary</t>
        </is>
      </c>
      <c r="E85" s="6" t="inlineStr">
        <is>
          <t>Subsystems</t>
        </is>
      </c>
      <c r="F85" s="82" t="inlineStr">
        <is>
          <t>SYSTEM</t>
        </is>
      </c>
      <c r="G85" s="83" t="inlineStr">
        <is>
          <t>Performance</t>
        </is>
      </c>
      <c r="H85" s="59" t="inlineStr">
        <is>
          <t>—</t>
        </is>
      </c>
      <c r="I85" s="58" t="inlineStr">
        <is>
          <t>C1 — Performance</t>
        </is>
      </c>
      <c r="J85" s="6" t="n">
        <v>65</v>
      </c>
      <c r="K85" s="6" t="inlineStr">
        <is>
          <t>4.4.8.1</t>
        </is>
      </c>
      <c r="L85" s="6" t="inlineStr">
        <is>
          <t>Dewar Filling Station</t>
        </is>
      </c>
      <c r="M85" s="6" t="inlineStr">
        <is>
          <t>The Contractor shall quantify and substantiate the total helium demand associated with dewar filling activities, including all contributions arising from:</t>
        </is>
      </c>
      <c r="N85" s="6" t="inlineStr">
        <is>
          <t>The Contractor shall quantify and substantiate the total helium demand associated with dewar filling activities, including all contributions arising from:
• Interface conditioning and purge operations
• Cool-down of associated filling equipment
• Expected boil-off losses during transfer
• Vapour recovery efficiency and return flow
• Purging or conditioning steps where applicable</t>
        </is>
      </c>
      <c r="O85" s="6" t="n">
        <v>0</v>
      </c>
      <c r="P85" s="6" t="n">
        <v>3</v>
      </c>
      <c r="Q85" s="6" t="n">
        <v>3</v>
      </c>
      <c r="R85" s="6" t="n">
        <v>2</v>
      </c>
      <c r="S85" s="6" t="n">
        <v>0</v>
      </c>
      <c r="T85" s="6" t="n">
        <v>0</v>
      </c>
      <c r="U85" s="6" t="n">
        <v>0</v>
      </c>
      <c r="V85" s="6" t="n">
        <v>52.666667</v>
      </c>
      <c r="W85" s="6" t="n">
        <v>89.18170000000001</v>
      </c>
      <c r="X85" s="6" t="n">
        <v>34.0297</v>
      </c>
      <c r="Y85" s="6" t="inlineStr">
        <is>
          <t>Reliability</t>
        </is>
      </c>
      <c r="Z85" s="6" t="inlineStr">
        <is>
          <t>Frozen-weight composite; strongest contribution: Reliability.</t>
        </is>
      </c>
      <c r="AA85" s="6" t="inlineStr">
        <is>
          <t>None explicitly named in this RTM</t>
        </is>
      </c>
      <c r="AB85" s="6" t="inlineStr">
        <is>
          <t>SCK CEN/90508872 §4.4.8.1; no named external code</t>
        </is>
      </c>
      <c r="AC85" s="6" t="inlineStr">
        <is>
          <t>Calculation/model plus calibrated measurement or recorded trend; Functional design/configuration review and sequence/interface demonstration; RAM/maintenance substantiation and recovery/failure-response evidence</t>
        </is>
      </c>
      <c r="AD85" s="6" t="inlineStr">
        <is>
          <t>No separate deliverable explicitly named</t>
        </is>
      </c>
      <c r="AE85" s="6" t="inlineStr">
        <is>
          <t>L1 Conceptual Design; L2 Detailed Design</t>
        </is>
      </c>
      <c r="AF85" s="6" t="inlineStr">
        <is>
          <t>Section/contract-derived reference; derived evidence route</t>
        </is>
      </c>
      <c r="AG85" s="58" t="inlineStr">
        <is>
          <t>OFFER-23 (Direct)</t>
        </is>
      </c>
    </row>
    <row r="86" ht="99" customHeight="1">
      <c r="A86" s="6" t="n">
        <v>81</v>
      </c>
      <c r="B86" s="6" t="inlineStr">
        <is>
          <t>RTM-279</t>
        </is>
      </c>
      <c r="C86" s="6" t="inlineStr">
        <is>
          <t>No</t>
        </is>
      </c>
      <c r="D86" s="6" t="inlineStr">
        <is>
          <t>T1 Primary</t>
        </is>
      </c>
      <c r="E86" s="6" t="inlineStr">
        <is>
          <t>Subsystems</t>
        </is>
      </c>
      <c r="F86" s="82" t="inlineStr">
        <is>
          <t>SYSTEM</t>
        </is>
      </c>
      <c r="G86" s="83" t="inlineStr">
        <is>
          <t>Control</t>
        </is>
      </c>
      <c r="H86" s="59" t="inlineStr">
        <is>
          <t>—</t>
        </is>
      </c>
      <c r="I86" s="58" t="inlineStr">
        <is>
          <t>C2 — Process Design</t>
        </is>
      </c>
      <c r="J86" s="6" t="n">
        <v>66</v>
      </c>
      <c r="K86" s="6" t="inlineStr">
        <is>
          <t>4.4.8.2</t>
        </is>
      </c>
      <c r="L86" s="6" t="inlineStr">
        <is>
          <t>Warm GHe Recovery from WGR-MAC</t>
        </is>
      </c>
      <c r="M86" s="6" t="inlineStr">
        <is>
          <t>The QPLANT shall include at the interface with line QRB.G20, at minimum:</t>
        </is>
      </c>
      <c r="N86" s="6" t="inlineStr">
        <is>
          <t>The QPLANT shall include at the interface with line QRB.G20, at minimum:
• A non-return valve
• An automated isolation valve
• Removable end caps to allow blinding of the interface
• Dedicated sampling points for impurity monitoring
• A pressure transducer
• A mass flow transducer</t>
        </is>
      </c>
      <c r="O86" s="6" t="n">
        <v>0</v>
      </c>
      <c r="P86" s="6" t="n">
        <v>3</v>
      </c>
      <c r="Q86" s="6" t="n">
        <v>3</v>
      </c>
      <c r="R86" s="6" t="n">
        <v>2</v>
      </c>
      <c r="S86" s="6" t="n">
        <v>0</v>
      </c>
      <c r="T86" s="6" t="n">
        <v>0</v>
      </c>
      <c r="U86" s="6" t="n">
        <v>0</v>
      </c>
      <c r="V86" s="6" t="n">
        <v>52.666667</v>
      </c>
      <c r="W86" s="6" t="n">
        <v>89.18170000000001</v>
      </c>
      <c r="X86" s="6" t="n">
        <v>34.0297</v>
      </c>
      <c r="Y86" s="6" t="inlineStr">
        <is>
          <t>Reliability</t>
        </is>
      </c>
      <c r="Z86" s="6" t="inlineStr">
        <is>
          <t>Frozen-weight composite; strongest contribution: Reliability.</t>
        </is>
      </c>
      <c r="AA86" s="6" t="inlineStr">
        <is>
          <t>None explicitly named in this RTM</t>
        </is>
      </c>
      <c r="AB86" s="6" t="inlineStr">
        <is>
          <t>SCK CEN/90508872 §4.4.8.2; no named external code</t>
        </is>
      </c>
      <c r="AC86" s="6" t="inlineStr">
        <is>
          <t>Calculation/model plus calibrated measurement or recorded trend; Functional design/configuration review and sequence/interface demonstration; RAM/maintenance substantiation and recovery/failure-response evidence</t>
        </is>
      </c>
      <c r="AD86" s="6" t="inlineStr">
        <is>
          <t>No separate deliverable explicitly named</t>
        </is>
      </c>
      <c r="AE86" s="6" t="inlineStr">
        <is>
          <t>L1 Conceptual Design; L2 Detailed Design</t>
        </is>
      </c>
      <c r="AF86" s="6" t="inlineStr">
        <is>
          <t>Section/contract-derived reference; derived evidence route</t>
        </is>
      </c>
      <c r="AG86" s="58" t="inlineStr">
        <is>
          <t>OFFER-24 (Direct)</t>
        </is>
      </c>
    </row>
    <row r="87" ht="190" customHeight="1">
      <c r="A87" s="6" t="n">
        <v>82</v>
      </c>
      <c r="B87" s="6" t="inlineStr">
        <is>
          <t>RTM-118</t>
        </is>
      </c>
      <c r="C87" s="6" t="inlineStr">
        <is>
          <t>No</t>
        </is>
      </c>
      <c r="D87" s="6" t="inlineStr">
        <is>
          <t>T1 Primary</t>
        </is>
      </c>
      <c r="E87" s="6" t="inlineStr">
        <is>
          <t>Subsystems</t>
        </is>
      </c>
      <c r="F87" s="82" t="inlineStr">
        <is>
          <t>SYSTEM</t>
        </is>
      </c>
      <c r="G87" s="83" t="inlineStr">
        <is>
          <t>Control</t>
        </is>
      </c>
      <c r="H87" s="59" t="inlineStr">
        <is>
          <t>—</t>
        </is>
      </c>
      <c r="I87" s="81" t="inlineStr">
        <is>
          <t>Inferred: C2 — Process Design (low conf.)</t>
        </is>
      </c>
      <c r="J87" s="6" t="n">
        <v>46</v>
      </c>
      <c r="K87" s="6" t="inlineStr">
        <is>
          <t>4.4.2.3</t>
        </is>
      </c>
      <c r="L87" s="6" t="inlineStr">
        <is>
          <t>Temperature sensors</t>
        </is>
      </c>
      <c r="M87" s="6" t="inlineStr">
        <is>
          <t>The cabling between each temperature sensing element and its associated signal conditioning device shall be designed and installed to ensure accurate, stable, and noise-immune signal transmission under all specified operating and environmental conditions.</t>
        </is>
      </c>
      <c r="N87" s="6" t="inlineStr">
        <is>
          <t>The cabling between each temperature sensing element and its associated signal conditioning device shall be designed and installed to ensure accurate, stable, and noise-immune signal transmission under all specified operating and environmental conditions.
• The Contractor shall employ shielded, twisted-pair conductors or functionally equivalent solutions to minimise electromagnetic interference (EMI), preserve signal resolution, and enable compensation of lead resistance when required by the selected measurement method (e.g. 3-wire or 4-wire RTDs).
• The Contractor’s selected cabling solution shall be justified by reference to recognised standards or design practices, such as IEC 60751, IEC 60359, ISA RP12.6, or other EMI mitigation guidelines accepted in industrial instrumentation.
• Temperature elements outside cold boxes shall be mounted directly in the fluid stream, using a protection tube welded on the pipe.</t>
        </is>
      </c>
      <c r="O87" s="6" t="n">
        <v>2</v>
      </c>
      <c r="P87" s="6" t="n">
        <v>0</v>
      </c>
      <c r="Q87" s="6" t="n">
        <v>2</v>
      </c>
      <c r="R87" s="6" t="n">
        <v>2</v>
      </c>
      <c r="S87" s="6" t="n">
        <v>3</v>
      </c>
      <c r="T87" s="6" t="n">
        <v>0</v>
      </c>
      <c r="U87" s="6" t="n">
        <v>3</v>
      </c>
      <c r="V87" s="6" t="n">
        <v>52.333333</v>
      </c>
      <c r="W87" s="6" t="n">
        <v>88.76560000000001</v>
      </c>
      <c r="X87" s="6" t="n">
        <v>32.9149</v>
      </c>
      <c r="Y87" s="6" t="inlineStr">
        <is>
          <t>Safety / Legal / Performance</t>
        </is>
      </c>
      <c r="Z87" s="6" t="inlineStr">
        <is>
          <t>Frozen-weight composite; strongest contribution: Safety / Legal / Performance.</t>
        </is>
      </c>
      <c r="AA87" s="6" t="inlineStr">
        <is>
          <t>IEC 60751; IEC 60359; ISA RP12.6</t>
        </is>
      </c>
      <c r="AB87" s="6" t="inlineStr">
        <is>
          <t>IEC 60751; IEC 60359; ISA RP12.6</t>
        </is>
      </c>
      <c r="AC87" s="6" t="inlineStr">
        <is>
          <t>Witnessed FAT/SAT/commissioning test against stated acceptance criteria; Calculation/model plus calibrated measurement or recorded trend</t>
        </is>
      </c>
      <c r="AD87" s="6" t="inlineStr">
        <is>
          <t>No separate deliverable explicitly named</t>
        </is>
      </c>
      <c r="AE87" s="6" t="inlineStr">
        <is>
          <t>L6 Site Acceptance Testing; L1 Conceptual Design; L2 Detailed Design</t>
        </is>
      </c>
      <c r="AF87" s="6" t="inlineStr">
        <is>
          <t>Explicit/table-grounded standard; derived evidence route</t>
        </is>
      </c>
      <c r="AG87" s="58" t="inlineStr">
        <is>
          <t>Not linked to an OFFER item</t>
        </is>
      </c>
    </row>
    <row r="88" ht="242" customHeight="1">
      <c r="A88" s="6" t="n">
        <v>83</v>
      </c>
      <c r="B88" s="6" t="inlineStr">
        <is>
          <t>RTM-573</t>
        </is>
      </c>
      <c r="C88" s="6" t="inlineStr">
        <is>
          <t>No</t>
        </is>
      </c>
      <c r="D88" s="6" t="inlineStr">
        <is>
          <t>T1 Primary</t>
        </is>
      </c>
      <c r="E88" s="6" t="inlineStr">
        <is>
          <t>Technical Documentation</t>
        </is>
      </c>
      <c r="F88" s="82" t="inlineStr">
        <is>
          <t>PROJECT</t>
        </is>
      </c>
      <c r="G88" s="83" t="inlineStr">
        <is>
          <t>Documentation &amp; Compliance</t>
        </is>
      </c>
      <c r="H88" s="59" t="inlineStr">
        <is>
          <t>—</t>
        </is>
      </c>
      <c r="I88" s="58" t="inlineStr">
        <is>
          <t>Not linked to an OFFER item</t>
        </is>
      </c>
      <c r="J88" s="6" t="n">
        <v>110</v>
      </c>
      <c r="K88" s="6" t="inlineStr">
        <is>
          <t>4.16.1</t>
        </is>
      </c>
      <c r="L88" s="6" t="inlineStr">
        <is>
          <t>Engineering File</t>
        </is>
      </c>
      <c r="M88" s="6" t="inlineStr">
        <is>
          <t>The Engineering File shall cover, at least, the following aspects:</t>
        </is>
      </c>
      <c r="N88" s="6" t="inlineStr">
        <is>
          <t>The Engineering File shall cover, at least, the following aspects:
• Design decisions for the key Parts and Elements of the QPS, including their technical justification.
• Sizing results for the relevant process and hydraulic Parts, including the supporting calculations.
• Design verification results, including the associated substantiating documentation, such as calculation notes, simulation results, and analysis reports.
• Building-integration results, including the relevant 3D CAD models and layout documentation.
• Integration results at Element level and at QPS level with the interfacing systems and Parts, including the associated substantiating documentation.
• Availability and reliability assessments, including the treatment of LOOP events.
• Technical risk assessment results, including:
• The assessment of process, human, and environmental safety risks.
• The description of the protective measures implemented to eliminate or mitigate the identified risks.</t>
        </is>
      </c>
      <c r="O88" s="6" t="n">
        <v>1</v>
      </c>
      <c r="P88" s="6" t="n">
        <v>3</v>
      </c>
      <c r="Q88" s="6" t="n">
        <v>1</v>
      </c>
      <c r="R88" s="6" t="n">
        <v>0</v>
      </c>
      <c r="S88" s="6" t="n">
        <v>3</v>
      </c>
      <c r="T88" s="6" t="n">
        <v>2</v>
      </c>
      <c r="U88" s="6" t="n">
        <v>0</v>
      </c>
      <c r="V88" s="6" t="n">
        <v>52</v>
      </c>
      <c r="W88" s="6" t="n">
        <v>88.62690000000001</v>
      </c>
      <c r="X88" s="6" t="n">
        <v>32.5541</v>
      </c>
      <c r="Y88" s="6" t="inlineStr">
        <is>
          <t>Reliability</t>
        </is>
      </c>
      <c r="Z88" s="6" t="inlineStr">
        <is>
          <t>Frozen-weight composite; strongest contribution: Reliability.</t>
        </is>
      </c>
      <c r="AA88" s="6" t="inlineStr">
        <is>
          <t>None explicitly named in this RTM</t>
        </is>
      </c>
      <c r="AB88" s="6" t="inlineStr">
        <is>
          <t>SCK CEN/90508872 §4.16.1; no named external code</t>
        </is>
      </c>
      <c r="AC88" s="6" t="inlineStr">
        <is>
          <t>Submit and review the named deliverable with RTM traceability and approval status; RAM/maintenance substantiation and recovery/failure-response evidence; Document review, inspection, certification, audit or traceable QC record</t>
        </is>
      </c>
      <c r="AD88" s="6" t="inlineStr">
        <is>
          <t>Engineering File; Availability &amp; Reliability Assessment; Risk Assessment / HAZOP / FMECA; 3D / CAD Model</t>
        </is>
      </c>
      <c r="AE88" s="6" t="inlineStr">
        <is>
          <t>L1 Conceptual Design; L2 Detailed Design</t>
        </is>
      </c>
      <c r="AF88" s="6" t="inlineStr">
        <is>
          <t>Section/contract-derived reference; explicit deliverable/test wording</t>
        </is>
      </c>
      <c r="AG88" s="58" t="inlineStr">
        <is>
          <t>Not linked to an OFFER item</t>
        </is>
      </c>
    </row>
    <row r="89" ht="73" customHeight="1">
      <c r="A89" s="6" t="n">
        <v>84</v>
      </c>
      <c r="B89" s="6" t="inlineStr">
        <is>
          <t>RTM-564</t>
        </is>
      </c>
      <c r="C89" s="6" t="inlineStr">
        <is>
          <t>No</t>
        </is>
      </c>
      <c r="D89" s="6" t="inlineStr">
        <is>
          <t>T1 Primary</t>
        </is>
      </c>
      <c r="E89" s="6" t="inlineStr">
        <is>
          <t>After-Sales</t>
        </is>
      </c>
      <c r="F89" s="82" t="inlineStr">
        <is>
          <t>PROJECT</t>
        </is>
      </c>
      <c r="G89" s="83" t="inlineStr">
        <is>
          <t>Governance &amp; Responsibility</t>
        </is>
      </c>
      <c r="H89" s="59" t="inlineStr">
        <is>
          <t>—</t>
        </is>
      </c>
      <c r="I89" s="58" t="inlineStr">
        <is>
          <t>C8 (+) — Commercial &amp; Execution + others</t>
        </is>
      </c>
      <c r="J89" s="6" t="n">
        <v>108</v>
      </c>
      <c r="K89" s="6" t="inlineStr">
        <is>
          <t>4.15</t>
        </is>
      </c>
      <c r="L89" s="6" t="inlineStr">
        <is>
          <t>After-Sales Services</t>
        </is>
      </c>
      <c r="M89" s="6" t="inlineStr">
        <is>
          <t>The technical support shall provide fault identification/analysis and troubleshooting, as well as universal support, for all and any aspects of the QPSs, including but not limited to maintenance, technical assistance during integrated user commissioning, software &amp; firmware, etc.</t>
        </is>
      </c>
      <c r="N89" s="6" t="inlineStr">
        <is>
          <t>The technical support shall provide fault identification/analysis and troubleshooting, as well as universal support, for all and any aspects of the QPSs, including but not limited to maintenance, technical assistance during integrated user commissioning, software &amp; firmware, etc.</t>
        </is>
      </c>
      <c r="O89" s="6" t="n">
        <v>1</v>
      </c>
      <c r="P89" s="6" t="n">
        <v>3</v>
      </c>
      <c r="Q89" s="6" t="n">
        <v>0</v>
      </c>
      <c r="R89" s="6" t="n">
        <v>3</v>
      </c>
      <c r="S89" s="6" t="n">
        <v>0</v>
      </c>
      <c r="T89" s="6" t="n">
        <v>3</v>
      </c>
      <c r="U89" s="6" t="n">
        <v>0</v>
      </c>
      <c r="V89" s="6" t="n">
        <v>51.666667</v>
      </c>
      <c r="W89" s="6" t="n">
        <v>88.48820000000001</v>
      </c>
      <c r="X89" s="6" t="n">
        <v>32.1986</v>
      </c>
      <c r="Y89" s="6" t="inlineStr">
        <is>
          <t>Reliability</t>
        </is>
      </c>
      <c r="Z89" s="6" t="inlineStr">
        <is>
          <t>Frozen-weight composite; strongest contribution: Reliability.</t>
        </is>
      </c>
      <c r="AA89" s="6" t="inlineStr">
        <is>
          <t>None explicitly named in this RTM</t>
        </is>
      </c>
      <c r="AB89" s="6" t="inlineStr">
        <is>
          <t>SCK CEN/90508872 §4.15; no named external code</t>
        </is>
      </c>
      <c r="AC89" s="6" t="inlineStr">
        <is>
          <t>Witnessed FAT/SAT/commissioning test against stated acceptance criteria; Functional design/configuration review and sequence/interface demonstration; RAM/maintenance substantiation and recovery/failure-response evidence</t>
        </is>
      </c>
      <c r="AD89" s="6" t="inlineStr">
        <is>
          <t>No separate deliverable explicitly named</t>
        </is>
      </c>
      <c r="AE89" s="6" t="inlineStr">
        <is>
          <t>L1 Conceptual Design; L2 Detailed Design</t>
        </is>
      </c>
      <c r="AF89" s="6" t="inlineStr">
        <is>
          <t>Section/contract-derived reference; derived evidence route</t>
        </is>
      </c>
      <c r="AG89" s="58" t="inlineStr">
        <is>
          <t>OFFER-42 (Direct); OFFER-43 (Contextual — maintenance effort estimate)</t>
        </is>
      </c>
    </row>
    <row r="90" ht="86" customHeight="1">
      <c r="A90" s="6" t="n">
        <v>85</v>
      </c>
      <c r="B90" s="6" t="inlineStr">
        <is>
          <t>RTM-273</t>
        </is>
      </c>
      <c r="C90" s="6" t="inlineStr">
        <is>
          <t>No</t>
        </is>
      </c>
      <c r="D90" s="6" t="inlineStr">
        <is>
          <t>T1 Primary</t>
        </is>
      </c>
      <c r="E90" s="6" t="inlineStr">
        <is>
          <t>Subsystems</t>
        </is>
      </c>
      <c r="F90" s="82" t="inlineStr">
        <is>
          <t>SYSTEM</t>
        </is>
      </c>
      <c r="G90" s="83" t="inlineStr">
        <is>
          <t>Control</t>
        </is>
      </c>
      <c r="H90" s="59" t="inlineStr">
        <is>
          <t>—</t>
        </is>
      </c>
      <c r="I90" s="58" t="inlineStr">
        <is>
          <t>C2 — Process Design</t>
        </is>
      </c>
      <c r="J90" s="6" t="n">
        <v>65</v>
      </c>
      <c r="K90" s="6" t="inlineStr">
        <is>
          <t>4.4.8.2</t>
        </is>
      </c>
      <c r="L90" s="6" t="inlineStr">
        <is>
          <t>Warm GHe Recovery from WGR-MAC</t>
        </is>
      </c>
      <c r="M90" s="6" t="inlineStr">
        <is>
          <t>The QPLANT shall autonomously determine the acceptance or rejection of the GHe returning via line QRB.G20. To this end, the QPLANT shall include all instrumentation, control functions, and interlocks necessary to monitor the interface conditions and to execute acceptance or rejection decisions, without any reliance on the external system.</t>
        </is>
      </c>
      <c r="N90" s="6" t="inlineStr">
        <is>
          <t>The QPLANT shall autonomously determine the acceptance or rejection of the GHe returning via line QRB.G20. To this end, the QPLANT shall include all instrumentation, control functions, and interlocks necessary to monitor the interface conditions and to execute acceptance or rejection decisions, without any reliance on the external system.</t>
        </is>
      </c>
      <c r="O90" s="6" t="n">
        <v>2</v>
      </c>
      <c r="P90" s="6" t="n">
        <v>3</v>
      </c>
      <c r="Q90" s="6" t="n">
        <v>0</v>
      </c>
      <c r="R90" s="6" t="n">
        <v>3</v>
      </c>
      <c r="S90" s="6" t="n">
        <v>0</v>
      </c>
      <c r="T90" s="6" t="n">
        <v>0</v>
      </c>
      <c r="U90" s="6" t="n">
        <v>0</v>
      </c>
      <c r="V90" s="6" t="n">
        <v>51.333333</v>
      </c>
      <c r="W90" s="6" t="n">
        <v>88.07210000000001</v>
      </c>
      <c r="X90" s="6" t="n">
        <v>31.1626</v>
      </c>
      <c r="Y90" s="6" t="inlineStr">
        <is>
          <t>Reliability</t>
        </is>
      </c>
      <c r="Z90" s="6" t="inlineStr">
        <is>
          <t>Frozen-weight composite; strongest contribution: Reliability.</t>
        </is>
      </c>
      <c r="AA90" s="6" t="inlineStr">
        <is>
          <t>None explicitly named in this RTM</t>
        </is>
      </c>
      <c r="AB90" s="6" t="inlineStr">
        <is>
          <t>SCK CEN/90508872 §4.4.8.2; no named external code</t>
        </is>
      </c>
      <c r="AC90" s="6" t="inlineStr">
        <is>
          <t>Functional design/configuration review and sequence/interface demonstration; RAM/maintenance substantiation and recovery/failure-response evidence</t>
        </is>
      </c>
      <c r="AD90" s="6" t="inlineStr">
        <is>
          <t>No separate deliverable explicitly named</t>
        </is>
      </c>
      <c r="AE90" s="6" t="inlineStr">
        <is>
          <t>L1 Conceptual Design; L2 Detailed Design</t>
        </is>
      </c>
      <c r="AF90" s="6" t="inlineStr">
        <is>
          <t>Section/contract-derived reference; derived evidence route</t>
        </is>
      </c>
      <c r="AG90" s="58" t="inlineStr">
        <is>
          <t>OFFER-24 (Direct)</t>
        </is>
      </c>
    </row>
    <row r="91" ht="47" customHeight="1">
      <c r="A91" s="6" t="n">
        <v>86</v>
      </c>
      <c r="B91" s="6" t="inlineStr">
        <is>
          <t>RTM-402</t>
        </is>
      </c>
      <c r="C91" s="6" t="inlineStr">
        <is>
          <t>No</t>
        </is>
      </c>
      <c r="D91" s="6" t="inlineStr">
        <is>
          <t>T1 Primary</t>
        </is>
      </c>
      <c r="E91" s="6" t="inlineStr">
        <is>
          <t>Buildings &amp; Utilities</t>
        </is>
      </c>
      <c r="F91" s="82" t="inlineStr">
        <is>
          <t>SYSTEM</t>
        </is>
      </c>
      <c r="G91" s="83" t="inlineStr">
        <is>
          <t>Performance</t>
        </is>
      </c>
      <c r="H91" s="59" t="inlineStr">
        <is>
          <t>—</t>
        </is>
      </c>
      <c r="I91" s="58" t="inlineStr">
        <is>
          <t>C5 — Infrastructure &amp; Integration</t>
        </is>
      </c>
      <c r="J91" s="6" t="n">
        <v>82</v>
      </c>
      <c r="K91" s="6" t="inlineStr">
        <is>
          <t>4.7.3.1</t>
        </is>
      </c>
      <c r="L91" s="6" t="inlineStr">
        <is>
          <t>LOOP event</t>
        </is>
      </c>
      <c r="M91" s="6" t="inlineStr">
        <is>
          <t>The Contractor shall define the required UPS backup scope and loads (HMI, PLCs, network, digital I/O) to ensure that the QPS manages to handle the LOOP event.</t>
        </is>
      </c>
      <c r="N91" s="6" t="inlineStr">
        <is>
          <t>The Contractor shall define the required UPS backup scope and loads (HMI, PLCs, network, digital I/O) to ensure that the QPS manages to handle the LOOP event.</t>
        </is>
      </c>
      <c r="O91" s="6" t="n">
        <v>0</v>
      </c>
      <c r="P91" s="6" t="n">
        <v>3</v>
      </c>
      <c r="Q91" s="6" t="n">
        <v>2</v>
      </c>
      <c r="R91" s="6" t="n">
        <v>3</v>
      </c>
      <c r="S91" s="6" t="n">
        <v>0</v>
      </c>
      <c r="T91" s="6" t="n">
        <v>0</v>
      </c>
      <c r="U91" s="6" t="n">
        <v>0</v>
      </c>
      <c r="V91" s="6" t="n">
        <v>51.333333</v>
      </c>
      <c r="W91" s="6" t="n">
        <v>88.07210000000001</v>
      </c>
      <c r="X91" s="6" t="n">
        <v>31.1626</v>
      </c>
      <c r="Y91" s="6" t="inlineStr">
        <is>
          <t>Reliability</t>
        </is>
      </c>
      <c r="Z91" s="6" t="inlineStr">
        <is>
          <t>Frozen-weight composite; strongest contribution: Reliability.</t>
        </is>
      </c>
      <c r="AA91" s="6" t="inlineStr">
        <is>
          <t>None explicitly named in this RTM</t>
        </is>
      </c>
      <c r="AB91" s="6" t="inlineStr">
        <is>
          <t>SCK CEN/90508872 §4.7.3.1; no named external code</t>
        </is>
      </c>
      <c r="AC91" s="6" t="inlineStr">
        <is>
          <t>Calculation/model plus calibrated measurement or recorded trend; RAM/maintenance substantiation and recovery/failure-response evidence</t>
        </is>
      </c>
      <c r="AD91" s="6" t="inlineStr">
        <is>
          <t>No separate deliverable explicitly named</t>
        </is>
      </c>
      <c r="AE91" s="6" t="inlineStr">
        <is>
          <t>L1 Conceptual Design; L2 Detailed Design</t>
        </is>
      </c>
      <c r="AF91" s="6" t="inlineStr">
        <is>
          <t>Section/contract-derived reference; derived evidence route</t>
        </is>
      </c>
      <c r="AG91" s="58" t="inlineStr">
        <is>
          <t>OFFER-33 (Direct)</t>
        </is>
      </c>
    </row>
    <row r="92" ht="60" customHeight="1">
      <c r="A92" s="6" t="n">
        <v>87</v>
      </c>
      <c r="B92" s="6" t="inlineStr">
        <is>
          <t>RTM-424</t>
        </is>
      </c>
      <c r="C92" s="6" t="inlineStr">
        <is>
          <t>No</t>
        </is>
      </c>
      <c r="D92" s="6" t="inlineStr">
        <is>
          <t>T1 Primary</t>
        </is>
      </c>
      <c r="E92" s="6" t="inlineStr">
        <is>
          <t>Buildings &amp; Utilities</t>
        </is>
      </c>
      <c r="F92" s="82" t="inlineStr">
        <is>
          <t>SYSTEM</t>
        </is>
      </c>
      <c r="G92" s="83" t="inlineStr">
        <is>
          <t>Performance</t>
        </is>
      </c>
      <c r="H92" s="59" t="inlineStr">
        <is>
          <t>—</t>
        </is>
      </c>
      <c r="I92" s="81" t="inlineStr">
        <is>
          <t>Inferred: C5 — Infrastructure &amp; Integration (high conf.)</t>
        </is>
      </c>
      <c r="J92" s="6" t="n">
        <v>84</v>
      </c>
      <c r="K92" s="6" t="inlineStr">
        <is>
          <t>4.7.4.3.1</t>
        </is>
      </c>
      <c r="L92" s="6" t="inlineStr">
        <is>
          <t>Heat-Recovery Heat Exchanger</t>
        </is>
      </c>
      <c r="M92" s="6" t="inlineStr">
        <is>
          <t>During commissioning or operational optimization phases, the supply water temperature may temporarily exceed the nominal operating range.</t>
        </is>
      </c>
      <c r="N92" s="6" t="inlineStr">
        <is>
          <t>During commissioning or operational optimization phases, the supply water temperature may temporarily exceed the nominal operating range.</t>
        </is>
      </c>
      <c r="O92" s="6" t="n">
        <v>0</v>
      </c>
      <c r="P92" s="6" t="n">
        <v>3</v>
      </c>
      <c r="Q92" s="6" t="n">
        <v>2</v>
      </c>
      <c r="R92" s="6" t="n">
        <v>3</v>
      </c>
      <c r="S92" s="6" t="n">
        <v>0</v>
      </c>
      <c r="T92" s="6" t="n">
        <v>0</v>
      </c>
      <c r="U92" s="6" t="n">
        <v>0</v>
      </c>
      <c r="V92" s="6" t="n">
        <v>51.333333</v>
      </c>
      <c r="W92" s="6" t="n">
        <v>88.07210000000001</v>
      </c>
      <c r="X92" s="6" t="n">
        <v>31.1626</v>
      </c>
      <c r="Y92" s="6" t="inlineStr">
        <is>
          <t>Reliability</t>
        </is>
      </c>
      <c r="Z92" s="6" t="inlineStr">
        <is>
          <t>Frozen-weight composite; strongest contribution: Reliability.</t>
        </is>
      </c>
      <c r="AA92" s="6" t="inlineStr">
        <is>
          <t>None explicitly named in this RTM</t>
        </is>
      </c>
      <c r="AB92" s="6" t="inlineStr">
        <is>
          <t>SCK CEN/90508872 §4.7.4.3.1; no named external code</t>
        </is>
      </c>
      <c r="AC92" s="6" t="inlineStr">
        <is>
          <t>Witnessed FAT/SAT/commissioning test against stated acceptance criteria; Calculation/model plus calibrated measurement or recorded trend; Functional design/configuration review and sequence/interface demonstration</t>
        </is>
      </c>
      <c r="AD92" s="6" t="inlineStr">
        <is>
          <t>No separate deliverable explicitly named</t>
        </is>
      </c>
      <c r="AE92" s="6" t="inlineStr">
        <is>
          <t>L1 Conceptual Design; L2 Detailed Design</t>
        </is>
      </c>
      <c r="AF92" s="6" t="inlineStr">
        <is>
          <t>Section/contract-derived reference; derived evidence route</t>
        </is>
      </c>
      <c r="AG92" s="58" t="inlineStr">
        <is>
          <t>Not linked to an OFFER item</t>
        </is>
      </c>
    </row>
    <row r="93" ht="99" customHeight="1">
      <c r="A93" s="6" t="n">
        <v>88</v>
      </c>
      <c r="B93" s="6" t="inlineStr">
        <is>
          <t>RTM-546</t>
        </is>
      </c>
      <c r="C93" s="6" t="inlineStr">
        <is>
          <t>No</t>
        </is>
      </c>
      <c r="D93" s="6" t="inlineStr">
        <is>
          <t>T1 Primary</t>
        </is>
      </c>
      <c r="E93" s="6" t="inlineStr">
        <is>
          <t>Acceptance Testing</t>
        </is>
      </c>
      <c r="F93" s="82" t="inlineStr">
        <is>
          <t>PROJECT</t>
        </is>
      </c>
      <c r="G93" s="83" t="inlineStr">
        <is>
          <t>Governance &amp; Responsibility</t>
        </is>
      </c>
      <c r="H93" s="59" t="inlineStr">
        <is>
          <t>—</t>
        </is>
      </c>
      <c r="I93" s="58" t="inlineStr">
        <is>
          <t>C7 — Quality, Testing &amp; Risk</t>
        </is>
      </c>
      <c r="J93" s="6" t="n">
        <v>106</v>
      </c>
      <c r="K93" s="6" t="inlineStr">
        <is>
          <t>4.13.3.4</t>
        </is>
      </c>
      <c r="L93" s="6" t="inlineStr">
        <is>
          <t>Demonstration of operating procedures</t>
        </is>
      </c>
      <c r="M93" s="6" t="inlineStr">
        <is>
          <t>The Contractor shall demonstrate the execution of the operational procedures required for normal operation of the QPS. This shall include, at minimum:</t>
        </is>
      </c>
      <c r="N93" s="6" t="inlineStr">
        <is>
          <t>The Contractor shall demonstrate the execution of the operational procedures required for normal operation of the QPS. This shall include, at minimum:
• Start-up procedures.
• Shutdown procedures.
• Entry into and exit from maintenance or regeneration states.
• Recovery to the intended operating state after completion of the procedure.</t>
        </is>
      </c>
      <c r="O93" s="6" t="n">
        <v>1</v>
      </c>
      <c r="P93" s="6" t="n">
        <v>3</v>
      </c>
      <c r="Q93" s="6" t="n">
        <v>0</v>
      </c>
      <c r="R93" s="6" t="n">
        <v>2</v>
      </c>
      <c r="S93" s="6" t="n">
        <v>3</v>
      </c>
      <c r="T93" s="6" t="n">
        <v>0</v>
      </c>
      <c r="U93" s="6" t="n">
        <v>0</v>
      </c>
      <c r="V93" s="6" t="n">
        <v>51.333333</v>
      </c>
      <c r="W93" s="6" t="n">
        <v>88.07210000000001</v>
      </c>
      <c r="X93" s="6" t="n">
        <v>31.1626</v>
      </c>
      <c r="Y93" s="6" t="inlineStr">
        <is>
          <t>Reliability</t>
        </is>
      </c>
      <c r="Z93" s="6" t="inlineStr">
        <is>
          <t>Frozen-weight composite; strongest contribution: Reliability.</t>
        </is>
      </c>
      <c r="AA93" s="6" t="inlineStr">
        <is>
          <t>None explicitly named in this RTM</t>
        </is>
      </c>
      <c r="AB93" s="6" t="inlineStr">
        <is>
          <t>SCK CEN/90508872 §4.13.3.4; no named external code</t>
        </is>
      </c>
      <c r="AC93" s="6" t="inlineStr">
        <is>
          <t>Submit and review the named deliverable with RTM traceability and approval status; Witnessed FAT/SAT/commissioning test against stated acceptance criteria; Functional design/configuration review and sequence/interface demonstration</t>
        </is>
      </c>
      <c r="AD93" s="6" t="inlineStr">
        <is>
          <t>Procedure / work instruction</t>
        </is>
      </c>
      <c r="AE93" s="6" t="inlineStr">
        <is>
          <t>L1 Conceptual Design; L2 Detailed Design</t>
        </is>
      </c>
      <c r="AF93" s="6" t="inlineStr">
        <is>
          <t>Section/contract-derived reference; explicit deliverable/test wording</t>
        </is>
      </c>
      <c r="AG93" s="58" t="inlineStr">
        <is>
          <t>OFFER-39 (Supporting)</t>
        </is>
      </c>
    </row>
    <row r="94" ht="112" customHeight="1">
      <c r="A94" s="6" t="n">
        <v>89</v>
      </c>
      <c r="B94" s="6" t="inlineStr">
        <is>
          <t>RTM-547</t>
        </is>
      </c>
      <c r="C94" s="6" t="inlineStr">
        <is>
          <t>No</t>
        </is>
      </c>
      <c r="D94" s="6" t="inlineStr">
        <is>
          <t>T1 Primary</t>
        </is>
      </c>
      <c r="E94" s="6" t="inlineStr">
        <is>
          <t>Acceptance Testing</t>
        </is>
      </c>
      <c r="F94" s="82" t="inlineStr">
        <is>
          <t>PROJECT</t>
        </is>
      </c>
      <c r="G94" s="83" t="inlineStr">
        <is>
          <t>Governance &amp; Responsibility</t>
        </is>
      </c>
      <c r="H94" s="59" t="inlineStr">
        <is>
          <t>—</t>
        </is>
      </c>
      <c r="I94" s="58" t="inlineStr">
        <is>
          <t>C7 — Quality, Testing &amp; Risk</t>
        </is>
      </c>
      <c r="J94" s="6" t="n">
        <v>106</v>
      </c>
      <c r="K94" s="6" t="inlineStr">
        <is>
          <t>4.13.3.4</t>
        </is>
      </c>
      <c r="L94" s="6" t="inlineStr">
        <is>
          <t>Demonstration of operating procedures</t>
        </is>
      </c>
      <c r="M94" s="6" t="inlineStr">
        <is>
          <t>For the gas-treatment systems, the Contractor shall demonstrate the relevant switching, regeneration, and recovery procedures during the SAT. This shall include, where applicable, at minimum:</t>
        </is>
      </c>
      <c r="N94" s="6" t="inlineStr">
        <is>
          <t>For the gas-treatment systems, the Contractor shall demonstrate the relevant switching, regeneration, and recovery procedures during the SAT. This shall include, where applicable, at minimum:
• Dryer switching and regeneration.
• Cold adsorber switching and regeneration.
• The demonstration that these procedures can be performed without unacceptable disturbance to the QPS operating at the QPLANT Design Point, or at another relevant operating point specified in the SAT Programme.</t>
        </is>
      </c>
      <c r="O94" s="6" t="n">
        <v>1</v>
      </c>
      <c r="P94" s="6" t="n">
        <v>3</v>
      </c>
      <c r="Q94" s="6" t="n">
        <v>0</v>
      </c>
      <c r="R94" s="6" t="n">
        <v>2</v>
      </c>
      <c r="S94" s="6" t="n">
        <v>3</v>
      </c>
      <c r="T94" s="6" t="n">
        <v>0</v>
      </c>
      <c r="U94" s="6" t="n">
        <v>0</v>
      </c>
      <c r="V94" s="6" t="n">
        <v>51.333333</v>
      </c>
      <c r="W94" s="6" t="n">
        <v>88.07210000000001</v>
      </c>
      <c r="X94" s="6" t="n">
        <v>31.1626</v>
      </c>
      <c r="Y94" s="6" t="inlineStr">
        <is>
          <t>Reliability</t>
        </is>
      </c>
      <c r="Z94" s="6" t="inlineStr">
        <is>
          <t>Frozen-weight composite; strongest contribution: Reliability.</t>
        </is>
      </c>
      <c r="AA94" s="6" t="inlineStr">
        <is>
          <t>None explicitly named in this RTM</t>
        </is>
      </c>
      <c r="AB94" s="6" t="inlineStr">
        <is>
          <t>SCK CEN/90508872 §4.13.3.4; no named external code</t>
        </is>
      </c>
      <c r="AC94" s="6" t="inlineStr">
        <is>
          <t>Submit and review the named deliverable with RTM traceability and approval status; Witnessed FAT/SAT/commissioning test against stated acceptance criteria; Functional design/configuration review and sequence/interface demonstration</t>
        </is>
      </c>
      <c r="AD94" s="6" t="inlineStr">
        <is>
          <t>Procedure / work instruction</t>
        </is>
      </c>
      <c r="AE94" s="6" t="inlineStr">
        <is>
          <t>L6 Site Acceptance Testing; L1 Conceptual Design; L2 Detailed Design</t>
        </is>
      </c>
      <c r="AF94" s="6" t="inlineStr">
        <is>
          <t>Section/contract-derived reference; explicit deliverable/test wording</t>
        </is>
      </c>
      <c r="AG94" s="58" t="inlineStr">
        <is>
          <t>OFFER-39 (Supporting)</t>
        </is>
      </c>
    </row>
    <row r="95" ht="47" customHeight="1">
      <c r="A95" s="6" t="n">
        <v>90</v>
      </c>
      <c r="B95" s="6" t="inlineStr">
        <is>
          <t>RTM-107</t>
        </is>
      </c>
      <c r="C95" s="6" t="inlineStr">
        <is>
          <t>No</t>
        </is>
      </c>
      <c r="D95" s="6" t="inlineStr">
        <is>
          <t>T1 Primary</t>
        </is>
      </c>
      <c r="E95" s="6" t="inlineStr">
        <is>
          <t>Subsystems</t>
        </is>
      </c>
      <c r="F95" s="82" t="inlineStr">
        <is>
          <t>SYSTEM</t>
        </is>
      </c>
      <c r="G95" s="83" t="inlineStr">
        <is>
          <t>Performance</t>
        </is>
      </c>
      <c r="H95" s="59" t="inlineStr">
        <is>
          <t>—</t>
        </is>
      </c>
      <c r="I95" s="81" t="inlineStr">
        <is>
          <t>Inferred: C2 — Process Design (low conf.)</t>
        </is>
      </c>
      <c r="J95" s="6" t="n">
        <v>45</v>
      </c>
      <c r="K95" s="6" t="inlineStr">
        <is>
          <t>4.4.2.2</t>
        </is>
      </c>
      <c r="L95" s="6" t="inlineStr">
        <is>
          <t>Electrical Heaters</t>
        </is>
      </c>
      <c r="M95" s="6" t="inlineStr">
        <is>
          <t>Heating elements required for normal operation shall either be replaceable without breaking the insulation vacuum or be implemented redundantly.</t>
        </is>
      </c>
      <c r="N95" s="6" t="inlineStr">
        <is>
          <t>Heating elements required for normal operation shall either be replaceable without breaking the insulation vacuum or be implemented redundantly.</t>
        </is>
      </c>
      <c r="O95" s="6" t="n">
        <v>0</v>
      </c>
      <c r="P95" s="6" t="n">
        <v>3</v>
      </c>
      <c r="Q95" s="6" t="n">
        <v>2</v>
      </c>
      <c r="R95" s="6" t="n">
        <v>2</v>
      </c>
      <c r="S95" s="6" t="n">
        <v>0</v>
      </c>
      <c r="T95" s="6" t="n">
        <v>2</v>
      </c>
      <c r="U95" s="6" t="n">
        <v>0</v>
      </c>
      <c r="V95" s="6" t="n">
        <v>50.666667</v>
      </c>
      <c r="W95" s="6" t="n">
        <v>87.65600000000001</v>
      </c>
      <c r="X95" s="6" t="n">
        <v>30.1702</v>
      </c>
      <c r="Y95" s="6" t="inlineStr">
        <is>
          <t>Reliability</t>
        </is>
      </c>
      <c r="Z95" s="6" t="inlineStr">
        <is>
          <t>Frozen-weight composite; strongest contribution: Reliability.</t>
        </is>
      </c>
      <c r="AA95" s="6" t="inlineStr">
        <is>
          <t>None explicitly named in this RTM</t>
        </is>
      </c>
      <c r="AB95" s="6" t="inlineStr">
        <is>
          <t>SCK CEN/90508872 §4.4.2.2; no named external code</t>
        </is>
      </c>
      <c r="AC95" s="6" t="inlineStr">
        <is>
          <t>Calculation/model plus calibrated measurement or recorded trend; RAM/maintenance substantiation and recovery/failure-response evidence</t>
        </is>
      </c>
      <c r="AD95" s="6" t="inlineStr">
        <is>
          <t>No separate deliverable explicitly named</t>
        </is>
      </c>
      <c r="AE95" s="6" t="inlineStr">
        <is>
          <t>L1 Conceptual Design; L2 Detailed Design</t>
        </is>
      </c>
      <c r="AF95" s="6" t="inlineStr">
        <is>
          <t>Section/contract-derived reference; derived evidence route</t>
        </is>
      </c>
      <c r="AG95" s="58" t="inlineStr">
        <is>
          <t>Not linked to an OFFER item</t>
        </is>
      </c>
    </row>
    <row r="96" ht="203" customHeight="1">
      <c r="A96" s="6" t="n">
        <v>91</v>
      </c>
      <c r="B96" s="6" t="inlineStr">
        <is>
          <t>RTM-227</t>
        </is>
      </c>
      <c r="C96" s="6" t="inlineStr">
        <is>
          <t>No</t>
        </is>
      </c>
      <c r="D96" s="6" t="inlineStr">
        <is>
          <t>T1 Primary</t>
        </is>
      </c>
      <c r="E96" s="6" t="inlineStr">
        <is>
          <t>Subsystems</t>
        </is>
      </c>
      <c r="F96" s="82" t="inlineStr">
        <is>
          <t>SYSTEM</t>
        </is>
      </c>
      <c r="G96" s="83" t="inlineStr">
        <is>
          <t>Performance</t>
        </is>
      </c>
      <c r="H96" s="59" t="inlineStr">
        <is>
          <t>—</t>
        </is>
      </c>
      <c r="I96" s="81" t="inlineStr">
        <is>
          <t>Inferred: C3 — Mechanical &amp; Equipment (medium conf.)</t>
        </is>
      </c>
      <c r="J96" s="6" t="n">
        <v>58</v>
      </c>
      <c r="K96" s="6" t="inlineStr">
        <is>
          <t>4.4.4.2.6</t>
        </is>
      </c>
      <c r="L96" s="6" t="inlineStr">
        <is>
          <t>Adsorbers</t>
        </is>
      </c>
      <c r="M96" s="6" t="inlineStr">
        <is>
          <t>The 80 K adsorber system shall remove air impurities, and shall comply with the following requirements:</t>
        </is>
      </c>
      <c r="N96" s="6" t="inlineStr">
        <is>
          <t>The 80 K adsorber system shall remove air impurities, and shall comply with the following requirements:
• Two 80 K adsorbers shall be installed and arranged in parallel to provide full redundancy.
• Each adsorber shall operate at a temperature below 85 K.
• Each adsorber shall be sized to purify the full HP compressor flow contaminated with up to 50 ppm by volume of air.
• A dedicated bypass line shall be installed between the outlet of the switchable 80 K adsorbers and the QRB low-pressure line (QRB.LP), allowing direct helium purification including purification of QCELL return flow during conditioning operations.
• The adsorption and regeneration cycle shall provide fully automatic switching of the adsorbers.
• The adsorption and regeneration cycle shall allow uninterrupted QPS operation.</t>
        </is>
      </c>
      <c r="O96" s="6" t="n">
        <v>0</v>
      </c>
      <c r="P96" s="6" t="n">
        <v>3</v>
      </c>
      <c r="Q96" s="6" t="n">
        <v>2</v>
      </c>
      <c r="R96" s="6" t="n">
        <v>2</v>
      </c>
      <c r="S96" s="6" t="n">
        <v>1</v>
      </c>
      <c r="T96" s="6" t="n">
        <v>0</v>
      </c>
      <c r="U96" s="6" t="n">
        <v>0</v>
      </c>
      <c r="V96" s="6" t="n">
        <v>50</v>
      </c>
      <c r="W96" s="6" t="n">
        <v>87.10120000000001</v>
      </c>
      <c r="X96" s="6" t="n">
        <v>28.9109</v>
      </c>
      <c r="Y96" s="6" t="inlineStr">
        <is>
          <t>Reliability</t>
        </is>
      </c>
      <c r="Z96" s="6" t="inlineStr">
        <is>
          <t>Frozen-weight composite; strongest contribution: Reliability.</t>
        </is>
      </c>
      <c r="AA96" s="6" t="inlineStr">
        <is>
          <t>None explicitly named in this RTM</t>
        </is>
      </c>
      <c r="AB96" s="6" t="inlineStr">
        <is>
          <t>SCK CEN/90508872 §4.4.4.2.6; no named external code</t>
        </is>
      </c>
      <c r="AC96" s="6" t="inlineStr">
        <is>
          <t>Calculation/model plus calibrated measurement or recorded trend; RAM/maintenance substantiation and recovery/failure-response evidence</t>
        </is>
      </c>
      <c r="AD96" s="6" t="inlineStr">
        <is>
          <t>No separate deliverable explicitly named</t>
        </is>
      </c>
      <c r="AE96" s="6" t="inlineStr">
        <is>
          <t>L1 Conceptual Design; L2 Detailed Design</t>
        </is>
      </c>
      <c r="AF96" s="6" t="inlineStr">
        <is>
          <t>Section/contract-derived reference; derived evidence route</t>
        </is>
      </c>
      <c r="AG96" s="58" t="inlineStr">
        <is>
          <t>Not linked to an OFFER item</t>
        </is>
      </c>
    </row>
    <row r="97" ht="60" customHeight="1">
      <c r="A97" s="6" t="n">
        <v>92</v>
      </c>
      <c r="B97" s="6" t="inlineStr">
        <is>
          <t>RTM-401</t>
        </is>
      </c>
      <c r="C97" s="6" t="inlineStr">
        <is>
          <t>No</t>
        </is>
      </c>
      <c r="D97" s="6" t="inlineStr">
        <is>
          <t>T1 Primary</t>
        </is>
      </c>
      <c r="E97" s="6" t="inlineStr">
        <is>
          <t>Buildings &amp; Utilities</t>
        </is>
      </c>
      <c r="F97" s="82" t="inlineStr">
        <is>
          <t>SYSTEM</t>
        </is>
      </c>
      <c r="G97" s="83" t="inlineStr">
        <is>
          <t>Performance</t>
        </is>
      </c>
      <c r="H97" s="59" t="inlineStr">
        <is>
          <t>—</t>
        </is>
      </c>
      <c r="I97" s="58" t="inlineStr">
        <is>
          <t>C5 — Infrastructure &amp; Integration</t>
        </is>
      </c>
      <c r="J97" s="6" t="n">
        <v>82</v>
      </c>
      <c r="K97" s="6" t="inlineStr">
        <is>
          <t>4.7.3.1</t>
        </is>
      </c>
      <c r="L97" s="6" t="inlineStr">
        <is>
          <t>LOOP event</t>
        </is>
      </c>
      <c r="M97" s="6" t="inlineStr">
        <is>
          <t>In the event of a Loss of Offsite Power (LOOP) to the MINERVA facility, the Contractor shall assume that up to 350 kW of back-up power (supplied by a diesel generator) is available after a an interruption of a few minutes.</t>
        </is>
      </c>
      <c r="N97" s="6" t="inlineStr">
        <is>
          <t>In the event of a Loss of Offsite Power (LOOP) to the MINERVA facility, the Contractor shall assume that up to 350 kW of back-up power (supplied by a diesel generator) is available after a an interruption of a few minutes.</t>
        </is>
      </c>
      <c r="O97" s="6" t="n">
        <v>0</v>
      </c>
      <c r="P97" s="6" t="n">
        <v>3</v>
      </c>
      <c r="Q97" s="6" t="n">
        <v>2</v>
      </c>
      <c r="R97" s="6" t="n">
        <v>2</v>
      </c>
      <c r="S97" s="6" t="n">
        <v>1</v>
      </c>
      <c r="T97" s="6" t="n">
        <v>0</v>
      </c>
      <c r="U97" s="6" t="n">
        <v>0</v>
      </c>
      <c r="V97" s="6" t="n">
        <v>50</v>
      </c>
      <c r="W97" s="6" t="n">
        <v>87.10120000000001</v>
      </c>
      <c r="X97" s="6" t="n">
        <v>28.9109</v>
      </c>
      <c r="Y97" s="6" t="inlineStr">
        <is>
          <t>Reliability</t>
        </is>
      </c>
      <c r="Z97" s="6" t="inlineStr">
        <is>
          <t>Frozen-weight composite; strongest contribution: Reliability.</t>
        </is>
      </c>
      <c r="AA97" s="6" t="inlineStr">
        <is>
          <t>None explicitly named in this RTM</t>
        </is>
      </c>
      <c r="AB97" s="6" t="inlineStr">
        <is>
          <t>SCK CEN/90508872 §4.7.3.1; no named external code</t>
        </is>
      </c>
      <c r="AC97" s="6" t="inlineStr">
        <is>
          <t>Calculation/model plus calibrated measurement or recorded trend; RAM/maintenance substantiation and recovery/failure-response evidence</t>
        </is>
      </c>
      <c r="AD97" s="6" t="inlineStr">
        <is>
          <t>No separate deliverable explicitly named</t>
        </is>
      </c>
      <c r="AE97" s="6" t="inlineStr">
        <is>
          <t>L1 Conceptual Design; L2 Detailed Design</t>
        </is>
      </c>
      <c r="AF97" s="6" t="inlineStr">
        <is>
          <t>Section/contract-derived reference; derived evidence route</t>
        </is>
      </c>
      <c r="AG97" s="58" t="inlineStr">
        <is>
          <t>OFFER-33 (Direct)</t>
        </is>
      </c>
    </row>
    <row r="98" ht="125" customHeight="1">
      <c r="A98" s="6" t="n">
        <v>93</v>
      </c>
      <c r="B98" s="6" t="inlineStr">
        <is>
          <t>RTM-417</t>
        </is>
      </c>
      <c r="C98" s="6" t="inlineStr">
        <is>
          <t>No</t>
        </is>
      </c>
      <c r="D98" s="6" t="inlineStr">
        <is>
          <t>T1 Primary</t>
        </is>
      </c>
      <c r="E98" s="6" t="inlineStr">
        <is>
          <t>Buildings &amp; Utilities</t>
        </is>
      </c>
      <c r="F98" s="82" t="inlineStr">
        <is>
          <t>SYSTEM</t>
        </is>
      </c>
      <c r="G98" s="83" t="inlineStr">
        <is>
          <t>Performance</t>
        </is>
      </c>
      <c r="H98" s="59" t="inlineStr">
        <is>
          <t>—</t>
        </is>
      </c>
      <c r="I98" s="81" t="inlineStr">
        <is>
          <t>Inferred: C5 — Infrastructure &amp; Integration (high conf.)</t>
        </is>
      </c>
      <c r="J98" s="6" t="n">
        <v>84</v>
      </c>
      <c r="K98" s="6" t="inlineStr">
        <is>
          <t>4.7.4.3</t>
        </is>
      </c>
      <c r="L98" s="6" t="inlineStr">
        <is>
          <t>Water Heat exchangers</t>
        </is>
      </c>
      <c r="M98" s="6" t="inlineStr">
        <is>
          <t>The water heat exchangers shall comply with the following pressures on the water side:</t>
        </is>
      </c>
      <c r="N98" s="6" t="inlineStr">
        <is>
          <t>The water heat exchangers shall comply with the following pressures on the water side:
• Minimum design pressure: 0 bar
• Maximum design pressure: 10 bar
• Maximal allowed pressure drop between water terminal points (incl. heat exchanger, pipes, fittings, valves, and ancillaries in-between):
• Heat-Recovery Heat Exchanger circuit: 0,7 bar
• Process Heat Exchanger circuit: ≤ 2.0 bar.
• Hydraulic test pressure: according to the ASME.</t>
        </is>
      </c>
      <c r="O98" s="6" t="n">
        <v>0</v>
      </c>
      <c r="P98" s="6" t="n">
        <v>3</v>
      </c>
      <c r="Q98" s="6" t="n">
        <v>2</v>
      </c>
      <c r="R98" s="6" t="n">
        <v>2</v>
      </c>
      <c r="S98" s="6" t="n">
        <v>1</v>
      </c>
      <c r="T98" s="6" t="n">
        <v>0</v>
      </c>
      <c r="U98" s="6" t="n">
        <v>0</v>
      </c>
      <c r="V98" s="6" t="n">
        <v>50</v>
      </c>
      <c r="W98" s="6" t="n">
        <v>87.10120000000001</v>
      </c>
      <c r="X98" s="6" t="n">
        <v>28.9109</v>
      </c>
      <c r="Y98" s="6" t="inlineStr">
        <is>
          <t>Reliability</t>
        </is>
      </c>
      <c r="Z98" s="6" t="inlineStr">
        <is>
          <t>Frozen-weight composite; strongest contribution: Reliability.</t>
        </is>
      </c>
      <c r="AA98" s="6" t="inlineStr">
        <is>
          <t>None explicitly named in this RTM</t>
        </is>
      </c>
      <c r="AB98" s="6" t="inlineStr">
        <is>
          <t>SCK CEN/90508872 §4.7.4.3; no named external code</t>
        </is>
      </c>
      <c r="AC98" s="6" t="inlineStr">
        <is>
          <t>Witnessed FAT/SAT/commissioning test against stated acceptance criteria; Calculation/model plus calibrated measurement or recorded trend; RAM/maintenance substantiation and recovery/failure-response evidence</t>
        </is>
      </c>
      <c r="AD98" s="6" t="inlineStr">
        <is>
          <t>No separate deliverable explicitly named</t>
        </is>
      </c>
      <c r="AE98" s="6" t="inlineStr">
        <is>
          <t>L1 Conceptual Design; L2 Detailed Design</t>
        </is>
      </c>
      <c r="AF98" s="6" t="inlineStr">
        <is>
          <t>Section/contract-derived reference; explicit deliverable/test wording</t>
        </is>
      </c>
      <c r="AG98" s="58" t="inlineStr">
        <is>
          <t>Not linked to an OFFER item</t>
        </is>
      </c>
    </row>
    <row r="99" ht="47" customHeight="1">
      <c r="A99" s="6" t="n">
        <v>94</v>
      </c>
      <c r="B99" s="6" t="inlineStr">
        <is>
          <t>RTM-420</t>
        </is>
      </c>
      <c r="C99" s="6" t="inlineStr">
        <is>
          <t>No</t>
        </is>
      </c>
      <c r="D99" s="6" t="inlineStr">
        <is>
          <t>T1 Primary</t>
        </is>
      </c>
      <c r="E99" s="6" t="inlineStr">
        <is>
          <t>Buildings &amp; Utilities</t>
        </is>
      </c>
      <c r="F99" s="82" t="inlineStr">
        <is>
          <t>SYSTEM</t>
        </is>
      </c>
      <c r="G99" s="83" t="inlineStr">
        <is>
          <t>Performance</t>
        </is>
      </c>
      <c r="H99" s="59" t="inlineStr">
        <is>
          <t>—</t>
        </is>
      </c>
      <c r="I99" s="81" t="inlineStr">
        <is>
          <t>Inferred: C5 — Infrastructure &amp; Integration (high conf.)</t>
        </is>
      </c>
      <c r="J99" s="6" t="n">
        <v>84</v>
      </c>
      <c r="K99" s="6" t="inlineStr">
        <is>
          <t>4.7.4.3.1</t>
        </is>
      </c>
      <c r="L99" s="6" t="inlineStr">
        <is>
          <t>Heat-Recovery Heat Exchanger</t>
        </is>
      </c>
      <c r="M99" s="6" t="inlineStr">
        <is>
          <t>The Heat-Recovery Heat Exchanger shall be sized to:</t>
        </is>
      </c>
      <c r="N99" s="6" t="inlineStr">
        <is>
          <t>The Heat-Recovery Heat Exchanger shall be sized to:
• Transfer up to 850 kW of thermal power from the QPS to the SCK CEN building heating system.</t>
        </is>
      </c>
      <c r="O99" s="6" t="n">
        <v>0</v>
      </c>
      <c r="P99" s="6" t="n">
        <v>3</v>
      </c>
      <c r="Q99" s="6" t="n">
        <v>2</v>
      </c>
      <c r="R99" s="6" t="n">
        <v>2</v>
      </c>
      <c r="S99" s="6" t="n">
        <v>1</v>
      </c>
      <c r="T99" s="6" t="n">
        <v>0</v>
      </c>
      <c r="U99" s="6" t="n">
        <v>0</v>
      </c>
      <c r="V99" s="6" t="n">
        <v>50</v>
      </c>
      <c r="W99" s="6" t="n">
        <v>87.10120000000001</v>
      </c>
      <c r="X99" s="6" t="n">
        <v>28.9109</v>
      </c>
      <c r="Y99" s="6" t="inlineStr">
        <is>
          <t>Reliability</t>
        </is>
      </c>
      <c r="Z99" s="6" t="inlineStr">
        <is>
          <t>Frozen-weight composite; strongest contribution: Reliability.</t>
        </is>
      </c>
      <c r="AA99" s="6" t="inlineStr">
        <is>
          <t>None explicitly named in this RTM</t>
        </is>
      </c>
      <c r="AB99" s="6" t="inlineStr">
        <is>
          <t>SCK CEN/90508872 §4.7.4.3.1; no named external code</t>
        </is>
      </c>
      <c r="AC99" s="6" t="inlineStr">
        <is>
          <t>Calculation/model plus calibrated measurement or recorded trend; RAM/maintenance substantiation and recovery/failure-response evidence</t>
        </is>
      </c>
      <c r="AD99" s="6" t="inlineStr">
        <is>
          <t>No separate deliverable explicitly named</t>
        </is>
      </c>
      <c r="AE99" s="6" t="inlineStr">
        <is>
          <t>L1 Conceptual Design; L2 Detailed Design</t>
        </is>
      </c>
      <c r="AF99" s="6" t="inlineStr">
        <is>
          <t>Section/contract-derived reference; derived evidence route</t>
        </is>
      </c>
      <c r="AG99" s="58" t="inlineStr">
        <is>
          <t>Not linked to an OFFER item</t>
        </is>
      </c>
    </row>
    <row r="100" ht="86" customHeight="1">
      <c r="A100" s="6" t="n">
        <v>95</v>
      </c>
      <c r="B100" s="6" t="inlineStr">
        <is>
          <t>RTM-428</t>
        </is>
      </c>
      <c r="C100" s="6" t="inlineStr">
        <is>
          <t>No</t>
        </is>
      </c>
      <c r="D100" s="6" t="inlineStr">
        <is>
          <t>T1 Primary</t>
        </is>
      </c>
      <c r="E100" s="6" t="inlineStr">
        <is>
          <t>Buildings &amp; Utilities</t>
        </is>
      </c>
      <c r="F100" s="82" t="inlineStr">
        <is>
          <t>SYSTEM</t>
        </is>
      </c>
      <c r="G100" s="83" t="inlineStr">
        <is>
          <t>Performance</t>
        </is>
      </c>
      <c r="H100" s="59" t="inlineStr">
        <is>
          <t>—</t>
        </is>
      </c>
      <c r="I100" s="81" t="inlineStr">
        <is>
          <t>Inferred: C5 — Infrastructure &amp; Integration (high conf.)</t>
        </is>
      </c>
      <c r="J100" s="6" t="n">
        <v>85</v>
      </c>
      <c r="K100" s="6" t="inlineStr">
        <is>
          <t>4.7.4.4</t>
        </is>
      </c>
      <c r="L100" s="6" t="inlineStr">
        <is>
          <t>LOOP event</t>
        </is>
      </c>
      <c r="M100" s="6" t="inlineStr">
        <is>
          <t>In the event of a Loss of Offsite Power (LOOP) to the MINERVA facility, the Contractor shall assume that:</t>
        </is>
      </c>
      <c r="N100" s="6" t="inlineStr">
        <is>
          <t>In the event of a Loss of Offsite Power (LOOP) to the MINERVA facility, the Contractor shall assume that:
• A back-up cooling water capacity of up to 350 kW will be available after an interruption of a few minutes.
• The back-up cooling-water header is hydraulically common with the normal WCS cooling-water header, and that it may operate at reduced total flow.</t>
        </is>
      </c>
      <c r="O100" s="6" t="n">
        <v>0</v>
      </c>
      <c r="P100" s="6" t="n">
        <v>3</v>
      </c>
      <c r="Q100" s="6" t="n">
        <v>2</v>
      </c>
      <c r="R100" s="6" t="n">
        <v>2</v>
      </c>
      <c r="S100" s="6" t="n">
        <v>1</v>
      </c>
      <c r="T100" s="6" t="n">
        <v>0</v>
      </c>
      <c r="U100" s="6" t="n">
        <v>0</v>
      </c>
      <c r="V100" s="6" t="n">
        <v>50</v>
      </c>
      <c r="W100" s="6" t="n">
        <v>87.10120000000001</v>
      </c>
      <c r="X100" s="6" t="n">
        <v>28.9109</v>
      </c>
      <c r="Y100" s="6" t="inlineStr">
        <is>
          <t>Reliability</t>
        </is>
      </c>
      <c r="Z100" s="6" t="inlineStr">
        <is>
          <t>Frozen-weight composite; strongest contribution: Reliability.</t>
        </is>
      </c>
      <c r="AA100" s="6" t="inlineStr">
        <is>
          <t>None explicitly named in this RTM</t>
        </is>
      </c>
      <c r="AB100" s="6" t="inlineStr">
        <is>
          <t>SCK CEN/90508872 §4.7.4.4; no named external code</t>
        </is>
      </c>
      <c r="AC100" s="6" t="inlineStr">
        <is>
          <t>Calculation/model plus calibrated measurement or recorded trend; RAM/maintenance substantiation and recovery/failure-response evidence</t>
        </is>
      </c>
      <c r="AD100" s="6" t="inlineStr">
        <is>
          <t>No separate deliverable explicitly named</t>
        </is>
      </c>
      <c r="AE100" s="6" t="inlineStr">
        <is>
          <t>L1 Conceptual Design; L2 Detailed Design</t>
        </is>
      </c>
      <c r="AF100" s="6" t="inlineStr">
        <is>
          <t>Section/contract-derived reference; derived evidence route</t>
        </is>
      </c>
      <c r="AG100" s="58" t="inlineStr">
        <is>
          <t>Not linked to an OFFER item</t>
        </is>
      </c>
    </row>
    <row r="101" ht="86" customHeight="1">
      <c r="A101" s="6" t="n">
        <v>96</v>
      </c>
      <c r="B101" s="6" t="inlineStr">
        <is>
          <t>RTM-436</t>
        </is>
      </c>
      <c r="C101" s="6" t="inlineStr">
        <is>
          <t>No</t>
        </is>
      </c>
      <c r="D101" s="6" t="inlineStr">
        <is>
          <t>T1 Primary</t>
        </is>
      </c>
      <c r="E101" s="6" t="inlineStr">
        <is>
          <t>Buildings &amp; Utilities</t>
        </is>
      </c>
      <c r="F101" s="82" t="inlineStr">
        <is>
          <t>SYSTEM</t>
        </is>
      </c>
      <c r="G101" s="83" t="inlineStr">
        <is>
          <t>Performance</t>
        </is>
      </c>
      <c r="H101" s="59" t="inlineStr">
        <is>
          <t>—</t>
        </is>
      </c>
      <c r="I101" s="81" t="inlineStr">
        <is>
          <t>Inferred: C5 — Infrastructure &amp; Integration (high conf.)</t>
        </is>
      </c>
      <c r="J101" s="6" t="n">
        <v>86</v>
      </c>
      <c r="K101" s="6" t="inlineStr">
        <is>
          <t>4.7.6.1</t>
        </is>
      </c>
      <c r="L101" s="6" t="inlineStr">
        <is>
          <t>LOOP event</t>
        </is>
      </c>
      <c r="M101" s="6" t="inlineStr">
        <is>
          <t>In the event of a Loss of Offsite Power (LOOP) to the MINERVA facility, the Contractor shall assume that:</t>
        </is>
      </c>
      <c r="N101" s="6" t="inlineStr">
        <is>
          <t>In the event of a Loss of Offsite Power (LOOP) to the MINERVA facility, the Contractor shall assume that:
• The exhaust-air ducts connected to the top of the HP compressors shall remain available without restriction.
• No more than 15 kW may be dissipated to the ambient air in the compressor room.</t>
        </is>
      </c>
      <c r="O101" s="6" t="n">
        <v>0</v>
      </c>
      <c r="P101" s="6" t="n">
        <v>3</v>
      </c>
      <c r="Q101" s="6" t="n">
        <v>2</v>
      </c>
      <c r="R101" s="6" t="n">
        <v>2</v>
      </c>
      <c r="S101" s="6" t="n">
        <v>1</v>
      </c>
      <c r="T101" s="6" t="n">
        <v>0</v>
      </c>
      <c r="U101" s="6" t="n">
        <v>0</v>
      </c>
      <c r="V101" s="6" t="n">
        <v>50</v>
      </c>
      <c r="W101" s="6" t="n">
        <v>87.10120000000001</v>
      </c>
      <c r="X101" s="6" t="n">
        <v>28.9109</v>
      </c>
      <c r="Y101" s="6" t="inlineStr">
        <is>
          <t>Reliability</t>
        </is>
      </c>
      <c r="Z101" s="6" t="inlineStr">
        <is>
          <t>Frozen-weight composite; strongest contribution: Reliability.</t>
        </is>
      </c>
      <c r="AA101" s="6" t="inlineStr">
        <is>
          <t>None explicitly named in this RTM</t>
        </is>
      </c>
      <c r="AB101" s="6" t="inlineStr">
        <is>
          <t>SCK CEN/90508872 §4.7.6.1; no named external code</t>
        </is>
      </c>
      <c r="AC101" s="6" t="inlineStr">
        <is>
          <t>Calculation/model plus calibrated measurement or recorded trend; RAM/maintenance substantiation and recovery/failure-response evidence</t>
        </is>
      </c>
      <c r="AD101" s="6" t="inlineStr">
        <is>
          <t>No separate deliverable explicitly named</t>
        </is>
      </c>
      <c r="AE101" s="6" t="inlineStr">
        <is>
          <t>L1 Conceptual Design; L2 Detailed Design</t>
        </is>
      </c>
      <c r="AF101" s="6" t="inlineStr">
        <is>
          <t>Section/contract-derived reference; derived evidence route</t>
        </is>
      </c>
      <c r="AG101" s="58" t="inlineStr">
        <is>
          <t>Not linked to an OFFER item</t>
        </is>
      </c>
    </row>
    <row r="102" ht="112" customHeight="1">
      <c r="A102" s="6" t="n">
        <v>97</v>
      </c>
      <c r="B102" s="6" t="inlineStr">
        <is>
          <t>RTM-590</t>
        </is>
      </c>
      <c r="C102" s="6" t="inlineStr">
        <is>
          <t>No</t>
        </is>
      </c>
      <c r="D102" s="6" t="inlineStr">
        <is>
          <t>T1 Primary</t>
        </is>
      </c>
      <c r="E102" s="6" t="inlineStr">
        <is>
          <t>Technical Documentation</t>
        </is>
      </c>
      <c r="F102" s="82" t="inlineStr">
        <is>
          <t>PROJECT</t>
        </is>
      </c>
      <c r="G102" s="83" t="inlineStr">
        <is>
          <t>Documentation &amp; Compliance</t>
        </is>
      </c>
      <c r="H102" s="59" t="inlineStr">
        <is>
          <t>—</t>
        </is>
      </c>
      <c r="I102" s="58" t="inlineStr">
        <is>
          <t>Not linked to an OFFER item</t>
        </is>
      </c>
      <c r="J102" s="6" t="n">
        <v>113</v>
      </c>
      <c r="K102" s="6" t="inlineStr">
        <is>
          <t>4.16.9</t>
        </is>
      </c>
      <c r="L102" s="6" t="inlineStr">
        <is>
          <t>As-built File</t>
        </is>
      </c>
      <c r="M102" s="6" t="inlineStr">
        <is>
          <t>The As-Built File shall contain all technical documentation reflecting the final installed configuration and shall include, at minimum:</t>
        </is>
      </c>
      <c r="N102" s="6" t="inlineStr">
        <is>
          <t>The As-Built File shall contain all technical documentation reflecting the final installed configuration and shall include, at minimum:
• 3D CAD models and 2D drawings of the final implementation.
• The implemented physical details of electrical wiring, cryogenic circuitry, instrumentation, and all other information required for operation, maintenance, and repair.
• Per Instance, a list of deviations from the original design that occurred during manufacturing, installation, and/or commissioning.</t>
        </is>
      </c>
      <c r="O102" s="6" t="n">
        <v>1</v>
      </c>
      <c r="P102" s="6" t="n">
        <v>2</v>
      </c>
      <c r="Q102" s="6" t="n">
        <v>0</v>
      </c>
      <c r="R102" s="6" t="n">
        <v>3</v>
      </c>
      <c r="S102" s="6" t="n">
        <v>2</v>
      </c>
      <c r="T102" s="6" t="n">
        <v>2</v>
      </c>
      <c r="U102" s="6" t="n">
        <v>0</v>
      </c>
      <c r="V102" s="6" t="n">
        <v>50</v>
      </c>
      <c r="W102" s="6" t="n">
        <v>87.10120000000001</v>
      </c>
      <c r="X102" s="6" t="n">
        <v>28.9109</v>
      </c>
      <c r="Y102" s="6" t="inlineStr">
        <is>
          <t>Functional</t>
        </is>
      </c>
      <c r="Z102" s="6" t="inlineStr">
        <is>
          <t>Frozen-weight composite; strongest contribution: Functional.</t>
        </is>
      </c>
      <c r="AA102" s="6" t="inlineStr">
        <is>
          <t>None explicitly named in this RTM</t>
        </is>
      </c>
      <c r="AB102" s="6" t="inlineStr">
        <is>
          <t>SCK CEN/90508872 §4.16.9; no named external code</t>
        </is>
      </c>
      <c r="AC102" s="6" t="inlineStr">
        <is>
          <t>Submit and review the named deliverable with RTM traceability and approval status; Witnessed FAT/SAT/commissioning test against stated acceptance criteria; RAM/maintenance substantiation and recovery/failure-response evidence</t>
        </is>
      </c>
      <c r="AD102" s="6" t="inlineStr">
        <is>
          <t>As-built File; 3D / CAD Model; Drawing / diagram; List / register / matrix</t>
        </is>
      </c>
      <c r="AE102" s="6" t="inlineStr">
        <is>
          <t>L3 Procurement &amp; Manufacturing / FAT; L4 Installation; L1 Conceptual Design; L2 Detailed Design</t>
        </is>
      </c>
      <c r="AF102" s="6" t="inlineStr">
        <is>
          <t>Section/contract-derived reference; explicit deliverable/test wording</t>
        </is>
      </c>
      <c r="AG102" s="58" t="inlineStr">
        <is>
          <t>Not linked to an OFFER item</t>
        </is>
      </c>
    </row>
    <row r="103" ht="138" customHeight="1">
      <c r="A103" s="6" t="n">
        <v>98</v>
      </c>
      <c r="B103" s="6" t="inlineStr">
        <is>
          <t>RTM-112</t>
        </is>
      </c>
      <c r="C103" s="6" t="inlineStr">
        <is>
          <t>No</t>
        </is>
      </c>
      <c r="D103" s="6" t="inlineStr">
        <is>
          <t>T1 Primary</t>
        </is>
      </c>
      <c r="E103" s="6" t="inlineStr">
        <is>
          <t>Subsystems</t>
        </is>
      </c>
      <c r="F103" s="82" t="inlineStr">
        <is>
          <t>SYSTEM</t>
        </is>
      </c>
      <c r="G103" s="83" t="inlineStr">
        <is>
          <t>Control</t>
        </is>
      </c>
      <c r="H103" s="59" t="inlineStr">
        <is>
          <t>—</t>
        </is>
      </c>
      <c r="I103" s="81" t="inlineStr">
        <is>
          <t>Inferred: C2 — Process Design (low conf.)</t>
        </is>
      </c>
      <c r="J103" s="6" t="n">
        <v>45</v>
      </c>
      <c r="K103" s="6" t="inlineStr">
        <is>
          <t>4.4.2.2</t>
        </is>
      </c>
      <c r="L103" s="6" t="inlineStr">
        <is>
          <t>Electrical Heaters</t>
        </is>
      </c>
      <c r="M103" s="6" t="inlineStr">
        <is>
          <t>Heater power supplies shall be industrial COTS equipment and shall provide, at minimum:</t>
        </is>
      </c>
      <c r="N103" s="6" t="inlineStr">
        <is>
          <t>Heater power supplies shall be industrial COTS equipment and shall provide, at minimum:
• Voltage and current measurement with accuracy ≤ 1%
• Remote on/off control and status/diagnostics via the QPS:CIS;
• Spare parts/support shall be available for ≥ 10 years.
• Preferred nominal output voltage 24 VDC or 48 VDC, unless otherwise justified.
• Protection against overload and short-circuit
• Remotely readable breaker status and remote breaker actuation for diagnostics and control.</t>
        </is>
      </c>
      <c r="O103" s="6" t="n">
        <v>0</v>
      </c>
      <c r="P103" s="6" t="n">
        <v>2</v>
      </c>
      <c r="Q103" s="6" t="n">
        <v>2</v>
      </c>
      <c r="R103" s="6" t="n">
        <v>2</v>
      </c>
      <c r="S103" s="6" t="n">
        <v>1</v>
      </c>
      <c r="T103" s="6" t="n">
        <v>3</v>
      </c>
      <c r="U103" s="6" t="n">
        <v>0</v>
      </c>
      <c r="V103" s="6" t="n">
        <v>49.666667</v>
      </c>
      <c r="W103" s="6" t="n">
        <v>86.54649999999999</v>
      </c>
      <c r="X103" s="6" t="n">
        <v>27.7196</v>
      </c>
      <c r="Y103" s="6" t="inlineStr">
        <is>
          <t>Reliability</t>
        </is>
      </c>
      <c r="Z103" s="6" t="inlineStr">
        <is>
          <t>Frozen-weight composite; strongest contribution: Reliability.</t>
        </is>
      </c>
      <c r="AA103" s="6" t="inlineStr">
        <is>
          <t>None explicitly named in this RTM</t>
        </is>
      </c>
      <c r="AB103" s="6" t="inlineStr">
        <is>
          <t>SCK CEN/90508872 §4.4.2.2; no named external code</t>
        </is>
      </c>
      <c r="AC103" s="6" t="inlineStr">
        <is>
          <t>Calculation/model plus calibrated measurement or recorded trend; Functional design/configuration review and sequence/interface demonstration; RAM/maintenance substantiation and recovery/failure-response evidence</t>
        </is>
      </c>
      <c r="AD103" s="6" t="inlineStr">
        <is>
          <t>No separate deliverable explicitly named</t>
        </is>
      </c>
      <c r="AE103" s="6" t="inlineStr">
        <is>
          <t>L1 Conceptual Design; L2 Detailed Design</t>
        </is>
      </c>
      <c r="AF103" s="6" t="inlineStr">
        <is>
          <t>Section/contract-derived reference; derived evidence route</t>
        </is>
      </c>
      <c r="AG103" s="58" t="inlineStr">
        <is>
          <t>Not linked to an OFFER item</t>
        </is>
      </c>
    </row>
    <row r="104" ht="151" customHeight="1">
      <c r="A104" s="6" t="n">
        <v>99</v>
      </c>
      <c r="B104" s="6" t="inlineStr">
        <is>
          <t>RTM-039</t>
        </is>
      </c>
      <c r="C104" s="6" t="inlineStr">
        <is>
          <t>No</t>
        </is>
      </c>
      <c r="D104" s="6" t="inlineStr">
        <is>
          <t>T1 Primary</t>
        </is>
      </c>
      <c r="E104" s="6" t="inlineStr">
        <is>
          <t>Process &amp; Functional</t>
        </is>
      </c>
      <c r="F104" s="82" t="inlineStr">
        <is>
          <t>SYSTEM</t>
        </is>
      </c>
      <c r="G104" s="83" t="inlineStr">
        <is>
          <t>Performance</t>
        </is>
      </c>
      <c r="H104" s="59" t="inlineStr">
        <is>
          <t>—</t>
        </is>
      </c>
      <c r="I104" s="81" t="inlineStr">
        <is>
          <t>Inferred: C2 — Process Design (low conf.)</t>
        </is>
      </c>
      <c r="J104" s="6" t="n">
        <v>32</v>
      </c>
      <c r="K104" s="6" t="inlineStr">
        <is>
          <t>4.2.3</t>
        </is>
      </c>
      <c r="L104" s="6" t="inlineStr">
        <is>
          <t>Operational Condition Ranges</t>
        </is>
      </c>
      <c r="M104" s="6" t="inlineStr">
        <is>
          <t>The QPS shall comply with the following requirements regarding the cooling demand from the Cryogenic Users:</t>
        </is>
      </c>
      <c r="N104" s="6" t="inlineStr">
        <is>
          <t>The QPS shall comply with the following requirements regarding the cooling demand from the Cryogenic Users:
• In all operational scenarios, the QPS shall maintain the user-interface process variables (e.g. temperature, pressure) within the specified interface envelopes.
• Where the QPS capacity is insufficient to support the requested heat load, the QPS shall maintain compliance with the specified interface envelopes by limiting the mass flow rate supplied at the user interfaces and/or by reducing the transient speed.
• The QPS:CIS shall continuously expose the current maximum available mass flow rate that the QPS can sustain at each relevant user interface.</t>
        </is>
      </c>
      <c r="O104" s="6" t="n">
        <v>2</v>
      </c>
      <c r="P104" s="6" t="n">
        <v>0</v>
      </c>
      <c r="Q104" s="6" t="n">
        <v>3</v>
      </c>
      <c r="R104" s="6" t="n">
        <v>3</v>
      </c>
      <c r="S104" s="6" t="n">
        <v>0</v>
      </c>
      <c r="T104" s="6" t="n">
        <v>0</v>
      </c>
      <c r="U104" s="6" t="n">
        <v>0</v>
      </c>
      <c r="V104" s="6" t="n">
        <v>49.333333</v>
      </c>
      <c r="W104" s="6" t="n">
        <v>86.13039999999999</v>
      </c>
      <c r="X104" s="6" t="n">
        <v>26.8678</v>
      </c>
      <c r="Y104" s="6" t="inlineStr">
        <is>
          <t>Performance</t>
        </is>
      </c>
      <c r="Z104" s="6" t="inlineStr">
        <is>
          <t>Frozen-weight composite; strongest contribution: Performance.</t>
        </is>
      </c>
      <c r="AA104" s="6" t="inlineStr">
        <is>
          <t>None explicitly named in this RTM</t>
        </is>
      </c>
      <c r="AB104" s="6" t="inlineStr">
        <is>
          <t>SCK CEN/90508872 §4.2.3; no named external code</t>
        </is>
      </c>
      <c r="AC104" s="6" t="inlineStr">
        <is>
          <t>Calculation/model plus calibrated measurement or recorded trend; Functional design/configuration review and sequence/interface demonstration</t>
        </is>
      </c>
      <c r="AD104" s="6" t="inlineStr">
        <is>
          <t>No separate deliverable explicitly named</t>
        </is>
      </c>
      <c r="AE104" s="6" t="inlineStr">
        <is>
          <t>L1 Conceptual Design; L2 Detailed Design</t>
        </is>
      </c>
      <c r="AF104" s="6" t="inlineStr">
        <is>
          <t>Section/contract-derived reference; derived evidence route</t>
        </is>
      </c>
      <c r="AG104" s="58" t="inlineStr">
        <is>
          <t>Not linked to an OFFER item</t>
        </is>
      </c>
    </row>
    <row r="105" ht="73" customHeight="1">
      <c r="A105" s="6" t="n">
        <v>100</v>
      </c>
      <c r="B105" s="6" t="inlineStr">
        <is>
          <t>RTM-101</t>
        </is>
      </c>
      <c r="C105" s="6" t="inlineStr">
        <is>
          <t>No</t>
        </is>
      </c>
      <c r="D105" s="6" t="inlineStr">
        <is>
          <t>T1 Primary</t>
        </is>
      </c>
      <c r="E105" s="6" t="inlineStr">
        <is>
          <t>Subsystems</t>
        </is>
      </c>
      <c r="F105" s="82" t="inlineStr">
        <is>
          <t>SYSTEM</t>
        </is>
      </c>
      <c r="G105" s="83" t="inlineStr">
        <is>
          <t>Performance</t>
        </is>
      </c>
      <c r="H105" s="59" t="inlineStr">
        <is>
          <t>—</t>
        </is>
      </c>
      <c r="I105" s="81" t="inlineStr">
        <is>
          <t>Inferred: C2 — Process Design (low conf.)</t>
        </is>
      </c>
      <c r="J105" s="6" t="n">
        <v>44</v>
      </c>
      <c r="K105" s="6" t="inlineStr">
        <is>
          <t>4.4.2.2</t>
        </is>
      </c>
      <c r="L105" s="6" t="inlineStr">
        <is>
          <t>Electrical Heaters</t>
        </is>
      </c>
      <c r="M105" s="6" t="inlineStr">
        <is>
          <t>The QRB shall include electrical heaters as required to:</t>
        </is>
      </c>
      <c r="N105" s="6" t="inlineStr">
        <is>
          <t>The QRB shall include electrical heaters as required to:
• Permit controlled warm-up of all relevant cryogenic circuits (including cryogenic distribution and Cryogenic Users where applicable)
• Emulate user heat loads for stand-alone commissioning and acceptance testing of the QPS.</t>
        </is>
      </c>
      <c r="O105" s="6" t="n">
        <v>2</v>
      </c>
      <c r="P105" s="6" t="n">
        <v>0</v>
      </c>
      <c r="Q105" s="6" t="n">
        <v>3</v>
      </c>
      <c r="R105" s="6" t="n">
        <v>3</v>
      </c>
      <c r="S105" s="6" t="n">
        <v>0</v>
      </c>
      <c r="T105" s="6" t="n">
        <v>0</v>
      </c>
      <c r="U105" s="6" t="n">
        <v>0</v>
      </c>
      <c r="V105" s="6" t="n">
        <v>49.333333</v>
      </c>
      <c r="W105" s="6" t="n">
        <v>86.13039999999999</v>
      </c>
      <c r="X105" s="6" t="n">
        <v>26.8678</v>
      </c>
      <c r="Y105" s="6" t="inlineStr">
        <is>
          <t>Performance</t>
        </is>
      </c>
      <c r="Z105" s="6" t="inlineStr">
        <is>
          <t>Frozen-weight composite; strongest contribution: Performance.</t>
        </is>
      </c>
      <c r="AA105" s="6" t="inlineStr">
        <is>
          <t>None explicitly named in this RTM</t>
        </is>
      </c>
      <c r="AB105" s="6" t="inlineStr">
        <is>
          <t>SCK CEN/90508872 §4.4.2.2; no named external code</t>
        </is>
      </c>
      <c r="AC105" s="6" t="inlineStr">
        <is>
          <t>Witnessed FAT/SAT/commissioning test against stated acceptance criteria; Calculation/model plus calibrated measurement or recorded trend; Functional design/configuration review and sequence/interface demonstration</t>
        </is>
      </c>
      <c r="AD105" s="6" t="inlineStr">
        <is>
          <t>No separate deliverable explicitly named</t>
        </is>
      </c>
      <c r="AE105" s="6" t="inlineStr">
        <is>
          <t>L1 Conceptual Design; L2 Detailed Design</t>
        </is>
      </c>
      <c r="AF105" s="6" t="inlineStr">
        <is>
          <t>Section/contract-derived reference; explicit deliverable/test wording</t>
        </is>
      </c>
      <c r="AG105" s="58" t="inlineStr">
        <is>
          <t>Not linked to an OFFER item</t>
        </is>
      </c>
    </row>
    <row r="106" ht="47" customHeight="1">
      <c r="A106" s="6" t="n">
        <v>101</v>
      </c>
      <c r="B106" s="6" t="inlineStr">
        <is>
          <t>RTM-111</t>
        </is>
      </c>
      <c r="C106" s="6" t="inlineStr">
        <is>
          <t>No</t>
        </is>
      </c>
      <c r="D106" s="6" t="inlineStr">
        <is>
          <t>T1 Primary</t>
        </is>
      </c>
      <c r="E106" s="6" t="inlineStr">
        <is>
          <t>Subsystems</t>
        </is>
      </c>
      <c r="F106" s="82" t="inlineStr">
        <is>
          <t>SYSTEM</t>
        </is>
      </c>
      <c r="G106" s="83" t="inlineStr">
        <is>
          <t>Performance</t>
        </is>
      </c>
      <c r="H106" s="59" t="inlineStr">
        <is>
          <t>—</t>
        </is>
      </c>
      <c r="I106" s="81" t="inlineStr">
        <is>
          <t>Inferred: C7 — Quality, Testing &amp; Risk (medium conf.)</t>
        </is>
      </c>
      <c r="J106" s="6" t="n">
        <v>45</v>
      </c>
      <c r="K106" s="6" t="inlineStr">
        <is>
          <t>4.4.2.2</t>
        </is>
      </c>
      <c r="L106" s="6" t="inlineStr">
        <is>
          <t>Electrical Heaters</t>
        </is>
      </c>
      <c r="M106" s="6" t="inlineStr">
        <is>
          <t>All heater circuits shall successfully pass a dielectric test in accordance with applicable IEC/EN standards at least directly after installation and during the SAT.</t>
        </is>
      </c>
      <c r="N106" s="6" t="inlineStr">
        <is>
          <t>All heater circuits shall successfully pass a dielectric test in accordance with applicable IEC/EN standards at least directly after installation and during the SAT.</t>
        </is>
      </c>
      <c r="O106" s="6" t="n">
        <v>2</v>
      </c>
      <c r="P106" s="6" t="n">
        <v>0</v>
      </c>
      <c r="Q106" s="6" t="n">
        <v>2</v>
      </c>
      <c r="R106" s="6" t="n">
        <v>2</v>
      </c>
      <c r="S106" s="6" t="n">
        <v>3</v>
      </c>
      <c r="T106" s="6" t="n">
        <v>0</v>
      </c>
      <c r="U106" s="6" t="n">
        <v>0</v>
      </c>
      <c r="V106" s="6" t="n">
        <v>49.333333</v>
      </c>
      <c r="W106" s="6" t="n">
        <v>86.13039999999999</v>
      </c>
      <c r="X106" s="6" t="n">
        <v>26.8678</v>
      </c>
      <c r="Y106" s="6" t="inlineStr">
        <is>
          <t>Safety / Legal / Performance</t>
        </is>
      </c>
      <c r="Z106" s="6" t="inlineStr">
        <is>
          <t>Frozen-weight composite; strongest contribution: Safety / Legal / Performance.</t>
        </is>
      </c>
      <c r="AA106" s="6" t="inlineStr">
        <is>
          <t>None explicitly named in this RTM</t>
        </is>
      </c>
      <c r="AB106" s="6" t="inlineStr">
        <is>
          <t>SCK CEN/90508872 §4.4.2.2; no named external code</t>
        </is>
      </c>
      <c r="AC106" s="6" t="inlineStr">
        <is>
          <t>Witnessed FAT/SAT/commissioning test against stated acceptance criteria; Calculation/model plus calibrated measurement or recorded trend</t>
        </is>
      </c>
      <c r="AD106" s="6" t="inlineStr">
        <is>
          <t>No separate deliverable explicitly named</t>
        </is>
      </c>
      <c r="AE106" s="6" t="inlineStr">
        <is>
          <t>L4 Installation; L6 Site Acceptance Testing; L1 Conceptual Design; L2 Detailed Design</t>
        </is>
      </c>
      <c r="AF106" s="6" t="inlineStr">
        <is>
          <t>Section/contract-derived reference; explicit deliverable/test wording</t>
        </is>
      </c>
      <c r="AG106" s="58" t="inlineStr">
        <is>
          <t>Not linked to an OFFER item</t>
        </is>
      </c>
    </row>
    <row r="107" ht="73" customHeight="1">
      <c r="A107" s="6" t="n">
        <v>102</v>
      </c>
      <c r="B107" s="6" t="inlineStr">
        <is>
          <t>RTM-224</t>
        </is>
      </c>
      <c r="C107" s="6" t="inlineStr">
        <is>
          <t>No</t>
        </is>
      </c>
      <c r="D107" s="6" t="inlineStr">
        <is>
          <t>T1 Primary</t>
        </is>
      </c>
      <c r="E107" s="6" t="inlineStr">
        <is>
          <t>Subsystems</t>
        </is>
      </c>
      <c r="F107" s="82" t="inlineStr">
        <is>
          <t>SYSTEM</t>
        </is>
      </c>
      <c r="G107" s="83" t="inlineStr">
        <is>
          <t>Control</t>
        </is>
      </c>
      <c r="H107" s="59" t="inlineStr">
        <is>
          <t>—</t>
        </is>
      </c>
      <c r="I107" s="81" t="inlineStr">
        <is>
          <t>Inferred: C2 — Process Design (low conf.)</t>
        </is>
      </c>
      <c r="J107" s="6" t="n">
        <v>58</v>
      </c>
      <c r="K107" s="6" t="inlineStr">
        <is>
          <t>4.4.4.2.5</t>
        </is>
      </c>
      <c r="L107" s="6" t="inlineStr">
        <is>
          <t>Helium phase separators</t>
        </is>
      </c>
      <c r="M107" s="6" t="inlineStr">
        <is>
          <t>Each helium phase separator shall be equipped with electrical heaters to:</t>
        </is>
      </c>
      <c r="N107" s="6" t="inlineStr">
        <is>
          <t>Each helium phase separator shall be equipped with electrical heaters to:
• Control and stabilise the liquid helium level,
• Allow a controlled emptying of the liquid helium
• Emulate the user heat load during stand-alone commissioning and acceptance testing of the QPS.</t>
        </is>
      </c>
      <c r="O107" s="6" t="n">
        <v>2</v>
      </c>
      <c r="P107" s="6" t="n">
        <v>0</v>
      </c>
      <c r="Q107" s="6" t="n">
        <v>3</v>
      </c>
      <c r="R107" s="6" t="n">
        <v>3</v>
      </c>
      <c r="S107" s="6" t="n">
        <v>0</v>
      </c>
      <c r="T107" s="6" t="n">
        <v>0</v>
      </c>
      <c r="U107" s="6" t="n">
        <v>0</v>
      </c>
      <c r="V107" s="6" t="n">
        <v>49.333333</v>
      </c>
      <c r="W107" s="6" t="n">
        <v>86.13039999999999</v>
      </c>
      <c r="X107" s="6" t="n">
        <v>26.8678</v>
      </c>
      <c r="Y107" s="6" t="inlineStr">
        <is>
          <t>Performance</t>
        </is>
      </c>
      <c r="Z107" s="6" t="inlineStr">
        <is>
          <t>Frozen-weight composite; strongest contribution: Performance.</t>
        </is>
      </c>
      <c r="AA107" s="6" t="inlineStr">
        <is>
          <t>None explicitly named in this RTM</t>
        </is>
      </c>
      <c r="AB107" s="6" t="inlineStr">
        <is>
          <t>SCK CEN/90508872 §4.4.4.2.5; no named external code</t>
        </is>
      </c>
      <c r="AC107" s="6" t="inlineStr">
        <is>
          <t>Witnessed FAT/SAT/commissioning test against stated acceptance criteria; Calculation/model plus calibrated measurement or recorded trend; Functional design/configuration review and sequence/interface demonstration</t>
        </is>
      </c>
      <c r="AD107" s="6" t="inlineStr">
        <is>
          <t>No separate deliverable explicitly named</t>
        </is>
      </c>
      <c r="AE107" s="6" t="inlineStr">
        <is>
          <t>L1 Conceptual Design; L2 Detailed Design</t>
        </is>
      </c>
      <c r="AF107" s="6" t="inlineStr">
        <is>
          <t>Section/contract-derived reference; explicit deliverable/test wording</t>
        </is>
      </c>
      <c r="AG107" s="58" t="inlineStr">
        <is>
          <t>Not linked to an OFFER item</t>
        </is>
      </c>
    </row>
    <row r="108" ht="112" customHeight="1">
      <c r="A108" s="6" t="n">
        <v>103</v>
      </c>
      <c r="B108" s="6" t="inlineStr">
        <is>
          <t>RTM-487</t>
        </is>
      </c>
      <c r="C108" s="6" t="inlineStr">
        <is>
          <t>No</t>
        </is>
      </c>
      <c r="D108" s="6" t="inlineStr">
        <is>
          <t>T1 Primary</t>
        </is>
      </c>
      <c r="E108" s="6" t="inlineStr">
        <is>
          <t>Training</t>
        </is>
      </c>
      <c r="F108" s="82" t="inlineStr">
        <is>
          <t>PROJECT</t>
        </is>
      </c>
      <c r="G108" s="83" t="inlineStr">
        <is>
          <t>Governance &amp; Responsibility</t>
        </is>
      </c>
      <c r="H108" s="59" t="inlineStr">
        <is>
          <t>—</t>
        </is>
      </c>
      <c r="I108" s="58" t="inlineStr">
        <is>
          <t>C6 — Reliability &amp; Maintenance</t>
        </is>
      </c>
      <c r="J108" s="6" t="n">
        <v>93</v>
      </c>
      <c r="K108" s="6" t="inlineStr">
        <is>
          <t>4.12.1</t>
        </is>
      </c>
      <c r="L108" s="6" t="inlineStr">
        <is>
          <t>Training and Competence Transfer</t>
        </is>
      </c>
      <c r="M108" s="6" t="inlineStr">
        <is>
          <t>The operation and abnormal-event response training shall include, at minimum:</t>
        </is>
      </c>
      <c r="N108" s="6" t="inlineStr">
        <is>
          <t>The operation and abnormal-event response training shall include, at minimum:
• Operator training on the local HMI, including signal interpretation, local patch-panel operations, alarm handling, and electrical-cabinet checks.
• Functional training on start-up, shutdown, transients, and integrated QPS operation.
• Training on helium management during abnormal events, including LOOP.
• Simulation-based abnormal-event response and recovery exercises.</t>
        </is>
      </c>
      <c r="O108" s="6" t="n">
        <v>1</v>
      </c>
      <c r="P108" s="6" t="n">
        <v>3</v>
      </c>
      <c r="Q108" s="6" t="n">
        <v>0</v>
      </c>
      <c r="R108" s="6" t="n">
        <v>3</v>
      </c>
      <c r="S108" s="6" t="n">
        <v>0</v>
      </c>
      <c r="T108" s="6" t="n">
        <v>2</v>
      </c>
      <c r="U108" s="6" t="n">
        <v>0</v>
      </c>
      <c r="V108" s="6" t="n">
        <v>49.333333</v>
      </c>
      <c r="W108" s="6" t="n">
        <v>86.13039999999999</v>
      </c>
      <c r="X108" s="6" t="n">
        <v>26.8678</v>
      </c>
      <c r="Y108" s="6" t="inlineStr">
        <is>
          <t>Reliability</t>
        </is>
      </c>
      <c r="Z108" s="6" t="inlineStr">
        <is>
          <t>Frozen-weight composite; strongest contribution: Reliability.</t>
        </is>
      </c>
      <c r="AA108" s="6" t="inlineStr">
        <is>
          <t>None explicitly named in this RTM</t>
        </is>
      </c>
      <c r="AB108" s="6" t="inlineStr">
        <is>
          <t>SCK CEN/90508872 §4.12.1; no named external code</t>
        </is>
      </c>
      <c r="AC108" s="6" t="inlineStr">
        <is>
          <t>RAM/maintenance substantiation and recovery/failure-response evidence</t>
        </is>
      </c>
      <c r="AD108" s="6" t="inlineStr">
        <is>
          <t>No separate deliverable explicitly named</t>
        </is>
      </c>
      <c r="AE108" s="6" t="inlineStr">
        <is>
          <t>L1 Conceptual Design; L2 Detailed Design</t>
        </is>
      </c>
      <c r="AF108" s="6" t="inlineStr">
        <is>
          <t>Section/contract-derived reference; derived evidence route</t>
        </is>
      </c>
      <c r="AG108" s="58" t="inlineStr">
        <is>
          <t>OFFER-38 (Direct)</t>
        </is>
      </c>
    </row>
    <row r="109" ht="125" customHeight="1">
      <c r="A109" s="6" t="n">
        <v>104</v>
      </c>
      <c r="B109" s="6" t="inlineStr">
        <is>
          <t>RTM-488</t>
        </is>
      </c>
      <c r="C109" s="6" t="inlineStr">
        <is>
          <t>No</t>
        </is>
      </c>
      <c r="D109" s="6" t="inlineStr">
        <is>
          <t>T1 Primary</t>
        </is>
      </c>
      <c r="E109" s="6" t="inlineStr">
        <is>
          <t>Training</t>
        </is>
      </c>
      <c r="F109" s="82" t="inlineStr">
        <is>
          <t>PROJECT</t>
        </is>
      </c>
      <c r="G109" s="83" t="inlineStr">
        <is>
          <t>Governance &amp; Responsibility</t>
        </is>
      </c>
      <c r="H109" s="59" t="inlineStr">
        <is>
          <t>—</t>
        </is>
      </c>
      <c r="I109" s="58" t="inlineStr">
        <is>
          <t>C6 — Reliability &amp; Maintenance</t>
        </is>
      </c>
      <c r="J109" s="6" t="n">
        <v>94</v>
      </c>
      <c r="K109" s="6" t="inlineStr">
        <is>
          <t>4.12.1</t>
        </is>
      </c>
      <c r="L109" s="6" t="inlineStr">
        <is>
          <t>Training and Competence Transfer</t>
        </is>
      </c>
      <c r="M109" s="6" t="inlineStr">
        <is>
          <t>The maintenance and troubleshooting training shall include, at minimum:</t>
        </is>
      </c>
      <c r="N109" s="6" t="inlineStr">
        <is>
          <t>The maintenance and troubleshooting training shall include, at minimum:
• Static troubleshooting, including process-pressure analysis, leak testing, vacuum-decay tests, and valve-seat leak verification.
• Dynamic fault finding and fault resolution.
• Maintenance procedures for major rotating machines, including HP compressor screw replacement and removal/replacement of a single PVPS vacuum pump.
• Hands-on maintenance procedures for the oil-removal system (ORS), dryers, including desiccant and absorbent removal/replacement, multi-component samplers, and gas analysers.</t>
        </is>
      </c>
      <c r="O109" s="6" t="n">
        <v>1</v>
      </c>
      <c r="P109" s="6" t="n">
        <v>2</v>
      </c>
      <c r="Q109" s="6" t="n">
        <v>0</v>
      </c>
      <c r="R109" s="6" t="n">
        <v>2</v>
      </c>
      <c r="S109" s="6" t="n">
        <v>3</v>
      </c>
      <c r="T109" s="6" t="n">
        <v>2</v>
      </c>
      <c r="U109" s="6" t="n">
        <v>0</v>
      </c>
      <c r="V109" s="6" t="n">
        <v>48.666667</v>
      </c>
      <c r="W109" s="6" t="n">
        <v>85.64490000000001</v>
      </c>
      <c r="X109" s="6" t="n">
        <v>25.9165</v>
      </c>
      <c r="Y109" s="6" t="inlineStr">
        <is>
          <t>Reliability</t>
        </is>
      </c>
      <c r="Z109" s="6" t="inlineStr">
        <is>
          <t>Frozen-weight composite; strongest contribution: Reliability.</t>
        </is>
      </c>
      <c r="AA109" s="6" t="inlineStr">
        <is>
          <t>None explicitly named in this RTM</t>
        </is>
      </c>
      <c r="AB109" s="6" t="inlineStr">
        <is>
          <t>SCK CEN/90508872 §4.12.1; no named external code</t>
        </is>
      </c>
      <c r="AC109" s="6" t="inlineStr">
        <is>
          <t>Submit and review the named deliverable with RTM traceability and approval status; Witnessed FAT/SAT/commissioning test against stated acceptance criteria; Functional design/configuration review and sequence/interface demonstration</t>
        </is>
      </c>
      <c r="AD109" s="6" t="inlineStr">
        <is>
          <t>Procedure / work instruction</t>
        </is>
      </c>
      <c r="AE109" s="6" t="inlineStr">
        <is>
          <t>L1 Conceptual Design; L2 Detailed Design</t>
        </is>
      </c>
      <c r="AF109" s="6" t="inlineStr">
        <is>
          <t>Section/contract-derived reference; explicit deliverable/test wording</t>
        </is>
      </c>
      <c r="AG109" s="58" t="inlineStr">
        <is>
          <t>OFFER-38 (Direct)</t>
        </is>
      </c>
    </row>
    <row r="110" ht="398" customHeight="1">
      <c r="A110" s="6" t="n">
        <v>105</v>
      </c>
      <c r="B110" s="6" t="inlineStr">
        <is>
          <t>RTM-576</t>
        </is>
      </c>
      <c r="C110" s="6" t="inlineStr">
        <is>
          <t>No</t>
        </is>
      </c>
      <c r="D110" s="6" t="inlineStr">
        <is>
          <t>T1 Primary</t>
        </is>
      </c>
      <c r="E110" s="6" t="inlineStr">
        <is>
          <t>Technical Documentation</t>
        </is>
      </c>
      <c r="F110" s="82" t="inlineStr">
        <is>
          <t>PROJECT</t>
        </is>
      </c>
      <c r="G110" s="83" t="inlineStr">
        <is>
          <t>Documentation &amp; Compliance</t>
        </is>
      </c>
      <c r="H110" s="59" t="inlineStr">
        <is>
          <t>—</t>
        </is>
      </c>
      <c r="I110" s="58" t="inlineStr">
        <is>
          <t>Not linked to an OFFER item</t>
        </is>
      </c>
      <c r="J110" s="6" t="n">
        <v>110</v>
      </c>
      <c r="K110" s="6" t="inlineStr">
        <is>
          <t>4.16.2</t>
        </is>
      </c>
      <c r="L110" s="6" t="inlineStr">
        <is>
          <t>Manufacturing File</t>
        </is>
      </c>
      <c r="M110" s="6" t="inlineStr">
        <is>
          <t>The Manufacturing File shall cover, at least, the following aspects:</t>
        </is>
      </c>
      <c r="N110" s="6" t="inlineStr">
        <is>
          <t>The Manufacturing File shall cover, at least, the following aspects:
• 3D CAD models, 2D drawings, and corresponding Bills of Materials (BOMs), including:
• the details of the electrical wiring, cryogenic circuitry, and Instrumentation.
• P&amp;IDs.
• Procedures for each manufacturing and assembly step of the Elements, and for any associated process, such as cleaning, spatial referencing, and wiring or mounting of the Instrumentation, specified to an appropriate level of detail to ensure correct execution.
• Technical documentation of all Parts, including data sheets, certificates, calibration reports, and equivalent technical records.
• All documentation received from the Original Equipment Manufacturer (OEM) for Commercial Off-The-Shelf (COTS) equipment.
• Where the original documentation is not in English, the Contractor shall provide an accurate English translation together with the original.
• Design documentation for custom tools or equipment intended for installation or maintenance, including at minimum CAD models, drawings, and production plans, with sufficient detail to allow SCK CEN to have such tools or equipment built-to-print.
• Protocols for all QA/QC activities during manufacturing and assembly, specified to an appropriate level of detail to ensure correct execution.
• The FAT Programme.
• Procedures for handling, packaging, and transportation.
• The FMECA in accordance with IEC 60812:2018, covering at minimum manufacturing, assembly, storage, packaging, and transportation.
• The technical data and design datasheets of critical components, including heat exchangers, piping, rotating machines, and valves, with sufficient detail to allow SCK CEN to model the complete cryogenic system, including the cryogenic plant, in simulations.</t>
        </is>
      </c>
      <c r="O110" s="6" t="n">
        <v>1</v>
      </c>
      <c r="P110" s="6" t="n">
        <v>2</v>
      </c>
      <c r="Q110" s="6" t="n">
        <v>0</v>
      </c>
      <c r="R110" s="6" t="n">
        <v>2</v>
      </c>
      <c r="S110" s="6" t="n">
        <v>3</v>
      </c>
      <c r="T110" s="6" t="n">
        <v>2</v>
      </c>
      <c r="U110" s="6" t="n">
        <v>0</v>
      </c>
      <c r="V110" s="6" t="n">
        <v>48.666667</v>
      </c>
      <c r="W110" s="6" t="n">
        <v>85.64490000000001</v>
      </c>
      <c r="X110" s="6" t="n">
        <v>25.9165</v>
      </c>
      <c r="Y110" s="6" t="inlineStr">
        <is>
          <t>Reliability</t>
        </is>
      </c>
      <c r="Z110" s="6" t="inlineStr">
        <is>
          <t>Frozen-weight composite; strongest contribution: Reliability.</t>
        </is>
      </c>
      <c r="AA110" s="6" t="inlineStr">
        <is>
          <t>IEC 60812:2018</t>
        </is>
      </c>
      <c r="AB110" s="6" t="inlineStr">
        <is>
          <t>IEC 60812:2018</t>
        </is>
      </c>
      <c r="AC110" s="6" t="inlineStr">
        <is>
          <t>Submit and review the named deliverable with RTM traceability and approval status; Witnessed FAT/SAT/commissioning test against stated acceptance criteria; Functional design/configuration review and sequence/interface demonstration</t>
        </is>
      </c>
      <c r="AD110" s="6" t="inlineStr">
        <is>
          <t>Manufacturing File; Risk Assessment / HAZOP / FMECA; 3D / CAD Model; Certificate / calibration evidence; Procedure / work instruction; Drawing / diagram</t>
        </is>
      </c>
      <c r="AE110" s="6" t="inlineStr">
        <is>
          <t>L3 Procurement &amp; Manufacturing / FAT; L4 Installation; L1 Conceptual Design; L2 Detailed Design</t>
        </is>
      </c>
      <c r="AF110" s="6" t="inlineStr">
        <is>
          <t>Explicit/table-grounded standard; explicit deliverable/test wording</t>
        </is>
      </c>
      <c r="AG110" s="58" t="inlineStr">
        <is>
          <t>Not linked to an OFFER item</t>
        </is>
      </c>
    </row>
    <row r="111" ht="60" customHeight="1">
      <c r="A111" s="6" t="n">
        <v>106</v>
      </c>
      <c r="B111" s="6" t="inlineStr">
        <is>
          <t>RTM-370</t>
        </is>
      </c>
      <c r="C111" s="6" t="inlineStr">
        <is>
          <t>No</t>
        </is>
      </c>
      <c r="D111" s="6" t="inlineStr">
        <is>
          <t>T1 Primary</t>
        </is>
      </c>
      <c r="E111" s="6" t="inlineStr">
        <is>
          <t>Control &amp; Interlock</t>
        </is>
      </c>
      <c r="F111" s="82" t="inlineStr">
        <is>
          <t>SYSTEM</t>
        </is>
      </c>
      <c r="G111" s="83" t="inlineStr">
        <is>
          <t>Performance</t>
        </is>
      </c>
      <c r="H111" s="59" t="inlineStr">
        <is>
          <t>—</t>
        </is>
      </c>
      <c r="I111" s="58" t="inlineStr">
        <is>
          <t>C4 — Software &amp; Control</t>
        </is>
      </c>
      <c r="J111" s="6" t="n">
        <v>78</v>
      </c>
      <c r="K111" s="6" t="inlineStr">
        <is>
          <t>4.6.9</t>
        </is>
      </c>
      <c r="L111" s="6" t="inlineStr">
        <is>
          <t>Software Change Management</t>
        </is>
      </c>
      <c r="M111" s="6" t="inlineStr">
        <is>
          <t>Minor modifications performed by or on behalf of SCK CEN shall not void the warranty unless the Contractor demonstrates a causal relationship between the modification and the claimed defect.</t>
        </is>
      </c>
      <c r="N111" s="6" t="inlineStr">
        <is>
          <t>Minor modifications performed by or on behalf of SCK CEN shall not void the warranty unless the Contractor demonstrates a causal relationship between the modification and the claimed defect.</t>
        </is>
      </c>
      <c r="O111" s="6" t="n">
        <v>2</v>
      </c>
      <c r="P111" s="6" t="n">
        <v>0</v>
      </c>
      <c r="Q111" s="6" t="n">
        <v>0</v>
      </c>
      <c r="R111" s="6" t="n">
        <v>3</v>
      </c>
      <c r="S111" s="6" t="n">
        <v>3</v>
      </c>
      <c r="T111" s="6" t="n">
        <v>3</v>
      </c>
      <c r="U111" s="6" t="n">
        <v>0</v>
      </c>
      <c r="V111" s="6" t="n">
        <v>48.333333</v>
      </c>
      <c r="W111" s="6" t="n">
        <v>85.43689999999999</v>
      </c>
      <c r="X111" s="6" t="n">
        <v>25.5221</v>
      </c>
      <c r="Y111" s="6" t="inlineStr">
        <is>
          <t>Functional</t>
        </is>
      </c>
      <c r="Z111" s="6" t="inlineStr">
        <is>
          <t>Frozen-weight composite; strongest contribution: Functional.</t>
        </is>
      </c>
      <c r="AA111" s="6" t="inlineStr">
        <is>
          <t>None explicitly named in this RTM</t>
        </is>
      </c>
      <c r="AB111" s="6" t="inlineStr">
        <is>
          <t>SCK CEN/90508872 §4.6.9; no named external code</t>
        </is>
      </c>
      <c r="AC111" s="6" t="inlineStr">
        <is>
          <t>Witnessed FAT/SAT/commissioning test against stated acceptance criteria; Document review, inspection, certification, audit or traceable QC record</t>
        </is>
      </c>
      <c r="AD111" s="6" t="inlineStr">
        <is>
          <t>No separate deliverable explicitly named</t>
        </is>
      </c>
      <c r="AE111" s="6" t="inlineStr">
        <is>
          <t>Warranty; L1 Conceptual Design; L2 Detailed Design</t>
        </is>
      </c>
      <c r="AF111" s="6" t="inlineStr">
        <is>
          <t>Section/contract-derived reference; explicit deliverable/test wording</t>
        </is>
      </c>
      <c r="AG111" s="58" t="inlineStr">
        <is>
          <t>OFFER-30 (Direct)</t>
        </is>
      </c>
    </row>
    <row r="112" ht="86" customHeight="1">
      <c r="A112" s="6" t="n">
        <v>107</v>
      </c>
      <c r="B112" s="6" t="inlineStr">
        <is>
          <t>RTM-017</t>
        </is>
      </c>
      <c r="C112" s="6" t="inlineStr">
        <is>
          <t>No</t>
        </is>
      </c>
      <c r="D112" s="6" t="inlineStr">
        <is>
          <t>T1 Primary</t>
        </is>
      </c>
      <c r="E112" s="6" t="inlineStr">
        <is>
          <t>Process &amp; Functional</t>
        </is>
      </c>
      <c r="F112" s="82" t="inlineStr">
        <is>
          <t>SYSTEM</t>
        </is>
      </c>
      <c r="G112" s="83" t="inlineStr">
        <is>
          <t>Performance</t>
        </is>
      </c>
      <c r="H112" s="59" t="inlineStr">
        <is>
          <t>—</t>
        </is>
      </c>
      <c r="I112" s="81" t="inlineStr">
        <is>
          <t>Inferred: C2 — Process Design (low conf.)</t>
        </is>
      </c>
      <c r="J112" s="6" t="n">
        <v>28</v>
      </c>
      <c r="K112" s="6" t="inlineStr">
        <is>
          <t>4.2.2.1</t>
        </is>
      </c>
      <c r="L112" s="6" t="inlineStr">
        <is>
          <t>Steady-State Operational Scenarios</t>
        </is>
      </c>
      <c r="M112" s="6" t="inlineStr">
        <is>
          <t>For each Steady State Operational Scenario, the Contractor shall define the objective criteria for declaring the scenario as achieved and stable. At minimum, this shall include:</t>
        </is>
      </c>
      <c r="N112" s="6" t="inlineStr">
        <is>
          <t>For each Steady State Operational Scenario, the Contractor shall define the objective criteria for declaring the scenario as achieved and stable. At minimum, this shall include:
• The controlled variables used for state declaration
• The corresponding stability bands
• The minimum duration over which the stability bands shall be satisfied</t>
        </is>
      </c>
      <c r="O112" s="6" t="n">
        <v>0</v>
      </c>
      <c r="P112" s="6" t="n">
        <v>0</v>
      </c>
      <c r="Q112" s="6" t="n">
        <v>3</v>
      </c>
      <c r="R112" s="6" t="n">
        <v>3</v>
      </c>
      <c r="S112" s="6" t="n">
        <v>3</v>
      </c>
      <c r="T112" s="6" t="n">
        <v>0</v>
      </c>
      <c r="U112" s="6" t="n">
        <v>0</v>
      </c>
      <c r="V112" s="6" t="n">
        <v>48</v>
      </c>
      <c r="W112" s="6" t="n">
        <v>85.29819999999999</v>
      </c>
      <c r="X112" s="6" t="n">
        <v>25.2635</v>
      </c>
      <c r="Y112" s="6" t="inlineStr">
        <is>
          <t>Performance</t>
        </is>
      </c>
      <c r="Z112" s="6" t="inlineStr">
        <is>
          <t>Frozen-weight composite; strongest contribution: Performance.</t>
        </is>
      </c>
      <c r="AA112" s="6" t="inlineStr">
        <is>
          <t>None explicitly named in this RTM</t>
        </is>
      </c>
      <c r="AB112" s="6" t="inlineStr">
        <is>
          <t>SCK CEN/90508872 §4.2.2.1; no named external code</t>
        </is>
      </c>
      <c r="AC112" s="6" t="inlineStr">
        <is>
          <t>Witnessed FAT/SAT/commissioning test against stated acceptance criteria; Calculation/model plus calibrated measurement or recorded trend; Functional design/configuration review and sequence/interface demonstration</t>
        </is>
      </c>
      <c r="AD112" s="6" t="inlineStr">
        <is>
          <t>No separate deliverable explicitly named</t>
        </is>
      </c>
      <c r="AE112" s="6" t="inlineStr">
        <is>
          <t>L6 Site Acceptance Testing; L1 Conceptual Design; L2 Detailed Design</t>
        </is>
      </c>
      <c r="AF112" s="6" t="inlineStr">
        <is>
          <t>Section/contract-derived reference; derived evidence route</t>
        </is>
      </c>
      <c r="AG112" s="58" t="inlineStr">
        <is>
          <t>Not linked to an OFFER item</t>
        </is>
      </c>
    </row>
    <row r="113" ht="73" customHeight="1">
      <c r="A113" s="6" t="n">
        <v>108</v>
      </c>
      <c r="B113" s="6" t="inlineStr">
        <is>
          <t>RTM-070</t>
        </is>
      </c>
      <c r="C113" s="6" t="inlineStr">
        <is>
          <t>No</t>
        </is>
      </c>
      <c r="D113" s="6" t="inlineStr">
        <is>
          <t>T1 Primary</t>
        </is>
      </c>
      <c r="E113" s="6" t="inlineStr">
        <is>
          <t>Global Design Criteria</t>
        </is>
      </c>
      <c r="F113" s="82" t="inlineStr">
        <is>
          <t>SYSTEM</t>
        </is>
      </c>
      <c r="G113" s="83" t="inlineStr">
        <is>
          <t>Performance</t>
        </is>
      </c>
      <c r="H113" s="59" t="inlineStr">
        <is>
          <t>—</t>
        </is>
      </c>
      <c r="I113" s="58" t="inlineStr">
        <is>
          <t>C1 — Performance</t>
        </is>
      </c>
      <c r="J113" s="6" t="n">
        <v>40</v>
      </c>
      <c r="K113" s="6" t="inlineStr">
        <is>
          <t>4.3.4</t>
        </is>
      </c>
      <c r="L113" s="6" t="inlineStr">
        <is>
          <t>Energy-efficiency</t>
        </is>
      </c>
      <c r="M113" s="6" t="inlineStr">
        <is>
          <t>The Contractor shall guarantee and demonstrate compliance of the Contractual invCOP (invCOP_contract) in accordance with RTM-071.</t>
        </is>
      </c>
      <c r="N113" s="6" t="inlineStr">
        <is>
          <t>The Contractor shall guarantee and demonstrate compliance of the Contractual invCOP (invCOP_contract) in accordance with RTM-071.
• The invCOP_contract shall correspond to the invCOP, as defined in §4.3.4.1, evaluated for the as-built QPS operating at the QPLANT Design Point, as defined in §4.2.1, under steady-state conditions.</t>
        </is>
      </c>
      <c r="O113" s="6" t="n">
        <v>2</v>
      </c>
      <c r="P113" s="6" t="n">
        <v>0</v>
      </c>
      <c r="Q113" s="6" t="n">
        <v>3</v>
      </c>
      <c r="R113" s="6" t="n">
        <v>0</v>
      </c>
      <c r="S113" s="6" t="n">
        <v>3</v>
      </c>
      <c r="T113" s="6" t="n">
        <v>1</v>
      </c>
      <c r="U113" s="6" t="n">
        <v>0</v>
      </c>
      <c r="V113" s="6" t="n">
        <v>47.666667</v>
      </c>
      <c r="W113" s="6" t="n">
        <v>85.15949999999999</v>
      </c>
      <c r="X113" s="6" t="n">
        <v>25.0082</v>
      </c>
      <c r="Y113" s="6" t="inlineStr">
        <is>
          <t>Performance</t>
        </is>
      </c>
      <c r="Z113" s="6" t="inlineStr">
        <is>
          <t>Frozen-weight composite; strongest contribution: Performance.</t>
        </is>
      </c>
      <c r="AA113" s="6" t="inlineStr">
        <is>
          <t>None explicitly named in this RTM</t>
        </is>
      </c>
      <c r="AB113" s="6" t="inlineStr">
        <is>
          <t>SCK CEN/90508872 §4.3.4; no named external code</t>
        </is>
      </c>
      <c r="AC113" s="6" t="inlineStr">
        <is>
          <t>Witnessed FAT/SAT/commissioning test against stated acceptance criteria; Calculation/model plus calibrated measurement or recorded trend; Document review, inspection, certification, audit or traceable QC record</t>
        </is>
      </c>
      <c r="AD113" s="6" t="inlineStr">
        <is>
          <t>No separate deliverable explicitly named</t>
        </is>
      </c>
      <c r="AE113" s="6" t="inlineStr">
        <is>
          <t>L1 Conceptual Design; L2 Detailed Design</t>
        </is>
      </c>
      <c r="AF113" s="6" t="inlineStr">
        <is>
          <t>Section/contract-derived reference; explicit deliverable/test wording</t>
        </is>
      </c>
      <c r="AG113" s="58" t="inlineStr">
        <is>
          <t>OFFER-12 (Direct)</t>
        </is>
      </c>
    </row>
    <row r="114" ht="190" customHeight="1">
      <c r="A114" s="6" t="n">
        <v>109</v>
      </c>
      <c r="B114" s="6" t="inlineStr">
        <is>
          <t>RTM-079</t>
        </is>
      </c>
      <c r="C114" s="6" t="inlineStr">
        <is>
          <t>No</t>
        </is>
      </c>
      <c r="D114" s="6" t="inlineStr">
        <is>
          <t>T1 Primary</t>
        </is>
      </c>
      <c r="E114" s="6" t="inlineStr">
        <is>
          <t>Subsystems</t>
        </is>
      </c>
      <c r="F114" s="82" t="inlineStr">
        <is>
          <t>PROJECT</t>
        </is>
      </c>
      <c r="G114" s="83" t="inlineStr">
        <is>
          <t>Documentation &amp; Compliance</t>
        </is>
      </c>
      <c r="H114" s="59" t="inlineStr">
        <is>
          <t>—</t>
        </is>
      </c>
      <c r="I114" s="58" t="inlineStr">
        <is>
          <t>C3 — Mechanical &amp; Equipment</t>
        </is>
      </c>
      <c r="J114" s="6" t="n">
        <v>42</v>
      </c>
      <c r="K114" s="6" t="inlineStr">
        <is>
          <t>4.4.1.1</t>
        </is>
      </c>
      <c r="L114" s="6" t="inlineStr">
        <is>
          <t>Bellows, joints, and seals</t>
        </is>
      </c>
      <c r="M114" s="6" t="inlineStr">
        <is>
          <t>The Contractor shall request approval from SCK CEN for the use of any mechanical Part, intended for thermal compensation at cryogenic temperatures, that forms part of the cryogenic process piping.</t>
        </is>
      </c>
      <c r="N114" s="6" t="inlineStr">
        <is>
          <t>The Contractor shall request approval from SCK CEN for the use of any mechanical Part, intended for thermal compensation at cryogenic temperatures, that forms part of the cryogenic process piping.
• This requirement applies to the use of Parts such as (but not limited to) bellows, flexible hoses, or any other type of expansion joint.
• Where applicable, the Contractor shall submit a duly justified request, supported (at minimum) by the following documentation:
• A design justification demonstrating the technical necessity of the mechanical Part.
• A risk assessment, with specific emphasis on the reliability of the mechanical Part.
• A dedicated QAP addressing the implementation of the mechanical Part.
• An intervention plan describing how the mechanical Part can be accessed and repaired in-situ.</t>
        </is>
      </c>
      <c r="O114" s="6" t="n">
        <v>0</v>
      </c>
      <c r="P114" s="6" t="n">
        <v>3</v>
      </c>
      <c r="Q114" s="6" t="n">
        <v>0</v>
      </c>
      <c r="R114" s="6" t="n">
        <v>2</v>
      </c>
      <c r="S114" s="6" t="n">
        <v>3</v>
      </c>
      <c r="T114" s="6" t="n">
        <v>0</v>
      </c>
      <c r="U114" s="6" t="n">
        <v>3</v>
      </c>
      <c r="V114" s="6" t="n">
        <v>47.666667</v>
      </c>
      <c r="W114" s="6" t="n">
        <v>85.02079999999999</v>
      </c>
      <c r="X114" s="6" t="n">
        <v>24.7562</v>
      </c>
      <c r="Y114" s="6" t="inlineStr">
        <is>
          <t>Reliability</t>
        </is>
      </c>
      <c r="Z114" s="6" t="inlineStr">
        <is>
          <t>Frozen-weight composite; strongest contribution: Reliability.</t>
        </is>
      </c>
      <c r="AA114" s="6" t="inlineStr">
        <is>
          <t>None explicitly named in this RTM</t>
        </is>
      </c>
      <c r="AB114" s="6" t="inlineStr">
        <is>
          <t>SCK CEN/90508872 §4.4.1.1; no named external code</t>
        </is>
      </c>
      <c r="AC114" s="6" t="inlineStr">
        <is>
          <t>Submit and review the named deliverable with RTM traceability and approval status; Witnessed FAT/SAT/commissioning test against stated acceptance criteria; RAM/maintenance substantiation and recovery/failure-response evidence</t>
        </is>
      </c>
      <c r="AD114" s="6" t="inlineStr">
        <is>
          <t>Quality Assurance Plan (QAP); Risk Assessment / HAZOP / FMECA</t>
        </is>
      </c>
      <c r="AE114" s="6" t="inlineStr">
        <is>
          <t>L6 Site Acceptance Testing; L1 Conceptual Design; L2 Detailed Design</t>
        </is>
      </c>
      <c r="AF114" s="6" t="inlineStr">
        <is>
          <t>Section/contract-derived reference; explicit deliverable/test wording</t>
        </is>
      </c>
      <c r="AG114" s="58" t="inlineStr">
        <is>
          <t>OFFER-14 (Direct)</t>
        </is>
      </c>
    </row>
    <row r="115" ht="190" customHeight="1">
      <c r="A115" s="6" t="n">
        <v>110</v>
      </c>
      <c r="B115" s="6" t="inlineStr">
        <is>
          <t>RTM-714</t>
        </is>
      </c>
      <c r="C115" s="6" t="inlineStr">
        <is>
          <t>No</t>
        </is>
      </c>
      <c r="D115" s="6" t="inlineStr">
        <is>
          <t>T1 Primary</t>
        </is>
      </c>
      <c r="E115" s="6" t="inlineStr">
        <is>
          <t>Acceptance &amp; Warranty</t>
        </is>
      </c>
      <c r="F115" s="82" t="inlineStr">
        <is>
          <t>PROJECT</t>
        </is>
      </c>
      <c r="G115" s="83" t="inlineStr">
        <is>
          <t>Governance &amp; Responsibility</t>
        </is>
      </c>
      <c r="H115" s="59" t="inlineStr">
        <is>
          <t>—</t>
        </is>
      </c>
      <c r="I115" s="81" t="inlineStr">
        <is>
          <t>Inferred: C6 — Reliability &amp; Maintenance (high conf.)</t>
        </is>
      </c>
      <c r="J115" s="6" t="n">
        <v>130</v>
      </c>
      <c r="K115" s="6" t="inlineStr">
        <is>
          <t>10.3</t>
        </is>
      </c>
      <c r="L115" s="6" t="inlineStr">
        <is>
          <t>Warranty Conditions</t>
        </is>
      </c>
      <c r="M115" s="6" t="inlineStr">
        <is>
          <t>The Contractor’s warranty obligation shall not apply:</t>
        </is>
      </c>
      <c r="N115" s="6" t="inlineStr">
        <is>
          <t>The Contractor’s warranty obligation shall not apply:
• to normal wear and tear of the QPS, as well as any associated consumables.
• to defects of which the Contractor is notified after the Warranty period, unless SCK CEN can demonstrate that such defect has arisen before the end of the Warranty period in which case such defect shall fall under the warranty obligation.
• to failures or defects which the Contractor can substantiate are due to alteration, misapplication, inappropriate use in view of the conditions of use as outlined by the Contractor (if any are provided), and/or maintenance not carried out according to the Contractor’s nominal conditions as set forth by the Contractor, lack of trained maintenance personnel (other than the Contractor’s personnel), operation above rated capacities either intentional or otherwise, or physical damage caused by persons other than the Contractor’s personnel.</t>
        </is>
      </c>
      <c r="O115" s="6" t="n">
        <v>2</v>
      </c>
      <c r="P115" s="6" t="n">
        <v>2</v>
      </c>
      <c r="Q115" s="6" t="n">
        <v>0</v>
      </c>
      <c r="R115" s="6" t="n">
        <v>0</v>
      </c>
      <c r="S115" s="6" t="n">
        <v>3</v>
      </c>
      <c r="T115" s="6" t="n">
        <v>3</v>
      </c>
      <c r="U115" s="6" t="n">
        <v>0</v>
      </c>
      <c r="V115" s="6" t="n">
        <v>47</v>
      </c>
      <c r="W115" s="6" t="n">
        <v>84.88209999999999</v>
      </c>
      <c r="X115" s="6" t="n">
        <v>24.5075</v>
      </c>
      <c r="Y115" s="6" t="inlineStr">
        <is>
          <t>Reliability</t>
        </is>
      </c>
      <c r="Z115" s="6" t="inlineStr">
        <is>
          <t>Frozen-weight composite; strongest contribution: Reliability.</t>
        </is>
      </c>
      <c r="AA115" s="6" t="inlineStr">
        <is>
          <t>None explicitly named in this RTM</t>
        </is>
      </c>
      <c r="AB115" s="6" t="inlineStr">
        <is>
          <t>SCK CEN/90508872 §10.3; no named external code</t>
        </is>
      </c>
      <c r="AC115" s="6" t="inlineStr">
        <is>
          <t>Witnessed FAT/SAT/commissioning test against stated acceptance criteria; RAM/maintenance substantiation and recovery/failure-response evidence; Document review, inspection, certification, audit or traceable QC record</t>
        </is>
      </c>
      <c r="AD115" s="6" t="inlineStr">
        <is>
          <t>No separate deliverable explicitly named</t>
        </is>
      </c>
      <c r="AE115" s="6" t="inlineStr">
        <is>
          <t>Warranty; PAC / Handover; FAC</t>
        </is>
      </c>
      <c r="AF115" s="6" t="inlineStr">
        <is>
          <t>Section/contract-derived reference; explicit deliverable/test wording</t>
        </is>
      </c>
      <c r="AG115" s="58" t="inlineStr">
        <is>
          <t>Not linked to an OFFER item</t>
        </is>
      </c>
    </row>
    <row r="116" ht="73" customHeight="1">
      <c r="A116" s="6" t="n">
        <v>111</v>
      </c>
      <c r="B116" s="6" t="inlineStr">
        <is>
          <t>RTM-169</t>
        </is>
      </c>
      <c r="C116" s="6" t="inlineStr">
        <is>
          <t>No</t>
        </is>
      </c>
      <c r="D116" s="6" t="inlineStr">
        <is>
          <t>T1 Primary</t>
        </is>
      </c>
      <c r="E116" s="6" t="inlineStr">
        <is>
          <t>Subsystems</t>
        </is>
      </c>
      <c r="F116" s="82" t="inlineStr">
        <is>
          <t>SYSTEM</t>
        </is>
      </c>
      <c r="G116" s="83" t="inlineStr">
        <is>
          <t>Performance</t>
        </is>
      </c>
      <c r="H116" s="59" t="inlineStr">
        <is>
          <t>—</t>
        </is>
      </c>
      <c r="I116" s="81" t="inlineStr">
        <is>
          <t>Inferred: C6 — Reliability &amp; Maintenance (medium conf.)</t>
        </is>
      </c>
      <c r="J116" s="6" t="n">
        <v>51</v>
      </c>
      <c r="K116" s="6" t="inlineStr">
        <is>
          <t>4.4.3.5.3</t>
        </is>
      </c>
      <c r="L116" s="6" t="inlineStr">
        <is>
          <t>Oil filters</t>
        </is>
      </c>
      <c r="M116" s="6" t="inlineStr">
        <is>
          <t>Each oil filter shall be equipped with:</t>
        </is>
      </c>
      <c r="N116" s="6" t="inlineStr">
        <is>
          <t>Each oil filter shall be equipped with:
• Manual isolation valves installed upstream and downstream, to permit maintenance and filter change-out.
• A differential-pressure gauge providing visual indication of filter blockage.</t>
        </is>
      </c>
      <c r="O116" s="6" t="n">
        <v>0</v>
      </c>
      <c r="P116" s="6" t="n">
        <v>2</v>
      </c>
      <c r="Q116" s="6" t="n">
        <v>2</v>
      </c>
      <c r="R116" s="6" t="n">
        <v>2</v>
      </c>
      <c r="S116" s="6" t="n">
        <v>2</v>
      </c>
      <c r="T116" s="6" t="n">
        <v>0</v>
      </c>
      <c r="U116" s="6" t="n">
        <v>0</v>
      </c>
      <c r="V116" s="6" t="n">
        <v>46.666667</v>
      </c>
      <c r="W116" s="6" t="n">
        <v>84.60469999999999</v>
      </c>
      <c r="X116" s="6" t="n">
        <v>24.0196</v>
      </c>
      <c r="Y116" s="6" t="inlineStr">
        <is>
          <t>Reliability</t>
        </is>
      </c>
      <c r="Z116" s="6" t="inlineStr">
        <is>
          <t>Frozen-weight composite; strongest contribution: Reliability.</t>
        </is>
      </c>
      <c r="AA116" s="6" t="inlineStr">
        <is>
          <t>None explicitly named in this RTM</t>
        </is>
      </c>
      <c r="AB116" s="6" t="inlineStr">
        <is>
          <t>SCK CEN/90508872 §4.4.3.5.3; no named external code</t>
        </is>
      </c>
      <c r="AC116" s="6" t="inlineStr">
        <is>
          <t>Calculation/model plus calibrated measurement or recorded trend; RAM/maintenance substantiation and recovery/failure-response evidence; Document review, inspection, certification, audit or traceable QC record</t>
        </is>
      </c>
      <c r="AD116" s="6" t="inlineStr">
        <is>
          <t>No separate deliverable explicitly named</t>
        </is>
      </c>
      <c r="AE116" s="6" t="inlineStr">
        <is>
          <t>L1 Conceptual Design; L2 Detailed Design</t>
        </is>
      </c>
      <c r="AF116" s="6" t="inlineStr">
        <is>
          <t>Section/contract-derived reference; derived evidence route</t>
        </is>
      </c>
      <c r="AG116" s="58" t="inlineStr">
        <is>
          <t>Not linked to an OFFER item</t>
        </is>
      </c>
    </row>
    <row r="117" ht="60" customHeight="1">
      <c r="A117" s="6" t="n">
        <v>112</v>
      </c>
      <c r="B117" s="6" t="inlineStr">
        <is>
          <t>RTM-170</t>
        </is>
      </c>
      <c r="C117" s="6" t="inlineStr">
        <is>
          <t>No</t>
        </is>
      </c>
      <c r="D117" s="6" t="inlineStr">
        <is>
          <t>T1 Primary</t>
        </is>
      </c>
      <c r="E117" s="6" t="inlineStr">
        <is>
          <t>Subsystems</t>
        </is>
      </c>
      <c r="F117" s="82" t="inlineStr">
        <is>
          <t>SYSTEM</t>
        </is>
      </c>
      <c r="G117" s="83" t="inlineStr">
        <is>
          <t>Performance</t>
        </is>
      </c>
      <c r="H117" s="59" t="inlineStr">
        <is>
          <t>—</t>
        </is>
      </c>
      <c r="I117" s="81" t="inlineStr">
        <is>
          <t>Inferred: C3 — Mechanical &amp; Equipment (medium conf.)</t>
        </is>
      </c>
      <c r="J117" s="6" t="n">
        <v>51</v>
      </c>
      <c r="K117" s="6" t="inlineStr">
        <is>
          <t>4.4.3.5.4</t>
        </is>
      </c>
      <c r="L117" s="6" t="inlineStr">
        <is>
          <t>Oil Purge and fill-up</t>
        </is>
      </c>
      <c r="M117" s="6" t="inlineStr">
        <is>
          <t>Each compressor shall be equipped with manual isolation valves in all relevant connecting piping to permit full circuit isolation for maintenance.</t>
        </is>
      </c>
      <c r="N117" s="6" t="inlineStr">
        <is>
          <t>Each compressor shall be equipped with manual isolation valves in all relevant connecting piping to permit full circuit isolation for maintenance.</t>
        </is>
      </c>
      <c r="O117" s="6" t="n">
        <v>0</v>
      </c>
      <c r="P117" s="6" t="n">
        <v>2</v>
      </c>
      <c r="Q117" s="6" t="n">
        <v>2</v>
      </c>
      <c r="R117" s="6" t="n">
        <v>2</v>
      </c>
      <c r="S117" s="6" t="n">
        <v>2</v>
      </c>
      <c r="T117" s="6" t="n">
        <v>0</v>
      </c>
      <c r="U117" s="6" t="n">
        <v>0</v>
      </c>
      <c r="V117" s="6" t="n">
        <v>46.666667</v>
      </c>
      <c r="W117" s="6" t="n">
        <v>84.60469999999999</v>
      </c>
      <c r="X117" s="6" t="n">
        <v>24.0196</v>
      </c>
      <c r="Y117" s="6" t="inlineStr">
        <is>
          <t>Reliability</t>
        </is>
      </c>
      <c r="Z117" s="6" t="inlineStr">
        <is>
          <t>Frozen-weight composite; strongest contribution: Reliability.</t>
        </is>
      </c>
      <c r="AA117" s="6" t="inlineStr">
        <is>
          <t>None explicitly named in this RTM</t>
        </is>
      </c>
      <c r="AB117" s="6" t="inlineStr">
        <is>
          <t>SCK CEN/90508872 §4.4.3.5.4; no named external code</t>
        </is>
      </c>
      <c r="AC117" s="6" t="inlineStr">
        <is>
          <t>Calculation/model plus calibrated measurement or recorded trend; RAM/maintenance substantiation and recovery/failure-response evidence; Document review, inspection, certification, audit or traceable QC record</t>
        </is>
      </c>
      <c r="AD117" s="6" t="inlineStr">
        <is>
          <t>No separate deliverable explicitly named</t>
        </is>
      </c>
      <c r="AE117" s="6" t="inlineStr">
        <is>
          <t>L1 Conceptual Design; L2 Detailed Design</t>
        </is>
      </c>
      <c r="AF117" s="6" t="inlineStr">
        <is>
          <t>Section/contract-derived reference; derived evidence route</t>
        </is>
      </c>
      <c r="AG117" s="58" t="inlineStr">
        <is>
          <t>Not linked to an OFFER item</t>
        </is>
      </c>
    </row>
    <row r="118" ht="60" customHeight="1">
      <c r="A118" s="6" t="n">
        <v>113</v>
      </c>
      <c r="B118" s="6" t="inlineStr">
        <is>
          <t>RTM-191</t>
        </is>
      </c>
      <c r="C118" s="6" t="inlineStr">
        <is>
          <t>No</t>
        </is>
      </c>
      <c r="D118" s="6" t="inlineStr">
        <is>
          <t>T1 Primary</t>
        </is>
      </c>
      <c r="E118" s="6" t="inlineStr">
        <is>
          <t>Subsystems</t>
        </is>
      </c>
      <c r="F118" s="82" t="inlineStr">
        <is>
          <t>SYSTEM</t>
        </is>
      </c>
      <c r="G118" s="83" t="inlineStr">
        <is>
          <t>Performance</t>
        </is>
      </c>
      <c r="H118" s="59" t="inlineStr">
        <is>
          <t>—</t>
        </is>
      </c>
      <c r="I118" s="81" t="inlineStr">
        <is>
          <t>Inferred: C6 — Reliability &amp; Maintenance (medium conf.)</t>
        </is>
      </c>
      <c r="J118" s="6" t="n">
        <v>53</v>
      </c>
      <c r="K118" s="6" t="inlineStr">
        <is>
          <t>4.4.3.8</t>
        </is>
      </c>
      <c r="L118" s="6" t="inlineStr">
        <is>
          <t>Filters</t>
        </is>
      </c>
      <c r="M118" s="6" t="inlineStr">
        <is>
          <t>Each filter shall include manual isolation valves on both sides to minimize contact with air during maintenance or filter replacement.</t>
        </is>
      </c>
      <c r="N118" s="6" t="inlineStr">
        <is>
          <t>Each filter shall include manual isolation valves on both sides to minimize contact with air during maintenance or filter replacement.</t>
        </is>
      </c>
      <c r="O118" s="6" t="n">
        <v>0</v>
      </c>
      <c r="P118" s="6" t="n">
        <v>2</v>
      </c>
      <c r="Q118" s="6" t="n">
        <v>2</v>
      </c>
      <c r="R118" s="6" t="n">
        <v>2</v>
      </c>
      <c r="S118" s="6" t="n">
        <v>2</v>
      </c>
      <c r="T118" s="6" t="n">
        <v>0</v>
      </c>
      <c r="U118" s="6" t="n">
        <v>0</v>
      </c>
      <c r="V118" s="6" t="n">
        <v>46.666667</v>
      </c>
      <c r="W118" s="6" t="n">
        <v>84.60469999999999</v>
      </c>
      <c r="X118" s="6" t="n">
        <v>24.0196</v>
      </c>
      <c r="Y118" s="6" t="inlineStr">
        <is>
          <t>Reliability</t>
        </is>
      </c>
      <c r="Z118" s="6" t="inlineStr">
        <is>
          <t>Frozen-weight composite; strongest contribution: Reliability.</t>
        </is>
      </c>
      <c r="AA118" s="6" t="inlineStr">
        <is>
          <t>None explicitly named in this RTM</t>
        </is>
      </c>
      <c r="AB118" s="6" t="inlineStr">
        <is>
          <t>SCK CEN/90508872 §4.4.3.8; no named external code</t>
        </is>
      </c>
      <c r="AC118" s="6" t="inlineStr">
        <is>
          <t>Calculation/model plus calibrated measurement or recorded trend; RAM/maintenance substantiation and recovery/failure-response evidence; Document review, inspection, certification, audit or traceable QC record</t>
        </is>
      </c>
      <c r="AD118" s="6" t="inlineStr">
        <is>
          <t>No separate deliverable explicitly named</t>
        </is>
      </c>
      <c r="AE118" s="6" t="inlineStr">
        <is>
          <t>L1 Conceptual Design; L2 Detailed Design</t>
        </is>
      </c>
      <c r="AF118" s="6" t="inlineStr">
        <is>
          <t>Section/contract-derived reference; derived evidence route</t>
        </is>
      </c>
      <c r="AG118" s="58" t="inlineStr">
        <is>
          <t>Not linked to an OFFER item</t>
        </is>
      </c>
    </row>
    <row r="119" ht="60" customHeight="1">
      <c r="A119" s="6" t="n">
        <v>114</v>
      </c>
      <c r="B119" s="6" t="inlineStr">
        <is>
          <t>RTM-172</t>
        </is>
      </c>
      <c r="C119" s="6" t="inlineStr">
        <is>
          <t>No</t>
        </is>
      </c>
      <c r="D119" s="6" t="inlineStr">
        <is>
          <t>T1 Primary</t>
        </is>
      </c>
      <c r="E119" s="6" t="inlineStr">
        <is>
          <t>Subsystems</t>
        </is>
      </c>
      <c r="F119" s="82" t="inlineStr">
        <is>
          <t>SYSTEM</t>
        </is>
      </c>
      <c r="G119" s="83" t="inlineStr">
        <is>
          <t>Constraint</t>
        </is>
      </c>
      <c r="H119" s="59" t="inlineStr">
        <is>
          <t>—</t>
        </is>
      </c>
      <c r="I119" s="81" t="inlineStr">
        <is>
          <t>Inferred: C3 — Mechanical &amp; Equipment (medium conf.)</t>
        </is>
      </c>
      <c r="J119" s="6" t="n">
        <v>52</v>
      </c>
      <c r="K119" s="6" t="inlineStr">
        <is>
          <t>4.4.3.6</t>
        </is>
      </c>
      <c r="L119" s="6" t="inlineStr">
        <is>
          <t>Oil Removal and Helium Purification System (ORS/GMP)</t>
        </is>
      </c>
      <c r="M119" s="6" t="inlineStr">
        <is>
          <t>The Warm Compressor Station shall include an Oil Removal and Helium Purification System (ORS/GMP) to remove compressor oil from the helium stream.</t>
        </is>
      </c>
      <c r="N119" s="6" t="inlineStr">
        <is>
          <t>The Warm Compressor Station shall include an Oil Removal and Helium Purification System (ORS/GMP) to remove compressor oil from the helium stream.
• Under all operating conditions, including start-up and recovery operations, the residual oil content at the QRB interface shall not exceed 10 ppb(w).</t>
        </is>
      </c>
      <c r="O119" s="6" t="n">
        <v>0</v>
      </c>
      <c r="P119" s="6" t="n">
        <v>3</v>
      </c>
      <c r="Q119" s="6" t="n">
        <v>2</v>
      </c>
      <c r="R119" s="6" t="n">
        <v>2</v>
      </c>
      <c r="S119" s="6" t="n">
        <v>0</v>
      </c>
      <c r="T119" s="6" t="n">
        <v>0</v>
      </c>
      <c r="U119" s="6" t="n">
        <v>0</v>
      </c>
      <c r="V119" s="6" t="n">
        <v>46</v>
      </c>
      <c r="W119" s="6" t="n">
        <v>83.4258</v>
      </c>
      <c r="X119" s="6" t="n">
        <v>22.079</v>
      </c>
      <c r="Y119" s="6" t="inlineStr">
        <is>
          <t>Reliability</t>
        </is>
      </c>
      <c r="Z119" s="6" t="inlineStr">
        <is>
          <t>Frozen-weight composite; strongest contribution: Reliability.</t>
        </is>
      </c>
      <c r="AA119" s="6" t="inlineStr">
        <is>
          <t>None explicitly named in this RTM</t>
        </is>
      </c>
      <c r="AB119" s="6" t="inlineStr">
        <is>
          <t>SCK CEN/90508872 §4.4.3.6; no named external code</t>
        </is>
      </c>
      <c r="AC119" s="6" t="inlineStr">
        <is>
          <t>Calculation/model plus calibrated measurement or recorded trend; Functional design/configuration review and sequence/interface demonstration; RAM/maintenance substantiation and recovery/failure-response evidence</t>
        </is>
      </c>
      <c r="AD119" s="6" t="inlineStr">
        <is>
          <t>No separate deliverable explicitly named</t>
        </is>
      </c>
      <c r="AE119" s="6" t="inlineStr">
        <is>
          <t>L1 Conceptual Design; L2 Detailed Design</t>
        </is>
      </c>
      <c r="AF119" s="6" t="inlineStr">
        <is>
          <t>Section/contract-derived reference; derived evidence route</t>
        </is>
      </c>
      <c r="AG119" s="58" t="inlineStr">
        <is>
          <t>Not linked to an OFFER item</t>
        </is>
      </c>
    </row>
    <row r="120" ht="216" customHeight="1">
      <c r="A120" s="6" t="n">
        <v>115</v>
      </c>
      <c r="B120" s="6" t="inlineStr">
        <is>
          <t>RTM-194</t>
        </is>
      </c>
      <c r="C120" s="6" t="inlineStr">
        <is>
          <t>No</t>
        </is>
      </c>
      <c r="D120" s="6" t="inlineStr">
        <is>
          <t>T1 Primary</t>
        </is>
      </c>
      <c r="E120" s="6" t="inlineStr">
        <is>
          <t>Subsystems</t>
        </is>
      </c>
      <c r="F120" s="82" t="inlineStr">
        <is>
          <t>SYSTEM</t>
        </is>
      </c>
      <c r="G120" s="83" t="inlineStr">
        <is>
          <t>Control</t>
        </is>
      </c>
      <c r="H120" s="59" t="inlineStr">
        <is>
          <t>—</t>
        </is>
      </c>
      <c r="I120" s="58" t="inlineStr">
        <is>
          <t>C5 (+) — Infrastructure &amp; Integration + others</t>
        </is>
      </c>
      <c r="J120" s="6" t="n">
        <v>54</v>
      </c>
      <c r="K120" s="6" t="inlineStr">
        <is>
          <t>4.4.4.1</t>
        </is>
      </c>
      <c r="L120" s="6" t="inlineStr">
        <is>
          <t>General Requirements</t>
        </is>
      </c>
      <c r="M120" s="6" t="inlineStr">
        <is>
          <t>The QRB shall comprise, at minimum, the following subsystems:</t>
        </is>
      </c>
      <c r="N120" s="6" t="inlineStr">
        <is>
          <t>The QRB shall comprise, at minimum, the following subsystems:
• A cold box unit (vacuum-insulated cryostat)
• A dedicated insulation vacuum pumping system
• Warm valve panels and associated instrumentation
• Piping and valves required for purging and conditioning of all circuits
• Electrical cabinets and local control units
• Safety valves and relief devices
• Helium guard circuits
• Compressed-air distribution for pneumatic devices
• Cooling systems for turbines and other auxiliary equipment
• Access platforms and maintenance structures, including for all components located at elevated levels (i.e. components at the upper level of the cold box unit)
• All external interfaces for utilities and auxiliary systems
• Interfaces required to accommodate external helium withdrawal and recovery, as specified in §4.4.8</t>
        </is>
      </c>
      <c r="O120" s="6" t="n">
        <v>0</v>
      </c>
      <c r="P120" s="6" t="n">
        <v>3</v>
      </c>
      <c r="Q120" s="6" t="n">
        <v>2</v>
      </c>
      <c r="R120" s="6" t="n">
        <v>2</v>
      </c>
      <c r="S120" s="6" t="n">
        <v>0</v>
      </c>
      <c r="T120" s="6" t="n">
        <v>0</v>
      </c>
      <c r="U120" s="6" t="n">
        <v>0</v>
      </c>
      <c r="V120" s="6" t="n">
        <v>46</v>
      </c>
      <c r="W120" s="6" t="n">
        <v>83.4258</v>
      </c>
      <c r="X120" s="6" t="n">
        <v>22.079</v>
      </c>
      <c r="Y120" s="6" t="inlineStr">
        <is>
          <t>Reliability</t>
        </is>
      </c>
      <c r="Z120" s="6" t="inlineStr">
        <is>
          <t>Frozen-weight composite; strongest contribution: Reliability.</t>
        </is>
      </c>
      <c r="AA120" s="6" t="inlineStr">
        <is>
          <t>None explicitly named in this RTM</t>
        </is>
      </c>
      <c r="AB120" s="6" t="inlineStr">
        <is>
          <t>SCK CEN/90508872 §4.4.4.1; no named external code</t>
        </is>
      </c>
      <c r="AC120" s="6" t="inlineStr">
        <is>
          <t>Calculation/model plus calibrated measurement or recorded trend; Functional design/configuration review and sequence/interface demonstration; RAM/maintenance substantiation and recovery/failure-response evidence</t>
        </is>
      </c>
      <c r="AD120" s="6" t="inlineStr">
        <is>
          <t>No separate deliverable explicitly named</t>
        </is>
      </c>
      <c r="AE120" s="6" t="inlineStr">
        <is>
          <t>L1 Conceptual Design; L2 Detailed Design</t>
        </is>
      </c>
      <c r="AF120" s="6" t="inlineStr">
        <is>
          <t>Section/contract-derived reference; derived evidence route</t>
        </is>
      </c>
      <c r="AG120" s="58" t="inlineStr">
        <is>
          <t>OFFER-13 (Broad/contextual — main component specification); OFFER-17 (Direct)</t>
        </is>
      </c>
    </row>
    <row r="121" ht="60" customHeight="1">
      <c r="A121" s="6" t="n">
        <v>116</v>
      </c>
      <c r="B121" s="6" t="inlineStr">
        <is>
          <t>RTM-242</t>
        </is>
      </c>
      <c r="C121" s="6" t="inlineStr">
        <is>
          <t>No</t>
        </is>
      </c>
      <c r="D121" s="6" t="inlineStr">
        <is>
          <t>T1 Primary</t>
        </is>
      </c>
      <c r="E121" s="6" t="inlineStr">
        <is>
          <t>Subsystems</t>
        </is>
      </c>
      <c r="F121" s="82" t="inlineStr">
        <is>
          <t>SYSTEM</t>
        </is>
      </c>
      <c r="G121" s="83" t="inlineStr">
        <is>
          <t>Performance</t>
        </is>
      </c>
      <c r="H121" s="59" t="inlineStr">
        <is>
          <t>—</t>
        </is>
      </c>
      <c r="I121" s="58" t="inlineStr">
        <is>
          <t>C2 (+) — Process Design + others</t>
        </is>
      </c>
      <c r="J121" s="6" t="n">
        <v>61</v>
      </c>
      <c r="K121" s="6" t="inlineStr">
        <is>
          <t>4.4.5.2</t>
        </is>
      </c>
      <c r="L121" s="6" t="inlineStr">
        <is>
          <t>WSH Requirements</t>
        </is>
      </c>
      <c r="M121" s="6" t="inlineStr">
        <is>
          <t>The WSH shall consist of at least three (3) helium storage vessels.</t>
        </is>
      </c>
      <c r="N121" s="6" t="inlineStr">
        <is>
          <t>The WSH shall consist of at least three (3) helium storage vessels.
• The number of vessels shall be selected to ensure operational flexibility, maintainability, and robustness during cyclic operation and partial unavailability of vessels.</t>
        </is>
      </c>
      <c r="O121" s="6" t="n">
        <v>0</v>
      </c>
      <c r="P121" s="6" t="n">
        <v>3</v>
      </c>
      <c r="Q121" s="6" t="n">
        <v>2</v>
      </c>
      <c r="R121" s="6" t="n">
        <v>2</v>
      </c>
      <c r="S121" s="6" t="n">
        <v>0</v>
      </c>
      <c r="T121" s="6" t="n">
        <v>0</v>
      </c>
      <c r="U121" s="6" t="n">
        <v>0</v>
      </c>
      <c r="V121" s="6" t="n">
        <v>46</v>
      </c>
      <c r="W121" s="6" t="n">
        <v>83.4258</v>
      </c>
      <c r="X121" s="6" t="n">
        <v>22.079</v>
      </c>
      <c r="Y121" s="6" t="inlineStr">
        <is>
          <t>Reliability</t>
        </is>
      </c>
      <c r="Z121" s="6" t="inlineStr">
        <is>
          <t>Frozen-weight composite; strongest contribution: Reliability.</t>
        </is>
      </c>
      <c r="AA121" s="6" t="inlineStr">
        <is>
          <t>None explicitly named in this RTM</t>
        </is>
      </c>
      <c r="AB121" s="6" t="inlineStr">
        <is>
          <t>SCK CEN/90508872 §4.4.5.2; no named external code</t>
        </is>
      </c>
      <c r="AC121" s="6" t="inlineStr">
        <is>
          <t>Calculation/model plus calibrated measurement or recorded trend; Functional design/configuration review and sequence/interface demonstration; RAM/maintenance substantiation and recovery/failure-response evidence</t>
        </is>
      </c>
      <c r="AD121" s="6" t="inlineStr">
        <is>
          <t>No separate deliverable explicitly named</t>
        </is>
      </c>
      <c r="AE121" s="6" t="inlineStr">
        <is>
          <t>L1 Conceptual Design; L2 Detailed Design</t>
        </is>
      </c>
      <c r="AF121" s="6" t="inlineStr">
        <is>
          <t>Section/contract-derived reference; derived evidence route</t>
        </is>
      </c>
      <c r="AG121" s="58" t="inlineStr">
        <is>
          <t>OFFER-13 (Broad/contextual — main component specification); OFFER-19 (Direct)</t>
        </is>
      </c>
    </row>
    <row r="122" ht="99" customHeight="1">
      <c r="A122" s="6" t="n">
        <v>117</v>
      </c>
      <c r="B122" s="6" t="inlineStr">
        <is>
          <t>RTM-275</t>
        </is>
      </c>
      <c r="C122" s="6" t="inlineStr">
        <is>
          <t>No</t>
        </is>
      </c>
      <c r="D122" s="6" t="inlineStr">
        <is>
          <t>T1 Primary</t>
        </is>
      </c>
      <c r="E122" s="6" t="inlineStr">
        <is>
          <t>Subsystems</t>
        </is>
      </c>
      <c r="F122" s="82" t="inlineStr">
        <is>
          <t>SYSTEM</t>
        </is>
      </c>
      <c r="G122" s="83" t="inlineStr">
        <is>
          <t>Performance</t>
        </is>
      </c>
      <c r="H122" s="59" t="inlineStr">
        <is>
          <t>—</t>
        </is>
      </c>
      <c r="I122" s="58" t="inlineStr">
        <is>
          <t>C2 — Process Design</t>
        </is>
      </c>
      <c r="J122" s="6" t="n">
        <v>65</v>
      </c>
      <c r="K122" s="6" t="inlineStr">
        <is>
          <t>4.4.8.2</t>
        </is>
      </c>
      <c r="L122" s="6" t="inlineStr">
        <is>
          <t>Warm GHe Recovery from WGR-MAC</t>
        </is>
      </c>
      <c r="M122" s="6" t="inlineStr">
        <is>
          <t>The Contractor shall specify the helium purity acceptance criteria for the GHe returning via line QRB.G20, such that acceptance of the returned helium does not require any additional purification or gas clean-up by the QPLANT. At minimum, the acceptance criteria shall specify:</t>
        </is>
      </c>
      <c r="N122" s="6" t="inlineStr">
        <is>
          <t>The Contractor shall specify the helium purity acceptance criteria for the GHe returning via line QRB.G20, such that acceptance of the returned helium does not require any additional purification or gas clean-up by the QPLANT. At minimum, the acceptance criteria shall specify:
• maximum allowable O₂ content
• maximum allowable N₂ content
• maximum allowable dew point below –80 °C.</t>
        </is>
      </c>
      <c r="O122" s="6" t="n">
        <v>2</v>
      </c>
      <c r="P122" s="6" t="n">
        <v>3</v>
      </c>
      <c r="Q122" s="6" t="n">
        <v>0</v>
      </c>
      <c r="R122" s="6" t="n">
        <v>2</v>
      </c>
      <c r="S122" s="6" t="n">
        <v>0</v>
      </c>
      <c r="T122" s="6" t="n">
        <v>0</v>
      </c>
      <c r="U122" s="6" t="n">
        <v>0</v>
      </c>
      <c r="V122" s="6" t="n">
        <v>46</v>
      </c>
      <c r="W122" s="6" t="n">
        <v>83.4258</v>
      </c>
      <c r="X122" s="6" t="n">
        <v>22.079</v>
      </c>
      <c r="Y122" s="6" t="inlineStr">
        <is>
          <t>Reliability</t>
        </is>
      </c>
      <c r="Z122" s="6" t="inlineStr">
        <is>
          <t>Frozen-weight composite; strongest contribution: Reliability.</t>
        </is>
      </c>
      <c r="AA122" s="6" t="inlineStr">
        <is>
          <t>None explicitly named in this RTM</t>
        </is>
      </c>
      <c r="AB122" s="6" t="inlineStr">
        <is>
          <t>SCK CEN/90508872 §4.4.8.2; no named external code</t>
        </is>
      </c>
      <c r="AC122" s="6" t="inlineStr">
        <is>
          <t>RAM/maintenance substantiation and recovery/failure-response evidence</t>
        </is>
      </c>
      <c r="AD122" s="6" t="inlineStr">
        <is>
          <t>No separate deliverable explicitly named</t>
        </is>
      </c>
      <c r="AE122" s="6" t="inlineStr">
        <is>
          <t>L1 Conceptual Design; L2 Detailed Design</t>
        </is>
      </c>
      <c r="AF122" s="6" t="inlineStr">
        <is>
          <t>Section/contract-derived reference; derived evidence route</t>
        </is>
      </c>
      <c r="AG122" s="58" t="inlineStr">
        <is>
          <t>OFFER-24 (Direct)</t>
        </is>
      </c>
    </row>
    <row r="123" ht="47" customHeight="1">
      <c r="A123" s="6" t="n">
        <v>118</v>
      </c>
      <c r="B123" s="6" t="inlineStr">
        <is>
          <t>RTM-278</t>
        </is>
      </c>
      <c r="C123" s="6" t="inlineStr">
        <is>
          <t>No</t>
        </is>
      </c>
      <c r="D123" s="6" t="inlineStr">
        <is>
          <t>T1 Primary</t>
        </is>
      </c>
      <c r="E123" s="6" t="inlineStr">
        <is>
          <t>Subsystems</t>
        </is>
      </c>
      <c r="F123" s="82" t="inlineStr">
        <is>
          <t>SYSTEM</t>
        </is>
      </c>
      <c r="G123" s="83" t="inlineStr">
        <is>
          <t>Control</t>
        </is>
      </c>
      <c r="H123" s="59" t="inlineStr">
        <is>
          <t>—</t>
        </is>
      </c>
      <c r="I123" s="58" t="inlineStr">
        <is>
          <t>C2 — Process Design</t>
        </is>
      </c>
      <c r="J123" s="6" t="n">
        <v>66</v>
      </c>
      <c r="K123" s="6" t="inlineStr">
        <is>
          <t>4.4.8.2</t>
        </is>
      </c>
      <c r="L123" s="6" t="inlineStr">
        <is>
          <t>Warm GHe Recovery from WGR-MAC</t>
        </is>
      </c>
      <c r="M123" s="6" t="inlineStr">
        <is>
          <t>Upon acceptance, the QPLANT shall continuously monitor the acceptance criteria and shall immediately reject the returning helium if the acceptance criteria are no longer met.</t>
        </is>
      </c>
      <c r="N123" s="6" t="inlineStr">
        <is>
          <t>Upon acceptance, the QPLANT shall continuously monitor the acceptance criteria and shall immediately reject the returning helium if the acceptance criteria are no longer met.</t>
        </is>
      </c>
      <c r="O123" s="6" t="n">
        <v>2</v>
      </c>
      <c r="P123" s="6" t="n">
        <v>3</v>
      </c>
      <c r="Q123" s="6" t="n">
        <v>0</v>
      </c>
      <c r="R123" s="6" t="n">
        <v>2</v>
      </c>
      <c r="S123" s="6" t="n">
        <v>0</v>
      </c>
      <c r="T123" s="6" t="n">
        <v>0</v>
      </c>
      <c r="U123" s="6" t="n">
        <v>0</v>
      </c>
      <c r="V123" s="6" t="n">
        <v>46</v>
      </c>
      <c r="W123" s="6" t="n">
        <v>83.4258</v>
      </c>
      <c r="X123" s="6" t="n">
        <v>22.079</v>
      </c>
      <c r="Y123" s="6" t="inlineStr">
        <is>
          <t>Reliability</t>
        </is>
      </c>
      <c r="Z123" s="6" t="inlineStr">
        <is>
          <t>Frozen-weight composite; strongest contribution: Reliability.</t>
        </is>
      </c>
      <c r="AA123" s="6" t="inlineStr">
        <is>
          <t>None explicitly named in this RTM</t>
        </is>
      </c>
      <c r="AB123" s="6" t="inlineStr">
        <is>
          <t>SCK CEN/90508872 §4.4.8.2; no named external code</t>
        </is>
      </c>
      <c r="AC123" s="6" t="inlineStr">
        <is>
          <t>RAM/maintenance substantiation and recovery/failure-response evidence</t>
        </is>
      </c>
      <c r="AD123" s="6" t="inlineStr">
        <is>
          <t>No separate deliverable explicitly named</t>
        </is>
      </c>
      <c r="AE123" s="6" t="inlineStr">
        <is>
          <t>L1 Conceptual Design; L2 Detailed Design</t>
        </is>
      </c>
      <c r="AF123" s="6" t="inlineStr">
        <is>
          <t>Section/contract-derived reference; derived evidence route</t>
        </is>
      </c>
      <c r="AG123" s="58" t="inlineStr">
        <is>
          <t>OFFER-24 (Direct)</t>
        </is>
      </c>
    </row>
    <row r="124" ht="86" customHeight="1">
      <c r="A124" s="6" t="n">
        <v>119</v>
      </c>
      <c r="B124" s="6" t="inlineStr">
        <is>
          <t>RTM-409</t>
        </is>
      </c>
      <c r="C124" s="6" t="inlineStr">
        <is>
          <t>No</t>
        </is>
      </c>
      <c r="D124" s="6" t="inlineStr">
        <is>
          <t>T1 Primary</t>
        </is>
      </c>
      <c r="E124" s="6" t="inlineStr">
        <is>
          <t>Buildings &amp; Utilities</t>
        </is>
      </c>
      <c r="F124" s="82" t="inlineStr">
        <is>
          <t>SYSTEM</t>
        </is>
      </c>
      <c r="G124" s="83" t="inlineStr">
        <is>
          <t>Performance</t>
        </is>
      </c>
      <c r="H124" s="59" t="inlineStr">
        <is>
          <t>—</t>
        </is>
      </c>
      <c r="I124" s="81" t="inlineStr">
        <is>
          <t>Inferred: C5 — Infrastructure &amp; Integration (high conf.)</t>
        </is>
      </c>
      <c r="J124" s="6" t="n">
        <v>83</v>
      </c>
      <c r="K124" s="6" t="inlineStr">
        <is>
          <t>4.7.4.1</t>
        </is>
      </c>
      <c r="L124" s="6" t="inlineStr">
        <is>
          <t>General cooling water interfaces</t>
        </is>
      </c>
      <c r="M124" s="6" t="inlineStr">
        <is>
          <t>The Contractor shall differentiate between two types of cooling water, both using softened water with biocides and inhibitors</t>
        </is>
      </c>
      <c r="N124" s="6" t="inlineStr">
        <is>
          <t>The Contractor shall differentiate between two types of cooling water, both using softened water with biocides and inhibitors
• RCW, recovery cooling water for the heat recovery of compressors
• PCW, process cooling water for cooling of all other components with the following properties:
• A 40 wt.% propylene glycol–water mixture.</t>
        </is>
      </c>
      <c r="O124" s="6" t="n">
        <v>0</v>
      </c>
      <c r="P124" s="6" t="n">
        <v>3</v>
      </c>
      <c r="Q124" s="6" t="n">
        <v>2</v>
      </c>
      <c r="R124" s="6" t="n">
        <v>2</v>
      </c>
      <c r="S124" s="6" t="n">
        <v>0</v>
      </c>
      <c r="T124" s="6" t="n">
        <v>0</v>
      </c>
      <c r="U124" s="6" t="n">
        <v>0</v>
      </c>
      <c r="V124" s="6" t="n">
        <v>46</v>
      </c>
      <c r="W124" s="6" t="n">
        <v>83.4258</v>
      </c>
      <c r="X124" s="6" t="n">
        <v>22.079</v>
      </c>
      <c r="Y124" s="6" t="inlineStr">
        <is>
          <t>Reliability</t>
        </is>
      </c>
      <c r="Z124" s="6" t="inlineStr">
        <is>
          <t>Frozen-weight composite; strongest contribution: Reliability.</t>
        </is>
      </c>
      <c r="AA124" s="6" t="inlineStr">
        <is>
          <t>None explicitly named in this RTM</t>
        </is>
      </c>
      <c r="AB124" s="6" t="inlineStr">
        <is>
          <t>Section-level: ISO 10628</t>
        </is>
      </c>
      <c r="AC124" s="6" t="inlineStr">
        <is>
          <t>Calculation/model plus calibrated measurement or recorded trend; RAM/maintenance substantiation and recovery/failure-response evidence</t>
        </is>
      </c>
      <c r="AD124" s="6" t="inlineStr">
        <is>
          <t>No separate deliverable explicitly named</t>
        </is>
      </c>
      <c r="AE124" s="6" t="inlineStr">
        <is>
          <t>L1 Conceptual Design; L2 Detailed Design</t>
        </is>
      </c>
      <c r="AF124" s="6" t="inlineStr">
        <is>
          <t>Section/contract-derived reference; derived evidence route</t>
        </is>
      </c>
      <c r="AG124" s="58" t="inlineStr">
        <is>
          <t>Not linked to an OFFER item</t>
        </is>
      </c>
    </row>
    <row r="125" ht="86" customHeight="1">
      <c r="A125" s="6" t="n">
        <v>120</v>
      </c>
      <c r="B125" s="6" t="inlineStr">
        <is>
          <t>RTM-414</t>
        </is>
      </c>
      <c r="C125" s="6" t="inlineStr">
        <is>
          <t>No</t>
        </is>
      </c>
      <c r="D125" s="6" t="inlineStr">
        <is>
          <t>T1 Primary</t>
        </is>
      </c>
      <c r="E125" s="6" t="inlineStr">
        <is>
          <t>Buildings &amp; Utilities</t>
        </is>
      </c>
      <c r="F125" s="82" t="inlineStr">
        <is>
          <t>SYSTEM</t>
        </is>
      </c>
      <c r="G125" s="83" t="inlineStr">
        <is>
          <t>Control</t>
        </is>
      </c>
      <c r="H125" s="59" t="inlineStr">
        <is>
          <t>—</t>
        </is>
      </c>
      <c r="I125" s="81" t="inlineStr">
        <is>
          <t>Inferred: C5 — Infrastructure &amp; Integration (high conf.)</t>
        </is>
      </c>
      <c r="J125" s="6" t="n">
        <v>83</v>
      </c>
      <c r="K125" s="6" t="inlineStr">
        <is>
          <t>4.7.4.3</t>
        </is>
      </c>
      <c r="L125" s="6" t="inlineStr">
        <is>
          <t>Water Heat exchangers</t>
        </is>
      </c>
      <c r="M125" s="6" t="inlineStr">
        <is>
          <t>For the water cooling of the oil of the HP compressors, the QPS shall interface with the water-cooling system provided by SCK CEN trough two types of heat exchangers:</t>
        </is>
      </c>
      <c r="N125" s="6" t="inlineStr">
        <is>
          <t>For the water cooling of the oil of the HP compressors, the QPS shall interface with the water-cooling system provided by SCK CEN trough two types of heat exchangers:
• Process Heat Exchanger, for the main removal of the compressor oil heat
• Heat-Recovery Heat Exchanger, for the recovery and utilization of compressor waste heat</t>
        </is>
      </c>
      <c r="O125" s="6" t="n">
        <v>0</v>
      </c>
      <c r="P125" s="6" t="n">
        <v>3</v>
      </c>
      <c r="Q125" s="6" t="n">
        <v>2</v>
      </c>
      <c r="R125" s="6" t="n">
        <v>2</v>
      </c>
      <c r="S125" s="6" t="n">
        <v>0</v>
      </c>
      <c r="T125" s="6" t="n">
        <v>0</v>
      </c>
      <c r="U125" s="6" t="n">
        <v>0</v>
      </c>
      <c r="V125" s="6" t="n">
        <v>46</v>
      </c>
      <c r="W125" s="6" t="n">
        <v>83.4258</v>
      </c>
      <c r="X125" s="6" t="n">
        <v>22.079</v>
      </c>
      <c r="Y125" s="6" t="inlineStr">
        <is>
          <t>Reliability</t>
        </is>
      </c>
      <c r="Z125" s="6" t="inlineStr">
        <is>
          <t>Frozen-weight composite; strongest contribution: Reliability.</t>
        </is>
      </c>
      <c r="AA125" s="6" t="inlineStr">
        <is>
          <t>None explicitly named in this RTM</t>
        </is>
      </c>
      <c r="AB125" s="6" t="inlineStr">
        <is>
          <t>SCK CEN/90508872 §4.7.4.3; no named external code</t>
        </is>
      </c>
      <c r="AC125" s="6" t="inlineStr">
        <is>
          <t>Calculation/model plus calibrated measurement or recorded trend; Functional design/configuration review and sequence/interface demonstration; RAM/maintenance substantiation and recovery/failure-response evidence</t>
        </is>
      </c>
      <c r="AD125" s="6" t="inlineStr">
        <is>
          <t>No separate deliverable explicitly named</t>
        </is>
      </c>
      <c r="AE125" s="6" t="inlineStr">
        <is>
          <t>L1 Conceptual Design; L2 Detailed Design</t>
        </is>
      </c>
      <c r="AF125" s="6" t="inlineStr">
        <is>
          <t>Section/contract-derived reference; derived evidence route</t>
        </is>
      </c>
      <c r="AG125" s="58" t="inlineStr">
        <is>
          <t>Not linked to an OFFER item</t>
        </is>
      </c>
    </row>
    <row r="126" ht="60" customHeight="1">
      <c r="A126" s="6" t="n">
        <v>121</v>
      </c>
      <c r="B126" s="6" t="inlineStr">
        <is>
          <t>RTM-421</t>
        </is>
      </c>
      <c r="C126" s="6" t="inlineStr">
        <is>
          <t>No</t>
        </is>
      </c>
      <c r="D126" s="6" t="inlineStr">
        <is>
          <t>T1 Primary</t>
        </is>
      </c>
      <c r="E126" s="6" t="inlineStr">
        <is>
          <t>Buildings &amp; Utilities</t>
        </is>
      </c>
      <c r="F126" s="82" t="inlineStr">
        <is>
          <t>SYSTEM</t>
        </is>
      </c>
      <c r="G126" s="83" t="inlineStr">
        <is>
          <t>Performance</t>
        </is>
      </c>
      <c r="H126" s="59" t="inlineStr">
        <is>
          <t>—</t>
        </is>
      </c>
      <c r="I126" s="81" t="inlineStr">
        <is>
          <t>Inferred: C5 — Infrastructure &amp; Integration (high conf.)</t>
        </is>
      </c>
      <c r="J126" s="6" t="n">
        <v>84</v>
      </c>
      <c r="K126" s="6" t="inlineStr">
        <is>
          <t>4.7.4.3.1</t>
        </is>
      </c>
      <c r="L126" s="6" t="inlineStr">
        <is>
          <t>Heat-Recovery Heat Exchanger</t>
        </is>
      </c>
      <c r="M126" s="6" t="inlineStr">
        <is>
          <t>The water flow through the Heat-Recovery Heat Exchanger shall be regulated by SCK CEN.</t>
        </is>
      </c>
      <c r="N126" s="6" t="inlineStr">
        <is>
          <t>The water flow through the Heat-Recovery Heat Exchanger shall be regulated by SCK CEN.
• The water flow regulation shall be within the range 0- 490 L/min, depending on the demand of building heating system.</t>
        </is>
      </c>
      <c r="O126" s="6" t="n">
        <v>0</v>
      </c>
      <c r="P126" s="6" t="n">
        <v>3</v>
      </c>
      <c r="Q126" s="6" t="n">
        <v>2</v>
      </c>
      <c r="R126" s="6" t="n">
        <v>2</v>
      </c>
      <c r="S126" s="6" t="n">
        <v>0</v>
      </c>
      <c r="T126" s="6" t="n">
        <v>0</v>
      </c>
      <c r="U126" s="6" t="n">
        <v>0</v>
      </c>
      <c r="V126" s="6" t="n">
        <v>46</v>
      </c>
      <c r="W126" s="6" t="n">
        <v>83.4258</v>
      </c>
      <c r="X126" s="6" t="n">
        <v>22.079</v>
      </c>
      <c r="Y126" s="6" t="inlineStr">
        <is>
          <t>Reliability</t>
        </is>
      </c>
      <c r="Z126" s="6" t="inlineStr">
        <is>
          <t>Frozen-weight composite; strongest contribution: Reliability.</t>
        </is>
      </c>
      <c r="AA126" s="6" t="inlineStr">
        <is>
          <t>None explicitly named in this RTM</t>
        </is>
      </c>
      <c r="AB126" s="6" t="inlineStr">
        <is>
          <t>SCK CEN/90508872 §4.7.4.3.1; no named external code</t>
        </is>
      </c>
      <c r="AC126" s="6" t="inlineStr">
        <is>
          <t>Calculation/model plus calibrated measurement or recorded trend; RAM/maintenance substantiation and recovery/failure-response evidence</t>
        </is>
      </c>
      <c r="AD126" s="6" t="inlineStr">
        <is>
          <t>No separate deliverable explicitly named</t>
        </is>
      </c>
      <c r="AE126" s="6" t="inlineStr">
        <is>
          <t>L1 Conceptual Design; L2 Detailed Design</t>
        </is>
      </c>
      <c r="AF126" s="6" t="inlineStr">
        <is>
          <t>Section/contract-derived reference; derived evidence route</t>
        </is>
      </c>
      <c r="AG126" s="58" t="inlineStr">
        <is>
          <t>Not linked to an OFFER item</t>
        </is>
      </c>
    </row>
    <row r="127" ht="86" customHeight="1">
      <c r="A127" s="6" t="n">
        <v>122</v>
      </c>
      <c r="B127" s="6" t="inlineStr">
        <is>
          <t>RTM-422</t>
        </is>
      </c>
      <c r="C127" s="6" t="inlineStr">
        <is>
          <t>No</t>
        </is>
      </c>
      <c r="D127" s="6" t="inlineStr">
        <is>
          <t>T1 Primary</t>
        </is>
      </c>
      <c r="E127" s="6" t="inlineStr">
        <is>
          <t>Buildings &amp; Utilities</t>
        </is>
      </c>
      <c r="F127" s="82" t="inlineStr">
        <is>
          <t>SYSTEM</t>
        </is>
      </c>
      <c r="G127" s="83" t="inlineStr">
        <is>
          <t>Performance</t>
        </is>
      </c>
      <c r="H127" s="59" t="inlineStr">
        <is>
          <t>—</t>
        </is>
      </c>
      <c r="I127" s="81" t="inlineStr">
        <is>
          <t>Inferred: C5 — Infrastructure &amp; Integration (high conf.)</t>
        </is>
      </c>
      <c r="J127" s="6" t="n">
        <v>84</v>
      </c>
      <c r="K127" s="6" t="inlineStr">
        <is>
          <t>4.7.4.3.1</t>
        </is>
      </c>
      <c r="L127" s="6" t="inlineStr">
        <is>
          <t>Heat-Recovery Heat Exchanger</t>
        </is>
      </c>
      <c r="M127" s="6" t="inlineStr">
        <is>
          <t>The Contractor shall provide the capability to bypass the Heat-Recovery Heat Exchanger.</t>
        </is>
      </c>
      <c r="N127" s="6" t="inlineStr">
        <is>
          <t>The Contractor shall provide the capability to bypass the Heat-Recovery Heat Exchanger.
• The bypass function shall allow operation of the QPS without heat recovery during short and long periods (e.g. during summer periods with no heat-recovery demand).
• The bypass function shall be remotely operable through the QPS:CIS</t>
        </is>
      </c>
      <c r="O127" s="6" t="n">
        <v>0</v>
      </c>
      <c r="P127" s="6" t="n">
        <v>3</v>
      </c>
      <c r="Q127" s="6" t="n">
        <v>2</v>
      </c>
      <c r="R127" s="6" t="n">
        <v>2</v>
      </c>
      <c r="S127" s="6" t="n">
        <v>0</v>
      </c>
      <c r="T127" s="6" t="n">
        <v>0</v>
      </c>
      <c r="U127" s="6" t="n">
        <v>0</v>
      </c>
      <c r="V127" s="6" t="n">
        <v>46</v>
      </c>
      <c r="W127" s="6" t="n">
        <v>83.4258</v>
      </c>
      <c r="X127" s="6" t="n">
        <v>22.079</v>
      </c>
      <c r="Y127" s="6" t="inlineStr">
        <is>
          <t>Reliability</t>
        </is>
      </c>
      <c r="Z127" s="6" t="inlineStr">
        <is>
          <t>Frozen-weight composite; strongest contribution: Reliability.</t>
        </is>
      </c>
      <c r="AA127" s="6" t="inlineStr">
        <is>
          <t>None explicitly named in this RTM</t>
        </is>
      </c>
      <c r="AB127" s="6" t="inlineStr">
        <is>
          <t>SCK CEN/90508872 §4.7.4.3.1; no named external code</t>
        </is>
      </c>
      <c r="AC127" s="6" t="inlineStr">
        <is>
          <t>Calculation/model plus calibrated measurement or recorded trend; RAM/maintenance substantiation and recovery/failure-response evidence</t>
        </is>
      </c>
      <c r="AD127" s="6" t="inlineStr">
        <is>
          <t>No separate deliverable explicitly named</t>
        </is>
      </c>
      <c r="AE127" s="6" t="inlineStr">
        <is>
          <t>L1 Conceptual Design; L2 Detailed Design</t>
        </is>
      </c>
      <c r="AF127" s="6" t="inlineStr">
        <is>
          <t>Section/contract-derived reference; derived evidence route</t>
        </is>
      </c>
      <c r="AG127" s="58" t="inlineStr">
        <is>
          <t>Not linked to an OFFER item</t>
        </is>
      </c>
    </row>
    <row r="128" ht="73" customHeight="1">
      <c r="A128" s="6" t="n">
        <v>123</v>
      </c>
      <c r="B128" s="6" t="inlineStr">
        <is>
          <t>RTM-423</t>
        </is>
      </c>
      <c r="C128" s="6" t="inlineStr">
        <is>
          <t>No</t>
        </is>
      </c>
      <c r="D128" s="6" t="inlineStr">
        <is>
          <t>T1 Primary</t>
        </is>
      </c>
      <c r="E128" s="6" t="inlineStr">
        <is>
          <t>Buildings &amp; Utilities</t>
        </is>
      </c>
      <c r="F128" s="82" t="inlineStr">
        <is>
          <t>SYSTEM</t>
        </is>
      </c>
      <c r="G128" s="83" t="inlineStr">
        <is>
          <t>Performance</t>
        </is>
      </c>
      <c r="H128" s="59" t="inlineStr">
        <is>
          <t>—</t>
        </is>
      </c>
      <c r="I128" s="81" t="inlineStr">
        <is>
          <t>Inferred: C5 — Infrastructure &amp; Integration (high conf.)</t>
        </is>
      </c>
      <c r="J128" s="6" t="n">
        <v>84</v>
      </c>
      <c r="K128" s="6" t="inlineStr">
        <is>
          <t>4.7.4.3.1</t>
        </is>
      </c>
      <c r="L128" s="6" t="inlineStr">
        <is>
          <t>Heat-Recovery Heat Exchanger</t>
        </is>
      </c>
      <c r="M128" s="6" t="inlineStr">
        <is>
          <t>The QPS operation shall not be adversely affected by the operation of the Heat-Recovery Heat Exchanger.</t>
        </is>
      </c>
      <c r="N128" s="6" t="inlineStr">
        <is>
          <t>The QPS operation shall not be adversely affected by the operation of the Heat-Recovery Heat Exchanger.
• The Contractor shall assume that water cooling conditions and availability are independent between the Heat-Recovery Heat Exchanger and the Process Heat Exchanger.</t>
        </is>
      </c>
      <c r="O128" s="6" t="n">
        <v>0</v>
      </c>
      <c r="P128" s="6" t="n">
        <v>3</v>
      </c>
      <c r="Q128" s="6" t="n">
        <v>2</v>
      </c>
      <c r="R128" s="6" t="n">
        <v>2</v>
      </c>
      <c r="S128" s="6" t="n">
        <v>0</v>
      </c>
      <c r="T128" s="6" t="n">
        <v>0</v>
      </c>
      <c r="U128" s="6" t="n">
        <v>0</v>
      </c>
      <c r="V128" s="6" t="n">
        <v>46</v>
      </c>
      <c r="W128" s="6" t="n">
        <v>83.4258</v>
      </c>
      <c r="X128" s="6" t="n">
        <v>22.079</v>
      </c>
      <c r="Y128" s="6" t="inlineStr">
        <is>
          <t>Reliability</t>
        </is>
      </c>
      <c r="Z128" s="6" t="inlineStr">
        <is>
          <t>Frozen-weight composite; strongest contribution: Reliability.</t>
        </is>
      </c>
      <c r="AA128" s="6" t="inlineStr">
        <is>
          <t>None explicitly named in this RTM</t>
        </is>
      </c>
      <c r="AB128" s="6" t="inlineStr">
        <is>
          <t>SCK CEN/90508872 §4.7.4.3.1; no named external code</t>
        </is>
      </c>
      <c r="AC128" s="6" t="inlineStr">
        <is>
          <t>Calculation/model plus calibrated measurement or recorded trend; RAM/maintenance substantiation and recovery/failure-response evidence</t>
        </is>
      </c>
      <c r="AD128" s="6" t="inlineStr">
        <is>
          <t>No separate deliverable explicitly named</t>
        </is>
      </c>
      <c r="AE128" s="6" t="inlineStr">
        <is>
          <t>L1 Conceptual Design; L2 Detailed Design</t>
        </is>
      </c>
      <c r="AF128" s="6" t="inlineStr">
        <is>
          <t>Section/contract-derived reference; derived evidence route</t>
        </is>
      </c>
      <c r="AG128" s="58" t="inlineStr">
        <is>
          <t>Not linked to an OFFER item</t>
        </is>
      </c>
    </row>
    <row r="129" ht="73" customHeight="1">
      <c r="A129" s="6" t="n">
        <v>124</v>
      </c>
      <c r="B129" s="6" t="inlineStr">
        <is>
          <t>RTM-425</t>
        </is>
      </c>
      <c r="C129" s="6" t="inlineStr">
        <is>
          <t>No</t>
        </is>
      </c>
      <c r="D129" s="6" t="inlineStr">
        <is>
          <t>T1 Primary</t>
        </is>
      </c>
      <c r="E129" s="6" t="inlineStr">
        <is>
          <t>Buildings &amp; Utilities</t>
        </is>
      </c>
      <c r="F129" s="82" t="inlineStr">
        <is>
          <t>SYSTEM</t>
        </is>
      </c>
      <c r="G129" s="83" t="inlineStr">
        <is>
          <t>Performance</t>
        </is>
      </c>
      <c r="H129" s="59" t="inlineStr">
        <is>
          <t>—</t>
        </is>
      </c>
      <c r="I129" s="81" t="inlineStr">
        <is>
          <t>Inferred: C5 — Infrastructure &amp; Integration (high conf.)</t>
        </is>
      </c>
      <c r="J129" s="6" t="n">
        <v>84</v>
      </c>
      <c r="K129" s="6" t="inlineStr">
        <is>
          <t>4.7.4.3.1</t>
        </is>
      </c>
      <c r="L129" s="6" t="inlineStr">
        <is>
          <t>Heat-Recovery Heat Exchanger</t>
        </is>
      </c>
      <c r="M129" s="6" t="inlineStr">
        <is>
          <t>The return water shall meet the following conditions:</t>
        </is>
      </c>
      <c r="N129" s="6" t="inlineStr">
        <is>
          <t>The return water shall meet the following conditions:
• Nominal return temperature: 55 °C
• Operation range:
• Minimum: 53 °C
• Maximum: 60 °C</t>
        </is>
      </c>
      <c r="O129" s="6" t="n">
        <v>0</v>
      </c>
      <c r="P129" s="6" t="n">
        <v>3</v>
      </c>
      <c r="Q129" s="6" t="n">
        <v>2</v>
      </c>
      <c r="R129" s="6" t="n">
        <v>2</v>
      </c>
      <c r="S129" s="6" t="n">
        <v>0</v>
      </c>
      <c r="T129" s="6" t="n">
        <v>0</v>
      </c>
      <c r="U129" s="6" t="n">
        <v>0</v>
      </c>
      <c r="V129" s="6" t="n">
        <v>46</v>
      </c>
      <c r="W129" s="6" t="n">
        <v>83.4258</v>
      </c>
      <c r="X129" s="6" t="n">
        <v>22.079</v>
      </c>
      <c r="Y129" s="6" t="inlineStr">
        <is>
          <t>Reliability</t>
        </is>
      </c>
      <c r="Z129" s="6" t="inlineStr">
        <is>
          <t>Frozen-weight composite; strongest contribution: Reliability.</t>
        </is>
      </c>
      <c r="AA129" s="6" t="inlineStr">
        <is>
          <t>None explicitly named in this RTM</t>
        </is>
      </c>
      <c r="AB129" s="6" t="inlineStr">
        <is>
          <t>SCK CEN/90508872 §4.7.4.3.1; no named external code</t>
        </is>
      </c>
      <c r="AC129" s="6" t="inlineStr">
        <is>
          <t>Calculation/model plus calibrated measurement or recorded trend; RAM/maintenance substantiation and recovery/failure-response evidence</t>
        </is>
      </c>
      <c r="AD129" s="6" t="inlineStr">
        <is>
          <t>No separate deliverable explicitly named</t>
        </is>
      </c>
      <c r="AE129" s="6" t="inlineStr">
        <is>
          <t>L1 Conceptual Design; L2 Detailed Design</t>
        </is>
      </c>
      <c r="AF129" s="6" t="inlineStr">
        <is>
          <t>Section/contract-derived reference; derived evidence route</t>
        </is>
      </c>
      <c r="AG129" s="58" t="inlineStr">
        <is>
          <t>Not linked to an OFFER item</t>
        </is>
      </c>
    </row>
    <row r="130" ht="60" customHeight="1">
      <c r="A130" s="6" t="n">
        <v>125</v>
      </c>
      <c r="B130" s="6" t="inlineStr">
        <is>
          <t>RTM-426</t>
        </is>
      </c>
      <c r="C130" s="6" t="inlineStr">
        <is>
          <t>No</t>
        </is>
      </c>
      <c r="D130" s="6" t="inlineStr">
        <is>
          <t>T1 Primary</t>
        </is>
      </c>
      <c r="E130" s="6" t="inlineStr">
        <is>
          <t>Buildings &amp; Utilities</t>
        </is>
      </c>
      <c r="F130" s="82" t="inlineStr">
        <is>
          <t>SYSTEM</t>
        </is>
      </c>
      <c r="G130" s="83" t="inlineStr">
        <is>
          <t>Performance</t>
        </is>
      </c>
      <c r="H130" s="59" t="inlineStr">
        <is>
          <t>—</t>
        </is>
      </c>
      <c r="I130" s="58" t="inlineStr">
        <is>
          <t>C5 — Infrastructure &amp; Integration</t>
        </is>
      </c>
      <c r="J130" s="6" t="n">
        <v>85</v>
      </c>
      <c r="K130" s="6" t="inlineStr">
        <is>
          <t>4.7.4.3.2</t>
        </is>
      </c>
      <c r="L130" s="6" t="inlineStr">
        <is>
          <t>Process Heat Exchanger</t>
        </is>
      </c>
      <c r="M130" s="6" t="inlineStr">
        <is>
          <t>The Process Heat Exchanger shall be sized to:</t>
        </is>
      </c>
      <c r="N130" s="6" t="inlineStr">
        <is>
          <t>The Process Heat Exchanger shall be sized to:
• Remove the entire thermal load of the compressor oil
• Remove the residual thermal load following partial precooling by the Heat-Recovery Heat Exchanger located upstream.</t>
        </is>
      </c>
      <c r="O130" s="6" t="n">
        <v>0</v>
      </c>
      <c r="P130" s="6" t="n">
        <v>3</v>
      </c>
      <c r="Q130" s="6" t="n">
        <v>2</v>
      </c>
      <c r="R130" s="6" t="n">
        <v>2</v>
      </c>
      <c r="S130" s="6" t="n">
        <v>0</v>
      </c>
      <c r="T130" s="6" t="n">
        <v>0</v>
      </c>
      <c r="U130" s="6" t="n">
        <v>0</v>
      </c>
      <c r="V130" s="6" t="n">
        <v>46</v>
      </c>
      <c r="W130" s="6" t="n">
        <v>83.4258</v>
      </c>
      <c r="X130" s="6" t="n">
        <v>22.079</v>
      </c>
      <c r="Y130" s="6" t="inlineStr">
        <is>
          <t>Reliability</t>
        </is>
      </c>
      <c r="Z130" s="6" t="inlineStr">
        <is>
          <t>Frozen-weight composite; strongest contribution: Reliability.</t>
        </is>
      </c>
      <c r="AA130" s="6" t="inlineStr">
        <is>
          <t>None explicitly named in this RTM</t>
        </is>
      </c>
      <c r="AB130" s="6" t="inlineStr">
        <is>
          <t>SCK CEN/90508872 §4.7.4.3.2; no named external code</t>
        </is>
      </c>
      <c r="AC130" s="6" t="inlineStr">
        <is>
          <t>Calculation/model plus calibrated measurement or recorded trend; RAM/maintenance substantiation and recovery/failure-response evidence</t>
        </is>
      </c>
      <c r="AD130" s="6" t="inlineStr">
        <is>
          <t>No separate deliverable explicitly named</t>
        </is>
      </c>
      <c r="AE130" s="6" t="inlineStr">
        <is>
          <t>L1 Conceptual Design; L2 Detailed Design</t>
        </is>
      </c>
      <c r="AF130" s="6" t="inlineStr">
        <is>
          <t>Section/contract-derived reference; derived evidence route</t>
        </is>
      </c>
      <c r="AG130" s="58" t="inlineStr">
        <is>
          <t>OFFER-34 (Direct)</t>
        </is>
      </c>
    </row>
    <row r="131" ht="60" customHeight="1">
      <c r="A131" s="6" t="n">
        <v>126</v>
      </c>
      <c r="B131" s="6" t="inlineStr">
        <is>
          <t>RTM-427</t>
        </is>
      </c>
      <c r="C131" s="6" t="inlineStr">
        <is>
          <t>No</t>
        </is>
      </c>
      <c r="D131" s="6" t="inlineStr">
        <is>
          <t>T1 Primary</t>
        </is>
      </c>
      <c r="E131" s="6" t="inlineStr">
        <is>
          <t>Buildings &amp; Utilities</t>
        </is>
      </c>
      <c r="F131" s="82" t="inlineStr">
        <is>
          <t>SYSTEM</t>
        </is>
      </c>
      <c r="G131" s="83" t="inlineStr">
        <is>
          <t>Performance</t>
        </is>
      </c>
      <c r="H131" s="59" t="inlineStr">
        <is>
          <t>—</t>
        </is>
      </c>
      <c r="I131" s="58" t="inlineStr">
        <is>
          <t>C5 — Infrastructure &amp; Integration</t>
        </is>
      </c>
      <c r="J131" s="6" t="n">
        <v>85</v>
      </c>
      <c r="K131" s="6" t="inlineStr">
        <is>
          <t>4.7.4.3.2</t>
        </is>
      </c>
      <c r="L131" s="6" t="inlineStr">
        <is>
          <t>Process Heat Exchanger</t>
        </is>
      </c>
      <c r="M131" s="6" t="inlineStr">
        <is>
          <t>The Process Heat Exchanger shall allow a flow rate of the cooling water of up to 1800 L/min.</t>
        </is>
      </c>
      <c r="N131" s="6" t="inlineStr">
        <is>
          <t>The Process Heat Exchanger shall allow a flow rate of the cooling water of up to 1800 L/min.
• SCK CEN shall reduce the flow rate during partial load operations or during periods with heat recovery.</t>
        </is>
      </c>
      <c r="O131" s="6" t="n">
        <v>0</v>
      </c>
      <c r="P131" s="6" t="n">
        <v>3</v>
      </c>
      <c r="Q131" s="6" t="n">
        <v>2</v>
      </c>
      <c r="R131" s="6" t="n">
        <v>2</v>
      </c>
      <c r="S131" s="6" t="n">
        <v>0</v>
      </c>
      <c r="T131" s="6" t="n">
        <v>0</v>
      </c>
      <c r="U131" s="6" t="n">
        <v>0</v>
      </c>
      <c r="V131" s="6" t="n">
        <v>46</v>
      </c>
      <c r="W131" s="6" t="n">
        <v>83.4258</v>
      </c>
      <c r="X131" s="6" t="n">
        <v>22.079</v>
      </c>
      <c r="Y131" s="6" t="inlineStr">
        <is>
          <t>Reliability</t>
        </is>
      </c>
      <c r="Z131" s="6" t="inlineStr">
        <is>
          <t>Frozen-weight composite; strongest contribution: Reliability.</t>
        </is>
      </c>
      <c r="AA131" s="6" t="inlineStr">
        <is>
          <t>None explicitly named in this RTM</t>
        </is>
      </c>
      <c r="AB131" s="6" t="inlineStr">
        <is>
          <t>SCK CEN/90508872 §4.7.4.3.2; no named external code</t>
        </is>
      </c>
      <c r="AC131" s="6" t="inlineStr">
        <is>
          <t>Calculation/model plus calibrated measurement or recorded trend; RAM/maintenance substantiation and recovery/failure-response evidence</t>
        </is>
      </c>
      <c r="AD131" s="6" t="inlineStr">
        <is>
          <t>No separate deliverable explicitly named</t>
        </is>
      </c>
      <c r="AE131" s="6" t="inlineStr">
        <is>
          <t>L1 Conceptual Design; L2 Detailed Design</t>
        </is>
      </c>
      <c r="AF131" s="6" t="inlineStr">
        <is>
          <t>Section/contract-derived reference; derived evidence route</t>
        </is>
      </c>
      <c r="AG131" s="58" t="inlineStr">
        <is>
          <t>OFFER-34 (Direct)</t>
        </is>
      </c>
    </row>
    <row r="132" ht="86" customHeight="1">
      <c r="A132" s="6" t="n">
        <v>127</v>
      </c>
      <c r="B132" s="6" t="inlineStr">
        <is>
          <t>RTM-685</t>
        </is>
      </c>
      <c r="C132" s="6" t="inlineStr">
        <is>
          <t>No</t>
        </is>
      </c>
      <c r="D132" s="6" t="inlineStr">
        <is>
          <t>T1 Primary</t>
        </is>
      </c>
      <c r="E132" s="6" t="inlineStr">
        <is>
          <t>Quality Assurance &amp; Control</t>
        </is>
      </c>
      <c r="F132" s="82" t="inlineStr">
        <is>
          <t>PROJECT</t>
        </is>
      </c>
      <c r="G132" s="83" t="inlineStr">
        <is>
          <t>Quality Assurance</t>
        </is>
      </c>
      <c r="H132" s="59" t="inlineStr">
        <is>
          <t>—</t>
        </is>
      </c>
      <c r="I132" s="81" t="inlineStr">
        <is>
          <t>Inferred: C7 — Quality, Testing &amp; Risk (high conf.)</t>
        </is>
      </c>
      <c r="J132" s="6" t="n">
        <v>126</v>
      </c>
      <c r="K132" s="6" t="inlineStr">
        <is>
          <t>8.2.1</t>
        </is>
      </c>
      <c r="L132" s="6" t="inlineStr">
        <is>
          <t>General requirements</t>
        </is>
      </c>
      <c r="M132" s="6" t="inlineStr">
        <is>
          <t>All measurement and testing instrumentation used during the performance of the Contract shall have the appropriate certification and shall be regularly calibrated to ensure appropriate accuracy and precision. SCK CEN reserves the right to request a measurement system analysis and/or proof of calibration.</t>
        </is>
      </c>
      <c r="N132" s="6" t="inlineStr">
        <is>
          <t>All measurement and testing instrumentation used during the performance of the Contract shall have the appropriate certification and shall be regularly calibrated to ensure appropriate accuracy and precision. SCK CEN reserves the right to request a measurement system analysis and/or proof of calibration.</t>
        </is>
      </c>
      <c r="O132" s="6" t="n">
        <v>2</v>
      </c>
      <c r="P132" s="6" t="n">
        <v>1</v>
      </c>
      <c r="Q132" s="6" t="n">
        <v>2</v>
      </c>
      <c r="R132" s="6" t="n">
        <v>0</v>
      </c>
      <c r="S132" s="6" t="n">
        <v>3</v>
      </c>
      <c r="T132" s="6" t="n">
        <v>0</v>
      </c>
      <c r="U132" s="6" t="n">
        <v>0</v>
      </c>
      <c r="V132" s="6" t="n">
        <v>46</v>
      </c>
      <c r="W132" s="6" t="n">
        <v>83.4258</v>
      </c>
      <c r="X132" s="6" t="n">
        <v>22.079</v>
      </c>
      <c r="Y132" s="6" t="inlineStr">
        <is>
          <t>Safety / Legal / Performance</t>
        </is>
      </c>
      <c r="Z132" s="6" t="inlineStr">
        <is>
          <t>Frozen-weight composite; strongest contribution: Safety / Legal / Performance.</t>
        </is>
      </c>
      <c r="AA132" s="6" t="inlineStr">
        <is>
          <t>None explicitly named in this RTM</t>
        </is>
      </c>
      <c r="AB132" s="6" t="inlineStr">
        <is>
          <t>SCK CEN/90508872 §8.2.1; no named external code</t>
        </is>
      </c>
      <c r="AC132" s="6" t="inlineStr">
        <is>
          <t>Submit and review the named deliverable with RTM traceability and approval status; Witnessed FAT/SAT/commissioning test against stated acceptance criteria; Calculation/model plus calibrated measurement or recorded trend</t>
        </is>
      </c>
      <c r="AD132" s="6" t="inlineStr">
        <is>
          <t>Certificate / calibration evidence</t>
        </is>
      </c>
      <c r="AE132" s="6" t="inlineStr">
        <is>
          <t>L0 Tender / Offer; L1 Conceptual Design; L2 Detailed Design; L3 Procurement &amp; Manufacturing / FAT; L4 Installation; L5 Standalone Commissioning; L6 Site Acceptance Testing</t>
        </is>
      </c>
      <c r="AF132" s="6" t="inlineStr">
        <is>
          <t>Section/contract-derived reference; explicit deliverable/test wording</t>
        </is>
      </c>
      <c r="AG132" s="58" t="inlineStr">
        <is>
          <t>Not linked to an OFFER item</t>
        </is>
      </c>
    </row>
    <row r="133" ht="125" customHeight="1">
      <c r="A133" s="6" t="n">
        <v>128</v>
      </c>
      <c r="B133" s="6" t="inlineStr">
        <is>
          <t>RTM-208</t>
        </is>
      </c>
      <c r="C133" s="6" t="inlineStr">
        <is>
          <t>No</t>
        </is>
      </c>
      <c r="D133" s="6" t="inlineStr">
        <is>
          <t>T1 Primary</t>
        </is>
      </c>
      <c r="E133" s="6" t="inlineStr">
        <is>
          <t>Subsystems</t>
        </is>
      </c>
      <c r="F133" s="82" t="inlineStr">
        <is>
          <t>SYSTEM</t>
        </is>
      </c>
      <c r="G133" s="83" t="inlineStr">
        <is>
          <t>Performance</t>
        </is>
      </c>
      <c r="H133" s="59" t="inlineStr">
        <is>
          <t>—</t>
        </is>
      </c>
      <c r="I133" s="58" t="inlineStr">
        <is>
          <t>C2 — Process Design</t>
        </is>
      </c>
      <c r="J133" s="6" t="n">
        <v>56</v>
      </c>
      <c r="K133" s="6" t="inlineStr">
        <is>
          <t>4.4.4.2.2</t>
        </is>
      </c>
      <c r="L133" s="6" t="inlineStr">
        <is>
          <t>Main Process Heat Exchangers (MPHX)</t>
        </is>
      </c>
      <c r="M133" s="6" t="inlineStr">
        <is>
          <t>If LN2 Precooling is implemented (§4.2.5), the design shall include a dedicated MPHX between the nitrogen circuit and the HP helium stream, including at minimum:</t>
        </is>
      </c>
      <c r="N133" s="6" t="inlineStr">
        <is>
          <t>If LN2 Precooling is implemented (§4.2.5), the design shall include a dedicated MPHX between the nitrogen circuit and the HP helium stream, including at minimum:
• All necessary outfit for integration with the LN₂ system, including matching male connection parts and suitable interfaces for safe operation and maintenance.
• Design provisions that prevent nitrogen solidification under all operational and transient conditions, including scenarios involving unintended high mass flow of cold helium in the low-pressure return stream.</t>
        </is>
      </c>
      <c r="O133" s="6" t="n">
        <v>0</v>
      </c>
      <c r="P133" s="6" t="n">
        <v>2</v>
      </c>
      <c r="Q133" s="6" t="n">
        <v>3</v>
      </c>
      <c r="R133" s="6" t="n">
        <v>2</v>
      </c>
      <c r="S133" s="6" t="n">
        <v>0</v>
      </c>
      <c r="T133" s="6" t="n">
        <v>0</v>
      </c>
      <c r="U133" s="6" t="n">
        <v>0</v>
      </c>
      <c r="V133" s="6" t="n">
        <v>45.333333</v>
      </c>
      <c r="W133" s="6" t="n">
        <v>82.31619999999999</v>
      </c>
      <c r="X133" s="6" t="n">
        <v>20.4302</v>
      </c>
      <c r="Y133" s="6" t="inlineStr">
        <is>
          <t>Performance</t>
        </is>
      </c>
      <c r="Z133" s="6" t="inlineStr">
        <is>
          <t>Frozen-weight composite; strongest contribution: Performance.</t>
        </is>
      </c>
      <c r="AA133" s="6" t="inlineStr">
        <is>
          <t>None explicitly named in this RTM</t>
        </is>
      </c>
      <c r="AB133" s="6" t="inlineStr">
        <is>
          <t>SCK CEN/90508872 §4.4.4.2.2; no named external code</t>
        </is>
      </c>
      <c r="AC133" s="6" t="inlineStr">
        <is>
          <t>Calculation/model plus calibrated measurement or recorded trend; Functional design/configuration review and sequence/interface demonstration; RAM/maintenance substantiation and recovery/failure-response evidence</t>
        </is>
      </c>
      <c r="AD133" s="6" t="inlineStr">
        <is>
          <t>No separate deliverable explicitly named</t>
        </is>
      </c>
      <c r="AE133" s="6" t="inlineStr">
        <is>
          <t>L1 Conceptual Design; L2 Detailed Design</t>
        </is>
      </c>
      <c r="AF133" s="6" t="inlineStr">
        <is>
          <t>Section/contract-derived reference; derived evidence route</t>
        </is>
      </c>
      <c r="AG133" s="58" t="inlineStr">
        <is>
          <t>OFFER-18 (Direct)</t>
        </is>
      </c>
    </row>
    <row r="134" ht="86" customHeight="1">
      <c r="A134" s="6" t="n">
        <v>129</v>
      </c>
      <c r="B134" s="6" t="inlineStr">
        <is>
          <t>RTM-542</t>
        </is>
      </c>
      <c r="C134" s="6" t="inlineStr">
        <is>
          <t>No</t>
        </is>
      </c>
      <c r="D134" s="6" t="inlineStr">
        <is>
          <t>T1 Primary</t>
        </is>
      </c>
      <c r="E134" s="6" t="inlineStr">
        <is>
          <t>Acceptance Testing</t>
        </is>
      </c>
      <c r="F134" s="82" t="inlineStr">
        <is>
          <t>PROJECT</t>
        </is>
      </c>
      <c r="G134" s="83" t="inlineStr">
        <is>
          <t>Governance &amp; Responsibility</t>
        </is>
      </c>
      <c r="H134" s="59" t="inlineStr">
        <is>
          <t>—</t>
        </is>
      </c>
      <c r="I134" s="58" t="inlineStr">
        <is>
          <t>C7 — Quality, Testing &amp; Risk</t>
        </is>
      </c>
      <c r="J134" s="6" t="n">
        <v>105</v>
      </c>
      <c r="K134" s="6" t="inlineStr">
        <is>
          <t>4.13.3.3.7</t>
        </is>
      </c>
      <c r="L134" s="6" t="inlineStr">
        <is>
          <t>Energy-Efficiency demonstration</t>
        </is>
      </c>
      <c r="M134" s="6" t="inlineStr">
        <is>
          <t>The Contractor shall demonstrate compliance with invCOP_contract in accordance with §4.3.4. To this end, the Contractor shall:</t>
        </is>
      </c>
      <c r="N134" s="6" t="inlineStr">
        <is>
          <t>The Contractor shall demonstrate compliance with invCOP_contract in accordance with §4.3.4. To this end, the Contractor shall:
• Define and document the methodology used to determine invCOP_SAT.
• Perform the measurements required by that methodology.
• Determine invCOP_SAT and the associated expanded uncertainty U_invCOP_SAT.
• Document and substantiate the SAT results.</t>
        </is>
      </c>
      <c r="O134" s="6" t="n">
        <v>2</v>
      </c>
      <c r="P134" s="6" t="n">
        <v>0</v>
      </c>
      <c r="Q134" s="6" t="n">
        <v>3</v>
      </c>
      <c r="R134" s="6" t="n">
        <v>0</v>
      </c>
      <c r="S134" s="6" t="n">
        <v>3</v>
      </c>
      <c r="T134" s="6" t="n">
        <v>0</v>
      </c>
      <c r="U134" s="6" t="n">
        <v>0</v>
      </c>
      <c r="V134" s="6" t="n">
        <v>45.333333</v>
      </c>
      <c r="W134" s="6" t="n">
        <v>82.31619999999999</v>
      </c>
      <c r="X134" s="6" t="n">
        <v>20.4302</v>
      </c>
      <c r="Y134" s="6" t="inlineStr">
        <is>
          <t>Performance</t>
        </is>
      </c>
      <c r="Z134" s="6" t="inlineStr">
        <is>
          <t>Frozen-weight composite; strongest contribution: Performance.</t>
        </is>
      </c>
      <c r="AA134" s="6" t="inlineStr">
        <is>
          <t>None explicitly named in this RTM</t>
        </is>
      </c>
      <c r="AB134" s="6" t="inlineStr">
        <is>
          <t>SCK CEN/90508872 §4.13.3.3.7; no named external code</t>
        </is>
      </c>
      <c r="AC134" s="6" t="inlineStr">
        <is>
          <t>Witnessed FAT/SAT/commissioning test against stated acceptance criteria; Calculation/model plus calibrated measurement or recorded trend</t>
        </is>
      </c>
      <c r="AD134" s="6" t="inlineStr">
        <is>
          <t>No separate deliverable explicitly named</t>
        </is>
      </c>
      <c r="AE134" s="6" t="inlineStr">
        <is>
          <t>L6 Site Acceptance Testing; L1 Conceptual Design; L2 Detailed Design</t>
        </is>
      </c>
      <c r="AF134" s="6" t="inlineStr">
        <is>
          <t>Section/contract-derived reference; explicit deliverable/test wording</t>
        </is>
      </c>
      <c r="AG134" s="58" t="inlineStr">
        <is>
          <t>OFFER-39 (Supporting); OFFER-40 (Direct)</t>
        </is>
      </c>
    </row>
    <row r="135" ht="73" customHeight="1">
      <c r="A135" s="6" t="n">
        <v>130</v>
      </c>
      <c r="B135" s="6" t="inlineStr">
        <is>
          <t>RTM-656</t>
        </is>
      </c>
      <c r="C135" s="6" t="inlineStr">
        <is>
          <t>No</t>
        </is>
      </c>
      <c r="D135" s="6" t="inlineStr">
        <is>
          <t>T1 Primary</t>
        </is>
      </c>
      <c r="E135" s="6" t="inlineStr">
        <is>
          <t>Quality Assurance &amp; Control</t>
        </is>
      </c>
      <c r="F135" s="82" t="inlineStr">
        <is>
          <t>PROJECT</t>
        </is>
      </c>
      <c r="G135" s="83" t="inlineStr">
        <is>
          <t>Quality Assurance</t>
        </is>
      </c>
      <c r="H135" s="59" t="inlineStr">
        <is>
          <t>—</t>
        </is>
      </c>
      <c r="I135" s="81" t="inlineStr">
        <is>
          <t>Inferred: C7 — Quality, Testing &amp; Risk (high conf.)</t>
        </is>
      </c>
      <c r="J135" s="6" t="n">
        <v>123</v>
      </c>
      <c r="K135" s="6" t="inlineStr">
        <is>
          <t>8.1.4</t>
        </is>
      </c>
      <c r="L135" s="6" t="inlineStr">
        <is>
          <t>Qualification of personnel</t>
        </is>
      </c>
      <c r="M135" s="6" t="inlineStr">
        <is>
          <t>Training activities contributing to operational handover shall be performed by qualified Contractor personnel and shall result in demonstrable qualification of SCK CEN personnel for defined operational and maintenance roles.</t>
        </is>
      </c>
      <c r="N135" s="6" t="inlineStr">
        <is>
          <t>Training activities contributing to operational handover shall be performed by qualified Contractor personnel and shall result in demonstrable qualification of SCK CEN personnel for defined operational and maintenance roles.</t>
        </is>
      </c>
      <c r="O135" s="6" t="n">
        <v>2</v>
      </c>
      <c r="P135" s="6" t="n">
        <v>2</v>
      </c>
      <c r="Q135" s="6" t="n">
        <v>0</v>
      </c>
      <c r="R135" s="6" t="n">
        <v>0</v>
      </c>
      <c r="S135" s="6" t="n">
        <v>3</v>
      </c>
      <c r="T135" s="6" t="n">
        <v>2</v>
      </c>
      <c r="U135" s="6" t="n">
        <v>0</v>
      </c>
      <c r="V135" s="6" t="n">
        <v>44.666667</v>
      </c>
      <c r="W135" s="6" t="n">
        <v>81.9695</v>
      </c>
      <c r="X135" s="6" t="n">
        <v>19.9469</v>
      </c>
      <c r="Y135" s="6" t="inlineStr">
        <is>
          <t>Reliability</t>
        </is>
      </c>
      <c r="Z135" s="6" t="inlineStr">
        <is>
          <t>Frozen-weight composite; strongest contribution: Reliability.</t>
        </is>
      </c>
      <c r="AA135" s="6" t="inlineStr">
        <is>
          <t>None explicitly named in this RTM</t>
        </is>
      </c>
      <c r="AB135" s="6" t="inlineStr">
        <is>
          <t>SCK CEN/90508872 §8.1.4; no named external code</t>
        </is>
      </c>
      <c r="AC135" s="6" t="inlineStr">
        <is>
          <t>RAM/maintenance substantiation and recovery/failure-response evidence; Document review, inspection, certification, audit or traceable QC record</t>
        </is>
      </c>
      <c r="AD135" s="6" t="inlineStr">
        <is>
          <t>No separate deliverable explicitly named</t>
        </is>
      </c>
      <c r="AE135" s="6" t="inlineStr">
        <is>
          <t>PAC / Handover; L0 Tender / Offer; L1 Conceptual Design; L2 Detailed Design; L3 Procurement &amp; Manufacturing / FAT; L4 Installation; L5 Standalone Commissioning; L6 Site Acceptance Testing</t>
        </is>
      </c>
      <c r="AF135" s="6" t="inlineStr">
        <is>
          <t>Section/contract-derived reference; derived evidence route</t>
        </is>
      </c>
      <c r="AG135" s="58" t="inlineStr">
        <is>
          <t>Not linked to an OFFER item</t>
        </is>
      </c>
    </row>
    <row r="136" ht="151" customHeight="1">
      <c r="A136" s="6" t="n">
        <v>131</v>
      </c>
      <c r="B136" s="6" t="inlineStr">
        <is>
          <t>RTM-059</t>
        </is>
      </c>
      <c r="C136" s="6" t="inlineStr">
        <is>
          <t>No</t>
        </is>
      </c>
      <c r="D136" s="6" t="inlineStr">
        <is>
          <t>T1 Primary</t>
        </is>
      </c>
      <c r="E136" s="6" t="inlineStr">
        <is>
          <t>Global Design Criteria</t>
        </is>
      </c>
      <c r="F136" s="82" t="inlineStr">
        <is>
          <t>SYSTEM</t>
        </is>
      </c>
      <c r="G136" s="83" t="inlineStr">
        <is>
          <t>Performance</t>
        </is>
      </c>
      <c r="H136" s="59" t="inlineStr">
        <is>
          <t>—</t>
        </is>
      </c>
      <c r="I136" s="58" t="inlineStr">
        <is>
          <t>C6 — Reliability &amp; Maintenance</t>
        </is>
      </c>
      <c r="J136" s="6" t="n">
        <v>37</v>
      </c>
      <c r="K136" s="6" t="inlineStr">
        <is>
          <t>4.3.2</t>
        </is>
      </c>
      <c r="L136" s="6" t="inlineStr">
        <is>
          <t>Availability &amp; Reliability</t>
        </is>
      </c>
      <c r="M136" s="6" t="inlineStr">
        <is>
          <t>The Availability &amp; Reliability Assessment shall be based on a system-level reliability model representing the actual QPS architecture. The model shall, at minimum:</t>
        </is>
      </c>
      <c r="N136" s="6" t="inlineStr">
        <is>
          <t>The Availability &amp; Reliability Assessment shall be based on a system-level reliability model representing the actual QPS architecture. The model shall, at minimum:
• Represent the functional configuration of the QPS, including all redundancy arrangements (e.g. N+1 configurations).
• Represent the dependency between subsystems forming functional chains.
• Represent common-cause failures affecting redundant equipment.
• Represent dependencies on utilities and auxiliary systems within the QPS scope.
• Demonstrate the impact of single failures on the defined operational states.</t>
        </is>
      </c>
      <c r="O136" s="6" t="n">
        <v>0</v>
      </c>
      <c r="P136" s="6" t="n">
        <v>3</v>
      </c>
      <c r="Q136" s="6" t="n">
        <v>0</v>
      </c>
      <c r="R136" s="6" t="n">
        <v>2</v>
      </c>
      <c r="S136" s="6" t="n">
        <v>3</v>
      </c>
      <c r="T136" s="6" t="n">
        <v>0</v>
      </c>
      <c r="U136" s="6" t="n">
        <v>0</v>
      </c>
      <c r="V136" s="6" t="n">
        <v>44.666667</v>
      </c>
      <c r="W136" s="6" t="n">
        <v>81.9695</v>
      </c>
      <c r="X136" s="6" t="n">
        <v>19.9469</v>
      </c>
      <c r="Y136" s="6" t="inlineStr">
        <is>
          <t>Reliability</t>
        </is>
      </c>
      <c r="Z136" s="6" t="inlineStr">
        <is>
          <t>Frozen-weight composite; strongest contribution: Reliability.</t>
        </is>
      </c>
      <c r="AA136" s="6" t="inlineStr">
        <is>
          <t>None explicitly named in this RTM</t>
        </is>
      </c>
      <c r="AB136" s="6" t="inlineStr">
        <is>
          <t>SCK CEN/90508872 §4.3.2; no named external code</t>
        </is>
      </c>
      <c r="AC136" s="6" t="inlineStr">
        <is>
          <t>Submit and review the named deliverable with RTM traceability and approval status; Witnessed FAT/SAT/commissioning test against stated acceptance criteria; Functional design/configuration review and sequence/interface demonstration</t>
        </is>
      </c>
      <c r="AD136" s="6" t="inlineStr">
        <is>
          <t>Availability &amp; Reliability Assessment</t>
        </is>
      </c>
      <c r="AE136" s="6" t="inlineStr">
        <is>
          <t>L1 Conceptual Design; L2 Detailed Design</t>
        </is>
      </c>
      <c r="AF136" s="6" t="inlineStr">
        <is>
          <t>Section/contract-derived reference; explicit deliverable/test wording</t>
        </is>
      </c>
      <c r="AG136" s="58" t="inlineStr">
        <is>
          <t>OFFER-11 (Direct)</t>
        </is>
      </c>
    </row>
    <row r="137" ht="60" customHeight="1">
      <c r="A137" s="6" t="n">
        <v>132</v>
      </c>
      <c r="B137" s="6" t="inlineStr">
        <is>
          <t>RTM-320</t>
        </is>
      </c>
      <c r="C137" s="6" t="inlineStr">
        <is>
          <t>No</t>
        </is>
      </c>
      <c r="D137" s="6" t="inlineStr">
        <is>
          <t>T1 Primary</t>
        </is>
      </c>
      <c r="E137" s="6" t="inlineStr">
        <is>
          <t>Control &amp; Interlock</t>
        </is>
      </c>
      <c r="F137" s="82" t="inlineStr">
        <is>
          <t>SYSTEM</t>
        </is>
      </c>
      <c r="G137" s="83" t="inlineStr">
        <is>
          <t>Performance</t>
        </is>
      </c>
      <c r="H137" s="59" t="inlineStr">
        <is>
          <t>—</t>
        </is>
      </c>
      <c r="I137" s="81" t="inlineStr">
        <is>
          <t>Inferred: C4 — Software &amp; Control (high conf.)</t>
        </is>
      </c>
      <c r="J137" s="6" t="n">
        <v>73</v>
      </c>
      <c r="K137" s="6" t="inlineStr">
        <is>
          <t>4.6.4.4</t>
        </is>
      </c>
      <c r="L137" s="6" t="inlineStr">
        <is>
          <t>Network Infrastructure</t>
        </is>
      </c>
      <c r="M137" s="6" t="inlineStr">
        <is>
          <t>The aggregation network shall use a redundant ring topology, with a dedicated redundancy manager and client switches. The network shall automatically reconfigure within 300 ms in case of interruptions. Redundant connections to the backbone shall be established using a master/slave configuration, ensuring failover times under 300 ms. All links within the aggregation network, including connections to the backbone and cell networks, shall support 1 Gbit/s bandwidth. The network design shall incorporate fault recovery mechanisms to reroute traffic in the event of failures, ensuring uninterrupted data flow.</t>
        </is>
      </c>
      <c r="N137" s="6" t="inlineStr">
        <is>
          <t>The aggregation network shall use a redundant ring topology, with a dedicated redundancy manager and client switches. The network shall automatically reconfigure within 300 ms in case of interruptions. Redundant connections to the backbone shall be established using a master/slave configuration, ensuring failover times under 300 ms. All links within the aggregation network, including connections to the backbone and cell networks, shall support 1 Gbit/s bandwidth. The network design shall incorporate fault recovery mechanisms to reroute traffic in the event of failures, ensuring uninterrupted data flow.</t>
        </is>
      </c>
      <c r="O137" s="6" t="n">
        <v>0</v>
      </c>
      <c r="P137" s="6" t="n">
        <v>3</v>
      </c>
      <c r="Q137" s="6" t="n">
        <v>1</v>
      </c>
      <c r="R137" s="6" t="n">
        <v>3</v>
      </c>
      <c r="S137" s="6" t="n">
        <v>0</v>
      </c>
      <c r="T137" s="6" t="n">
        <v>0</v>
      </c>
      <c r="U137" s="6" t="n">
        <v>0</v>
      </c>
      <c r="V137" s="6" t="n">
        <v>44.666667</v>
      </c>
      <c r="W137" s="6" t="n">
        <v>81.9695</v>
      </c>
      <c r="X137" s="6" t="n">
        <v>19.9469</v>
      </c>
      <c r="Y137" s="6" t="inlineStr">
        <is>
          <t>Reliability</t>
        </is>
      </c>
      <c r="Z137" s="6" t="inlineStr">
        <is>
          <t>Frozen-weight composite; strongest contribution: Reliability.</t>
        </is>
      </c>
      <c r="AA137" s="6" t="inlineStr">
        <is>
          <t>None explicitly named in this RTM</t>
        </is>
      </c>
      <c r="AB137" s="6" t="inlineStr">
        <is>
          <t>SCK CEN/90508872 §4.6.4.4; no named external code</t>
        </is>
      </c>
      <c r="AC137" s="6" t="inlineStr">
        <is>
          <t>RAM/maintenance substantiation and recovery/failure-response evidence</t>
        </is>
      </c>
      <c r="AD137" s="6" t="inlineStr">
        <is>
          <t>No separate deliverable explicitly named</t>
        </is>
      </c>
      <c r="AE137" s="6" t="inlineStr">
        <is>
          <t>L1 Conceptual Design; L2 Detailed Design</t>
        </is>
      </c>
      <c r="AF137" s="6" t="inlineStr">
        <is>
          <t>Section/contract-derived reference; derived evidence route</t>
        </is>
      </c>
      <c r="AG137" s="58" t="inlineStr">
        <is>
          <t>Not linked to an OFFER item</t>
        </is>
      </c>
    </row>
    <row r="138" ht="203" customHeight="1">
      <c r="A138" s="6" t="n">
        <v>133</v>
      </c>
      <c r="B138" s="6" t="inlineStr">
        <is>
          <t>RTM-108</t>
        </is>
      </c>
      <c r="C138" s="6" t="inlineStr">
        <is>
          <t>No</t>
        </is>
      </c>
      <c r="D138" s="6" t="inlineStr">
        <is>
          <t>T1 Primary</t>
        </is>
      </c>
      <c r="E138" s="6" t="inlineStr">
        <is>
          <t>Subsystems</t>
        </is>
      </c>
      <c r="F138" s="82" t="inlineStr">
        <is>
          <t>SYSTEM</t>
        </is>
      </c>
      <c r="G138" s="83" t="inlineStr">
        <is>
          <t>Performance</t>
        </is>
      </c>
      <c r="H138" s="59" t="inlineStr">
        <is>
          <t>—</t>
        </is>
      </c>
      <c r="I138" s="58" t="inlineStr">
        <is>
          <t>Inferred: C7 — Quality, Testing &amp; Risk (medium conf.)</t>
        </is>
      </c>
      <c r="J138" s="6" t="n">
        <v>45</v>
      </c>
      <c r="K138" s="6" t="inlineStr">
        <is>
          <t>4.4.2.2</t>
        </is>
      </c>
      <c r="L138" s="6" t="inlineStr">
        <is>
          <t>Electrical Heaters</t>
        </is>
      </c>
      <c r="M138" s="6" t="inlineStr">
        <is>
          <t>Each heater shall be mechanically attached and thermally bonded to its target surface such that the thermal contact remains effective for the full design lifetime of the QRB, including after thermal cycling.</t>
        </is>
      </c>
      <c r="N138" s="6" t="inlineStr">
        <is>
          <t>Each heater shall be mechanically attached and thermally bonded to its target surface such that the thermal contact remains effective for the full design lifetime of the QRB, including after thermal cycling.
• The Contractor shall define the attachment method and acceptance criteria</t>
        </is>
      </c>
      <c r="O138" s="6" t="n">
        <v>2</v>
      </c>
      <c r="P138" s="6" t="n">
        <v>0</v>
      </c>
      <c r="Q138" s="6" t="n">
        <v>2</v>
      </c>
      <c r="R138" s="6" t="n">
        <v>2</v>
      </c>
      <c r="S138" s="6" t="n">
        <v>0</v>
      </c>
      <c r="T138" s="6" t="n">
        <v>3</v>
      </c>
      <c r="U138" s="6" t="n">
        <v>0</v>
      </c>
      <c r="V138" s="6" t="n">
        <v>44.333333</v>
      </c>
      <c r="W138" s="6" t="n">
        <v>81.6921</v>
      </c>
      <c r="X138" s="6" t="n">
        <v>19.5704</v>
      </c>
      <c r="Y138" s="6" t="inlineStr">
        <is>
          <t>Safety / Legal / Performance</t>
        </is>
      </c>
      <c r="Z138" s="6" t="inlineStr">
        <is>
          <t>Frozen-weight composite; strongest contribution: Safety / Legal / Performance.</t>
        </is>
      </c>
      <c r="AA138" s="6" t="inlineStr">
        <is>
          <t>None explicitly named in this RTM</t>
        </is>
      </c>
      <c r="AB138" s="6" t="inlineStr">
        <is>
          <t>SCK CEN/90508872 §4.4.2.2; no named external code</t>
        </is>
      </c>
      <c r="AC138" s="6" t="inlineStr">
        <is>
          <t>Calculation/model plus calibrated measurement or recorded trend</t>
        </is>
      </c>
      <c r="AD138" s="6" t="inlineStr">
        <is>
          <t>No separate deliverable explicitly named</t>
        </is>
      </c>
      <c r="AE138" s="6" t="inlineStr">
        <is>
          <t>L1 Conceptual Design; L2 Detailed Design</t>
        </is>
      </c>
      <c r="AF138" s="6" t="inlineStr">
        <is>
          <t>Section/contract-derived reference; derived evidence route</t>
        </is>
      </c>
      <c r="AG138" s="58" t="inlineStr">
        <is>
          <t>Not linked to an OFFER item</t>
        </is>
      </c>
    </row>
    <row r="139" ht="86" customHeight="1">
      <c r="A139" s="6" t="n">
        <v>134</v>
      </c>
      <c r="B139" s="6" t="inlineStr">
        <is>
          <t>RTM-022</t>
        </is>
      </c>
      <c r="C139" s="6" t="inlineStr">
        <is>
          <t>No</t>
        </is>
      </c>
      <c r="D139" s="6" t="inlineStr">
        <is>
          <t>T1 Primary</t>
        </is>
      </c>
      <c r="E139" s="6" t="inlineStr">
        <is>
          <t>Process &amp; Functional</t>
        </is>
      </c>
      <c r="F139" s="82" t="inlineStr">
        <is>
          <t>SYSTEM</t>
        </is>
      </c>
      <c r="G139" s="83" t="inlineStr">
        <is>
          <t>Control</t>
        </is>
      </c>
      <c r="H139" s="59" t="inlineStr">
        <is>
          <t>—</t>
        </is>
      </c>
      <c r="I139" s="81" t="inlineStr">
        <is>
          <t>C1 — Performance</t>
        </is>
      </c>
      <c r="J139" s="6" t="n">
        <v>29</v>
      </c>
      <c r="K139" s="6" t="inlineStr">
        <is>
          <t>4.2.2.2</t>
        </is>
      </c>
      <c r="L139" s="6" t="inlineStr">
        <is>
          <t>Transient Operational Scenarios</t>
        </is>
      </c>
      <c r="M139" s="6" t="inlineStr">
        <is>
          <t>For the 2K-RAMP scenario, the QPS design shall comply with the following design basis:</t>
        </is>
      </c>
      <c r="N139" s="6" t="inlineStr">
        <is>
          <t>For the 2K-RAMP scenario, the QPS design shall comply with the following design basis:
• The 2K-RAMP scenario shall be a controlled transient between 2K-SB and 2K-OP, during which the Cryogenic Users’ heat loads are adjusted in a controlled manner between the standby (static) and the operational heat load level (static + dynamic).
• The defined operational heat load level for 2K-RAMP shall be a “priming” setpoint; subsequent dynamic heat load variations during 2K-OP shall be significantly smaller than the heat load change applied during 2K-RAMP.
• The QPS shall maintain the 2 K operating conditions within the specified interface envelopes throughout 2K-RAMP.
• The Contractor shall define the permissible ramp rates and associated constraints for 2K-RAMP, including the maximum allowable rate of change of heat load (dQ/dt) and/or equivalent process variable ramps (e.g. mass flow), based on the QPS design and the Cryogenic User Circuitry Model.</t>
        </is>
      </c>
      <c r="O139" s="6" t="n">
        <v>0</v>
      </c>
      <c r="P139" s="6" t="n">
        <v>0</v>
      </c>
      <c r="Q139" s="6" t="n">
        <v>3</v>
      </c>
      <c r="R139" s="6" t="n">
        <v>3</v>
      </c>
      <c r="S139" s="6" t="n">
        <v>2</v>
      </c>
      <c r="T139" s="6" t="n">
        <v>0</v>
      </c>
      <c r="U139" s="6" t="n">
        <v>0</v>
      </c>
      <c r="V139" s="6" t="n">
        <v>44</v>
      </c>
      <c r="W139" s="6" t="n">
        <v>81.1373</v>
      </c>
      <c r="X139" s="6" t="n">
        <v>18.8437</v>
      </c>
      <c r="Y139" s="6" t="inlineStr">
        <is>
          <t>Performance</t>
        </is>
      </c>
      <c r="Z139" s="6" t="inlineStr">
        <is>
          <t>Frozen-weight composite; strongest contribution: Performance.</t>
        </is>
      </c>
      <c r="AA139" s="6" t="inlineStr">
        <is>
          <t>None explicitly named in this RTM</t>
        </is>
      </c>
      <c r="AB139" s="6" t="inlineStr">
        <is>
          <t>SCK CEN/90508872 §4.2.2.2; no named external code</t>
        </is>
      </c>
      <c r="AC139" s="6" t="inlineStr">
        <is>
          <t>Calculation/model plus calibrated measurement or recorded trend; Functional design/configuration review and sequence/interface demonstration; Document review, inspection, certification, audit or traceable QC record</t>
        </is>
      </c>
      <c r="AD139" s="6" t="inlineStr">
        <is>
          <t>No separate deliverable explicitly named</t>
        </is>
      </c>
      <c r="AE139" s="6" t="inlineStr">
        <is>
          <t>L1 Conceptual Design; L2 Detailed Design</t>
        </is>
      </c>
      <c r="AF139" s="6" t="inlineStr">
        <is>
          <t>Section/contract-derived reference; derived evidence route</t>
        </is>
      </c>
      <c r="AG139" s="58" t="inlineStr">
        <is>
          <t>OFFER-04 (Direct)</t>
        </is>
      </c>
    </row>
    <row r="140" ht="60" customHeight="1">
      <c r="A140" s="6" t="n">
        <v>135</v>
      </c>
      <c r="B140" s="6" t="inlineStr">
        <is>
          <t>RTM-024</t>
        </is>
      </c>
      <c r="C140" s="6" t="inlineStr">
        <is>
          <t>No</t>
        </is>
      </c>
      <c r="D140" s="6" t="inlineStr">
        <is>
          <t>T1 Primary</t>
        </is>
      </c>
      <c r="E140" s="6" t="inlineStr">
        <is>
          <t>Process &amp; Functional</t>
        </is>
      </c>
      <c r="F140" s="82" t="inlineStr">
        <is>
          <t>SYSTEM</t>
        </is>
      </c>
      <c r="G140" s="83" t="inlineStr">
        <is>
          <t>Performance</t>
        </is>
      </c>
      <c r="H140" s="59" t="inlineStr">
        <is>
          <t>—</t>
        </is>
      </c>
      <c r="I140" s="58" t="inlineStr">
        <is>
          <t>Inferred: C2 — Process Design (low conf.)</t>
        </is>
      </c>
      <c r="J140" s="6" t="n">
        <v>29</v>
      </c>
      <c r="K140" s="6" t="inlineStr">
        <is>
          <t>4.2.2.3</t>
        </is>
      </c>
      <c r="L140" s="6" t="inlineStr">
        <is>
          <t>Transition between Operational Scenarios</t>
        </is>
      </c>
      <c r="M140" s="6" t="inlineStr">
        <is>
          <t>The Contractor shall verify each Transient Operational Scenario using the Cryogenic User Transient Model. At minimum, the Contractor shall:</t>
        </is>
      </c>
      <c r="N140" s="6" t="inlineStr">
        <is>
          <t>The Contractor shall verify each Transient Operational Scenario using the Cryogenic User Transient Model. At minimum, the Contractor shall:
• Confirm that the installed cooling capacity is sufficient to accomplish the transients.
• Estimate the time duration to accomplish the transients.
• Specify relevant performance limitations (e.g. max. cool-down speed)</t>
        </is>
      </c>
      <c r="O140" s="6" t="n">
        <v>0</v>
      </c>
      <c r="P140" s="6" t="n">
        <v>0</v>
      </c>
      <c r="Q140" s="6" t="n">
        <v>3</v>
      </c>
      <c r="R140" s="6" t="n">
        <v>3</v>
      </c>
      <c r="S140" s="6" t="n">
        <v>2</v>
      </c>
      <c r="T140" s="6" t="n">
        <v>0</v>
      </c>
      <c r="U140" s="6" t="n">
        <v>0</v>
      </c>
      <c r="V140" s="6" t="n">
        <v>44</v>
      </c>
      <c r="W140" s="6" t="n">
        <v>81.1373</v>
      </c>
      <c r="X140" s="6" t="n">
        <v>18.8437</v>
      </c>
      <c r="Y140" s="6" t="inlineStr">
        <is>
          <t>Performance</t>
        </is>
      </c>
      <c r="Z140" s="6" t="inlineStr">
        <is>
          <t>Frozen-weight composite; strongest contribution: Performance.</t>
        </is>
      </c>
      <c r="AA140" s="6" t="inlineStr">
        <is>
          <t>None explicitly named in this RTM</t>
        </is>
      </c>
      <c r="AB140" s="6" t="inlineStr">
        <is>
          <t>SCK CEN/90508872 §4.2.2.3; no named external code</t>
        </is>
      </c>
      <c r="AC140" s="6" t="inlineStr">
        <is>
          <t>Calculation/model plus calibrated measurement or recorded trend; Functional design/configuration review and sequence/interface demonstration; Document review, inspection, certification, audit or traceable QC record</t>
        </is>
      </c>
      <c r="AD140" s="6" t="inlineStr">
        <is>
          <t>No separate deliverable explicitly named</t>
        </is>
      </c>
      <c r="AE140" s="6" t="inlineStr">
        <is>
          <t>L1 Conceptual Design; L2 Detailed Design</t>
        </is>
      </c>
      <c r="AF140" s="6" t="inlineStr">
        <is>
          <t>Section/contract-derived reference; explicit deliverable/test wording</t>
        </is>
      </c>
      <c r="AG140" s="58" t="inlineStr">
        <is>
          <t>Not linked to an OFFER item</t>
        </is>
      </c>
    </row>
    <row r="141" ht="164" customHeight="1">
      <c r="A141" s="6" t="n">
        <v>136</v>
      </c>
      <c r="B141" s="6" t="inlineStr">
        <is>
          <t>RTM-027</t>
        </is>
      </c>
      <c r="C141" s="6" t="inlineStr">
        <is>
          <t>No</t>
        </is>
      </c>
      <c r="D141" s="6" t="inlineStr">
        <is>
          <t>T1 Primary</t>
        </is>
      </c>
      <c r="E141" s="6" t="inlineStr">
        <is>
          <t>Process &amp; Functional</t>
        </is>
      </c>
      <c r="F141" s="82" t="inlineStr">
        <is>
          <t>SYSTEM</t>
        </is>
      </c>
      <c r="G141" s="83" t="inlineStr">
        <is>
          <t>Control</t>
        </is>
      </c>
      <c r="H141" s="59" t="inlineStr">
        <is>
          <t>—</t>
        </is>
      </c>
      <c r="I141" s="81" t="inlineStr">
        <is>
          <t>C8 — Commercial &amp; Execution</t>
        </is>
      </c>
      <c r="J141" s="6" t="n">
        <v>30</v>
      </c>
      <c r="K141" s="6" t="inlineStr">
        <is>
          <t>4.2.2.4.1</t>
        </is>
      </c>
      <c r="L141" s="6" t="inlineStr">
        <is>
          <t>Purging and Conditioning</t>
        </is>
      </c>
      <c r="M141" s="6" t="inlineStr">
        <is>
          <t>The purging and conditioning procedures shall be implemented as:</t>
        </is>
      </c>
      <c r="N141" s="6" t="inlineStr">
        <is>
          <t>The purging and conditioning procedures shall be implemented as:
• Automated control sequences (preferred method), or
• Manual procedures protected by control-system interlocks.</t>
        </is>
      </c>
      <c r="O141" s="6" t="n">
        <v>0</v>
      </c>
      <c r="P141" s="6" t="n">
        <v>0</v>
      </c>
      <c r="Q141" s="6" t="n">
        <v>3</v>
      </c>
      <c r="R141" s="6" t="n">
        <v>3</v>
      </c>
      <c r="S141" s="6" t="n">
        <v>2</v>
      </c>
      <c r="T141" s="6" t="n">
        <v>0</v>
      </c>
      <c r="U141" s="6" t="n">
        <v>0</v>
      </c>
      <c r="V141" s="6" t="n">
        <v>44</v>
      </c>
      <c r="W141" s="6" t="n">
        <v>81.1373</v>
      </c>
      <c r="X141" s="6" t="n">
        <v>18.8437</v>
      </c>
      <c r="Y141" s="6" t="inlineStr">
        <is>
          <t>Performance</t>
        </is>
      </c>
      <c r="Z141" s="6" t="inlineStr">
        <is>
          <t>Frozen-weight composite; strongest contribution: Performance.</t>
        </is>
      </c>
      <c r="AA141" s="6" t="inlineStr">
        <is>
          <t>None explicitly named in this RTM</t>
        </is>
      </c>
      <c r="AB141" s="6" t="inlineStr">
        <is>
          <t>SCK CEN/90508872 §4.2.2.4.1; no named external code</t>
        </is>
      </c>
      <c r="AC141" s="6" t="inlineStr">
        <is>
          <t>Submit and review the named deliverable with RTM traceability and approval status; Calculation/model plus calibrated measurement or recorded trend; Functional design/configuration review and sequence/interface demonstration</t>
        </is>
      </c>
      <c r="AD141" s="6" t="inlineStr">
        <is>
          <t>Procedure / work instruction</t>
        </is>
      </c>
      <c r="AE141" s="6" t="inlineStr">
        <is>
          <t>L1 Conceptual Design; L2 Detailed Design</t>
        </is>
      </c>
      <c r="AF141" s="6" t="inlineStr">
        <is>
          <t>Section/contract-derived reference; explicit deliverable/test wording</t>
        </is>
      </c>
      <c r="AG141" s="58" t="inlineStr">
        <is>
          <t>OFFER-05 (Direct)</t>
        </is>
      </c>
    </row>
    <row r="142" ht="99" customHeight="1">
      <c r="A142" s="6" t="n">
        <v>137</v>
      </c>
      <c r="B142" s="6" t="inlineStr">
        <is>
          <t>RTM-078</t>
        </is>
      </c>
      <c r="C142" s="6" t="inlineStr">
        <is>
          <t>No</t>
        </is>
      </c>
      <c r="D142" s="6" t="inlineStr">
        <is>
          <t>T1 Primary</t>
        </is>
      </c>
      <c r="E142" s="6" t="inlineStr">
        <is>
          <t>Global Design Criteria</t>
        </is>
      </c>
      <c r="F142" s="82" t="inlineStr">
        <is>
          <t>SYSTEM</t>
        </is>
      </c>
      <c r="G142" s="83" t="inlineStr">
        <is>
          <t>Performance</t>
        </is>
      </c>
      <c r="H142" s="59" t="inlineStr">
        <is>
          <t>—</t>
        </is>
      </c>
      <c r="I142" s="58" t="inlineStr">
        <is>
          <t>Inferred: C1 — Performance (medium conf.)</t>
        </is>
      </c>
      <c r="J142" s="6" t="n">
        <v>41</v>
      </c>
      <c r="K142" s="6" t="inlineStr">
        <is>
          <t>4.3.5</t>
        </is>
      </c>
      <c r="L142" s="6" t="inlineStr">
        <is>
          <t>Operational Capability Envelope</t>
        </is>
      </c>
      <c r="M142" s="6" t="inlineStr">
        <is>
          <t>The Contractor shall define and document the QPS capability envelopes achievable by its design for the Steady-State Operational Scenarios.</t>
        </is>
      </c>
      <c r="N142" s="6" t="inlineStr">
        <is>
          <t>The Contractor shall define and document the QPS capability envelopes achievable by its design for the Steady-State Operational Scenarios.
• The Contractor shall substantiate the declared capability envelopes by analysis using bounding operating cases; exhaustive mapping of the full operating domain is not required.
• At minimum, the declared capability envelopes shall include:
• The range of sustainable user demand, in accordance with the Cryogenic User Circuitry Model.
• The minimum controllable operating condition (turndown)
• The range of achievable flow condition at headers A, B, D, E, and W (pressure, temperature, mass flow)
• The range of utility consumption (e.g. electrical power, cooling water)</t>
        </is>
      </c>
      <c r="O142" s="6" t="n">
        <v>0</v>
      </c>
      <c r="P142" s="6" t="n">
        <v>0</v>
      </c>
      <c r="Q142" s="6" t="n">
        <v>3</v>
      </c>
      <c r="R142" s="6" t="n">
        <v>3</v>
      </c>
      <c r="S142" s="6" t="n">
        <v>2</v>
      </c>
      <c r="T142" s="6" t="n">
        <v>0</v>
      </c>
      <c r="U142" s="6" t="n">
        <v>0</v>
      </c>
      <c r="V142" s="6" t="n">
        <v>44</v>
      </c>
      <c r="W142" s="6" t="n">
        <v>81.1373</v>
      </c>
      <c r="X142" s="6" t="n">
        <v>18.8437</v>
      </c>
      <c r="Y142" s="6" t="inlineStr">
        <is>
          <t>Performance</t>
        </is>
      </c>
      <c r="Z142" s="6" t="inlineStr">
        <is>
          <t>Frozen-weight composite; strongest contribution: Performance.</t>
        </is>
      </c>
      <c r="AA142" s="6" t="inlineStr">
        <is>
          <t>None explicitly named in this RTM</t>
        </is>
      </c>
      <c r="AB142" s="6" t="inlineStr">
        <is>
          <t>SCK CEN/90508872 §4.3.5; no named external code</t>
        </is>
      </c>
      <c r="AC142" s="6" t="inlineStr">
        <is>
          <t>Calculation/model plus calibrated measurement or recorded trend; Functional design/configuration review and sequence/interface demonstration; Document review, inspection, certification, audit or traceable QC record</t>
        </is>
      </c>
      <c r="AD142" s="6" t="inlineStr">
        <is>
          <t>No separate deliverable explicitly named</t>
        </is>
      </c>
      <c r="AE142" s="6" t="inlineStr">
        <is>
          <t>L1 Conceptual Design; L2 Detailed Design</t>
        </is>
      </c>
      <c r="AF142" s="6" t="inlineStr">
        <is>
          <t>Section/contract-derived reference; derived evidence route</t>
        </is>
      </c>
      <c r="AG142" s="58" t="inlineStr">
        <is>
          <t>Not linked to an OFFER item</t>
        </is>
      </c>
    </row>
    <row r="143" ht="190" customHeight="1">
      <c r="A143" s="6" t="n">
        <v>138</v>
      </c>
      <c r="B143" s="6" t="inlineStr">
        <is>
          <t>RTM-209</t>
        </is>
      </c>
      <c r="C143" s="6" t="inlineStr">
        <is>
          <t>No</t>
        </is>
      </c>
      <c r="D143" s="6" t="inlineStr">
        <is>
          <t>T1 Primary</t>
        </is>
      </c>
      <c r="E143" s="6" t="inlineStr">
        <is>
          <t>Subsystems</t>
        </is>
      </c>
      <c r="F143" s="82" t="inlineStr">
        <is>
          <t>SYSTEM</t>
        </is>
      </c>
      <c r="G143" s="83" t="inlineStr">
        <is>
          <t>Performance</t>
        </is>
      </c>
      <c r="H143" s="59" t="inlineStr">
        <is>
          <t>—</t>
        </is>
      </c>
      <c r="I143" s="58" t="inlineStr">
        <is>
          <t>C2 — Process Design</t>
        </is>
      </c>
      <c r="J143" s="6" t="n">
        <v>56</v>
      </c>
      <c r="K143" s="6" t="inlineStr">
        <is>
          <t>4.4.4.2.2</t>
        </is>
      </c>
      <c r="L143" s="6" t="inlineStr">
        <is>
          <t>Main Process Heat Exchangers (MPHX)</t>
        </is>
      </c>
      <c r="M143" s="6" t="inlineStr">
        <is>
          <t>For each MPHX, the Contractor shall:</t>
        </is>
      </c>
      <c r="N143" s="6" t="inlineStr">
        <is>
          <t>For each MPHX, the Contractor shall:
• Specify the maximum allowable temperature differences across the HX
• Define the operational controls/procedures required to ensure compliance with the specified maximum allowable temperature differences during all operating and transient conditions.
• Define the operational controls/procedures for controlled warm-up and regeneration of the high-pressure side to remove frozen moisture and impurities.</t>
        </is>
      </c>
      <c r="O143" s="6" t="n">
        <v>2</v>
      </c>
      <c r="P143" s="6" t="n">
        <v>0</v>
      </c>
      <c r="Q143" s="6" t="n">
        <v>3</v>
      </c>
      <c r="R143" s="6" t="n">
        <v>2</v>
      </c>
      <c r="S143" s="6" t="n">
        <v>0</v>
      </c>
      <c r="T143" s="6" t="n">
        <v>0</v>
      </c>
      <c r="U143" s="6" t="n">
        <v>0</v>
      </c>
      <c r="V143" s="6" t="n">
        <v>44</v>
      </c>
      <c r="W143" s="6" t="n">
        <v>81.1373</v>
      </c>
      <c r="X143" s="6" t="n">
        <v>18.8437</v>
      </c>
      <c r="Y143" s="6" t="inlineStr">
        <is>
          <t>Performance</t>
        </is>
      </c>
      <c r="Z143" s="6" t="inlineStr">
        <is>
          <t>Frozen-weight composite; strongest contribution: Performance.</t>
        </is>
      </c>
      <c r="AA143" s="6" t="inlineStr">
        <is>
          <t>None explicitly named in this RTM</t>
        </is>
      </c>
      <c r="AB143" s="6" t="inlineStr">
        <is>
          <t>SCK CEN/90508872 §4.4.4.2.2; no named external code</t>
        </is>
      </c>
      <c r="AC143" s="6" t="inlineStr">
        <is>
          <t>Submit and review the named deliverable with RTM traceability and approval status; Calculation/model plus calibrated measurement or recorded trend; Functional design/configuration review and sequence/interface demonstration</t>
        </is>
      </c>
      <c r="AD143" s="6" t="inlineStr">
        <is>
          <t>Procedure / work instruction</t>
        </is>
      </c>
      <c r="AE143" s="6" t="inlineStr">
        <is>
          <t>L1 Conceptual Design; L2 Detailed Design</t>
        </is>
      </c>
      <c r="AF143" s="6" t="inlineStr">
        <is>
          <t>Section/contract-derived reference; explicit deliverable/test wording</t>
        </is>
      </c>
      <c r="AG143" s="58" t="inlineStr">
        <is>
          <t>OFFER-18 (Direct)</t>
        </is>
      </c>
    </row>
    <row r="144" ht="60" customHeight="1">
      <c r="A144" s="6" t="n">
        <v>139</v>
      </c>
      <c r="B144" s="6" t="inlineStr">
        <is>
          <t>RTM-389</t>
        </is>
      </c>
      <c r="C144" s="6" t="inlineStr">
        <is>
          <t>No</t>
        </is>
      </c>
      <c r="D144" s="6" t="inlineStr">
        <is>
          <t>T1 Primary</t>
        </is>
      </c>
      <c r="E144" s="6" t="inlineStr">
        <is>
          <t>Buildings &amp; Utilities</t>
        </is>
      </c>
      <c r="F144" s="82" t="inlineStr">
        <is>
          <t>SYSTEM</t>
        </is>
      </c>
      <c r="G144" s="83" t="inlineStr">
        <is>
          <t>Control</t>
        </is>
      </c>
      <c r="H144" s="59" t="inlineStr">
        <is>
          <t>—</t>
        </is>
      </c>
      <c r="I144" s="58" t="inlineStr">
        <is>
          <t>C5 — Infrastructure &amp; Integration</t>
        </is>
      </c>
      <c r="J144" s="6" t="n">
        <v>80</v>
      </c>
      <c r="K144" s="6" t="inlineStr">
        <is>
          <t>4.7.2</t>
        </is>
      </c>
      <c r="L144" s="6" t="inlineStr">
        <is>
          <t>Building</t>
        </is>
      </c>
      <c r="M144" s="6" t="inlineStr">
        <is>
          <t>The Contractor shall locate the QPS equipment in accordance with the following constraints:</t>
        </is>
      </c>
      <c r="N144" s="6" t="inlineStr">
        <is>
          <t>The Contractor shall locate the QPS equipment in accordance with the following constraints:
• WCS and QRB equipment
• All associated equipment shall be installed within the Compressor Room and Cold Box Room.
• Distribution of equipment between these two rooms shall be at the Contractor’s discretion, provided that spatial, operational, maintenance, and safety requirements are satisfied.
• WSH and QSN equipment
• All associated equipment shall be primarily located within the designated outdoor Storage Area.
• Auxiliary equipment (e.g. control panels, instrumentation cabinets, local control units) may be located within the Compressor Room or Cold Box Room where technically justified.</t>
        </is>
      </c>
      <c r="O144" s="6" t="n">
        <v>0</v>
      </c>
      <c r="P144" s="6" t="n">
        <v>2</v>
      </c>
      <c r="Q144" s="6" t="n">
        <v>1</v>
      </c>
      <c r="R144" s="6" t="n">
        <v>2</v>
      </c>
      <c r="S144" s="6" t="n">
        <v>3</v>
      </c>
      <c r="T144" s="6" t="n">
        <v>0</v>
      </c>
      <c r="U144" s="6" t="n">
        <v>0</v>
      </c>
      <c r="V144" s="6" t="n">
        <v>44</v>
      </c>
      <c r="W144" s="6" t="n">
        <v>81.1373</v>
      </c>
      <c r="X144" s="6" t="n">
        <v>18.8437</v>
      </c>
      <c r="Y144" s="6" t="inlineStr">
        <is>
          <t>Reliability</t>
        </is>
      </c>
      <c r="Z144" s="6" t="inlineStr">
        <is>
          <t>Frozen-weight composite; strongest contribution: Reliability.</t>
        </is>
      </c>
      <c r="AA144" s="6" t="inlineStr">
        <is>
          <t>None explicitly named in this RTM</t>
        </is>
      </c>
      <c r="AB144" s="6" t="inlineStr">
        <is>
          <t>SCK CEN/90508872 §4.7.2; no named external code</t>
        </is>
      </c>
      <c r="AC144" s="6" t="inlineStr">
        <is>
          <t>Witnessed FAT/SAT/commissioning test against stated acceptance criteria; Functional design/configuration review and sequence/interface demonstration; RAM/maintenance substantiation and recovery/failure-response evidence</t>
        </is>
      </c>
      <c r="AD144" s="6" t="inlineStr">
        <is>
          <t>No separate deliverable explicitly named</t>
        </is>
      </c>
      <c r="AE144" s="6" t="inlineStr">
        <is>
          <t>L6 Site Acceptance Testing; L1 Conceptual Design; L2 Detailed Design</t>
        </is>
      </c>
      <c r="AF144" s="6" t="inlineStr">
        <is>
          <t>Section/contract-derived reference; derived evidence route</t>
        </is>
      </c>
      <c r="AG144" s="58" t="inlineStr">
        <is>
          <t>OFFER-32 (Direct)</t>
        </is>
      </c>
    </row>
    <row r="145" ht="60" customHeight="1">
      <c r="A145" s="6" t="n">
        <v>140</v>
      </c>
      <c r="B145" s="6" t="inlineStr">
        <is>
          <t>RTM-545</t>
        </is>
      </c>
      <c r="C145" s="6" t="inlineStr">
        <is>
          <t>No</t>
        </is>
      </c>
      <c r="D145" s="6" t="inlineStr">
        <is>
          <t>T1 Primary</t>
        </is>
      </c>
      <c r="E145" s="6" t="inlineStr">
        <is>
          <t>Acceptance Testing</t>
        </is>
      </c>
      <c r="F145" s="82" t="inlineStr">
        <is>
          <t>PROJECT</t>
        </is>
      </c>
      <c r="G145" s="83" t="inlineStr">
        <is>
          <t>Governance &amp; Responsibility</t>
        </is>
      </c>
      <c r="H145" s="59" t="inlineStr">
        <is>
          <t>—</t>
        </is>
      </c>
      <c r="I145" s="81" t="inlineStr">
        <is>
          <t>C7 — Quality, Testing &amp; Risk</t>
        </is>
      </c>
      <c r="J145" s="6" t="n">
        <v>106</v>
      </c>
      <c r="K145" s="6" t="inlineStr">
        <is>
          <t>4.13.3.4</t>
        </is>
      </c>
      <c r="L145" s="6" t="inlineStr">
        <is>
          <t>Demonstration of operating procedures</t>
        </is>
      </c>
      <c r="M145" s="6" t="inlineStr">
        <is>
          <t>The Contractor shall demonstrate during the SAT the operational procedures of the QPS that are relevant to operation, maintenance, regeneration, and special site-test conditions.</t>
        </is>
      </c>
      <c r="N145" s="6" t="inlineStr">
        <is>
          <t>The Contractor shall demonstrate during the SAT the operational procedures of the QPS that are relevant to operation, maintenance, regeneration, and special site-test conditions.</t>
        </is>
      </c>
      <c r="O145" s="6" t="n">
        <v>1</v>
      </c>
      <c r="P145" s="6" t="n">
        <v>2</v>
      </c>
      <c r="Q145" s="6" t="n">
        <v>0</v>
      </c>
      <c r="R145" s="6" t="n">
        <v>2</v>
      </c>
      <c r="S145" s="6" t="n">
        <v>3</v>
      </c>
      <c r="T145" s="6" t="n">
        <v>0</v>
      </c>
      <c r="U145" s="6" t="n">
        <v>0</v>
      </c>
      <c r="V145" s="6" t="n">
        <v>44</v>
      </c>
      <c r="W145" s="6" t="n">
        <v>81.1373</v>
      </c>
      <c r="X145" s="6" t="n">
        <v>18.8437</v>
      </c>
      <c r="Y145" s="6" t="inlineStr">
        <is>
          <t>Reliability</t>
        </is>
      </c>
      <c r="Z145" s="6" t="inlineStr">
        <is>
          <t>Frozen-weight composite; strongest contribution: Reliability.</t>
        </is>
      </c>
      <c r="AA145" s="6" t="inlineStr">
        <is>
          <t>None explicitly named in this RTM</t>
        </is>
      </c>
      <c r="AB145" s="6" t="inlineStr">
        <is>
          <t>SCK CEN/90508872 §4.13.3.4; no named external code</t>
        </is>
      </c>
      <c r="AC145" s="6" t="inlineStr">
        <is>
          <t>Submit and review the named deliverable with RTM traceability and approval status; Witnessed FAT/SAT/commissioning test against stated acceptance criteria; Functional design/configuration review and sequence/interface demonstration</t>
        </is>
      </c>
      <c r="AD145" s="6" t="inlineStr">
        <is>
          <t>Procedure / work instruction</t>
        </is>
      </c>
      <c r="AE145" s="6" t="inlineStr">
        <is>
          <t>L6 Site Acceptance Testing; L1 Conceptual Design; L2 Detailed Design</t>
        </is>
      </c>
      <c r="AF145" s="6" t="inlineStr">
        <is>
          <t>Section/contract-derived reference; explicit deliverable/test wording</t>
        </is>
      </c>
      <c r="AG145" s="58" t="inlineStr">
        <is>
          <t>OFFER-39 (Supporting)</t>
        </is>
      </c>
    </row>
    <row r="146" ht="86" customHeight="1">
      <c r="A146" s="6" t="n">
        <v>141</v>
      </c>
      <c r="B146" s="6" t="inlineStr">
        <is>
          <t>RTM-433</t>
        </is>
      </c>
      <c r="C146" s="6" t="inlineStr">
        <is>
          <t>No</t>
        </is>
      </c>
      <c r="D146" s="6" t="inlineStr">
        <is>
          <t>T1 Primary</t>
        </is>
      </c>
      <c r="E146" s="6" t="inlineStr">
        <is>
          <t>Buildings &amp; Utilities</t>
        </is>
      </c>
      <c r="F146" s="82" t="inlineStr">
        <is>
          <t>SYSTEM</t>
        </is>
      </c>
      <c r="G146" s="83" t="inlineStr">
        <is>
          <t>Performance</t>
        </is>
      </c>
      <c r="H146" s="59" t="inlineStr">
        <is>
          <t>—</t>
        </is>
      </c>
      <c r="I146" s="81" t="inlineStr">
        <is>
          <t>Inferred: C5 — Infrastructure &amp; Integration (high conf.)</t>
        </is>
      </c>
      <c r="J146" s="6" t="n">
        <v>85</v>
      </c>
      <c r="K146" s="6" t="inlineStr">
        <is>
          <t>4.7.5.1</t>
        </is>
      </c>
      <c r="L146" s="6" t="inlineStr">
        <is>
          <t>LOOP event</t>
        </is>
      </c>
      <c r="M146" s="6" t="inlineStr">
        <is>
          <t>The QPS shall include a backup system capable of providing the instrument air required to support helium recovery operations during a LOOP event.</t>
        </is>
      </c>
      <c r="N146" s="6" t="inlineStr">
        <is>
          <t>The QPS shall include a backup system capable of providing the instrument air required to support helium recovery operations during a LOOP event.
• The pneumatic backup system shall provide an autonomy of ≥ 6 hours under full helium recovery load conditions.</t>
        </is>
      </c>
      <c r="O146" s="6" t="n">
        <v>0</v>
      </c>
      <c r="P146" s="6" t="n">
        <v>3</v>
      </c>
      <c r="Q146" s="6" t="n">
        <v>1</v>
      </c>
      <c r="R146" s="6" t="n">
        <v>2</v>
      </c>
      <c r="S146" s="6" t="n">
        <v>1</v>
      </c>
      <c r="T146" s="6" t="n">
        <v>0</v>
      </c>
      <c r="U146" s="6" t="n">
        <v>0</v>
      </c>
      <c r="V146" s="6" t="n">
        <v>43.333333</v>
      </c>
      <c r="W146" s="6" t="n">
        <v>80.4438</v>
      </c>
      <c r="X146" s="6" t="n">
        <v>17.9816</v>
      </c>
      <c r="Y146" s="6" t="inlineStr">
        <is>
          <t>Reliability</t>
        </is>
      </c>
      <c r="Z146" s="6" t="inlineStr">
        <is>
          <t>Frozen-weight composite; strongest contribution: Reliability.</t>
        </is>
      </c>
      <c r="AA146" s="6" t="inlineStr">
        <is>
          <t>None explicitly named in this RTM</t>
        </is>
      </c>
      <c r="AB146" s="6" t="inlineStr">
        <is>
          <t>SCK CEN/90508872 §4.7.5.1; no named external code</t>
        </is>
      </c>
      <c r="AC146" s="6" t="inlineStr">
        <is>
          <t>Calculation/model plus calibrated measurement or recorded trend; RAM/maintenance substantiation and recovery/failure-response evidence</t>
        </is>
      </c>
      <c r="AD146" s="6" t="inlineStr">
        <is>
          <t>No separate deliverable explicitly named</t>
        </is>
      </c>
      <c r="AE146" s="6" t="inlineStr">
        <is>
          <t>L1 Conceptual Design; L2 Detailed Design</t>
        </is>
      </c>
      <c r="AF146" s="6" t="inlineStr">
        <is>
          <t>Section/contract-derived reference; derived evidence route</t>
        </is>
      </c>
      <c r="AG146" s="58" t="inlineStr">
        <is>
          <t>Not linked to an OFFER item</t>
        </is>
      </c>
    </row>
    <row r="147" ht="60" customHeight="1">
      <c r="A147" s="6" t="n">
        <v>142</v>
      </c>
      <c r="B147" s="6" t="inlineStr">
        <is>
          <t>RTM-015</t>
        </is>
      </c>
      <c r="C147" s="6" t="inlineStr">
        <is>
          <t>No</t>
        </is>
      </c>
      <c r="D147" s="6" t="inlineStr">
        <is>
          <t>T1 Primary</t>
        </is>
      </c>
      <c r="E147" s="6" t="inlineStr">
        <is>
          <t>Process &amp; Functional</t>
        </is>
      </c>
      <c r="F147" s="82" t="inlineStr">
        <is>
          <t>SAFETY</t>
        </is>
      </c>
      <c r="G147" s="83" t="inlineStr">
        <is>
          <t>Interlock &amp; Control Safety</t>
        </is>
      </c>
      <c r="H147" s="59" t="inlineStr">
        <is>
          <t>—</t>
        </is>
      </c>
      <c r="I147" s="81" t="inlineStr">
        <is>
          <t>Inferred: C2 — Process Design (low conf.)</t>
        </is>
      </c>
      <c r="J147" s="6" t="n">
        <v>28</v>
      </c>
      <c r="K147" s="6" t="inlineStr">
        <is>
          <t>4.2.2</t>
        </is>
      </c>
      <c r="L147" s="6" t="inlineStr">
        <is>
          <t>Operational Scenarios and Transitions</t>
        </is>
      </c>
      <c r="M147" s="6" t="inlineStr">
        <is>
          <t>The Contractor shall progressively define the detailed implementation of each specified operational scenario and transition during Basic and Detailed Design. This shall include, for each scenario and sub step, at minimum:</t>
        </is>
      </c>
      <c r="N147" s="6" t="inlineStr">
        <is>
          <t>The Contractor shall progressively define the detailed implementation of each specified operational scenario and transition during Basic and Detailed Design. This shall include, for each scenario and sub step, at minimum:
• The sub steps, transition conditions, and the associated interface process conditions and control setpoint ranges
• The control setpoints, alarm limits, and interlock thresholds</t>
        </is>
      </c>
      <c r="O147" s="6" t="n">
        <v>0</v>
      </c>
      <c r="P147" s="6" t="n">
        <v>1</v>
      </c>
      <c r="Q147" s="6" t="n">
        <v>3</v>
      </c>
      <c r="R147" s="6" t="n">
        <v>3</v>
      </c>
      <c r="S147" s="6" t="n">
        <v>0</v>
      </c>
      <c r="T147" s="6" t="n">
        <v>0</v>
      </c>
      <c r="U147" s="6" t="n">
        <v>0</v>
      </c>
      <c r="V147" s="6" t="n">
        <v>43.333333</v>
      </c>
      <c r="W147" s="6" t="n">
        <v>80.4438</v>
      </c>
      <c r="X147" s="6" t="n">
        <v>17.9816</v>
      </c>
      <c r="Y147" s="6" t="inlineStr">
        <is>
          <t>Performance</t>
        </is>
      </c>
      <c r="Z147" s="6" t="inlineStr">
        <is>
          <t>Frozen-weight composite; strongest contribution: Performance.</t>
        </is>
      </c>
      <c r="AA147" s="6" t="inlineStr">
        <is>
          <t>None explicitly named in this RTM</t>
        </is>
      </c>
      <c r="AB147" s="6" t="inlineStr">
        <is>
          <t>SCK CEN/90508872 §4.2.2; no named external code</t>
        </is>
      </c>
      <c r="AC147" s="6" t="inlineStr">
        <is>
          <t>Calculation/model plus calibrated measurement or recorded trend; Functional design/configuration review and sequence/interface demonstration</t>
        </is>
      </c>
      <c r="AD147" s="6" t="inlineStr">
        <is>
          <t>No separate deliverable explicitly named</t>
        </is>
      </c>
      <c r="AE147" s="6" t="inlineStr">
        <is>
          <t>L2 Detailed Design; L1 Conceptual Design</t>
        </is>
      </c>
      <c r="AF147" s="6" t="inlineStr">
        <is>
          <t>Section/contract-derived reference; derived evidence route</t>
        </is>
      </c>
      <c r="AG147" s="58" t="inlineStr">
        <is>
          <t>Not linked to an OFFER item</t>
        </is>
      </c>
    </row>
    <row r="148" ht="60" customHeight="1">
      <c r="A148" s="6" t="n">
        <v>143</v>
      </c>
      <c r="B148" s="6" t="inlineStr">
        <is>
          <t>RTM-333</t>
        </is>
      </c>
      <c r="C148" s="6" t="inlineStr">
        <is>
          <t>No</t>
        </is>
      </c>
      <c r="D148" s="6" t="inlineStr">
        <is>
          <t>T1 Primary</t>
        </is>
      </c>
      <c r="E148" s="6" t="inlineStr">
        <is>
          <t>Control &amp; Interlock</t>
        </is>
      </c>
      <c r="F148" s="82" t="inlineStr">
        <is>
          <t>SYSTEM</t>
        </is>
      </c>
      <c r="G148" s="83" t="inlineStr">
        <is>
          <t>Performance</t>
        </is>
      </c>
      <c r="H148" s="59" t="inlineStr">
        <is>
          <t>—</t>
        </is>
      </c>
      <c r="I148" s="81" t="inlineStr">
        <is>
          <t>Inferred: C4 — Software &amp; Control (high conf.)</t>
        </is>
      </c>
      <c r="J148" s="6" t="n">
        <v>74</v>
      </c>
      <c r="K148" s="6" t="inlineStr">
        <is>
          <t>4.6.6</t>
        </is>
      </c>
      <c r="L148" s="6" t="inlineStr">
        <is>
          <t>User and Maintenance Manuals</t>
        </is>
      </c>
      <c r="M148" s="6" t="inlineStr">
        <is>
          <t>The manuals shall include, at minimum:</t>
        </is>
      </c>
      <c r="N148" s="6" t="inlineStr">
        <is>
          <t>The manuals shall include, at minimum:
• All information required for proper operation of the QPS by SCK CEN.
• All information required for corrective and preventive maintenance of the QPS by SCK CEN.</t>
        </is>
      </c>
      <c r="O148" s="6" t="n">
        <v>0</v>
      </c>
      <c r="P148" s="6" t="n">
        <v>2</v>
      </c>
      <c r="Q148" s="6" t="n">
        <v>0</v>
      </c>
      <c r="R148" s="6" t="n">
        <v>3</v>
      </c>
      <c r="S148" s="6" t="n">
        <v>2</v>
      </c>
      <c r="T148" s="6" t="n">
        <v>2</v>
      </c>
      <c r="U148" s="6" t="n">
        <v>0</v>
      </c>
      <c r="V148" s="6" t="n">
        <v>43.333333</v>
      </c>
      <c r="W148" s="6" t="n">
        <v>80.4438</v>
      </c>
      <c r="X148" s="6" t="n">
        <v>17.9816</v>
      </c>
      <c r="Y148" s="6" t="inlineStr">
        <is>
          <t>Functional</t>
        </is>
      </c>
      <c r="Z148" s="6" t="inlineStr">
        <is>
          <t>Frozen-weight composite; strongest contribution: Functional.</t>
        </is>
      </c>
      <c r="AA148" s="6" t="inlineStr">
        <is>
          <t>None explicitly named in this RTM</t>
        </is>
      </c>
      <c r="AB148" s="6" t="inlineStr">
        <is>
          <t>SCK CEN/90508872 §4.6.6; no named external code</t>
        </is>
      </c>
      <c r="AC148" s="6" t="inlineStr">
        <is>
          <t>RAM/maintenance substantiation and recovery/failure-response evidence; Document review, inspection, certification, audit or traceable QC record</t>
        </is>
      </c>
      <c r="AD148" s="6" t="inlineStr">
        <is>
          <t>No separate deliverable explicitly named</t>
        </is>
      </c>
      <c r="AE148" s="6" t="inlineStr">
        <is>
          <t>L1 Conceptual Design; L2 Detailed Design</t>
        </is>
      </c>
      <c r="AF148" s="6" t="inlineStr">
        <is>
          <t>Section/contract-derived reference; derived evidence route</t>
        </is>
      </c>
      <c r="AG148" s="58" t="inlineStr">
        <is>
          <t>Not linked to an OFFER item</t>
        </is>
      </c>
    </row>
    <row r="149" ht="73" customHeight="1">
      <c r="A149" s="6" t="n">
        <v>144</v>
      </c>
      <c r="B149" s="6" t="inlineStr">
        <is>
          <t>RTM-109</t>
        </is>
      </c>
      <c r="C149" s="6" t="inlineStr">
        <is>
          <t>No</t>
        </is>
      </c>
      <c r="D149" s="6" t="inlineStr">
        <is>
          <t>T1 Primary</t>
        </is>
      </c>
      <c r="E149" s="6" t="inlineStr">
        <is>
          <t>Subsystems</t>
        </is>
      </c>
      <c r="F149" s="82" t="inlineStr">
        <is>
          <t>SYSTEM</t>
        </is>
      </c>
      <c r="G149" s="83" t="inlineStr">
        <is>
          <t>Performance</t>
        </is>
      </c>
      <c r="H149" s="59" t="inlineStr">
        <is>
          <t>—</t>
        </is>
      </c>
      <c r="I149" s="81" t="inlineStr">
        <is>
          <t>Inferred: C2 — Process Design (low conf.)</t>
        </is>
      </c>
      <c r="J149" s="6" t="n">
        <v>45</v>
      </c>
      <c r="K149" s="6" t="inlineStr">
        <is>
          <t>4.4.2.2</t>
        </is>
      </c>
      <c r="L149" s="6" t="inlineStr">
        <is>
          <t>Electrical Heaters</t>
        </is>
      </c>
      <c r="M149" s="6" t="inlineStr">
        <is>
          <t>The heaters and associated electrical wiring shall be designed to minimise parasitic heat loads to cold surfaces through appropriate thermalisation and optimised wiring routing and diameters.</t>
        </is>
      </c>
      <c r="N149" s="6" t="inlineStr">
        <is>
          <t>The heaters and associated electrical wiring shall be designed to minimise parasitic heat loads to cold surfaces through appropriate thermalisation and optimised wiring routing and diameters.</t>
        </is>
      </c>
      <c r="O149" s="6" t="n">
        <v>0</v>
      </c>
      <c r="P149" s="6" t="n">
        <v>0</v>
      </c>
      <c r="Q149" s="6" t="n">
        <v>3</v>
      </c>
      <c r="R149" s="6" t="n">
        <v>2</v>
      </c>
      <c r="S149" s="6" t="n">
        <v>3</v>
      </c>
      <c r="T149" s="6" t="n">
        <v>0</v>
      </c>
      <c r="U149" s="6" t="n">
        <v>0</v>
      </c>
      <c r="V149" s="6" t="n">
        <v>42.666667</v>
      </c>
      <c r="W149" s="6" t="n">
        <v>80.0277</v>
      </c>
      <c r="X149" s="6" t="n">
        <v>17.4876</v>
      </c>
      <c r="Y149" s="6" t="inlineStr">
        <is>
          <t>Performance</t>
        </is>
      </c>
      <c r="Z149" s="6" t="inlineStr">
        <is>
          <t>Frozen-weight composite; strongest contribution: Performance.</t>
        </is>
      </c>
      <c r="AA149" s="6" t="inlineStr">
        <is>
          <t>None explicitly named in this RTM</t>
        </is>
      </c>
      <c r="AB149" s="6" t="inlineStr">
        <is>
          <t>SCK CEN/90508872 §4.4.2.2; no named external code</t>
        </is>
      </c>
      <c r="AC149" s="6" t="inlineStr">
        <is>
          <t>Witnessed FAT/SAT/commissioning test against stated acceptance criteria; Calculation/model plus calibrated measurement or recorded trend</t>
        </is>
      </c>
      <c r="AD149" s="6" t="inlineStr">
        <is>
          <t>No separate deliverable explicitly named</t>
        </is>
      </c>
      <c r="AE149" s="6" t="inlineStr">
        <is>
          <t>L6 Site Acceptance Testing; L1 Conceptual Design; L2 Detailed Design</t>
        </is>
      </c>
      <c r="AF149" s="6" t="inlineStr">
        <is>
          <t>Section/contract-derived reference; derived evidence route</t>
        </is>
      </c>
      <c r="AG149" s="58" t="inlineStr">
        <is>
          <t>Not linked to an OFFER item</t>
        </is>
      </c>
    </row>
    <row r="150" ht="73" customHeight="1">
      <c r="A150" s="6" t="n">
        <v>145</v>
      </c>
      <c r="B150" s="6" t="inlineStr">
        <is>
          <t>RTM-092</t>
        </is>
      </c>
      <c r="C150" s="6" t="inlineStr">
        <is>
          <t>No</t>
        </is>
      </c>
      <c r="D150" s="6" t="inlineStr">
        <is>
          <t>T1 Primary</t>
        </is>
      </c>
      <c r="E150" s="6" t="inlineStr">
        <is>
          <t>Subsystems</t>
        </is>
      </c>
      <c r="F150" s="82" t="inlineStr">
        <is>
          <t>SYSTEM</t>
        </is>
      </c>
      <c r="G150" s="83" t="inlineStr">
        <is>
          <t>Control</t>
        </is>
      </c>
      <c r="H150" s="59" t="inlineStr">
        <is>
          <t>—</t>
        </is>
      </c>
      <c r="I150" s="81" t="inlineStr">
        <is>
          <t>Inferred: C2 — Process Design (low conf.)</t>
        </is>
      </c>
      <c r="J150" s="6" t="n">
        <v>43</v>
      </c>
      <c r="K150" s="6" t="inlineStr">
        <is>
          <t>4.4.2</t>
        </is>
      </c>
      <c r="L150" s="6" t="inlineStr">
        <is>
          <t>Common Instrumentation Parts</t>
        </is>
      </c>
      <c r="M150" s="6" t="inlineStr">
        <is>
          <t>The Contractor shall provide and install all instrumentation required to:</t>
        </is>
      </c>
      <c r="N150" s="6" t="inlineStr">
        <is>
          <t>The Contractor shall provide and install all instrumentation required to:
• Enable automatic control of all QPS operational scenarios.
• Maintain safe operating conditions; and
• Verify compliance with the specified performance criteria during acceptance testing.</t>
        </is>
      </c>
      <c r="O150" s="6" t="n">
        <v>2</v>
      </c>
      <c r="P150" s="6" t="n">
        <v>0</v>
      </c>
      <c r="Q150" s="6" t="n">
        <v>2</v>
      </c>
      <c r="R150" s="6" t="n">
        <v>3</v>
      </c>
      <c r="S150" s="6" t="n">
        <v>0</v>
      </c>
      <c r="T150" s="6" t="n">
        <v>0</v>
      </c>
      <c r="U150" s="6" t="n">
        <v>0</v>
      </c>
      <c r="V150" s="6" t="n">
        <v>42.666667</v>
      </c>
      <c r="W150" s="6" t="n">
        <v>80.0277</v>
      </c>
      <c r="X150" s="6" t="n">
        <v>17.4876</v>
      </c>
      <c r="Y150" s="6" t="inlineStr">
        <is>
          <t>Functional</t>
        </is>
      </c>
      <c r="Z150" s="6" t="inlineStr">
        <is>
          <t>Frozen-weight composite; strongest contribution: Functional.</t>
        </is>
      </c>
      <c r="AA150" s="6" t="inlineStr">
        <is>
          <t>None explicitly named in this RTM</t>
        </is>
      </c>
      <c r="AB150" s="6" t="inlineStr">
        <is>
          <t>SCK CEN/90508872 §4.4.2; no named external code</t>
        </is>
      </c>
      <c r="AC150" s="6" t="inlineStr">
        <is>
          <t>Witnessed FAT/SAT/commissioning test against stated acceptance criteria; Calculation/model plus calibrated measurement or recorded trend; Functional design/configuration review and sequence/interface demonstration</t>
        </is>
      </c>
      <c r="AD150" s="6" t="inlineStr">
        <is>
          <t>No separate deliverable explicitly named</t>
        </is>
      </c>
      <c r="AE150" s="6" t="inlineStr">
        <is>
          <t>L1 Conceptual Design; L2 Detailed Design</t>
        </is>
      </c>
      <c r="AF150" s="6" t="inlineStr">
        <is>
          <t>Section/contract-derived reference; explicit deliverable/test wording</t>
        </is>
      </c>
      <c r="AG150" s="58" t="inlineStr">
        <is>
          <t>Not linked to an OFFER item</t>
        </is>
      </c>
    </row>
    <row r="151" ht="125" customHeight="1">
      <c r="A151" s="6" t="n">
        <v>146</v>
      </c>
      <c r="B151" s="6" t="inlineStr">
        <is>
          <t>RTM-313</t>
        </is>
      </c>
      <c r="C151" s="6" t="inlineStr">
        <is>
          <t>No</t>
        </is>
      </c>
      <c r="D151" s="6" t="inlineStr">
        <is>
          <t>T1 Primary</t>
        </is>
      </c>
      <c r="E151" s="6" t="inlineStr">
        <is>
          <t>Control &amp; Interlock</t>
        </is>
      </c>
      <c r="F151" s="82" t="inlineStr">
        <is>
          <t>SYSTEM</t>
        </is>
      </c>
      <c r="G151" s="83" t="inlineStr">
        <is>
          <t>Performance</t>
        </is>
      </c>
      <c r="H151" s="59" t="inlineStr">
        <is>
          <t>—</t>
        </is>
      </c>
      <c r="I151" s="58" t="inlineStr">
        <is>
          <t>Inferred: C4 — Software &amp; Control (high conf.)</t>
        </is>
      </c>
      <c r="J151" s="6" t="n">
        <v>72</v>
      </c>
      <c r="K151" s="6" t="inlineStr">
        <is>
          <t>4.6.4.3</t>
        </is>
      </c>
      <c r="L151" s="6" t="inlineStr">
        <is>
          <t>MIT Services Integration</t>
        </is>
      </c>
      <c r="M151" s="6" t="inlineStr">
        <is>
          <t>Where backup of a system is required, the Contractor shall define the QAP</t>
        </is>
      </c>
      <c r="N151" s="6" t="inlineStr">
        <is>
          <t>Where backup of a system is required, the Contractor shall define the QAP
• a clear list of all folders, files, databases, ... that are to be included in a backup
• a document describing the backup and restore process
• any script(s) required to perform these backups and restore actions</t>
        </is>
      </c>
      <c r="O151" s="6" t="n">
        <v>0</v>
      </c>
      <c r="P151" s="6" t="n">
        <v>2</v>
      </c>
      <c r="Q151" s="6" t="n">
        <v>0</v>
      </c>
      <c r="R151" s="6" t="n">
        <v>3</v>
      </c>
      <c r="S151" s="6" t="n">
        <v>3</v>
      </c>
      <c r="T151" s="6" t="n">
        <v>0</v>
      </c>
      <c r="U151" s="6" t="n">
        <v>0</v>
      </c>
      <c r="V151" s="6" t="n">
        <v>42.666667</v>
      </c>
      <c r="W151" s="6" t="n">
        <v>80.0277</v>
      </c>
      <c r="X151" s="6" t="n">
        <v>17.4876</v>
      </c>
      <c r="Y151" s="6" t="inlineStr">
        <is>
          <t>Functional</t>
        </is>
      </c>
      <c r="Z151" s="6" t="inlineStr">
        <is>
          <t>Frozen-weight composite; strongest contribution: Functional.</t>
        </is>
      </c>
      <c r="AA151" s="6" t="inlineStr">
        <is>
          <t>None explicitly named in this RTM</t>
        </is>
      </c>
      <c r="AB151" s="6" t="inlineStr">
        <is>
          <t>SCK CEN/90508872 §4.6.4.3; no named external code</t>
        </is>
      </c>
      <c r="AC151" s="6" t="inlineStr">
        <is>
          <t>Submit and review the named deliverable with RTM traceability and approval status; RAM/maintenance substantiation and recovery/failure-response evidence; Document review, inspection, certification, audit or traceable QC record</t>
        </is>
      </c>
      <c r="AD151" s="6" t="inlineStr">
        <is>
          <t>Quality Assurance Plan (QAP); List / register / matrix</t>
        </is>
      </c>
      <c r="AE151" s="6" t="inlineStr">
        <is>
          <t>L1 Conceptual Design; L2 Detailed Design</t>
        </is>
      </c>
      <c r="AF151" s="6" t="inlineStr">
        <is>
          <t>Section/contract-derived reference; explicit deliverable/test wording</t>
        </is>
      </c>
      <c r="AG151" s="58" t="inlineStr">
        <is>
          <t>Not linked to an OFFER item</t>
        </is>
      </c>
    </row>
    <row r="152" ht="229" customHeight="1">
      <c r="A152" s="6" t="n">
        <v>147</v>
      </c>
      <c r="B152" s="6" t="inlineStr">
        <is>
          <t>RTM-042</t>
        </is>
      </c>
      <c r="C152" s="6" t="inlineStr">
        <is>
          <t>No</t>
        </is>
      </c>
      <c r="D152" s="6" t="inlineStr">
        <is>
          <t>T1 Primary</t>
        </is>
      </c>
      <c r="E152" s="6" t="inlineStr">
        <is>
          <t>Process &amp; Functional</t>
        </is>
      </c>
      <c r="F152" s="82" t="inlineStr">
        <is>
          <t>SYSTEM</t>
        </is>
      </c>
      <c r="G152" s="83" t="inlineStr">
        <is>
          <t>Control</t>
        </is>
      </c>
      <c r="H152" s="59" t="inlineStr">
        <is>
          <t>—</t>
        </is>
      </c>
      <c r="I152" s="81" t="inlineStr">
        <is>
          <t>C2 — Process Design</t>
        </is>
      </c>
      <c r="J152" s="6" t="n">
        <v>34</v>
      </c>
      <c r="K152" s="6" t="inlineStr">
        <is>
          <t>4.2.4</t>
        </is>
      </c>
      <c r="L152" s="6" t="inlineStr">
        <is>
          <t>Cooling Capacity</t>
        </is>
      </c>
      <c r="M152" s="6" t="inlineStr">
        <is>
          <t>The QPS shall be capable of continuous operation at the specified Design Cooling Capacity, while meeting the stability requirements defined in the operational conditions.</t>
        </is>
      </c>
      <c r="N152" s="6" t="inlineStr">
        <is>
          <t>The QPS shall be capable of continuous operation at the specified Design Cooling Capacity, while meeting the stability requirements defined in the operational conditions.
• For the QPLANT Design Point, the QPS shall not rely on time-limited operating modes (e.g. compressor overspeed).
• For the QPLANT Standby Point, the QPS shall not rely on continuous use of supplementary heat loads to maintain controllability.
• The Contractor shall justify any use of supplementary heat loads for control purposes (e.g. electrical heaters for phase-separator level control).</t>
        </is>
      </c>
      <c r="O152" s="6" t="n">
        <v>0</v>
      </c>
      <c r="P152" s="6" t="n">
        <v>3</v>
      </c>
      <c r="Q152" s="6" t="n">
        <v>3</v>
      </c>
      <c r="R152" s="6" t="n">
        <v>0</v>
      </c>
      <c r="S152" s="6" t="n">
        <v>0</v>
      </c>
      <c r="T152" s="6" t="n">
        <v>0</v>
      </c>
      <c r="U152" s="6" t="n">
        <v>0</v>
      </c>
      <c r="V152" s="6" t="n">
        <v>42</v>
      </c>
      <c r="W152" s="6" t="n">
        <v>79.681</v>
      </c>
      <c r="X152" s="6" t="n">
        <v>17.0886</v>
      </c>
      <c r="Y152" s="6" t="inlineStr">
        <is>
          <t>Reliability</t>
        </is>
      </c>
      <c r="Z152" s="6" t="inlineStr">
        <is>
          <t>Frozen-weight composite; strongest contribution: Reliability.</t>
        </is>
      </c>
      <c r="AA152" s="6" t="inlineStr">
        <is>
          <t>None explicitly named in this RTM</t>
        </is>
      </c>
      <c r="AB152" s="6" t="inlineStr">
        <is>
          <t>SCK CEN/90508872 §4.2.4; no named external code</t>
        </is>
      </c>
      <c r="AC152" s="6" t="inlineStr">
        <is>
          <t>Calculation/model plus calibrated measurement or recorded trend; RAM/maintenance substantiation and recovery/failure-response evidence</t>
        </is>
      </c>
      <c r="AD152" s="6" t="inlineStr">
        <is>
          <t>No separate deliverable explicitly named</t>
        </is>
      </c>
      <c r="AE152" s="6" t="inlineStr">
        <is>
          <t>L1 Conceptual Design; L2 Detailed Design</t>
        </is>
      </c>
      <c r="AF152" s="6" t="inlineStr">
        <is>
          <t>Section/contract-derived reference; derived evidence route</t>
        </is>
      </c>
      <c r="AG152" s="58" t="inlineStr">
        <is>
          <t>OFFER-07 (Direct)</t>
        </is>
      </c>
    </row>
    <row r="153" ht="151" customHeight="1">
      <c r="A153" s="6" t="n">
        <v>148</v>
      </c>
      <c r="B153" s="6" t="inlineStr">
        <is>
          <t>RTM-052</t>
        </is>
      </c>
      <c r="C153" s="6" t="inlineStr">
        <is>
          <t>No</t>
        </is>
      </c>
      <c r="D153" s="6" t="inlineStr">
        <is>
          <t>T1 Primary</t>
        </is>
      </c>
      <c r="E153" s="6" t="inlineStr">
        <is>
          <t>Process &amp; Functional</t>
        </is>
      </c>
      <c r="F153" s="82" t="inlineStr">
        <is>
          <t>SYSTEM</t>
        </is>
      </c>
      <c r="G153" s="83" t="inlineStr">
        <is>
          <t>Performance</t>
        </is>
      </c>
      <c r="H153" s="59" t="inlineStr">
        <is>
          <t>—</t>
        </is>
      </c>
      <c r="I153" s="81" t="inlineStr">
        <is>
          <t>Inferred: C2 — Process Design (low conf.)</t>
        </is>
      </c>
      <c r="J153" s="6" t="n">
        <v>36</v>
      </c>
      <c r="K153" s="6" t="inlineStr">
        <is>
          <t>4.2.6</t>
        </is>
      </c>
      <c r="L153" s="6" t="inlineStr">
        <is>
          <t>Abnormal event</t>
        </is>
      </c>
      <c r="M153" s="6" t="inlineStr">
        <is>
          <t>The QPS design shall consider the following abnormal events affecting the cryogenic system of the QPS:</t>
        </is>
      </c>
      <c r="N153" s="6" t="inlineStr">
        <is>
          <t>The QPS design shall consider the following abnormal events affecting the cryogenic system of the QPS:
• For upsets or loss of operation
• Loss of operation of at least one compressor (warm, sub-atmospheric, or cold)
• Loss of operation of at least one expansion turbine
• Unavailability of at least one Helium storage vessel
• Loss of helium purity (e.g. air or moisture contamination of the process helium).
• For incidents or failures
• LOCA: Loss of Coolant Accident for any significant helium release due to rupture or major leak
• Loss of Insulation Vacuum, in the following severity levels
• Sudden and complete loss of insulation vacuum in the QPS cold box
• Gradual or partial loss of insulation vacuum in the QPS cold box
• Major internal helium discharge to the recovery system (e.g. activation of pressure relief devices)</t>
        </is>
      </c>
      <c r="O153" s="6" t="n">
        <v>0</v>
      </c>
      <c r="P153" s="6" t="n">
        <v>3</v>
      </c>
      <c r="Q153" s="6" t="n">
        <v>3</v>
      </c>
      <c r="R153" s="6" t="n">
        <v>0</v>
      </c>
      <c r="S153" s="6" t="n">
        <v>0</v>
      </c>
      <c r="T153" s="6" t="n">
        <v>0</v>
      </c>
      <c r="U153" s="6" t="n">
        <v>0</v>
      </c>
      <c r="V153" s="6" t="n">
        <v>42</v>
      </c>
      <c r="W153" s="6" t="n">
        <v>79.681</v>
      </c>
      <c r="X153" s="6" t="n">
        <v>17.0886</v>
      </c>
      <c r="Y153" s="6" t="inlineStr">
        <is>
          <t>Reliability</t>
        </is>
      </c>
      <c r="Z153" s="6" t="inlineStr">
        <is>
          <t>Frozen-weight composite; strongest contribution: Reliability.</t>
        </is>
      </c>
      <c r="AA153" s="6" t="inlineStr">
        <is>
          <t>None explicitly named in this RTM</t>
        </is>
      </c>
      <c r="AB153" s="6" t="inlineStr">
        <is>
          <t>SCK CEN/90508872 §4.2.6; no named external code</t>
        </is>
      </c>
      <c r="AC153" s="6" t="inlineStr">
        <is>
          <t>Calculation/model plus calibrated measurement or recorded trend; RAM/maintenance substantiation and recovery/failure-response evidence</t>
        </is>
      </c>
      <c r="AD153" s="6" t="inlineStr">
        <is>
          <t>No separate deliverable explicitly named</t>
        </is>
      </c>
      <c r="AE153" s="6" t="inlineStr">
        <is>
          <t>L1 Conceptual Design; L2 Detailed Design</t>
        </is>
      </c>
      <c r="AF153" s="6" t="inlineStr">
        <is>
          <t>Section/contract-derived reference; derived evidence route</t>
        </is>
      </c>
      <c r="AG153" s="58" t="inlineStr">
        <is>
          <t>Not linked to an OFFER item</t>
        </is>
      </c>
    </row>
    <row r="154" ht="125" customHeight="1">
      <c r="A154" s="6" t="n">
        <v>149</v>
      </c>
      <c r="B154" s="6" t="inlineStr">
        <is>
          <t>RTM-226</t>
        </is>
      </c>
      <c r="C154" s="6" t="inlineStr">
        <is>
          <t>No</t>
        </is>
      </c>
      <c r="D154" s="6" t="inlineStr">
        <is>
          <t>T1 Primary</t>
        </is>
      </c>
      <c r="E154" s="6" t="inlineStr">
        <is>
          <t>Subsystems</t>
        </is>
      </c>
      <c r="F154" s="82" t="inlineStr">
        <is>
          <t>SYSTEM</t>
        </is>
      </c>
      <c r="G154" s="83" t="inlineStr">
        <is>
          <t>Control</t>
        </is>
      </c>
      <c r="H154" s="59" t="inlineStr">
        <is>
          <t>—</t>
        </is>
      </c>
      <c r="I154" s="58" t="inlineStr">
        <is>
          <t>Inferred: C2 — Process Design (low conf.)</t>
        </is>
      </c>
      <c r="J154" s="6" t="n">
        <v>58</v>
      </c>
      <c r="K154" s="6" t="inlineStr">
        <is>
          <t>4.4.4.2.6</t>
        </is>
      </c>
      <c r="L154" s="6" t="inlineStr">
        <is>
          <t>Adsorbers</t>
        </is>
      </c>
      <c r="M154" s="6" t="inlineStr">
        <is>
          <t>The QRB shall include 20K and 80 K adsorbers to remove impurities. All adsorbers shall comply with the following requirements:</t>
        </is>
      </c>
      <c r="N154" s="6" t="inlineStr">
        <is>
          <t>The QRB shall include 20K and 80 K adsorbers to remove impurities. All adsorbers shall comply with the following requirements:
• Each adsorber shall be equipped with a full mass flow bypass.
• Each adsorber shall be equipped with gas analysis ports for monitoring adsorption performance.
• Each adsorber shall be equipped with instrumentation to monitor the pressure drop across the bed.
• The system shall provide fully automatic regeneration and cool-down of the adsorbers.
• The QRB design shall allow easy access for periodic replacement of the adsorbent material.</t>
        </is>
      </c>
      <c r="O154" s="6" t="n">
        <v>0</v>
      </c>
      <c r="P154" s="6" t="n">
        <v>1</v>
      </c>
      <c r="Q154" s="6" t="n">
        <v>3</v>
      </c>
      <c r="R154" s="6" t="n">
        <v>2</v>
      </c>
      <c r="S154" s="6" t="n">
        <v>1</v>
      </c>
      <c r="T154" s="6" t="n">
        <v>0</v>
      </c>
      <c r="U154" s="6" t="n">
        <v>0</v>
      </c>
      <c r="V154" s="6" t="n">
        <v>42</v>
      </c>
      <c r="W154" s="6" t="n">
        <v>79.2649</v>
      </c>
      <c r="X154" s="6" t="n">
        <v>16.6245</v>
      </c>
      <c r="Y154" s="6" t="inlineStr">
        <is>
          <t>Performance</t>
        </is>
      </c>
      <c r="Z154" s="6" t="inlineStr">
        <is>
          <t>Frozen-weight composite; strongest contribution: Performance.</t>
        </is>
      </c>
      <c r="AA154" s="6" t="inlineStr">
        <is>
          <t>None explicitly named in this RTM</t>
        </is>
      </c>
      <c r="AB154" s="6" t="inlineStr">
        <is>
          <t>SCK CEN/90508872 §4.4.4.2.6; no named external code</t>
        </is>
      </c>
      <c r="AC154" s="6" t="inlineStr">
        <is>
          <t>Calculation/model plus calibrated measurement or recorded trend</t>
        </is>
      </c>
      <c r="AD154" s="6" t="inlineStr">
        <is>
          <t>No separate deliverable explicitly named</t>
        </is>
      </c>
      <c r="AE154" s="6" t="inlineStr">
        <is>
          <t>L1 Conceptual Design; L2 Detailed Design</t>
        </is>
      </c>
      <c r="AF154" s="6" t="inlineStr">
        <is>
          <t>Section/contract-derived reference; derived evidence route</t>
        </is>
      </c>
      <c r="AG154" s="58" t="inlineStr">
        <is>
          <t>Not linked to an OFFER item</t>
        </is>
      </c>
    </row>
    <row r="155" ht="112" customHeight="1">
      <c r="A155" s="6" t="n">
        <v>150</v>
      </c>
      <c r="B155" s="6" t="inlineStr">
        <is>
          <t>RTM-484</t>
        </is>
      </c>
      <c r="C155" s="6" t="inlineStr">
        <is>
          <t>No</t>
        </is>
      </c>
      <c r="D155" s="6" t="inlineStr">
        <is>
          <t>T1 Primary</t>
        </is>
      </c>
      <c r="E155" s="6" t="inlineStr">
        <is>
          <t>Training</t>
        </is>
      </c>
      <c r="F155" s="82" t="inlineStr">
        <is>
          <t>PROJECT</t>
        </is>
      </c>
      <c r="G155" s="83" t="inlineStr">
        <is>
          <t>Governance &amp; Responsibility</t>
        </is>
      </c>
      <c r="H155" s="59" t="inlineStr">
        <is>
          <t>—</t>
        </is>
      </c>
      <c r="I155" s="58" t="inlineStr">
        <is>
          <t>C6 — Reliability &amp; Maintenance</t>
        </is>
      </c>
      <c r="J155" s="6" t="n">
        <v>93</v>
      </c>
      <c r="K155" s="6" t="inlineStr">
        <is>
          <t>4.12.1</t>
        </is>
      </c>
      <c r="L155" s="6" t="inlineStr">
        <is>
          <t>Training and Competence Transfer</t>
        </is>
      </c>
      <c r="M155" s="6" t="inlineStr">
        <is>
          <t>The Contractor shall prepare and execute a training programme.</t>
        </is>
      </c>
      <c r="N155" s="6" t="inlineStr">
        <is>
          <t>The Contractor shall prepare and execute a training programme.
• The training programme shall cover, at minimum, the following training modules:
• Installation and commissioning training.
• Operation and abnormal-event response training.
• Maintenance and troubleshooting training.
• Instrumentation and electrical-measurement training.
• Helium logistics, consumables, waste handling, and special-tools training.
• All training modules shall include participatory and hands-on elements.</t>
        </is>
      </c>
      <c r="O155" s="6" t="n">
        <v>1</v>
      </c>
      <c r="P155" s="6" t="n">
        <v>2</v>
      </c>
      <c r="Q155" s="6" t="n">
        <v>0</v>
      </c>
      <c r="R155" s="6" t="n">
        <v>3</v>
      </c>
      <c r="S155" s="6" t="n">
        <v>0</v>
      </c>
      <c r="T155" s="6" t="n">
        <v>2</v>
      </c>
      <c r="U155" s="6" t="n">
        <v>0</v>
      </c>
      <c r="V155" s="6" t="n">
        <v>42</v>
      </c>
      <c r="W155" s="6" t="n">
        <v>79.2649</v>
      </c>
      <c r="X155" s="6" t="n">
        <v>16.6245</v>
      </c>
      <c r="Y155" s="6" t="inlineStr">
        <is>
          <t>Functional</t>
        </is>
      </c>
      <c r="Z155" s="6" t="inlineStr">
        <is>
          <t>Frozen-weight composite; strongest contribution: Functional.</t>
        </is>
      </c>
      <c r="AA155" s="6" t="inlineStr">
        <is>
          <t>None explicitly named in this RTM</t>
        </is>
      </c>
      <c r="AB155" s="6" t="inlineStr">
        <is>
          <t>SCK CEN/90508872 §4.12.1; no named external code</t>
        </is>
      </c>
      <c r="AC155" s="6" t="inlineStr">
        <is>
          <t>Submit and review the named deliverable with RTM traceability and approval status; Witnessed FAT/SAT/commissioning test against stated acceptance criteria; RAM/maintenance substantiation and recovery/failure-response evidence</t>
        </is>
      </c>
      <c r="AD155" s="6" t="inlineStr">
        <is>
          <t>Training Programme / Materials</t>
        </is>
      </c>
      <c r="AE155" s="6" t="inlineStr">
        <is>
          <t>L4 Installation; L1 Conceptual Design; L2 Detailed Design</t>
        </is>
      </c>
      <c r="AF155" s="6" t="inlineStr">
        <is>
          <t>Section/contract-derived reference; explicit deliverable/test wording</t>
        </is>
      </c>
      <c r="AG155" s="58" t="inlineStr">
        <is>
          <t>OFFER-38 (Direct)</t>
        </is>
      </c>
    </row>
    <row r="156" ht="177" customHeight="1">
      <c r="A156" s="6" t="n">
        <v>151</v>
      </c>
      <c r="B156" s="6" t="inlineStr">
        <is>
          <t>RTM-511</t>
        </is>
      </c>
      <c r="C156" s="6" t="inlineStr">
        <is>
          <t>No</t>
        </is>
      </c>
      <c r="D156" s="6" t="inlineStr">
        <is>
          <t>T1 Primary</t>
        </is>
      </c>
      <c r="E156" s="6" t="inlineStr">
        <is>
          <t>Acceptance Testing</t>
        </is>
      </c>
      <c r="F156" s="82" t="inlineStr">
        <is>
          <t>PROJECT</t>
        </is>
      </c>
      <c r="G156" s="83" t="inlineStr">
        <is>
          <t>Governance &amp; Responsibility</t>
        </is>
      </c>
      <c r="H156" s="59" t="inlineStr">
        <is>
          <t>—</t>
        </is>
      </c>
      <c r="I156" s="58" t="inlineStr">
        <is>
          <t>C7 — Quality, Testing &amp; Risk</t>
        </is>
      </c>
      <c r="J156" s="6" t="n">
        <v>98</v>
      </c>
      <c r="K156" s="6" t="inlineStr">
        <is>
          <t>4.13.3.1</t>
        </is>
      </c>
      <c r="L156" s="6" t="inlineStr">
        <is>
          <t>Demonstration of functional behaviour and operability</t>
        </is>
      </c>
      <c r="M156" s="6" t="inlineStr">
        <is>
          <t>The Contractor shall demonstrate the correct functioning of the QPS control sequences, alarms, protections, and interlocks. This shall include, at minimum:</t>
        </is>
      </c>
      <c r="N156" s="6" t="inlineStr">
        <is>
          <t>The Contractor shall demonstrate the correct functioning of the QPS control sequences, alarms, protections, and interlocks. This shall include, at minimum:
• The validation of the start-up and shutdown sequences of the QPS.
• The validation of entry into, operation in, and exit from all Operational Scenarios, as defined in §4.2.2, including the transitions between them.
• The validation of the relevant valve logic and automatic operating sequences.</t>
        </is>
      </c>
      <c r="O156" s="6" t="n">
        <v>1</v>
      </c>
      <c r="P156" s="6" t="n">
        <v>1</v>
      </c>
      <c r="Q156" s="6" t="n">
        <v>0</v>
      </c>
      <c r="R156" s="6" t="n">
        <v>3</v>
      </c>
      <c r="S156" s="6" t="n">
        <v>3</v>
      </c>
      <c r="T156" s="6" t="n">
        <v>0</v>
      </c>
      <c r="U156" s="6" t="n">
        <v>0</v>
      </c>
      <c r="V156" s="6" t="n">
        <v>42</v>
      </c>
      <c r="W156" s="6" t="n">
        <v>79.2649</v>
      </c>
      <c r="X156" s="6" t="n">
        <v>16.6245</v>
      </c>
      <c r="Y156" s="6" t="inlineStr">
        <is>
          <t>Functional</t>
        </is>
      </c>
      <c r="Z156" s="6" t="inlineStr">
        <is>
          <t>Frozen-weight composite; strongest contribution: Functional.</t>
        </is>
      </c>
      <c r="AA156" s="6" t="inlineStr">
        <is>
          <t>None explicitly named in this RTM</t>
        </is>
      </c>
      <c r="AB156" s="6" t="inlineStr">
        <is>
          <t>SCK CEN/90508872 §4.13.3.1; no named external code</t>
        </is>
      </c>
      <c r="AC156" s="6" t="inlineStr">
        <is>
          <t>Witnessed FAT/SAT/commissioning test against stated acceptance criteria; Functional design/configuration review and sequence/interface demonstration; Document review, inspection, certification, audit or traceable QC record</t>
        </is>
      </c>
      <c r="AD156" s="6" t="inlineStr">
        <is>
          <t>No separate deliverable explicitly named</t>
        </is>
      </c>
      <c r="AE156" s="6" t="inlineStr">
        <is>
          <t>L1 Conceptual Design; L2 Detailed Design</t>
        </is>
      </c>
      <c r="AF156" s="6" t="inlineStr">
        <is>
          <t>Section/contract-derived reference; explicit deliverable/test wording</t>
        </is>
      </c>
      <c r="AG156" s="58" t="inlineStr">
        <is>
          <t>OFFER-39 (Supporting)</t>
        </is>
      </c>
    </row>
    <row r="157" ht="112" customHeight="1">
      <c r="A157" s="6" t="n">
        <v>152</v>
      </c>
      <c r="B157" s="6" t="inlineStr">
        <is>
          <t>RTM-513</t>
        </is>
      </c>
      <c r="C157" s="6" t="inlineStr">
        <is>
          <t>No</t>
        </is>
      </c>
      <c r="D157" s="6" t="inlineStr">
        <is>
          <t>T1 Primary</t>
        </is>
      </c>
      <c r="E157" s="6" t="inlineStr">
        <is>
          <t>Acceptance Testing</t>
        </is>
      </c>
      <c r="F157" s="82" t="inlineStr">
        <is>
          <t>PROJECT</t>
        </is>
      </c>
      <c r="G157" s="83" t="inlineStr">
        <is>
          <t>Governance &amp; Responsibility</t>
        </is>
      </c>
      <c r="H157" s="59" t="inlineStr">
        <is>
          <t>—</t>
        </is>
      </c>
      <c r="I157" s="81" t="inlineStr">
        <is>
          <t>C7 — Quality, Testing &amp; Risk</t>
        </is>
      </c>
      <c r="J157" s="6" t="n">
        <v>98</v>
      </c>
      <c r="K157" s="6" t="inlineStr">
        <is>
          <t>4.13.3.1</t>
        </is>
      </c>
      <c r="L157" s="6" t="inlineStr">
        <is>
          <t>Demonstration of functional behaviour and operability</t>
        </is>
      </c>
      <c r="M157" s="6" t="inlineStr">
        <is>
          <t>The Contractor shall perform stress tests under controlled SAT conditions to demonstrate the robustness of the QPS control and protection functions under perturbed operation.</t>
        </is>
      </c>
      <c r="N157" s="6" t="inlineStr">
        <is>
          <t>The Contractor shall perform stress tests under controlled SAT conditions to demonstrate the robustness of the QPS control and protection functions under perturbed operation.
• The stress tests shall validate the control response, protection logic, and system stability under representative disturbances and off-normal but controlled operating conditions.
• The stress tests shall include, at minimum:
• Loss of electrical power.
• Loss of cooling water.
• Loss of instrument air.
• Loss of vacuum.
• Loss of control-system function or communication.
• Degraded helium purity or impurity-related alarm/trip conditions.</t>
        </is>
      </c>
      <c r="O157" s="6" t="n">
        <v>1</v>
      </c>
      <c r="P157" s="6" t="n">
        <v>1</v>
      </c>
      <c r="Q157" s="6" t="n">
        <v>0</v>
      </c>
      <c r="R157" s="6" t="n">
        <v>3</v>
      </c>
      <c r="S157" s="6" t="n">
        <v>3</v>
      </c>
      <c r="T157" s="6" t="n">
        <v>0</v>
      </c>
      <c r="U157" s="6" t="n">
        <v>0</v>
      </c>
      <c r="V157" s="6" t="n">
        <v>42</v>
      </c>
      <c r="W157" s="6" t="n">
        <v>79.2649</v>
      </c>
      <c r="X157" s="6" t="n">
        <v>16.6245</v>
      </c>
      <c r="Y157" s="6" t="inlineStr">
        <is>
          <t>Functional</t>
        </is>
      </c>
      <c r="Z157" s="6" t="inlineStr">
        <is>
          <t>Frozen-weight composite; strongest contribution: Functional.</t>
        </is>
      </c>
      <c r="AA157" s="6" t="inlineStr">
        <is>
          <t>None explicitly named in this RTM</t>
        </is>
      </c>
      <c r="AB157" s="6" t="inlineStr">
        <is>
          <t>SCK CEN/90508872 §4.13.3.1; no named external code</t>
        </is>
      </c>
      <c r="AC157" s="6" t="inlineStr">
        <is>
          <t>Witnessed FAT/SAT/commissioning test against stated acceptance criteria; Functional design/configuration review and sequence/interface demonstration</t>
        </is>
      </c>
      <c r="AD157" s="6" t="inlineStr">
        <is>
          <t>No separate deliverable explicitly named</t>
        </is>
      </c>
      <c r="AE157" s="6" t="inlineStr">
        <is>
          <t>L6 Site Acceptance Testing; L1 Conceptual Design; L2 Detailed Design</t>
        </is>
      </c>
      <c r="AF157" s="6" t="inlineStr">
        <is>
          <t>Section/contract-derived reference; explicit deliverable/test wording</t>
        </is>
      </c>
      <c r="AG157" s="58" t="inlineStr">
        <is>
          <t>OFFER-39 (Supporting)</t>
        </is>
      </c>
    </row>
    <row r="158" ht="60" customHeight="1">
      <c r="A158" s="6" t="n">
        <v>153</v>
      </c>
      <c r="B158" s="6" t="inlineStr">
        <is>
          <t>RTM-036</t>
        </is>
      </c>
      <c r="C158" s="6" t="inlineStr">
        <is>
          <t>No</t>
        </is>
      </c>
      <c r="D158" s="6" t="inlineStr">
        <is>
          <t>T1 Primary</t>
        </is>
      </c>
      <c r="E158" s="6" t="inlineStr">
        <is>
          <t>Process &amp; Functional</t>
        </is>
      </c>
      <c r="F158" s="82" t="inlineStr">
        <is>
          <t>SYSTEM</t>
        </is>
      </c>
      <c r="G158" s="83" t="inlineStr">
        <is>
          <t>Performance</t>
        </is>
      </c>
      <c r="H158" s="59" t="inlineStr">
        <is>
          <t>—</t>
        </is>
      </c>
      <c r="I158" s="81" t="inlineStr">
        <is>
          <t>Inferred: C2 — Process Design (low conf.)</t>
        </is>
      </c>
      <c r="J158" s="6" t="n">
        <v>32</v>
      </c>
      <c r="K158" s="6" t="inlineStr">
        <is>
          <t>4.2.3</t>
        </is>
      </c>
      <c r="L158" s="6" t="inlineStr">
        <is>
          <t>Operational Condition Ranges</t>
        </is>
      </c>
      <c r="M158" s="6" t="inlineStr">
        <is>
          <t>The QPS shall be capable of accommodating step changes in the cavity heat load Q_CAV during the 2K-OP scenario.</t>
        </is>
      </c>
      <c r="N158" s="6" t="inlineStr">
        <is>
          <t>The QPS shall be capable of accommodating step changes in the cavity heat load Q_CAV during the 2K-OP scenario.
• Each heat-load step change ΔQ_step shall have a value between -30 W and +30 W.
• Each ΔQ_step shall be applied to the cavity heat loads Q_CAV in accordance with the Cryogenic User Circuitry Model.
• Following each applied ΔQ_step, the QPS shall remain controllable and shall maintain compliance with the Operational Conditions specified in §4.2.3.</t>
        </is>
      </c>
      <c r="O158" s="6" t="n">
        <v>2</v>
      </c>
      <c r="P158" s="6" t="n">
        <v>0</v>
      </c>
      <c r="Q158" s="6" t="n">
        <v>3</v>
      </c>
      <c r="R158" s="6" t="n">
        <v>0</v>
      </c>
      <c r="S158" s="6" t="n">
        <v>2</v>
      </c>
      <c r="T158" s="6" t="n">
        <v>0</v>
      </c>
      <c r="U158" s="6" t="n">
        <v>0</v>
      </c>
      <c r="V158" s="6" t="n">
        <v>41.333333</v>
      </c>
      <c r="W158" s="6" t="n">
        <v>78.9182</v>
      </c>
      <c r="X158" s="6" t="n">
        <v>16.2493</v>
      </c>
      <c r="Y158" s="6" t="inlineStr">
        <is>
          <t>Performance</t>
        </is>
      </c>
      <c r="Z158" s="6" t="inlineStr">
        <is>
          <t>Frozen-weight composite; strongest contribution: Performance.</t>
        </is>
      </c>
      <c r="AA158" s="6" t="inlineStr">
        <is>
          <t>None explicitly named in this RTM</t>
        </is>
      </c>
      <c r="AB158" s="6" t="inlineStr">
        <is>
          <t>SCK CEN/90508872 §4.2.3; no named external code</t>
        </is>
      </c>
      <c r="AC158" s="6" t="inlineStr">
        <is>
          <t>Calculation/model plus calibrated measurement or recorded trend; Document review, inspection, certification, audit or traceable QC record</t>
        </is>
      </c>
      <c r="AD158" s="6" t="inlineStr">
        <is>
          <t>No separate deliverable explicitly named</t>
        </is>
      </c>
      <c r="AE158" s="6" t="inlineStr">
        <is>
          <t>L1 Conceptual Design; L2 Detailed Design</t>
        </is>
      </c>
      <c r="AF158" s="6" t="inlineStr">
        <is>
          <t>Section/contract-derived reference; derived evidence route</t>
        </is>
      </c>
      <c r="AG158" s="58" t="inlineStr">
        <is>
          <t>Not linked to an OFFER item</t>
        </is>
      </c>
    </row>
    <row r="159" ht="164" customHeight="1">
      <c r="A159" s="6" t="n">
        <v>154</v>
      </c>
      <c r="B159" s="6" t="inlineStr">
        <is>
          <t>RTM-198</t>
        </is>
      </c>
      <c r="C159" s="6" t="inlineStr">
        <is>
          <t>No</t>
        </is>
      </c>
      <c r="D159" s="6" t="inlineStr">
        <is>
          <t>T1 Primary</t>
        </is>
      </c>
      <c r="E159" s="6" t="inlineStr">
        <is>
          <t>Subsystems</t>
        </is>
      </c>
      <c r="F159" s="82" t="inlineStr">
        <is>
          <t>SYSTEM</t>
        </is>
      </c>
      <c r="G159" s="83" t="inlineStr">
        <is>
          <t>Performance</t>
        </is>
      </c>
      <c r="H159" s="59" t="inlineStr">
        <is>
          <t>—</t>
        </is>
      </c>
      <c r="I159" s="81" t="inlineStr">
        <is>
          <t>Inferred: C3 — Mechanical &amp; Equipment (medium conf.)</t>
        </is>
      </c>
      <c r="J159" s="6" t="n">
        <v>55</v>
      </c>
      <c r="K159" s="6" t="inlineStr">
        <is>
          <t>4.4.4.2.1</t>
        </is>
      </c>
      <c r="L159" s="6" t="inlineStr">
        <is>
          <t>Vacuum vessel(s)</t>
        </is>
      </c>
      <c r="M159" s="6" t="inlineStr">
        <is>
          <t>The design of all penetrations connecting piping or instrumentation to the QRB vacuum vessel shall prevent condensation or frost formation at the external interfaces during all operational scenarios.</t>
        </is>
      </c>
      <c r="N159" s="6" t="inlineStr">
        <is>
          <t>The design of all penetrations connecting piping or instrumentation to the QRB vacuum vessel shall prevent condensation or frost formation at the external interfaces during all operational scenarios.</t>
        </is>
      </c>
      <c r="O159" s="6" t="n">
        <v>0</v>
      </c>
      <c r="P159" s="6" t="n">
        <v>0</v>
      </c>
      <c r="Q159" s="6" t="n">
        <v>2</v>
      </c>
      <c r="R159" s="6" t="n">
        <v>3</v>
      </c>
      <c r="S159" s="6" t="n">
        <v>3</v>
      </c>
      <c r="T159" s="6" t="n">
        <v>0</v>
      </c>
      <c r="U159" s="6" t="n">
        <v>0</v>
      </c>
      <c r="V159" s="6" t="n">
        <v>41.333333</v>
      </c>
      <c r="W159" s="6" t="n">
        <v>78.4327</v>
      </c>
      <c r="X159" s="6" t="n">
        <v>15.7413</v>
      </c>
      <c r="Y159" s="6" t="inlineStr">
        <is>
          <t>Functional</t>
        </is>
      </c>
      <c r="Z159" s="6" t="inlineStr">
        <is>
          <t>Frozen-weight composite; strongest contribution: Functional.</t>
        </is>
      </c>
      <c r="AA159" s="6" t="inlineStr">
        <is>
          <t>None explicitly named in this RTM</t>
        </is>
      </c>
      <c r="AB159" s="6" t="inlineStr">
        <is>
          <t>SCK CEN/90508872 §4.4.4.2.1; no named external code</t>
        </is>
      </c>
      <c r="AC159" s="6" t="inlineStr">
        <is>
          <t>Witnessed FAT/SAT/commissioning test against stated acceptance criteria; Calculation/model plus calibrated measurement or recorded trend; Functional design/configuration review and sequence/interface demonstration</t>
        </is>
      </c>
      <c r="AD159" s="6" t="inlineStr">
        <is>
          <t>No separate deliverable explicitly named</t>
        </is>
      </c>
      <c r="AE159" s="6" t="inlineStr">
        <is>
          <t>L6 Site Acceptance Testing; L1 Conceptual Design; L2 Detailed Design</t>
        </is>
      </c>
      <c r="AF159" s="6" t="inlineStr">
        <is>
          <t>Section/contract-derived reference; derived evidence route</t>
        </is>
      </c>
      <c r="AG159" s="58" t="inlineStr">
        <is>
          <t>Not linked to an OFFER item</t>
        </is>
      </c>
    </row>
    <row r="160" ht="164" customHeight="1">
      <c r="A160" s="6" t="n">
        <v>155</v>
      </c>
      <c r="B160" s="6" t="inlineStr">
        <is>
          <t>RTM-312</t>
        </is>
      </c>
      <c r="C160" s="6" t="inlineStr">
        <is>
          <t>No</t>
        </is>
      </c>
      <c r="D160" s="6" t="inlineStr">
        <is>
          <t>T1 Primary</t>
        </is>
      </c>
      <c r="E160" s="6" t="inlineStr">
        <is>
          <t>Control &amp; Interlock</t>
        </is>
      </c>
      <c r="F160" s="82" t="inlineStr">
        <is>
          <t>PROJECT</t>
        </is>
      </c>
      <c r="G160" s="83" t="inlineStr">
        <is>
          <t>Documentation &amp; Compliance</t>
        </is>
      </c>
      <c r="H160" s="59" t="inlineStr">
        <is>
          <t>—</t>
        </is>
      </c>
      <c r="I160" s="58" t="inlineStr">
        <is>
          <t>Inferred: C4 — Software &amp; Control (high conf.)</t>
        </is>
      </c>
      <c r="J160" s="6" t="n">
        <v>72</v>
      </c>
      <c r="K160" s="6" t="inlineStr">
        <is>
          <t>4.6.4.2</t>
        </is>
      </c>
      <c r="L160" s="6" t="inlineStr">
        <is>
          <t>General</t>
        </is>
      </c>
      <c r="M160" s="6" t="inlineStr">
        <is>
          <t>The Contractor shall use IP address ranges for the QPS:CIS as provided by SCK CEN. This includes Level 0 of the Perdue model. These ranges will be pre-assigned by MIT to ensure consistency with the overall network architecture and addressing schemes.</t>
        </is>
      </c>
      <c r="N160" s="6" t="inlineStr">
        <is>
          <t>The Contractor shall use IP address ranges for the QPS:CIS as provided by SCK CEN. This includes Level 0 of the Perdue model. These ranges will be pre-assigned by MIT to ensure consistency with the overall network architecture and addressing schemes.
• The Contractor is responsible for implementing the provided IP ranges without deviation, and any additional IP requirements shall be communicated to and approved by MIT prior to implementation.
• The Contractor shall document the use of the assigned IP ranges (as part of CIS Dossier) for each device and submit this documentation to MIT upon completing the configuration. MIT reserves the right to audit the Contractor's implementation to ensure adherence to the assigned IP ranges and network configuration standards.</t>
        </is>
      </c>
      <c r="O160" s="6" t="n">
        <v>2</v>
      </c>
      <c r="P160" s="6" t="n">
        <v>0</v>
      </c>
      <c r="Q160" s="6" t="n">
        <v>0</v>
      </c>
      <c r="R160" s="6" t="n">
        <v>3</v>
      </c>
      <c r="S160" s="6" t="n">
        <v>3</v>
      </c>
      <c r="T160" s="6" t="n">
        <v>0</v>
      </c>
      <c r="U160" s="6" t="n">
        <v>0</v>
      </c>
      <c r="V160" s="6" t="n">
        <v>41.333333</v>
      </c>
      <c r="W160" s="6" t="n">
        <v>78.4327</v>
      </c>
      <c r="X160" s="6" t="n">
        <v>15.7413</v>
      </c>
      <c r="Y160" s="6" t="inlineStr">
        <is>
          <t>Functional</t>
        </is>
      </c>
      <c r="Z160" s="6" t="inlineStr">
        <is>
          <t>Frozen-weight composite; strongest contribution: Functional.</t>
        </is>
      </c>
      <c r="AA160" s="6" t="inlineStr">
        <is>
          <t>None explicitly named in this RTM</t>
        </is>
      </c>
      <c r="AB160" s="6" t="inlineStr">
        <is>
          <t>SCK CEN/90508872 §4.6.4.2; no named external code</t>
        </is>
      </c>
      <c r="AC160" s="6" t="inlineStr">
        <is>
          <t>Document review, inspection, certification, audit or traceable QC record</t>
        </is>
      </c>
      <c r="AD160" s="6" t="inlineStr">
        <is>
          <t>No separate deliverable explicitly named</t>
        </is>
      </c>
      <c r="AE160" s="6" t="inlineStr">
        <is>
          <t>L1 Conceptual Design; L2 Detailed Design</t>
        </is>
      </c>
      <c r="AF160" s="6" t="inlineStr">
        <is>
          <t>Section/contract-derived reference; derived evidence route</t>
        </is>
      </c>
      <c r="AG160" s="58" t="inlineStr">
        <is>
          <t>Not linked to an OFFER item</t>
        </is>
      </c>
    </row>
    <row r="161" ht="112" customHeight="1">
      <c r="A161" s="6" t="n">
        <v>156</v>
      </c>
      <c r="B161" s="6" t="inlineStr">
        <is>
          <t>RTM-322</t>
        </is>
      </c>
      <c r="C161" s="6" t="inlineStr">
        <is>
          <t>No</t>
        </is>
      </c>
      <c r="D161" s="6" t="inlineStr">
        <is>
          <t>T1 Primary</t>
        </is>
      </c>
      <c r="E161" s="6" t="inlineStr">
        <is>
          <t>Control &amp; Interlock</t>
        </is>
      </c>
      <c r="F161" s="82" t="inlineStr">
        <is>
          <t>SYSTEM</t>
        </is>
      </c>
      <c r="G161" s="83" t="inlineStr">
        <is>
          <t>Control</t>
        </is>
      </c>
      <c r="H161" s="59" t="inlineStr">
        <is>
          <t>—</t>
        </is>
      </c>
      <c r="I161" s="58" t="inlineStr">
        <is>
          <t>C8 — Commercial &amp; Execution</t>
        </is>
      </c>
      <c r="J161" s="6" t="n">
        <v>73</v>
      </c>
      <c r="K161" s="6" t="inlineStr">
        <is>
          <t>4.6.4.5</t>
        </is>
      </c>
      <c r="L161" s="6" t="inlineStr">
        <is>
          <t>Security</t>
        </is>
      </c>
      <c r="M161" s="6" t="inlineStr">
        <is>
          <t>The Contractor shall comply with the SCK CEN cybersecurity policy framework which, for this procurement, is defined as the requirements, from the “CCB Cyber Fundamentals requirements” (CyFun) at assurance level IMPORTANT, which SCK CEN identifies as obligations for the Contractor.
The Contractor shall provide a completed SCK CEN CyFun Supplier Control Response Matrix (which will be provided by SCK CEN during the Contract execution) stating for each relevant control: (1) Compliance status (Compliant / Partially compliant / Not compliant / Not applicable), (2) Description of implementation and boundary conditions, (3) Any deviations/risks and proposed compensating controls.</t>
        </is>
      </c>
      <c r="N161" s="6" t="inlineStr">
        <is>
          <t>The Contractor shall comply with the SCK CEN cybersecurity policy framework which, for this procurement, is defined as the requirements, from the “CCB Cyber Fundamentals requirements” (CyFun) at assurance level IMPORTANT, which SCK CEN identifies as obligations for the Contractor.
The Contractor shall provide a completed SCK CEN CyFun Supplier Control Response Matrix (which will be provided by SCK CEN during the Contract execution) stating for each relevant control: (1) Compliance status (Compliant / Partially compliant / Not compliant / Not applicable), (2) Description of implementation and boundary conditions, (3) Any deviations/risks and proposed compensating controls.</t>
        </is>
      </c>
      <c r="O161" s="6" t="n">
        <v>2</v>
      </c>
      <c r="P161" s="6" t="n">
        <v>0</v>
      </c>
      <c r="Q161" s="6" t="n">
        <v>0</v>
      </c>
      <c r="R161" s="6" t="n">
        <v>3</v>
      </c>
      <c r="S161" s="6" t="n">
        <v>3</v>
      </c>
      <c r="T161" s="6" t="n">
        <v>0</v>
      </c>
      <c r="U161" s="6" t="n">
        <v>0</v>
      </c>
      <c r="V161" s="6" t="n">
        <v>41.333333</v>
      </c>
      <c r="W161" s="6" t="n">
        <v>78.4327</v>
      </c>
      <c r="X161" s="6" t="n">
        <v>15.7413</v>
      </c>
      <c r="Y161" s="6" t="inlineStr">
        <is>
          <t>Functional</t>
        </is>
      </c>
      <c r="Z161" s="6" t="inlineStr">
        <is>
          <t>Frozen-weight composite; strongest contribution: Functional.</t>
        </is>
      </c>
      <c r="AA161" s="6" t="inlineStr">
        <is>
          <t>None explicitly named in this RTM</t>
        </is>
      </c>
      <c r="AB161" s="6" t="inlineStr">
        <is>
          <t>Section-level: ISO 27001; IEC 62443-3-3; EU Cyber Resilience Act (CRA); CE marking</t>
        </is>
      </c>
      <c r="AC161" s="6" t="inlineStr">
        <is>
          <t>Submit and review the named deliverable with RTM traceability and approval status; Witnessed FAT/SAT/commissioning test against stated acceptance criteria; Functional design/configuration review and sequence/interface demonstration</t>
        </is>
      </c>
      <c r="AD161" s="6" t="inlineStr">
        <is>
          <t>List / register / matrix</t>
        </is>
      </c>
      <c r="AE161" s="6" t="inlineStr">
        <is>
          <t>L6 Site Acceptance Testing; L1 Conceptual Design; L2 Detailed Design</t>
        </is>
      </c>
      <c r="AF161" s="6" t="inlineStr">
        <is>
          <t>Section/contract-derived reference; explicit deliverable/test wording</t>
        </is>
      </c>
      <c r="AG161" s="58" t="inlineStr">
        <is>
          <t>OFFER-25 (Direct)</t>
        </is>
      </c>
    </row>
    <row r="162" ht="138" customHeight="1">
      <c r="A162" s="6" t="n">
        <v>157</v>
      </c>
      <c r="B162" s="6" t="inlineStr">
        <is>
          <t>RTM-324</t>
        </is>
      </c>
      <c r="C162" s="6" t="inlineStr">
        <is>
          <t>No</t>
        </is>
      </c>
      <c r="D162" s="6" t="inlineStr">
        <is>
          <t>T1 Primary</t>
        </is>
      </c>
      <c r="E162" s="6" t="inlineStr">
        <is>
          <t>Control &amp; Interlock</t>
        </is>
      </c>
      <c r="F162" s="82" t="inlineStr">
        <is>
          <t>PROJECT</t>
        </is>
      </c>
      <c r="G162" s="83" t="inlineStr">
        <is>
          <t>Documentation &amp; Compliance</t>
        </is>
      </c>
      <c r="H162" s="59" t="inlineStr">
        <is>
          <t>—</t>
        </is>
      </c>
      <c r="I162" s="58" t="inlineStr">
        <is>
          <t>C8 — Commercial &amp; Execution</t>
        </is>
      </c>
      <c r="J162" s="6" t="n">
        <v>74</v>
      </c>
      <c r="K162" s="6" t="inlineStr">
        <is>
          <t>4.6.4.5</t>
        </is>
      </c>
      <c r="L162" s="6" t="inlineStr">
        <is>
          <t>Security</t>
        </is>
      </c>
      <c r="M162" s="6" t="inlineStr">
        <is>
          <t>The Contractor shall document the system's security features and their alignment with the requested standards and framework or the Contractor’s proposed equivalent assurances. This documentation shall be provided to SCK CEN for review and approval before implementation at MINERVA site.
Any material gaps against mandatory scoped CyFun controls must be remediated prior to SAT (or within an agreed corrective action plan), subject to SCK CEN approval.</t>
        </is>
      </c>
      <c r="N162" s="6" t="inlineStr">
        <is>
          <t>The Contractor shall document the system's security features and their alignment with the requested standards and framework or the Contractor’s proposed equivalent assurances. This documentation shall be provided to SCK CEN for review and approval before implementation at MINERVA site.
Any material gaps against mandatory scoped CyFun controls must be remediated prior to SAT (or within an agreed corrective action plan), subject to SCK CEN approval.</t>
        </is>
      </c>
      <c r="O162" s="6" t="n">
        <v>2</v>
      </c>
      <c r="P162" s="6" t="n">
        <v>0</v>
      </c>
      <c r="Q162" s="6" t="n">
        <v>0</v>
      </c>
      <c r="R162" s="6" t="n">
        <v>3</v>
      </c>
      <c r="S162" s="6" t="n">
        <v>3</v>
      </c>
      <c r="T162" s="6" t="n">
        <v>0</v>
      </c>
      <c r="U162" s="6" t="n">
        <v>0</v>
      </c>
      <c r="V162" s="6" t="n">
        <v>41.333333</v>
      </c>
      <c r="W162" s="6" t="n">
        <v>78.4327</v>
      </c>
      <c r="X162" s="6" t="n">
        <v>15.7413</v>
      </c>
      <c r="Y162" s="6" t="inlineStr">
        <is>
          <t>Functional</t>
        </is>
      </c>
      <c r="Z162" s="6" t="inlineStr">
        <is>
          <t>Frozen-weight composite; strongest contribution: Functional.</t>
        </is>
      </c>
      <c r="AA162" s="6" t="inlineStr">
        <is>
          <t>None explicitly named in this RTM</t>
        </is>
      </c>
      <c r="AB162" s="6" t="inlineStr">
        <is>
          <t>Section-level: ISO 27001; IEC 62443-3-3; EU Cyber Resilience Act (CRA); CE marking</t>
        </is>
      </c>
      <c r="AC162" s="6" t="inlineStr">
        <is>
          <t>Witnessed FAT/SAT/commissioning test against stated acceptance criteria; Functional design/configuration review and sequence/interface demonstration</t>
        </is>
      </c>
      <c r="AD162" s="6" t="inlineStr">
        <is>
          <t>No separate deliverable explicitly named</t>
        </is>
      </c>
      <c r="AE162" s="6" t="inlineStr">
        <is>
          <t>L6 Site Acceptance Testing; L1 Conceptual Design; L2 Detailed Design</t>
        </is>
      </c>
      <c r="AF162" s="6" t="inlineStr">
        <is>
          <t>Section/contract-derived reference; derived evidence route</t>
        </is>
      </c>
      <c r="AG162" s="58" t="inlineStr">
        <is>
          <t>OFFER-25 (Direct)</t>
        </is>
      </c>
    </row>
    <row r="163" ht="164" customHeight="1">
      <c r="A163" s="6" t="n">
        <v>158</v>
      </c>
      <c r="B163" s="6" t="inlineStr">
        <is>
          <t>RTM-642</t>
        </is>
      </c>
      <c r="C163" s="6" t="inlineStr">
        <is>
          <t>No</t>
        </is>
      </c>
      <c r="D163" s="6" t="inlineStr">
        <is>
          <t>T1 Primary</t>
        </is>
      </c>
      <c r="E163" s="6" t="inlineStr">
        <is>
          <t>Quality Assurance &amp; Control</t>
        </is>
      </c>
      <c r="F163" s="82" t="inlineStr">
        <is>
          <t>PROJECT</t>
        </is>
      </c>
      <c r="G163" s="83" t="inlineStr">
        <is>
          <t>Documentation &amp; Compliance</t>
        </is>
      </c>
      <c r="H163" s="59" t="inlineStr">
        <is>
          <t>—</t>
        </is>
      </c>
      <c r="I163" s="81" t="inlineStr">
        <is>
          <t>C7 — Quality, Testing &amp; Risk</t>
        </is>
      </c>
      <c r="J163" s="6" t="n">
        <v>122</v>
      </c>
      <c r="K163" s="6" t="inlineStr">
        <is>
          <t>8</t>
        </is>
      </c>
      <c r="L163" s="6" t="inlineStr">
        <is>
          <t>General Quality Assurance and Control</t>
        </is>
      </c>
      <c r="M163" s="6" t="inlineStr">
        <is>
          <t>Prior to beginning any other work, the Contractor shall submit a detailed Quality Assurance &amp; Control Program (QAP) to SCK for approval, demonstrating compliance with the QA/QC requirements set out in this document. Any required change to the QAP during Contract execution shall be requested from SCK CEN via a Change Request. The QAP shall include e.g. Manufacturing and Inspection Plan / Inspection and Test Plan, Responsibility Matrix, Change Register, Non-Conformity Register, audit reports, FAT reports, SAT reports, commissioning reports, and installation dossiers</t>
        </is>
      </c>
      <c r="N163" s="6" t="inlineStr">
        <is>
          <t>Prior to beginning any other work, the Contractor shall submit a detailed Quality Assurance &amp; Control Program (QAP) to SCK for approval, demonstrating compliance with the QA/QC requirements set out in this document. Any required change to the QAP during Contract execution shall be requested from SCK CEN via a Change Request. The QAP shall include e.g. Manufacturing and Inspection Plan / Inspection and Test Plan, Responsibility Matrix, Change Register, Non-Conformity Register, audit reports, FAT reports, SAT reports, commissioning reports, and installation dossiers</t>
        </is>
      </c>
      <c r="O163" s="6" t="n">
        <v>2</v>
      </c>
      <c r="P163" s="6" t="n">
        <v>0</v>
      </c>
      <c r="Q163" s="6" t="n">
        <v>0</v>
      </c>
      <c r="R163" s="6" t="n">
        <v>3</v>
      </c>
      <c r="S163" s="6" t="n">
        <v>3</v>
      </c>
      <c r="T163" s="6" t="n">
        <v>0</v>
      </c>
      <c r="U163" s="6" t="n">
        <v>0</v>
      </c>
      <c r="V163" s="6" t="n">
        <v>41.333333</v>
      </c>
      <c r="W163" s="6" t="n">
        <v>78.4327</v>
      </c>
      <c r="X163" s="6" t="n">
        <v>15.7413</v>
      </c>
      <c r="Y163" s="6" t="inlineStr">
        <is>
          <t>Functional</t>
        </is>
      </c>
      <c r="Z163" s="6" t="inlineStr">
        <is>
          <t>Frozen-weight composite; strongest contribution: Functional.</t>
        </is>
      </c>
      <c r="AA163" s="6" t="inlineStr">
        <is>
          <t>None explicitly named in this RTM</t>
        </is>
      </c>
      <c r="AB163" s="6" t="inlineStr">
        <is>
          <t>SCK CEN/90508872 §8; no named external code</t>
        </is>
      </c>
      <c r="AC163" s="6" t="inlineStr">
        <is>
          <t>Submit and review the named deliverable with RTM traceability and approval status; Witnessed FAT/SAT/commissioning test against stated acceptance criteria; Functional design/configuration review and sequence/interface demonstration</t>
        </is>
      </c>
      <c r="AD163" s="6" t="inlineStr">
        <is>
          <t>FAT Report; SAT Report; Commissioning Report; Quality Assurance Plan (QAP); Manufacturing and Inspection Plan (MIP); Responsibility Matrix</t>
        </is>
      </c>
      <c r="AE163" s="6" t="inlineStr">
        <is>
          <t>L3 Procurement &amp; Manufacturing / FAT; L4 Installation; L6 Site Acceptance Testing; L0 Tender / Offer; L1 Conceptual Design; L2 Detailed Design; L5 Standalone Commissioning</t>
        </is>
      </c>
      <c r="AF163" s="6" t="inlineStr">
        <is>
          <t>Section/contract-derived reference; explicit deliverable/test wording</t>
        </is>
      </c>
      <c r="AG163" s="58" t="inlineStr">
        <is>
          <t>OFFER-47 (Direct)</t>
        </is>
      </c>
    </row>
    <row r="164" ht="177" customHeight="1">
      <c r="A164" s="6" t="n">
        <v>159</v>
      </c>
      <c r="B164" s="6" t="inlineStr">
        <is>
          <t>RTM-660</t>
        </is>
      </c>
      <c r="C164" s="6" t="inlineStr">
        <is>
          <t>No</t>
        </is>
      </c>
      <c r="D164" s="6" t="inlineStr">
        <is>
          <t>T1 Primary</t>
        </is>
      </c>
      <c r="E164" s="6" t="inlineStr">
        <is>
          <t>Quality Assurance &amp; Control</t>
        </is>
      </c>
      <c r="F164" s="82" t="inlineStr">
        <is>
          <t>PROJECT</t>
        </is>
      </c>
      <c r="G164" s="83" t="inlineStr">
        <is>
          <t>Quality Assurance</t>
        </is>
      </c>
      <c r="H164" s="59" t="inlineStr">
        <is>
          <t>—</t>
        </is>
      </c>
      <c r="I164" s="81" t="inlineStr">
        <is>
          <t>Inferred: C7 — Quality, Testing &amp; Risk (high conf.)</t>
        </is>
      </c>
      <c r="J164" s="6" t="n">
        <v>123</v>
      </c>
      <c r="K164" s="6" t="inlineStr">
        <is>
          <t>8.1.5</t>
        </is>
      </c>
      <c r="L164" s="6" t="inlineStr">
        <is>
          <t>Document Retention and Submission Requirements</t>
        </is>
      </c>
      <c r="M164" s="6" t="inlineStr">
        <is>
          <t>All documents submitted to SCK CEN shall:</t>
        </is>
      </c>
      <c r="N164" s="6" t="inlineStr">
        <is>
          <t>All documents submitted to SCK CEN shall:
• be identified by a unique document code, version number, and document title.
• include a reference to the Contract unless the document was created independently of the Contract.
• be version-controlled and include a change log listing the modifications applied in each revision.
• be reviewed and approved by competent and authorized personnel prior to submission to SCK CEN.
• be submitted in digital format, compatible with commonly available application software for Microsoft Windows OS and suitable for transmission via the internet.</t>
        </is>
      </c>
      <c r="O164" s="6" t="n">
        <v>2</v>
      </c>
      <c r="P164" s="6" t="n">
        <v>0</v>
      </c>
      <c r="Q164" s="6" t="n">
        <v>0</v>
      </c>
      <c r="R164" s="6" t="n">
        <v>3</v>
      </c>
      <c r="S164" s="6" t="n">
        <v>3</v>
      </c>
      <c r="T164" s="6" t="n">
        <v>0</v>
      </c>
      <c r="U164" s="6" t="n">
        <v>0</v>
      </c>
      <c r="V164" s="6" t="n">
        <v>41.333333</v>
      </c>
      <c r="W164" s="6" t="n">
        <v>78.4327</v>
      </c>
      <c r="X164" s="6" t="n">
        <v>15.7413</v>
      </c>
      <c r="Y164" s="6" t="inlineStr">
        <is>
          <t>Functional</t>
        </is>
      </c>
      <c r="Z164" s="6" t="inlineStr">
        <is>
          <t>Frozen-weight composite; strongest contribution: Functional.</t>
        </is>
      </c>
      <c r="AA164" s="6" t="inlineStr">
        <is>
          <t>None explicitly named in this RTM</t>
        </is>
      </c>
      <c r="AB164" s="6" t="inlineStr">
        <is>
          <t>SCK CEN/90508872 §8.1.5; no named external code</t>
        </is>
      </c>
      <c r="AC164" s="6" t="inlineStr">
        <is>
          <t>Functional design/configuration review and sequence/interface demonstration; Document review, inspection, certification, audit or traceable QC record</t>
        </is>
      </c>
      <c r="AD164" s="6" t="inlineStr">
        <is>
          <t>No separate deliverable explicitly named</t>
        </is>
      </c>
      <c r="AE164" s="6" t="inlineStr">
        <is>
          <t>L0 Tender / Offer; L1 Conceptual Design; L2 Detailed Design; L3 Procurement &amp; Manufacturing / FAT; L4 Installation; L5 Standalone Commissioning; L6 Site Acceptance Testing</t>
        </is>
      </c>
      <c r="AF164" s="6" t="inlineStr">
        <is>
          <t>Section/contract-derived reference; derived evidence route</t>
        </is>
      </c>
      <c r="AG164" s="58" t="inlineStr">
        <is>
          <t>Not linked to an OFFER item</t>
        </is>
      </c>
    </row>
    <row r="165" ht="99" customHeight="1">
      <c r="A165" s="6" t="n">
        <v>160</v>
      </c>
      <c r="B165" s="6" t="inlineStr">
        <is>
          <t>RTM-068</t>
        </is>
      </c>
      <c r="C165" s="6" t="inlineStr">
        <is>
          <t>No</t>
        </is>
      </c>
      <c r="D165" s="6" t="inlineStr">
        <is>
          <t>T1 Primary</t>
        </is>
      </c>
      <c r="E165" s="6" t="inlineStr">
        <is>
          <t>Global Design Criteria</t>
        </is>
      </c>
      <c r="F165" s="82" t="inlineStr">
        <is>
          <t>SYSTEM</t>
        </is>
      </c>
      <c r="G165" s="83" t="inlineStr">
        <is>
          <t>Performance</t>
        </is>
      </c>
      <c r="H165" s="59" t="inlineStr">
        <is>
          <t>—</t>
        </is>
      </c>
      <c r="I165" s="58" t="inlineStr">
        <is>
          <t>Inferred: C1 — Performance (medium conf.)</t>
        </is>
      </c>
      <c r="J165" s="6" t="n">
        <v>39</v>
      </c>
      <c r="K165" s="6" t="inlineStr">
        <is>
          <t>4.3.3</t>
        </is>
      </c>
      <c r="L165" s="6" t="inlineStr">
        <is>
          <t>Maintenance strategy</t>
        </is>
      </c>
      <c r="M165" s="6" t="inlineStr">
        <is>
          <t>The QPS design shall ensure that maintenance activities can be performed without unnecessary impact on availability, safety, or helium integrity. To this end, the QPS shall:</t>
        </is>
      </c>
      <c r="N165" s="6" t="inlineStr">
        <is>
          <t>The QPS design shall ensure that maintenance activities can be performed without unnecessary impact on availability, safety, or helium integrity. To this end, the QPS shall:
• Permit isolation of serviceable subsystems prior to disconnection or opening.
• Permit verification of leak-tightness prior to opening any cold or pressurised volume.
• Enable controlled depressurisation, purge, and evacuation of local service volumes prior to intervention.
• Prevent air ingress and contamination of the helium process during maintenance activities.
• Ensure that maintenance interventions do not introduce uncontrolled pressure or thermal transients affecting adjacent subsystems.</t>
        </is>
      </c>
      <c r="O165" s="6" t="n">
        <v>0</v>
      </c>
      <c r="P165" s="6" t="n">
        <v>3</v>
      </c>
      <c r="Q165" s="6" t="n">
        <v>0</v>
      </c>
      <c r="R165" s="6" t="n">
        <v>0</v>
      </c>
      <c r="S165" s="6" t="n">
        <v>3</v>
      </c>
      <c r="T165" s="6" t="n">
        <v>3</v>
      </c>
      <c r="U165" s="6" t="n">
        <v>0</v>
      </c>
      <c r="V165" s="6" t="n">
        <v>41</v>
      </c>
      <c r="W165" s="6" t="n">
        <v>77.9473</v>
      </c>
      <c r="X165" s="6" t="n">
        <v>15.2523</v>
      </c>
      <c r="Y165" s="6" t="inlineStr">
        <is>
          <t>Reliability</t>
        </is>
      </c>
      <c r="Z165" s="6" t="inlineStr">
        <is>
          <t>Frozen-weight composite; strongest contribution: Reliability.</t>
        </is>
      </c>
      <c r="AA165" s="6" t="inlineStr">
        <is>
          <t>None explicitly named in this RTM</t>
        </is>
      </c>
      <c r="AB165" s="6" t="inlineStr">
        <is>
          <t>Section-level: ISO 55000; ISO 14224</t>
        </is>
      </c>
      <c r="AC165" s="6" t="inlineStr">
        <is>
          <t>Witnessed FAT/SAT/commissioning test against stated acceptance criteria; RAM/maintenance substantiation and recovery/failure-response evidence</t>
        </is>
      </c>
      <c r="AD165" s="6" t="inlineStr">
        <is>
          <t>No separate deliverable explicitly named</t>
        </is>
      </c>
      <c r="AE165" s="6" t="inlineStr">
        <is>
          <t>L6 Site Acceptance Testing; L1 Conceptual Design; L2 Detailed Design</t>
        </is>
      </c>
      <c r="AF165" s="6" t="inlineStr">
        <is>
          <t>Section/contract-derived reference; derived evidence route</t>
        </is>
      </c>
      <c r="AG165" s="58" t="inlineStr">
        <is>
          <t>Not linked to an OFFER item</t>
        </is>
      </c>
    </row>
    <row r="166" ht="112" customHeight="1">
      <c r="A166" s="6" t="n">
        <v>161</v>
      </c>
      <c r="B166" s="6" t="inlineStr">
        <is>
          <t>RTM-550</t>
        </is>
      </c>
      <c r="C166" s="6" t="inlineStr">
        <is>
          <t>No</t>
        </is>
      </c>
      <c r="D166" s="6" t="inlineStr">
        <is>
          <t>T1 Primary</t>
        </is>
      </c>
      <c r="E166" s="6" t="inlineStr">
        <is>
          <t>Acceptance Testing</t>
        </is>
      </c>
      <c r="F166" s="82" t="inlineStr">
        <is>
          <t>PROJECT</t>
        </is>
      </c>
      <c r="G166" s="83" t="inlineStr">
        <is>
          <t>Governance &amp; Responsibility</t>
        </is>
      </c>
      <c r="H166" s="59" t="inlineStr">
        <is>
          <t>—</t>
        </is>
      </c>
      <c r="I166" s="58" t="inlineStr">
        <is>
          <t>C7 — Quality, Testing &amp; Risk</t>
        </is>
      </c>
      <c r="J166" s="6" t="n">
        <v>106</v>
      </c>
      <c r="K166" s="6" t="inlineStr">
        <is>
          <t>4.13.3.5</t>
        </is>
      </c>
      <c r="L166" s="6" t="inlineStr">
        <is>
          <t>Demonstration of control system behaviour</t>
        </is>
      </c>
      <c r="M166" s="6" t="inlineStr">
        <is>
          <t>The Contractor shall demonstrate the behaviour of the QPS:CIS communication infrastructure during the SAT. This shall include, at minimum:</t>
        </is>
      </c>
      <c r="N166" s="6" t="inlineStr">
        <is>
          <t>The Contractor shall demonstrate the behaviour of the QPS:CIS communication infrastructure during the SAT. This shall include, at minimum:
• The verification of the relevant network communication paths.
• The behaviour under communication loss and restoration, where applicable.
• The verification of network redundancy functions, where applicable.
• The verification that the QPS can remain in a safe and operable state if external communication links are unavailable, where applicable.</t>
        </is>
      </c>
      <c r="O166" s="6" t="n">
        <v>1</v>
      </c>
      <c r="P166" s="6" t="n">
        <v>3</v>
      </c>
      <c r="Q166" s="6" t="n">
        <v>0</v>
      </c>
      <c r="R166" s="6" t="n">
        <v>0</v>
      </c>
      <c r="S166" s="6" t="n">
        <v>3</v>
      </c>
      <c r="T166" s="6" t="n">
        <v>0</v>
      </c>
      <c r="U166" s="6" t="n">
        <v>0</v>
      </c>
      <c r="V166" s="6" t="n">
        <v>40.666667</v>
      </c>
      <c r="W166" s="6" t="n">
        <v>77.6699</v>
      </c>
      <c r="X166" s="6" t="n">
        <v>14.9811</v>
      </c>
      <c r="Y166" s="6" t="inlineStr">
        <is>
          <t>Reliability</t>
        </is>
      </c>
      <c r="Z166" s="6" t="inlineStr">
        <is>
          <t>Frozen-weight composite; strongest contribution: Reliability.</t>
        </is>
      </c>
      <c r="AA166" s="6" t="inlineStr">
        <is>
          <t>None explicitly named in this RTM</t>
        </is>
      </c>
      <c r="AB166" s="6" t="inlineStr">
        <is>
          <t>SCK CEN/90508872 §4.13.3.5; no named external code</t>
        </is>
      </c>
      <c r="AC166" s="6" t="inlineStr">
        <is>
          <t>Witnessed FAT/SAT/commissioning test against stated acceptance criteria; RAM/maintenance substantiation and recovery/failure-response evidence</t>
        </is>
      </c>
      <c r="AD166" s="6" t="inlineStr">
        <is>
          <t>No separate deliverable explicitly named</t>
        </is>
      </c>
      <c r="AE166" s="6" t="inlineStr">
        <is>
          <t>L6 Site Acceptance Testing; L1 Conceptual Design; L2 Detailed Design</t>
        </is>
      </c>
      <c r="AF166" s="6" t="inlineStr">
        <is>
          <t>Section/contract-derived reference; explicit deliverable/test wording</t>
        </is>
      </c>
      <c r="AG166" s="58" t="inlineStr">
        <is>
          <t>OFFER-39 (Supporting)</t>
        </is>
      </c>
    </row>
    <row r="167" ht="138" customHeight="1">
      <c r="A167" s="6" t="n">
        <v>162</v>
      </c>
      <c r="B167" s="6" t="inlineStr">
        <is>
          <t>RTM-578</t>
        </is>
      </c>
      <c r="C167" s="6" t="inlineStr">
        <is>
          <t>No</t>
        </is>
      </c>
      <c r="D167" s="6" t="inlineStr">
        <is>
          <t>T1 Primary</t>
        </is>
      </c>
      <c r="E167" s="6" t="inlineStr">
        <is>
          <t>Technical Documentation</t>
        </is>
      </c>
      <c r="F167" s="82" t="inlineStr">
        <is>
          <t>PROJECT</t>
        </is>
      </c>
      <c r="G167" s="83" t="inlineStr">
        <is>
          <t>Documentation &amp; Compliance</t>
        </is>
      </c>
      <c r="H167" s="59" t="inlineStr">
        <is>
          <t>—</t>
        </is>
      </c>
      <c r="I167" s="81" t="inlineStr">
        <is>
          <t>Not linked to an OFFER item</t>
        </is>
      </c>
      <c r="J167" s="6" t="n">
        <v>111</v>
      </c>
      <c r="K167" s="6" t="inlineStr">
        <is>
          <t>4.16.3</t>
        </is>
      </c>
      <c r="L167" s="6" t="inlineStr">
        <is>
          <t>Installation File</t>
        </is>
      </c>
      <c r="M167" s="6" t="inlineStr">
        <is>
          <t>The Installation File shall contain all information that is required to correctly position, install, and test each Element. It shall cover, at least, the following aspects:</t>
        </is>
      </c>
      <c r="N167" s="6" t="inlineStr">
        <is>
          <t>The Installation File shall contain all information that is required to correctly position, install, and test each Element. It shall cover, at least, the following aspects:
• 3D CAD models and 2D layouts of the final building and system integration.
• Installation procedures (i.e. placement of an Instance, Internal Interface connections, External Interface connections).
• Protocols for all QA/QC activities during the Installation.
• SAT Programme.</t>
        </is>
      </c>
      <c r="O167" s="6" t="n">
        <v>1</v>
      </c>
      <c r="P167" s="6" t="n">
        <v>0</v>
      </c>
      <c r="Q167" s="6" t="n">
        <v>1</v>
      </c>
      <c r="R167" s="6" t="n">
        <v>2</v>
      </c>
      <c r="S167" s="6" t="n">
        <v>3</v>
      </c>
      <c r="T167" s="6" t="n">
        <v>2</v>
      </c>
      <c r="U167" s="6" t="n">
        <v>0</v>
      </c>
      <c r="V167" s="6" t="n">
        <v>40.666667</v>
      </c>
      <c r="W167" s="6" t="n">
        <v>77.6699</v>
      </c>
      <c r="X167" s="6" t="n">
        <v>14.9811</v>
      </c>
      <c r="Y167" s="6" t="inlineStr">
        <is>
          <t>Quality / Verifiability</t>
        </is>
      </c>
      <c r="Z167" s="6" t="inlineStr">
        <is>
          <t>Frozen-weight composite; strongest contribution: Quality / Verifiability.</t>
        </is>
      </c>
      <c r="AA167" s="6" t="inlineStr">
        <is>
          <t>None explicitly named in this RTM</t>
        </is>
      </c>
      <c r="AB167" s="6" t="inlineStr">
        <is>
          <t>SCK CEN/90508872 §4.16.3; no named external code</t>
        </is>
      </c>
      <c r="AC167" s="6" t="inlineStr">
        <is>
          <t>Submit and review the named deliverable with RTM traceability and approval status; Witnessed FAT/SAT/commissioning test against stated acceptance criteria; Functional design/configuration review and sequence/interface demonstration</t>
        </is>
      </c>
      <c r="AD167" s="6" t="inlineStr">
        <is>
          <t>Installation File; 3D / CAD Model; Procedure / work instruction</t>
        </is>
      </c>
      <c r="AE167" s="6" t="inlineStr">
        <is>
          <t>L4 Installation; L6 Site Acceptance Testing; L1 Conceptual Design; L2 Detailed Design</t>
        </is>
      </c>
      <c r="AF167" s="6" t="inlineStr">
        <is>
          <t>Section/contract-derived reference; explicit deliverable/test wording</t>
        </is>
      </c>
      <c r="AG167" s="58" t="inlineStr">
        <is>
          <t>Not linked to an OFFER item</t>
        </is>
      </c>
    </row>
    <row r="168" ht="112" customHeight="1">
      <c r="A168" s="6" t="n">
        <v>163</v>
      </c>
      <c r="B168" s="6" t="inlineStr">
        <is>
          <t>RTM-470</t>
        </is>
      </c>
      <c r="C168" s="6" t="inlineStr">
        <is>
          <t>No</t>
        </is>
      </c>
      <c r="D168" s="6" t="inlineStr">
        <is>
          <t>T1 Primary</t>
        </is>
      </c>
      <c r="E168" s="6" t="inlineStr">
        <is>
          <t>Design &amp; Fabrication</t>
        </is>
      </c>
      <c r="F168" s="82" t="inlineStr">
        <is>
          <t>SYSTEM</t>
        </is>
      </c>
      <c r="G168" s="83" t="inlineStr">
        <is>
          <t>Constraint</t>
        </is>
      </c>
      <c r="H168" s="59" t="inlineStr">
        <is>
          <t>—</t>
        </is>
      </c>
      <c r="I168" s="58" t="inlineStr">
        <is>
          <t>Inferred: C5 — Infrastructure &amp; Integration (medium conf.)</t>
        </is>
      </c>
      <c r="J168" s="6" t="n">
        <v>91</v>
      </c>
      <c r="K168" s="6" t="inlineStr">
        <is>
          <t>4.8.5</t>
        </is>
      </c>
      <c r="L168" s="6" t="inlineStr">
        <is>
          <t>General Electrical Requirements</t>
        </is>
      </c>
      <c r="M168" s="6" t="inlineStr">
        <is>
          <t>The Contractor shall ensure that all VFD-driven motors operate within the allowable continuous frequency range defined by IEC 60034 (Rotating Electrical Machines). Nominal VFD operation shall not exceed 60 Hz, unless the Contractor provides substantiated evidence demonstrating that:</t>
        </is>
      </c>
      <c r="N168" s="6" t="inlineStr">
        <is>
          <t>The Contractor shall ensure that all VFD-driven motors operate within the allowable continuous frequency range defined by IEC 60034 (Rotating Electrical Machines). Nominal VFD operation shall not exceed 60 Hz, unless the Contractor provides substantiated evidence demonstrating that:
• The selected motor and compressor system are rated for sustained operation above 60 Hz.
• The expected Mean Time Between Failures (MTBF) at the proposed operating frequency is documented and acceptable.
• All required mitigations are in place (e.g., output filtering, derating, bearing protection, insulation class suitability).</t>
        </is>
      </c>
      <c r="O168" s="6" t="n">
        <v>0</v>
      </c>
      <c r="P168" s="6" t="n">
        <v>3</v>
      </c>
      <c r="Q168" s="6" t="n">
        <v>0</v>
      </c>
      <c r="R168" s="6" t="n">
        <v>2</v>
      </c>
      <c r="S168" s="6" t="n">
        <v>2</v>
      </c>
      <c r="T168" s="6" t="n">
        <v>0</v>
      </c>
      <c r="U168" s="6" t="n">
        <v>0</v>
      </c>
      <c r="V168" s="6" t="n">
        <v>40.666667</v>
      </c>
      <c r="W168" s="6" t="n">
        <v>77.6699</v>
      </c>
      <c r="X168" s="6" t="n">
        <v>14.9811</v>
      </c>
      <c r="Y168" s="6" t="inlineStr">
        <is>
          <t>Reliability</t>
        </is>
      </c>
      <c r="Z168" s="6" t="inlineStr">
        <is>
          <t>Frozen-weight composite; strongest contribution: Reliability.</t>
        </is>
      </c>
      <c r="AA168" s="6" t="inlineStr">
        <is>
          <t>IEC 60034</t>
        </is>
      </c>
      <c r="AB168" s="6" t="inlineStr">
        <is>
          <t>IEC 60034</t>
        </is>
      </c>
      <c r="AC168" s="6" t="inlineStr">
        <is>
          <t>RAM/maintenance substantiation and recovery/failure-response evidence; Document review, inspection, certification, audit or traceable QC record</t>
        </is>
      </c>
      <c r="AD168" s="6" t="inlineStr">
        <is>
          <t>No separate deliverable explicitly named</t>
        </is>
      </c>
      <c r="AE168" s="6" t="inlineStr">
        <is>
          <t>L1 Conceptual Design; L2 Detailed Design</t>
        </is>
      </c>
      <c r="AF168" s="6" t="inlineStr">
        <is>
          <t>Explicit/table-grounded standard; derived evidence route</t>
        </is>
      </c>
      <c r="AG168" s="58" t="inlineStr">
        <is>
          <t>Not linked to an OFFER item</t>
        </is>
      </c>
    </row>
    <row r="169" ht="86" customHeight="1">
      <c r="A169" s="6" t="n">
        <v>164</v>
      </c>
      <c r="B169" s="6" t="inlineStr">
        <is>
          <t>RTM-020</t>
        </is>
      </c>
      <c r="C169" s="6" t="inlineStr">
        <is>
          <t>No</t>
        </is>
      </c>
      <c r="D169" s="6" t="inlineStr">
        <is>
          <t>T1 Primary</t>
        </is>
      </c>
      <c r="E169" s="6" t="inlineStr">
        <is>
          <t>Process &amp; Functional</t>
        </is>
      </c>
      <c r="F169" s="82" t="inlineStr">
        <is>
          <t>SYSTEM</t>
        </is>
      </c>
      <c r="G169" s="83" t="inlineStr">
        <is>
          <t>Performance</t>
        </is>
      </c>
      <c r="H169" s="59" t="inlineStr">
        <is>
          <t>—</t>
        </is>
      </c>
      <c r="I169" s="58" t="inlineStr">
        <is>
          <t>C1 — Performance</t>
        </is>
      </c>
      <c r="J169" s="6" t="n">
        <v>28</v>
      </c>
      <c r="K169" s="6" t="inlineStr">
        <is>
          <t>4.2.2.2</t>
        </is>
      </c>
      <c r="L169" s="6" t="inlineStr">
        <is>
          <t>Transient Operational Scenarios</t>
        </is>
      </c>
      <c r="M169" s="6" t="inlineStr">
        <is>
          <t>For cooldown and warmup scenarios, the Contractor shall provide and substantiate the following:</t>
        </is>
      </c>
      <c r="N169" s="6" t="inlineStr">
        <is>
          <t>For cooldown and warmup scenarios, the Contractor shall provide and substantiate the following:
• The conditions under which the QPS permits and/or initiates process flows to and from the Cryogenic Users.
• The expected duration of each scenario and/or sub-step
• The maximum refrigeration power the QPS can sustain at discrete temperature levels between 300 K and 4.5 K (e.g., 250 K, 200 K, 150 K, 100 K, 50 K, 4.5 K)</t>
        </is>
      </c>
      <c r="O169" s="6" t="n">
        <v>0</v>
      </c>
      <c r="P169" s="6" t="n">
        <v>0</v>
      </c>
      <c r="Q169" s="6" t="n">
        <v>3</v>
      </c>
      <c r="R169" s="6" t="n">
        <v>3</v>
      </c>
      <c r="S169" s="6" t="n">
        <v>1</v>
      </c>
      <c r="T169" s="6" t="n">
        <v>0</v>
      </c>
      <c r="U169" s="6" t="n">
        <v>0</v>
      </c>
      <c r="V169" s="6" t="n">
        <v>40</v>
      </c>
      <c r="W169" s="6" t="n">
        <v>77.2538</v>
      </c>
      <c r="X169" s="6" t="n">
        <v>14.5852</v>
      </c>
      <c r="Y169" s="6" t="inlineStr">
        <is>
          <t>Performance</t>
        </is>
      </c>
      <c r="Z169" s="6" t="inlineStr">
        <is>
          <t>Frozen-weight composite; strongest contribution: Performance.</t>
        </is>
      </c>
      <c r="AA169" s="6" t="inlineStr">
        <is>
          <t>None explicitly named in this RTM</t>
        </is>
      </c>
      <c r="AB169" s="6" t="inlineStr">
        <is>
          <t>SCK CEN/90508872 §4.2.2.2; no named external code</t>
        </is>
      </c>
      <c r="AC169" s="6" t="inlineStr">
        <is>
          <t>Calculation/model plus calibrated measurement or recorded trend</t>
        </is>
      </c>
      <c r="AD169" s="6" t="inlineStr">
        <is>
          <t>No separate deliverable explicitly named</t>
        </is>
      </c>
      <c r="AE169" s="6" t="inlineStr">
        <is>
          <t>L1 Conceptual Design; L2 Detailed Design</t>
        </is>
      </c>
      <c r="AF169" s="6" t="inlineStr">
        <is>
          <t>Section/contract-derived reference; derived evidence route</t>
        </is>
      </c>
      <c r="AG169" s="58" t="inlineStr">
        <is>
          <t>OFFER-04 (Direct)</t>
        </is>
      </c>
    </row>
    <row r="170" ht="99" customHeight="1">
      <c r="A170" s="6" t="n">
        <v>165</v>
      </c>
      <c r="B170" s="6" t="inlineStr">
        <is>
          <t>RTM-021</t>
        </is>
      </c>
      <c r="C170" s="6" t="inlineStr">
        <is>
          <t>No</t>
        </is>
      </c>
      <c r="D170" s="6" t="inlineStr">
        <is>
          <t>T1 Primary</t>
        </is>
      </c>
      <c r="E170" s="6" t="inlineStr">
        <is>
          <t>Process &amp; Functional</t>
        </is>
      </c>
      <c r="F170" s="82" t="inlineStr">
        <is>
          <t>SYSTEM</t>
        </is>
      </c>
      <c r="G170" s="83" t="inlineStr">
        <is>
          <t>Performance</t>
        </is>
      </c>
      <c r="H170" s="59" t="inlineStr">
        <is>
          <t>—</t>
        </is>
      </c>
      <c r="I170" s="81" t="inlineStr">
        <is>
          <t>C1 — Performance</t>
        </is>
      </c>
      <c r="J170" s="6" t="n">
        <v>29</v>
      </c>
      <c r="K170" s="6" t="inlineStr">
        <is>
          <t>4.2.2.2</t>
        </is>
      </c>
      <c r="L170" s="6" t="inlineStr">
        <is>
          <t>Transient Operational Scenarios</t>
        </is>
      </c>
      <c r="M170" s="6" t="inlineStr">
        <is>
          <t>For cooldown and warm-up scenarios, the QPS design shall comply with the following design basis:</t>
        </is>
      </c>
      <c r="N170" s="6" t="inlineStr">
        <is>
          <t>For cooldown and warm-up scenarios, the QPS design shall comply with the following design basis:
• The Cryogenic Users may be cooled down and warmed up simultaneously or sequentially, as permitted by the QPS design
• During scenarios CD-TS and WU-RT, the temperature difference between headers QRB.D and QRB.E shall be maintained within 50 K</t>
        </is>
      </c>
      <c r="O170" s="6" t="n">
        <v>0</v>
      </c>
      <c r="P170" s="6" t="n">
        <v>0</v>
      </c>
      <c r="Q170" s="6" t="n">
        <v>3</v>
      </c>
      <c r="R170" s="6" t="n">
        <v>3</v>
      </c>
      <c r="S170" s="6" t="n">
        <v>1</v>
      </c>
      <c r="T170" s="6" t="n">
        <v>0</v>
      </c>
      <c r="U170" s="6" t="n">
        <v>0</v>
      </c>
      <c r="V170" s="6" t="n">
        <v>40</v>
      </c>
      <c r="W170" s="6" t="n">
        <v>77.2538</v>
      </c>
      <c r="X170" s="6" t="n">
        <v>14.5852</v>
      </c>
      <c r="Y170" s="6" t="inlineStr">
        <is>
          <t>Performance</t>
        </is>
      </c>
      <c r="Z170" s="6" t="inlineStr">
        <is>
          <t>Frozen-weight composite; strongest contribution: Performance.</t>
        </is>
      </c>
      <c r="AA170" s="6" t="inlineStr">
        <is>
          <t>None explicitly named in this RTM</t>
        </is>
      </c>
      <c r="AB170" s="6" t="inlineStr">
        <is>
          <t>SCK CEN/90508872 §4.2.2.2; no named external code</t>
        </is>
      </c>
      <c r="AC170" s="6" t="inlineStr">
        <is>
          <t>Calculation/model plus calibrated measurement or recorded trend</t>
        </is>
      </c>
      <c r="AD170" s="6" t="inlineStr">
        <is>
          <t>No separate deliverable explicitly named</t>
        </is>
      </c>
      <c r="AE170" s="6" t="inlineStr">
        <is>
          <t>L1 Conceptual Design; L2 Detailed Design</t>
        </is>
      </c>
      <c r="AF170" s="6" t="inlineStr">
        <is>
          <t>Section/contract-derived reference; derived evidence route</t>
        </is>
      </c>
      <c r="AG170" s="58" t="inlineStr">
        <is>
          <t>OFFER-04 (Direct)</t>
        </is>
      </c>
    </row>
    <row r="171" ht="47" customHeight="1">
      <c r="A171" s="6" t="n">
        <v>166</v>
      </c>
      <c r="B171" s="6" t="inlineStr">
        <is>
          <t>RTM-328</t>
        </is>
      </c>
      <c r="C171" s="6" t="inlineStr">
        <is>
          <t>No</t>
        </is>
      </c>
      <c r="D171" s="6" t="inlineStr">
        <is>
          <t>T1 Primary</t>
        </is>
      </c>
      <c r="E171" s="6" t="inlineStr">
        <is>
          <t>Control &amp; Interlock</t>
        </is>
      </c>
      <c r="F171" s="82" t="inlineStr">
        <is>
          <t>SYSTEM</t>
        </is>
      </c>
      <c r="G171" s="83" t="inlineStr">
        <is>
          <t>Performance</t>
        </is>
      </c>
      <c r="H171" s="59" t="inlineStr">
        <is>
          <t>—</t>
        </is>
      </c>
      <c r="I171" s="58" t="inlineStr">
        <is>
          <t>Inferred: C4 — Software &amp; Control (high conf.)</t>
        </is>
      </c>
      <c r="J171" s="6" t="n">
        <v>74</v>
      </c>
      <c r="K171" s="6" t="inlineStr">
        <is>
          <t>4.6.5</t>
        </is>
      </c>
      <c r="L171" s="6" t="inlineStr">
        <is>
          <t>MCS Integration</t>
        </is>
      </c>
      <c r="M171" s="6" t="inlineStr">
        <is>
          <t>The QPS:CIS shall regulate the mass flow rate and supply temperature at the QRB-DIST interface ensuring that the temperature change rate (during cool-down and warm-up) for QCELL during transients remains within predefined limits and the operational window. The temperature change rate is defined as the maximum allowable rate of change of the internal QCELL temperature, expressed in K/h (e.g., 4 K/h).</t>
        </is>
      </c>
      <c r="N171" s="6" t="inlineStr">
        <is>
          <t>The QPS:CIS shall regulate the mass flow rate and supply temperature at the QRB-DIST interface ensuring that the temperature change rate (during cool-down and warm-up) for QCELL during transients remains within predefined limits and the operational window. The temperature change rate is defined as the maximum allowable rate of change of the internal QCELL temperature, expressed in K/h (e.g., 4 K/h).</t>
        </is>
      </c>
      <c r="O171" s="6" t="n">
        <v>0</v>
      </c>
      <c r="P171" s="6" t="n">
        <v>0</v>
      </c>
      <c r="Q171" s="6" t="n">
        <v>3</v>
      </c>
      <c r="R171" s="6" t="n">
        <v>3</v>
      </c>
      <c r="S171" s="6" t="n">
        <v>1</v>
      </c>
      <c r="T171" s="6" t="n">
        <v>0</v>
      </c>
      <c r="U171" s="6" t="n">
        <v>0</v>
      </c>
      <c r="V171" s="6" t="n">
        <v>40</v>
      </c>
      <c r="W171" s="6" t="n">
        <v>77.2538</v>
      </c>
      <c r="X171" s="6" t="n">
        <v>14.5852</v>
      </c>
      <c r="Y171" s="6" t="inlineStr">
        <is>
          <t>Performance</t>
        </is>
      </c>
      <c r="Z171" s="6" t="inlineStr">
        <is>
          <t>Frozen-weight composite; strongest contribution: Performance.</t>
        </is>
      </c>
      <c r="AA171" s="6" t="inlineStr">
        <is>
          <t>None explicitly named in this RTM</t>
        </is>
      </c>
      <c r="AB171" s="6" t="inlineStr">
        <is>
          <t>SCK CEN/90508872 §4.6.5; no named external code</t>
        </is>
      </c>
      <c r="AC171" s="6" t="inlineStr">
        <is>
          <t>Calculation/model plus calibrated measurement or recorded trend; Functional design/configuration review and sequence/interface demonstration</t>
        </is>
      </c>
      <c r="AD171" s="6" t="inlineStr">
        <is>
          <t>No separate deliverable explicitly named</t>
        </is>
      </c>
      <c r="AE171" s="6" t="inlineStr">
        <is>
          <t>L1 Conceptual Design; L2 Detailed Design</t>
        </is>
      </c>
      <c r="AF171" s="6" t="inlineStr">
        <is>
          <t>Section/contract-derived reference; derived evidence route</t>
        </is>
      </c>
      <c r="AG171" s="58" t="inlineStr">
        <is>
          <t>Not linked to an OFFER item</t>
        </is>
      </c>
    </row>
    <row r="172" ht="73" customHeight="1">
      <c r="A172" s="6" t="n">
        <v>167</v>
      </c>
      <c r="B172" s="6" t="inlineStr">
        <is>
          <t>RTM-256</t>
        </is>
      </c>
      <c r="C172" s="6" t="inlineStr">
        <is>
          <t>No</t>
        </is>
      </c>
      <c r="D172" s="6" t="inlineStr">
        <is>
          <t>T1 Primary</t>
        </is>
      </c>
      <c r="E172" s="6" t="inlineStr">
        <is>
          <t>Subsystems</t>
        </is>
      </c>
      <c r="F172" s="82" t="inlineStr">
        <is>
          <t>SYSTEM</t>
        </is>
      </c>
      <c r="G172" s="83" t="inlineStr">
        <is>
          <t>Performance</t>
        </is>
      </c>
      <c r="H172" s="59" t="inlineStr">
        <is>
          <t>—</t>
        </is>
      </c>
      <c r="I172" s="81" t="inlineStr">
        <is>
          <t>C7 (+) — Quality, Testing &amp; Risk + others</t>
        </is>
      </c>
      <c r="J172" s="6" t="n">
        <v>62</v>
      </c>
      <c r="K172" s="6" t="inlineStr">
        <is>
          <t>4.4.7</t>
        </is>
      </c>
      <c r="L172" s="6" t="inlineStr">
        <is>
          <t>Helium Inventory Management</t>
        </is>
      </c>
      <c r="M172" s="6" t="inlineStr">
        <is>
          <t>The QPLANT shall be dimensioned on the basis of the helium inventory required by the Cryogenic Users, as specified in</t>
        </is>
      </c>
      <c r="N172" s="6" t="inlineStr">
        <is>
          <t>The QPLANT shall be dimensioned on the basis of the helium inventory required by the Cryogenic Users, as specified in</t>
        </is>
      </c>
      <c r="O172" s="6" t="n">
        <v>0</v>
      </c>
      <c r="P172" s="6" t="n">
        <v>3</v>
      </c>
      <c r="Q172" s="6" t="n">
        <v>1</v>
      </c>
      <c r="R172" s="6" t="n">
        <v>2</v>
      </c>
      <c r="S172" s="6" t="n">
        <v>0</v>
      </c>
      <c r="T172" s="6" t="n">
        <v>0</v>
      </c>
      <c r="U172" s="6" t="n">
        <v>0</v>
      </c>
      <c r="V172" s="6" t="n">
        <v>39.333333</v>
      </c>
      <c r="W172" s="6" t="n">
        <v>76.9071</v>
      </c>
      <c r="X172" s="6" t="n">
        <v>14.2647</v>
      </c>
      <c r="Y172" s="6" t="inlineStr">
        <is>
          <t>Reliability</t>
        </is>
      </c>
      <c r="Z172" s="6" t="inlineStr">
        <is>
          <t>Frozen-weight composite; strongest contribution: Reliability.</t>
        </is>
      </c>
      <c r="AA172" s="6" t="inlineStr">
        <is>
          <t>None explicitly named in this RTM</t>
        </is>
      </c>
      <c r="AB172" s="6" t="inlineStr">
        <is>
          <t>Section-level: EN 13185:2001</t>
        </is>
      </c>
      <c r="AC172" s="6" t="inlineStr">
        <is>
          <t>RAM/maintenance substantiation and recovery/failure-response evidence</t>
        </is>
      </c>
      <c r="AD172" s="6" t="inlineStr">
        <is>
          <t>No separate deliverable explicitly named</t>
        </is>
      </c>
      <c r="AE172" s="6" t="inlineStr">
        <is>
          <t>L1 Conceptual Design; L2 Detailed Design</t>
        </is>
      </c>
      <c r="AF172" s="6" t="inlineStr">
        <is>
          <t>Section/contract-derived reference; derived evidence route</t>
        </is>
      </c>
      <c r="AG172" s="58" t="inlineStr">
        <is>
          <t>OFFER-13 (Broad/contextual — main component specification); OFFER-20 (Direct)</t>
        </is>
      </c>
    </row>
    <row r="173" ht="138" customHeight="1">
      <c r="A173" s="6" t="n">
        <v>168</v>
      </c>
      <c r="B173" s="6" t="inlineStr">
        <is>
          <t>RTM-432</t>
        </is>
      </c>
      <c r="C173" s="6" t="inlineStr">
        <is>
          <t>No</t>
        </is>
      </c>
      <c r="D173" s="6" t="inlineStr">
        <is>
          <t>T1 Primary</t>
        </is>
      </c>
      <c r="E173" s="6" t="inlineStr">
        <is>
          <t>Buildings &amp; Utilities</t>
        </is>
      </c>
      <c r="F173" s="82" t="inlineStr">
        <is>
          <t>SYSTEM</t>
        </is>
      </c>
      <c r="G173" s="83" t="inlineStr">
        <is>
          <t>Performance</t>
        </is>
      </c>
      <c r="H173" s="59" t="inlineStr">
        <is>
          <t>—</t>
        </is>
      </c>
      <c r="I173" s="81" t="inlineStr">
        <is>
          <t>Inferred: C5 — Infrastructure &amp; Integration (high conf.)</t>
        </is>
      </c>
      <c r="J173" s="6" t="n">
        <v>85</v>
      </c>
      <c r="K173" s="6" t="inlineStr">
        <is>
          <t>4.7.5.1</t>
        </is>
      </c>
      <c r="L173" s="6" t="inlineStr">
        <is>
          <t>LOOP event</t>
        </is>
      </c>
      <c r="M173" s="6" t="inlineStr">
        <is>
          <t>In the event of a Loss of Offsite Power (LOOP) to the MINERVA facility, the Contractor shall assume that:</t>
        </is>
      </c>
      <c r="N173" s="6" t="inlineStr">
        <is>
          <t>In the event of a Loss of Offsite Power (LOOP) to the MINERVA facility, the Contractor shall assume that:
• No continuous instrument air shall be provided during the LOOP event.
• The instrument-air header shall contain only sufficient air for the initial valve actuations following the LOOP event.</t>
        </is>
      </c>
      <c r="O173" s="6" t="n">
        <v>0</v>
      </c>
      <c r="P173" s="6" t="n">
        <v>3</v>
      </c>
      <c r="Q173" s="6" t="n">
        <v>1</v>
      </c>
      <c r="R173" s="6" t="n">
        <v>2</v>
      </c>
      <c r="S173" s="6" t="n">
        <v>0</v>
      </c>
      <c r="T173" s="6" t="n">
        <v>0</v>
      </c>
      <c r="U173" s="6" t="n">
        <v>0</v>
      </c>
      <c r="V173" s="6" t="n">
        <v>39.333333</v>
      </c>
      <c r="W173" s="6" t="n">
        <v>76.9071</v>
      </c>
      <c r="X173" s="6" t="n">
        <v>14.2647</v>
      </c>
      <c r="Y173" s="6" t="inlineStr">
        <is>
          <t>Reliability</t>
        </is>
      </c>
      <c r="Z173" s="6" t="inlineStr">
        <is>
          <t>Frozen-weight composite; strongest contribution: Reliability.</t>
        </is>
      </c>
      <c r="AA173" s="6" t="inlineStr">
        <is>
          <t>None explicitly named in this RTM</t>
        </is>
      </c>
      <c r="AB173" s="6" t="inlineStr">
        <is>
          <t>SCK CEN/90508872 §4.7.5.1; no named external code</t>
        </is>
      </c>
      <c r="AC173" s="6" t="inlineStr">
        <is>
          <t>RAM/maintenance substantiation and recovery/failure-response evidence</t>
        </is>
      </c>
      <c r="AD173" s="6" t="inlineStr">
        <is>
          <t>No separate deliverable explicitly named</t>
        </is>
      </c>
      <c r="AE173" s="6" t="inlineStr">
        <is>
          <t>L1 Conceptual Design; L2 Detailed Design</t>
        </is>
      </c>
      <c r="AF173" s="6" t="inlineStr">
        <is>
          <t>Section/contract-derived reference; derived evidence route</t>
        </is>
      </c>
      <c r="AG173" s="58" t="inlineStr">
        <is>
          <t>Not linked to an OFFER item</t>
        </is>
      </c>
    </row>
    <row r="174" ht="73" customHeight="1">
      <c r="A174" s="6" t="n">
        <v>169</v>
      </c>
      <c r="B174" s="6" t="inlineStr">
        <is>
          <t>RTM-066</t>
        </is>
      </c>
      <c r="C174" s="6" t="inlineStr">
        <is>
          <t>No</t>
        </is>
      </c>
      <c r="D174" s="6" t="inlineStr">
        <is>
          <t>T1 Primary</t>
        </is>
      </c>
      <c r="E174" s="6" t="inlineStr">
        <is>
          <t>Global Design Criteria</t>
        </is>
      </c>
      <c r="F174" s="82" t="inlineStr">
        <is>
          <t>SYSTEM</t>
        </is>
      </c>
      <c r="G174" s="83" t="inlineStr">
        <is>
          <t>Performance</t>
        </is>
      </c>
      <c r="H174" s="59" t="inlineStr">
        <is>
          <t>—</t>
        </is>
      </c>
      <c r="I174" s="81" t="inlineStr">
        <is>
          <t>Inferred: C1 — Performance (medium conf.)</t>
        </is>
      </c>
      <c r="J174" s="6" t="n">
        <v>39</v>
      </c>
      <c r="K174" s="6" t="inlineStr">
        <is>
          <t>4.3.3</t>
        </is>
      </c>
      <c r="L174" s="6" t="inlineStr">
        <is>
          <t>Maintenance strategy</t>
        </is>
      </c>
      <c r="M174" s="6" t="inlineStr">
        <is>
          <t>The QPS design shall be compatible with the maintenance windows defined in Table 11.</t>
        </is>
      </c>
      <c r="N174" s="6" t="inlineStr">
        <is>
          <t>The QPS design shall be compatible with the maintenance windows defined in Table 11.
• The maintenance interval represents the calendar duration of QPS operation after which a maintenance window shall be possible.
• The maintenance duration represents the maximum time during which maintenance activities may be performed.
• During the maintenance window, the QPS shall be able to remain in the specified operational state.
• For any maintenance performed during 2K-OP, compliance with all 2K-OP criteria shall be always maintained.</t>
        </is>
      </c>
      <c r="O174" s="6" t="n">
        <v>2</v>
      </c>
      <c r="P174" s="6" t="n">
        <v>2</v>
      </c>
      <c r="Q174" s="6" t="n">
        <v>0</v>
      </c>
      <c r="R174" s="6" t="n">
        <v>0</v>
      </c>
      <c r="S174" s="6" t="n">
        <v>1</v>
      </c>
      <c r="T174" s="6" t="n">
        <v>3</v>
      </c>
      <c r="U174" s="6" t="n">
        <v>0</v>
      </c>
      <c r="V174" s="6" t="n">
        <v>39</v>
      </c>
      <c r="W174" s="6" t="n">
        <v>76.699</v>
      </c>
      <c r="X174" s="6" t="n">
        <v>14.0765</v>
      </c>
      <c r="Y174" s="6" t="inlineStr">
        <is>
          <t>Reliability</t>
        </is>
      </c>
      <c r="Z174" s="6" t="inlineStr">
        <is>
          <t>Frozen-weight composite; strongest contribution: Reliability.</t>
        </is>
      </c>
      <c r="AA174" s="6" t="inlineStr">
        <is>
          <t>None explicitly named in this RTM</t>
        </is>
      </c>
      <c r="AB174" s="6" t="inlineStr">
        <is>
          <t>Section-level: ISO 55000; ISO 14224</t>
        </is>
      </c>
      <c r="AC174" s="6" t="inlineStr">
        <is>
          <t>Calculation/model plus calibrated measurement or recorded trend; RAM/maintenance substantiation and recovery/failure-response evidence</t>
        </is>
      </c>
      <c r="AD174" s="6" t="inlineStr">
        <is>
          <t>No separate deliverable explicitly named</t>
        </is>
      </c>
      <c r="AE174" s="6" t="inlineStr">
        <is>
          <t>L1 Conceptual Design; L2 Detailed Design</t>
        </is>
      </c>
      <c r="AF174" s="6" t="inlineStr">
        <is>
          <t>Section/contract-derived reference; derived evidence route</t>
        </is>
      </c>
      <c r="AG174" s="58" t="inlineStr">
        <is>
          <t>Not linked to an OFFER item</t>
        </is>
      </c>
    </row>
    <row r="175" ht="73" customHeight="1">
      <c r="A175" s="6" t="n">
        <v>170</v>
      </c>
      <c r="B175" s="6" t="inlineStr">
        <is>
          <t>RTM-168</t>
        </is>
      </c>
      <c r="C175" s="6" t="inlineStr">
        <is>
          <t>No</t>
        </is>
      </c>
      <c r="D175" s="6" t="inlineStr">
        <is>
          <t>T1 Primary</t>
        </is>
      </c>
      <c r="E175" s="6" t="inlineStr">
        <is>
          <t>Subsystems</t>
        </is>
      </c>
      <c r="F175" s="82" t="inlineStr">
        <is>
          <t>SYSTEM</t>
        </is>
      </c>
      <c r="G175" s="83" t="inlineStr">
        <is>
          <t>Performance</t>
        </is>
      </c>
      <c r="H175" s="59" t="inlineStr">
        <is>
          <t>—</t>
        </is>
      </c>
      <c r="I175" s="81" t="inlineStr">
        <is>
          <t>Inferred: C3 — Mechanical &amp; Equipment (medium conf.)</t>
        </is>
      </c>
      <c r="J175" s="6" t="n">
        <v>51</v>
      </c>
      <c r="K175" s="6" t="inlineStr">
        <is>
          <t>4.4.3.5.3</t>
        </is>
      </c>
      <c r="L175" s="6" t="inlineStr">
        <is>
          <t>Oil filters</t>
        </is>
      </c>
      <c r="M175" s="6" t="inlineStr">
        <is>
          <t>The compressor oil-filter system shall include, at minimum:</t>
        </is>
      </c>
      <c r="N175" s="6" t="inlineStr">
        <is>
          <t>The compressor oil-filter system shall include, at minimum:
• A duplex change-over filter, rated at 25 µm absolute, installed at the inlet of each compressor oil pump.
• A fine oil filter installed upstream of the oil-injection points serving the compressor bearings and shaft seals.</t>
        </is>
      </c>
      <c r="O175" s="6" t="n">
        <v>0</v>
      </c>
      <c r="P175" s="6" t="n">
        <v>2</v>
      </c>
      <c r="Q175" s="6" t="n">
        <v>2</v>
      </c>
      <c r="R175" s="6" t="n">
        <v>2</v>
      </c>
      <c r="S175" s="6" t="n">
        <v>0</v>
      </c>
      <c r="T175" s="6" t="n">
        <v>0</v>
      </c>
      <c r="U175" s="6" t="n">
        <v>0</v>
      </c>
      <c r="V175" s="6" t="n">
        <v>38.666667</v>
      </c>
      <c r="W175" s="6" t="n">
        <v>75.3121</v>
      </c>
      <c r="X175" s="6" t="n">
        <v>12.8946</v>
      </c>
      <c r="Y175" s="6" t="inlineStr">
        <is>
          <t>Reliability</t>
        </is>
      </c>
      <c r="Z175" s="6" t="inlineStr">
        <is>
          <t>Frozen-weight composite; strongest contribution: Reliability.</t>
        </is>
      </c>
      <c r="AA175" s="6" t="inlineStr">
        <is>
          <t>None explicitly named in this RTM</t>
        </is>
      </c>
      <c r="AB175" s="6" t="inlineStr">
        <is>
          <t>SCK CEN/90508872 §4.4.3.5.3; no named external code</t>
        </is>
      </c>
      <c r="AC175" s="6" t="inlineStr">
        <is>
          <t>Calculation/model plus calibrated measurement or recorded trend; RAM/maintenance substantiation and recovery/failure-response evidence</t>
        </is>
      </c>
      <c r="AD175" s="6" t="inlineStr">
        <is>
          <t>No separate deliverable explicitly named</t>
        </is>
      </c>
      <c r="AE175" s="6" t="inlineStr">
        <is>
          <t>L1 Conceptual Design; L2 Detailed Design</t>
        </is>
      </c>
      <c r="AF175" s="6" t="inlineStr">
        <is>
          <t>Section/contract-derived reference; derived evidence route</t>
        </is>
      </c>
      <c r="AG175" s="58" t="inlineStr">
        <is>
          <t>Not linked to an OFFER item</t>
        </is>
      </c>
    </row>
    <row r="176" ht="60" customHeight="1">
      <c r="A176" s="6" t="n">
        <v>171</v>
      </c>
      <c r="B176" s="6" t="inlineStr">
        <is>
          <t>RTM-174</t>
        </is>
      </c>
      <c r="C176" s="6" t="inlineStr">
        <is>
          <t>No</t>
        </is>
      </c>
      <c r="D176" s="6" t="inlineStr">
        <is>
          <t>T1 Primary</t>
        </is>
      </c>
      <c r="E176" s="6" t="inlineStr">
        <is>
          <t>Subsystems</t>
        </is>
      </c>
      <c r="F176" s="82" t="inlineStr">
        <is>
          <t>SYSTEM</t>
        </is>
      </c>
      <c r="G176" s="83" t="inlineStr">
        <is>
          <t>Performance</t>
        </is>
      </c>
      <c r="H176" s="59" t="inlineStr">
        <is>
          <t>—</t>
        </is>
      </c>
      <c r="I176" s="81" t="inlineStr">
        <is>
          <t>Inferred: C2 — Process Design (low conf.)</t>
        </is>
      </c>
      <c r="J176" s="6" t="n">
        <v>52</v>
      </c>
      <c r="K176" s="6" t="inlineStr">
        <is>
          <t>4.4.3.6</t>
        </is>
      </c>
      <c r="L176" s="6" t="inlineStr">
        <is>
          <t>Oil Removal and Helium Purification System (ORS/GMP)</t>
        </is>
      </c>
      <c r="M176" s="6" t="inlineStr">
        <is>
          <t>The Contractor shall provide the diagnostics and validated procedures required to verify the oil concentration, at minimum, at the following locations:</t>
        </is>
      </c>
      <c r="N176" s="6" t="inlineStr">
        <is>
          <t>The Contractor shall provide the diagnostics and validated procedures required to verify the oil concentration, at minimum, at the following locations:
• Downstream of the bulk oil separator,
• Upstream of the last coalescing stage
• Downstream of the charcoal adsorber system</t>
        </is>
      </c>
      <c r="O176" s="6" t="n">
        <v>0</v>
      </c>
      <c r="P176" s="6" t="n">
        <v>2</v>
      </c>
      <c r="Q176" s="6" t="n">
        <v>2</v>
      </c>
      <c r="R176" s="6" t="n">
        <v>2</v>
      </c>
      <c r="S176" s="6" t="n">
        <v>0</v>
      </c>
      <c r="T176" s="6" t="n">
        <v>0</v>
      </c>
      <c r="U176" s="6" t="n">
        <v>0</v>
      </c>
      <c r="V176" s="6" t="n">
        <v>38.666667</v>
      </c>
      <c r="W176" s="6" t="n">
        <v>75.3121</v>
      </c>
      <c r="X176" s="6" t="n">
        <v>12.8946</v>
      </c>
      <c r="Y176" s="6" t="inlineStr">
        <is>
          <t>Reliability</t>
        </is>
      </c>
      <c r="Z176" s="6" t="inlineStr">
        <is>
          <t>Frozen-weight composite; strongest contribution: Reliability.</t>
        </is>
      </c>
      <c r="AA176" s="6" t="inlineStr">
        <is>
          <t>None explicitly named in this RTM</t>
        </is>
      </c>
      <c r="AB176" s="6" t="inlineStr">
        <is>
          <t>SCK CEN/90508872 §4.4.3.6; no named external code</t>
        </is>
      </c>
      <c r="AC176" s="6" t="inlineStr">
        <is>
          <t>Submit and review the named deliverable with RTM traceability and approval status; Calculation/model plus calibrated measurement or recorded trend; Functional design/configuration review and sequence/interface demonstration</t>
        </is>
      </c>
      <c r="AD176" s="6" t="inlineStr">
        <is>
          <t>Procedure / work instruction</t>
        </is>
      </c>
      <c r="AE176" s="6" t="inlineStr">
        <is>
          <t>L1 Conceptual Design; L2 Detailed Design</t>
        </is>
      </c>
      <c r="AF176" s="6" t="inlineStr">
        <is>
          <t>Section/contract-derived reference; explicit deliverable/test wording</t>
        </is>
      </c>
      <c r="AG176" s="58" t="inlineStr">
        <is>
          <t>Not linked to an OFFER item</t>
        </is>
      </c>
    </row>
    <row r="177" ht="138" customHeight="1">
      <c r="A177" s="6" t="n">
        <v>172</v>
      </c>
      <c r="B177" s="6" t="inlineStr">
        <is>
          <t>RTM-180</t>
        </is>
      </c>
      <c r="C177" s="6" t="inlineStr">
        <is>
          <t>No</t>
        </is>
      </c>
      <c r="D177" s="6" t="inlineStr">
        <is>
          <t>T1 Primary</t>
        </is>
      </c>
      <c r="E177" s="6" t="inlineStr">
        <is>
          <t>Subsystems</t>
        </is>
      </c>
      <c r="F177" s="82" t="inlineStr">
        <is>
          <t>SYSTEM</t>
        </is>
      </c>
      <c r="G177" s="83" t="inlineStr">
        <is>
          <t>Performance</t>
        </is>
      </c>
      <c r="H177" s="59" t="inlineStr">
        <is>
          <t>—</t>
        </is>
      </c>
      <c r="I177" s="81" t="inlineStr">
        <is>
          <t>Inferred: C3 — Mechanical &amp; Equipment (medium conf.)</t>
        </is>
      </c>
      <c r="J177" s="6" t="n">
        <v>52</v>
      </c>
      <c r="K177" s="6" t="inlineStr">
        <is>
          <t>4.4.3.6.1</t>
        </is>
      </c>
      <c r="L177" s="6" t="inlineStr">
        <is>
          <t>Coalescer system</t>
        </is>
      </c>
      <c r="M177" s="6" t="inlineStr">
        <is>
          <t>The oil collected in the stages upstream of the guard stage shall be automatically returned to the compressor suction through motorized drain valves controlled by level instrumentation.</t>
        </is>
      </c>
      <c r="N177" s="6" t="inlineStr">
        <is>
          <t>The oil collected in the stages upstream of the guard stage shall be automatically returned to the compressor suction through motorized drain valves controlled by level instrumentation.</t>
        </is>
      </c>
      <c r="O177" s="6" t="n">
        <v>0</v>
      </c>
      <c r="P177" s="6" t="n">
        <v>2</v>
      </c>
      <c r="Q177" s="6" t="n">
        <v>2</v>
      </c>
      <c r="R177" s="6" t="n">
        <v>2</v>
      </c>
      <c r="S177" s="6" t="n">
        <v>0</v>
      </c>
      <c r="T177" s="6" t="n">
        <v>0</v>
      </c>
      <c r="U177" s="6" t="n">
        <v>0</v>
      </c>
      <c r="V177" s="6" t="n">
        <v>38.666667</v>
      </c>
      <c r="W177" s="6" t="n">
        <v>75.3121</v>
      </c>
      <c r="X177" s="6" t="n">
        <v>12.8946</v>
      </c>
      <c r="Y177" s="6" t="inlineStr">
        <is>
          <t>Reliability</t>
        </is>
      </c>
      <c r="Z177" s="6" t="inlineStr">
        <is>
          <t>Frozen-weight composite; strongest contribution: Reliability.</t>
        </is>
      </c>
      <c r="AA177" s="6" t="inlineStr">
        <is>
          <t>None explicitly named in this RTM</t>
        </is>
      </c>
      <c r="AB177" s="6" t="inlineStr">
        <is>
          <t>SCK CEN/90508872 §4.4.3.6.1; no named external code</t>
        </is>
      </c>
      <c r="AC177" s="6" t="inlineStr">
        <is>
          <t>Calculation/model plus calibrated measurement or recorded trend; Functional design/configuration review and sequence/interface demonstration; RAM/maintenance substantiation and recovery/failure-response evidence</t>
        </is>
      </c>
      <c r="AD177" s="6" t="inlineStr">
        <is>
          <t>No separate deliverable explicitly named</t>
        </is>
      </c>
      <c r="AE177" s="6" t="inlineStr">
        <is>
          <t>L1 Conceptual Design; L2 Detailed Design</t>
        </is>
      </c>
      <c r="AF177" s="6" t="inlineStr">
        <is>
          <t>Section/contract-derived reference; derived evidence route</t>
        </is>
      </c>
      <c r="AG177" s="58" t="inlineStr">
        <is>
          <t>Not linked to an OFFER item</t>
        </is>
      </c>
    </row>
    <row r="178" ht="47" customHeight="1">
      <c r="A178" s="6" t="n">
        <v>173</v>
      </c>
      <c r="B178" s="6" t="inlineStr">
        <is>
          <t>RTM-210</t>
        </is>
      </c>
      <c r="C178" s="6" t="inlineStr">
        <is>
          <t>No</t>
        </is>
      </c>
      <c r="D178" s="6" t="inlineStr">
        <is>
          <t>T1 Primary</t>
        </is>
      </c>
      <c r="E178" s="6" t="inlineStr">
        <is>
          <t>Subsystems</t>
        </is>
      </c>
      <c r="F178" s="82" t="inlineStr">
        <is>
          <t>SYSTEM</t>
        </is>
      </c>
      <c r="G178" s="83" t="inlineStr">
        <is>
          <t>Control</t>
        </is>
      </c>
      <c r="H178" s="59" t="inlineStr">
        <is>
          <t>—</t>
        </is>
      </c>
      <c r="I178" s="81" t="inlineStr">
        <is>
          <t>Inferred: C3 — Mechanical &amp; Equipment (medium conf.)</t>
        </is>
      </c>
      <c r="J178" s="6" t="n">
        <v>56</v>
      </c>
      <c r="K178" s="6" t="inlineStr">
        <is>
          <t>4.4.4.2.3</t>
        </is>
      </c>
      <c r="L178" s="6" t="inlineStr">
        <is>
          <t>Turbines</t>
        </is>
      </c>
      <c r="M178" s="6" t="inlineStr">
        <is>
          <t>Each turbine shall be equipped with either gas-lubricated bearings or magnetic bearings.</t>
        </is>
      </c>
      <c r="N178" s="6" t="inlineStr">
        <is>
          <t>Each turbine shall be equipped with either gas-lubricated bearings or magnetic bearings.
• If gas-lubricated bearings are selected, the design shall include
• provisions to control labyrinth leakage
• provisions to prevent excessive cooling of the bearing bushings
• If magnetic bearings are selected, the design shall include
• An emergency power supply or equivalent provision in case of electrical power failure.
• A secondary mechanical support system (e.g. backup rolling bearings) to protect the machine in case of bearing control failure.</t>
        </is>
      </c>
      <c r="O178" s="6" t="n">
        <v>0</v>
      </c>
      <c r="P178" s="6" t="n">
        <v>2</v>
      </c>
      <c r="Q178" s="6" t="n">
        <v>2</v>
      </c>
      <c r="R178" s="6" t="n">
        <v>2</v>
      </c>
      <c r="S178" s="6" t="n">
        <v>0</v>
      </c>
      <c r="T178" s="6" t="n">
        <v>0</v>
      </c>
      <c r="U178" s="6" t="n">
        <v>0</v>
      </c>
      <c r="V178" s="6" t="n">
        <v>38.666667</v>
      </c>
      <c r="W178" s="6" t="n">
        <v>75.3121</v>
      </c>
      <c r="X178" s="6" t="n">
        <v>12.8946</v>
      </c>
      <c r="Y178" s="6" t="inlineStr">
        <is>
          <t>Reliability</t>
        </is>
      </c>
      <c r="Z178" s="6" t="inlineStr">
        <is>
          <t>Frozen-weight composite; strongest contribution: Reliability.</t>
        </is>
      </c>
      <c r="AA178" s="6" t="inlineStr">
        <is>
          <t>None explicitly named in this RTM</t>
        </is>
      </c>
      <c r="AB178" s="6" t="inlineStr">
        <is>
          <t>SCK CEN/90508872 §4.4.4.2.3; no named external code</t>
        </is>
      </c>
      <c r="AC178" s="6" t="inlineStr">
        <is>
          <t>Calculation/model plus calibrated measurement or recorded trend; Functional design/configuration review and sequence/interface demonstration; RAM/maintenance substantiation and recovery/failure-response evidence</t>
        </is>
      </c>
      <c r="AD178" s="6" t="inlineStr">
        <is>
          <t>No separate deliverable explicitly named</t>
        </is>
      </c>
      <c r="AE178" s="6" t="inlineStr">
        <is>
          <t>L1 Conceptual Design; L2 Detailed Design</t>
        </is>
      </c>
      <c r="AF178" s="6" t="inlineStr">
        <is>
          <t>Section/contract-derived reference; derived evidence route</t>
        </is>
      </c>
      <c r="AG178" s="58" t="inlineStr">
        <is>
          <t>Not linked to an OFFER item</t>
        </is>
      </c>
    </row>
    <row r="179" ht="99" customHeight="1">
      <c r="A179" s="6" t="n">
        <v>174</v>
      </c>
      <c r="B179" s="6" t="inlineStr">
        <is>
          <t>RTM-216</t>
        </is>
      </c>
      <c r="C179" s="6" t="inlineStr">
        <is>
          <t>No</t>
        </is>
      </c>
      <c r="D179" s="6" t="inlineStr">
        <is>
          <t>T1 Primary</t>
        </is>
      </c>
      <c r="E179" s="6" t="inlineStr">
        <is>
          <t>Subsystems</t>
        </is>
      </c>
      <c r="F179" s="82" t="inlineStr">
        <is>
          <t>SYSTEM</t>
        </is>
      </c>
      <c r="G179" s="83" t="inlineStr">
        <is>
          <t>Constraint</t>
        </is>
      </c>
      <c r="H179" s="59" t="inlineStr">
        <is>
          <t>—</t>
        </is>
      </c>
      <c r="I179" s="81" t="inlineStr">
        <is>
          <t>Inferred: C3 — Mechanical &amp; Equipment (medium conf.)</t>
        </is>
      </c>
      <c r="J179" s="6" t="n">
        <v>57</v>
      </c>
      <c r="K179" s="6" t="inlineStr">
        <is>
          <t>4.4.4.2.3</t>
        </is>
      </c>
      <c r="L179" s="6" t="inlineStr">
        <is>
          <t>Turbines</t>
        </is>
      </c>
      <c r="M179" s="6" t="inlineStr">
        <is>
          <t>The replacement of one turbine cartridge shall not exceed 3 hours under normal maintenance conditions.</t>
        </is>
      </c>
      <c r="N179" s="6" t="inlineStr">
        <is>
          <t>The replacement of one turbine cartridge shall not exceed 3 hours under normal maintenance conditions.</t>
        </is>
      </c>
      <c r="O179" s="6" t="n">
        <v>0</v>
      </c>
      <c r="P179" s="6" t="n">
        <v>2</v>
      </c>
      <c r="Q179" s="6" t="n">
        <v>2</v>
      </c>
      <c r="R179" s="6" t="n">
        <v>2</v>
      </c>
      <c r="S179" s="6" t="n">
        <v>0</v>
      </c>
      <c r="T179" s="6" t="n">
        <v>0</v>
      </c>
      <c r="U179" s="6" t="n">
        <v>0</v>
      </c>
      <c r="V179" s="6" t="n">
        <v>38.666667</v>
      </c>
      <c r="W179" s="6" t="n">
        <v>75.3121</v>
      </c>
      <c r="X179" s="6" t="n">
        <v>12.8946</v>
      </c>
      <c r="Y179" s="6" t="inlineStr">
        <is>
          <t>Reliability</t>
        </is>
      </c>
      <c r="Z179" s="6" t="inlineStr">
        <is>
          <t>Frozen-weight composite; strongest contribution: Reliability.</t>
        </is>
      </c>
      <c r="AA179" s="6" t="inlineStr">
        <is>
          <t>None explicitly named in this RTM</t>
        </is>
      </c>
      <c r="AB179" s="6" t="inlineStr">
        <is>
          <t>SCK CEN/90508872 §4.4.4.2.3; no named external code</t>
        </is>
      </c>
      <c r="AC179" s="6" t="inlineStr">
        <is>
          <t>Calculation/model plus calibrated measurement or recorded trend; RAM/maintenance substantiation and recovery/failure-response evidence</t>
        </is>
      </c>
      <c r="AD179" s="6" t="inlineStr">
        <is>
          <t>No separate deliverable explicitly named</t>
        </is>
      </c>
      <c r="AE179" s="6" t="inlineStr">
        <is>
          <t>L1 Conceptual Design; L2 Detailed Design</t>
        </is>
      </c>
      <c r="AF179" s="6" t="inlineStr">
        <is>
          <t>Section/contract-derived reference; derived evidence route</t>
        </is>
      </c>
      <c r="AG179" s="58" t="inlineStr">
        <is>
          <t>Not linked to an OFFER item</t>
        </is>
      </c>
    </row>
    <row r="180" ht="138" customHeight="1">
      <c r="A180" s="6" t="n">
        <v>175</v>
      </c>
      <c r="B180" s="6" t="inlineStr">
        <is>
          <t>RTM-218</t>
        </is>
      </c>
      <c r="C180" s="6" t="inlineStr">
        <is>
          <t>No</t>
        </is>
      </c>
      <c r="D180" s="6" t="inlineStr">
        <is>
          <t>T1 Primary</t>
        </is>
      </c>
      <c r="E180" s="6" t="inlineStr">
        <is>
          <t>Subsystems</t>
        </is>
      </c>
      <c r="F180" s="82" t="inlineStr">
        <is>
          <t>SYSTEM</t>
        </is>
      </c>
      <c r="G180" s="83" t="inlineStr">
        <is>
          <t>Control</t>
        </is>
      </c>
      <c r="H180" s="59" t="inlineStr">
        <is>
          <t>—</t>
        </is>
      </c>
      <c r="I180" s="81" t="inlineStr">
        <is>
          <t>Inferred: C3 — Mechanical &amp; Equipment (medium conf.)</t>
        </is>
      </c>
      <c r="J180" s="6" t="n">
        <v>57</v>
      </c>
      <c r="K180" s="6" t="inlineStr">
        <is>
          <t>4.4.4.2.4</t>
        </is>
      </c>
      <c r="L180" s="6" t="inlineStr">
        <is>
          <t>Cold Compressors</t>
        </is>
      </c>
      <c r="M180" s="6" t="inlineStr">
        <is>
          <t>The magnetic bearings of the cold compressors shall include:</t>
        </is>
      </c>
      <c r="N180" s="6" t="inlineStr">
        <is>
          <t>The magnetic bearings of the cold compressors shall include:
• An emergency power supply or equivalent provision in case of electrical power failure.
• A secondary mechanical support system (e.g. backup rolling bearings) to protect the machine in case of bearing control failure.
• The bearing system shall allow to lower the rotational speed down to 30 % of nominal speed while remaining in the operational window.</t>
        </is>
      </c>
      <c r="O180" s="6" t="n">
        <v>0</v>
      </c>
      <c r="P180" s="6" t="n">
        <v>2</v>
      </c>
      <c r="Q180" s="6" t="n">
        <v>2</v>
      </c>
      <c r="R180" s="6" t="n">
        <v>2</v>
      </c>
      <c r="S180" s="6" t="n">
        <v>0</v>
      </c>
      <c r="T180" s="6" t="n">
        <v>0</v>
      </c>
      <c r="U180" s="6" t="n">
        <v>0</v>
      </c>
      <c r="V180" s="6" t="n">
        <v>38.666667</v>
      </c>
      <c r="W180" s="6" t="n">
        <v>75.3121</v>
      </c>
      <c r="X180" s="6" t="n">
        <v>12.8946</v>
      </c>
      <c r="Y180" s="6" t="inlineStr">
        <is>
          <t>Reliability</t>
        </is>
      </c>
      <c r="Z180" s="6" t="inlineStr">
        <is>
          <t>Frozen-weight composite; strongest contribution: Reliability.</t>
        </is>
      </c>
      <c r="AA180" s="6" t="inlineStr">
        <is>
          <t>None explicitly named in this RTM</t>
        </is>
      </c>
      <c r="AB180" s="6" t="inlineStr">
        <is>
          <t>SCK CEN/90508872 §4.4.4.2.4; no named external code</t>
        </is>
      </c>
      <c r="AC180" s="6" t="inlineStr">
        <is>
          <t>Calculation/model plus calibrated measurement or recorded trend; Functional design/configuration review and sequence/interface demonstration; RAM/maintenance substantiation and recovery/failure-response evidence</t>
        </is>
      </c>
      <c r="AD180" s="6" t="inlineStr">
        <is>
          <t>No separate deliverable explicitly named</t>
        </is>
      </c>
      <c r="AE180" s="6" t="inlineStr">
        <is>
          <t>L1 Conceptual Design; L2 Detailed Design</t>
        </is>
      </c>
      <c r="AF180" s="6" t="inlineStr">
        <is>
          <t>Section/contract-derived reference; derived evidence route</t>
        </is>
      </c>
      <c r="AG180" s="58" t="inlineStr">
        <is>
          <t>Not linked to an OFFER item</t>
        </is>
      </c>
    </row>
    <row r="181" ht="73" customHeight="1">
      <c r="A181" s="6" t="n">
        <v>176</v>
      </c>
      <c r="B181" s="6" t="inlineStr">
        <is>
          <t>RTM-440</t>
        </is>
      </c>
      <c r="C181" s="6" t="inlineStr">
        <is>
          <t>No</t>
        </is>
      </c>
      <c r="D181" s="6" t="inlineStr">
        <is>
          <t>T1 Primary</t>
        </is>
      </c>
      <c r="E181" s="6" t="inlineStr">
        <is>
          <t>Design &amp; Fabrication</t>
        </is>
      </c>
      <c r="F181" s="82" t="inlineStr">
        <is>
          <t>SYSTEM</t>
        </is>
      </c>
      <c r="G181" s="83" t="inlineStr">
        <is>
          <t>Constraint</t>
        </is>
      </c>
      <c r="H181" s="59" t="inlineStr">
        <is>
          <t>—</t>
        </is>
      </c>
      <c r="I181" s="81" t="inlineStr">
        <is>
          <t>Inferred: C5 — Infrastructure &amp; Integration (medium conf.)</t>
        </is>
      </c>
      <c r="J181" s="6" t="n">
        <v>86</v>
      </c>
      <c r="K181" s="6" t="inlineStr">
        <is>
          <t>4.8.1</t>
        </is>
      </c>
      <c r="L181" s="6" t="inlineStr">
        <is>
          <t>Drawings and CAD models</t>
        </is>
      </c>
      <c r="M181" s="6" t="inlineStr">
        <is>
          <t>The 2D drawings shall comply with the Geometrical Product Specifications (GPS) standards, including but not limited to:</t>
        </is>
      </c>
      <c r="N181" s="6" t="inlineStr">
        <is>
          <t>The 2D drawings shall comply with the Geometrical Product Specifications (GPS) standards, including but not limited to:
• ISO 1101:2017 - Geometrical tolerancing — Tolerances of form, orientation, location and run-out;
• ISO 1:2022 - Standard reference temperature for the specification of geometrical and dimensional properties;
• ISO 286:2010 - ISO code system for tolerances on linear sizes;
• ISO 2768:1989 – General tolerances;
• ISO 2692:2021 - Geometrical tolerancing — Maximum material requirement (MMR), least material requirement (LMR) and reciprocity requirement (RPR).</t>
        </is>
      </c>
      <c r="O181" s="6" t="n">
        <v>2</v>
      </c>
      <c r="P181" s="6" t="n">
        <v>0</v>
      </c>
      <c r="Q181" s="6" t="n">
        <v>1</v>
      </c>
      <c r="R181" s="6" t="n">
        <v>2</v>
      </c>
      <c r="S181" s="6" t="n">
        <v>2</v>
      </c>
      <c r="T181" s="6" t="n">
        <v>0</v>
      </c>
      <c r="U181" s="6" t="n">
        <v>0</v>
      </c>
      <c r="V181" s="6" t="n">
        <v>38.666667</v>
      </c>
      <c r="W181" s="6" t="n">
        <v>75.3121</v>
      </c>
      <c r="X181" s="6" t="n">
        <v>12.8946</v>
      </c>
      <c r="Y181" s="6" t="inlineStr">
        <is>
          <t>Safety / Legal</t>
        </is>
      </c>
      <c r="Z181" s="6" t="inlineStr">
        <is>
          <t>Frozen-weight composite; strongest contribution: Safety / Legal.</t>
        </is>
      </c>
      <c r="AA181" s="6" t="inlineStr">
        <is>
          <t>ISO 1101:2017; ISO 1:2022; ISO 286:2010; ISO 2768:1989; ISO 2692:2021</t>
        </is>
      </c>
      <c r="AB181" s="6" t="inlineStr">
        <is>
          <t>ISO 1101:2017; ISO 1:2022; ISO 286:2010; ISO 2768:1989; ISO 2692:2021</t>
        </is>
      </c>
      <c r="AC181" s="6" t="inlineStr">
        <is>
          <t>Submit and review the named deliverable with RTM traceability and approval status; Document review, inspection, certification, audit or traceable QC record</t>
        </is>
      </c>
      <c r="AD181" s="6" t="inlineStr">
        <is>
          <t>Drawing / diagram</t>
        </is>
      </c>
      <c r="AE181" s="6" t="inlineStr">
        <is>
          <t>L1 Conceptual Design; L2 Detailed Design</t>
        </is>
      </c>
      <c r="AF181" s="6" t="inlineStr">
        <is>
          <t>Explicit/table-grounded standard; explicit deliverable/test wording</t>
        </is>
      </c>
      <c r="AG181" s="58" t="inlineStr">
        <is>
          <t>Not linked to an OFFER item</t>
        </is>
      </c>
    </row>
    <row r="182" ht="151" customHeight="1">
      <c r="A182" s="6" t="n">
        <v>177</v>
      </c>
      <c r="B182" s="6" t="inlineStr">
        <is>
          <t>RTM-465</t>
        </is>
      </c>
      <c r="C182" s="6" t="inlineStr">
        <is>
          <t>No</t>
        </is>
      </c>
      <c r="D182" s="6" t="inlineStr">
        <is>
          <t>T1 Primary</t>
        </is>
      </c>
      <c r="E182" s="6" t="inlineStr">
        <is>
          <t>Design &amp; Fabrication</t>
        </is>
      </c>
      <c r="F182" s="82" t="inlineStr">
        <is>
          <t>SYSTEM</t>
        </is>
      </c>
      <c r="G182" s="83" t="inlineStr">
        <is>
          <t>Performance</t>
        </is>
      </c>
      <c r="H182" s="59" t="inlineStr">
        <is>
          <t>—</t>
        </is>
      </c>
      <c r="I182" s="58" t="inlineStr">
        <is>
          <t>Inferred: C5 — Infrastructure &amp; Integration (medium conf.)</t>
        </is>
      </c>
      <c r="J182" s="6" t="n">
        <v>90</v>
      </c>
      <c r="K182" s="6" t="inlineStr">
        <is>
          <t>4.8.5</t>
        </is>
      </c>
      <c r="L182" s="6" t="inlineStr">
        <is>
          <t>General Electrical Requirements</t>
        </is>
      </c>
      <c r="M182" s="6" t="inlineStr">
        <is>
          <t>All electrical components (including cables, cabinets, cable trays, and associated systems) shall comply with the applicable international electrical standards, including but not limited to IEC 61508 and IEC 61511 for lifecycle functional safety aspects.</t>
        </is>
      </c>
      <c r="N182" s="6" t="inlineStr">
        <is>
          <t>All electrical components (including cables, cabinets, cable trays, and associated systems) shall comply with the applicable international electrical standards, including but not limited to IEC 61508 and IEC 61511 for lifecycle functional safety aspects.</t>
        </is>
      </c>
      <c r="O182" s="6" t="n">
        <v>3</v>
      </c>
      <c r="P182" s="6" t="n">
        <v>0</v>
      </c>
      <c r="Q182" s="6" t="n">
        <v>0</v>
      </c>
      <c r="R182" s="6" t="n">
        <v>2</v>
      </c>
      <c r="S182" s="6" t="n">
        <v>2</v>
      </c>
      <c r="T182" s="6" t="n">
        <v>0</v>
      </c>
      <c r="U182" s="6" t="n">
        <v>0</v>
      </c>
      <c r="V182" s="6" t="n">
        <v>38.666667</v>
      </c>
      <c r="W182" s="6" t="n">
        <v>75.3121</v>
      </c>
      <c r="X182" s="6" t="n">
        <v>12.8946</v>
      </c>
      <c r="Y182" s="6" t="inlineStr">
        <is>
          <t>Safety / Legal</t>
        </is>
      </c>
      <c r="Z182" s="6" t="inlineStr">
        <is>
          <t>Frozen-weight composite; strongest contribution: Safety / Legal.</t>
        </is>
      </c>
      <c r="AA182" s="6" t="inlineStr">
        <is>
          <t>IEC 61508; IEC 61511</t>
        </is>
      </c>
      <c r="AB182" s="6" t="inlineStr">
        <is>
          <t>IEC 61508; IEC 61511</t>
        </is>
      </c>
      <c r="AC182" s="6" t="inlineStr">
        <is>
          <t>Document review, inspection, certification, audit or traceable QC record; Conformity/safety assessment, certification and approved safety evidence</t>
        </is>
      </c>
      <c r="AD182" s="6" t="inlineStr">
        <is>
          <t>No separate deliverable explicitly named</t>
        </is>
      </c>
      <c r="AE182" s="6" t="inlineStr">
        <is>
          <t>L1 Conceptual Design; L2 Detailed Design</t>
        </is>
      </c>
      <c r="AF182" s="6" t="inlineStr">
        <is>
          <t>Explicit/table-grounded standard; derived evidence route</t>
        </is>
      </c>
      <c r="AG182" s="58" t="inlineStr">
        <is>
          <t>Not linked to an OFFER item</t>
        </is>
      </c>
    </row>
    <row r="183" ht="112" customHeight="1">
      <c r="A183" s="6" t="n">
        <v>178</v>
      </c>
      <c r="B183" s="6" t="inlineStr">
        <is>
          <t>RTM-504</t>
        </is>
      </c>
      <c r="C183" s="6" t="inlineStr">
        <is>
          <t>No</t>
        </is>
      </c>
      <c r="D183" s="6" t="inlineStr">
        <is>
          <t>T1 Primary</t>
        </is>
      </c>
      <c r="E183" s="6" t="inlineStr">
        <is>
          <t>Acceptance Testing</t>
        </is>
      </c>
      <c r="F183" s="82" t="inlineStr">
        <is>
          <t>PROJECT</t>
        </is>
      </c>
      <c r="G183" s="83" t="inlineStr">
        <is>
          <t>Documentation &amp; Compliance</t>
        </is>
      </c>
      <c r="H183" s="59" t="inlineStr">
        <is>
          <t>—</t>
        </is>
      </c>
      <c r="I183" s="58" t="inlineStr">
        <is>
          <t>C7 — Quality, Testing &amp; Risk</t>
        </is>
      </c>
      <c r="J183" s="6" t="n">
        <v>97</v>
      </c>
      <c r="K183" s="6" t="inlineStr">
        <is>
          <t>4.13.3</t>
        </is>
      </c>
      <c r="L183" s="6" t="inlineStr">
        <is>
          <t>Site Acceptance Tests (SAT)</t>
        </is>
      </c>
      <c r="M183" s="6" t="inlineStr">
        <is>
          <t>For each SAT demonstration, the Contractor shall continuously monitor and record the quantities relevant to the demonstrated function. This shall include, where applicable, at minimum:</t>
        </is>
      </c>
      <c r="N183" s="6" t="inlineStr">
        <is>
          <t>For each SAT demonstration, the Contractor shall continuously monitor and record the quantities relevant to the demonstrated function. This shall include, where applicable, at minimum:
• Mass-flow rates.
• Pressures and pressure drops.
• Temperatures.
• Liquid levels.
• Storage pressures.
• Cooling-water temperatures and flow rates.
• Motor currents and voltages.
• Applied heater powers.</t>
        </is>
      </c>
      <c r="O183" s="6" t="n">
        <v>2</v>
      </c>
      <c r="P183" s="6" t="n">
        <v>0</v>
      </c>
      <c r="Q183" s="6" t="n">
        <v>2</v>
      </c>
      <c r="R183" s="6" t="n">
        <v>0</v>
      </c>
      <c r="S183" s="6" t="n">
        <v>3</v>
      </c>
      <c r="T183" s="6" t="n">
        <v>0</v>
      </c>
      <c r="U183" s="6" t="n">
        <v>0</v>
      </c>
      <c r="V183" s="6" t="n">
        <v>38.666667</v>
      </c>
      <c r="W183" s="6" t="n">
        <v>75.3121</v>
      </c>
      <c r="X183" s="6" t="n">
        <v>12.8946</v>
      </c>
      <c r="Y183" s="6" t="inlineStr">
        <is>
          <t>Safety / Legal / Performance</t>
        </is>
      </c>
      <c r="Z183" s="6" t="inlineStr">
        <is>
          <t>Frozen-weight composite; strongest contribution: Safety / Legal / Performance.</t>
        </is>
      </c>
      <c r="AA183" s="6" t="inlineStr">
        <is>
          <t>None explicitly named in this RTM</t>
        </is>
      </c>
      <c r="AB183" s="6" t="inlineStr">
        <is>
          <t>SCK CEN/90508872 §4.13.3; no named external code</t>
        </is>
      </c>
      <c r="AC183" s="6" t="inlineStr">
        <is>
          <t>Witnessed FAT/SAT/commissioning test against stated acceptance criteria; Calculation/model plus calibrated measurement or recorded trend</t>
        </is>
      </c>
      <c r="AD183" s="6" t="inlineStr">
        <is>
          <t>No separate deliverable explicitly named</t>
        </is>
      </c>
      <c r="AE183" s="6" t="inlineStr">
        <is>
          <t>L6 Site Acceptance Testing; L1 Conceptual Design; L2 Detailed Design</t>
        </is>
      </c>
      <c r="AF183" s="6" t="inlineStr">
        <is>
          <t>Section/contract-derived reference; explicit deliverable/test wording</t>
        </is>
      </c>
      <c r="AG183" s="58" t="inlineStr">
        <is>
          <t>OFFER-39 (Supporting)</t>
        </is>
      </c>
    </row>
    <row r="184" ht="164" customHeight="1">
      <c r="A184" s="6" t="n">
        <v>179</v>
      </c>
      <c r="B184" s="6" t="inlineStr">
        <is>
          <t>RTM-526</t>
        </is>
      </c>
      <c r="C184" s="6" t="inlineStr">
        <is>
          <t>No</t>
        </is>
      </c>
      <c r="D184" s="6" t="inlineStr">
        <is>
          <t>T1 Primary</t>
        </is>
      </c>
      <c r="E184" s="6" t="inlineStr">
        <is>
          <t>Acceptance Testing</t>
        </is>
      </c>
      <c r="F184" s="82" t="inlineStr">
        <is>
          <t>PROJECT</t>
        </is>
      </c>
      <c r="G184" s="83" t="inlineStr">
        <is>
          <t>Governance &amp; Responsibility</t>
        </is>
      </c>
      <c r="H184" s="59" t="inlineStr">
        <is>
          <t>—</t>
        </is>
      </c>
      <c r="I184" s="58" t="inlineStr">
        <is>
          <t>C7 — Quality, Testing &amp; Risk</t>
        </is>
      </c>
      <c r="J184" s="6" t="n">
        <v>102</v>
      </c>
      <c r="K184" s="6" t="inlineStr">
        <is>
          <t>4.13.3.3.2</t>
        </is>
      </c>
      <c r="L184" s="6" t="inlineStr">
        <is>
          <t>Demonstration of the 2K-OP operating envelope</t>
        </is>
      </c>
      <c r="M184" s="6" t="inlineStr">
        <is>
          <t>The Contractor shall demonstrate the robustness and controllability of the QPS within the 2K-OP operational envelope during the SAT. This demonstration shall be performed with the QPS operating at each of the following test points:</t>
        </is>
      </c>
      <c r="N184" s="6" t="inlineStr">
        <is>
          <t>The Contractor shall demonstrate the robustness and controllability of the QPS within the 2K-OP operational envelope during the SAT. This demonstration shall be performed with the QPS operating at each of the following test points:
• QPLANT Design Point
• QPLANT Standby Point
• Six (6) QPLANT Predefined Test Points, as defined in RTM-503, each corresponding to a condition within the 2K-OP scenario.</t>
        </is>
      </c>
      <c r="O184" s="6" t="n">
        <v>1</v>
      </c>
      <c r="P184" s="6" t="n">
        <v>0</v>
      </c>
      <c r="Q184" s="6" t="n">
        <v>3</v>
      </c>
      <c r="R184" s="6" t="n">
        <v>0</v>
      </c>
      <c r="S184" s="6" t="n">
        <v>3</v>
      </c>
      <c r="T184" s="6" t="n">
        <v>0</v>
      </c>
      <c r="U184" s="6" t="n">
        <v>0</v>
      </c>
      <c r="V184" s="6" t="n">
        <v>38.666667</v>
      </c>
      <c r="W184" s="6" t="n">
        <v>75.3121</v>
      </c>
      <c r="X184" s="6" t="n">
        <v>12.8946</v>
      </c>
      <c r="Y184" s="6" t="inlineStr">
        <is>
          <t>Performance</t>
        </is>
      </c>
      <c r="Z184" s="6" t="inlineStr">
        <is>
          <t>Frozen-weight composite; strongest contribution: Performance.</t>
        </is>
      </c>
      <c r="AA184" s="6" t="inlineStr">
        <is>
          <t>None explicitly named in this RTM</t>
        </is>
      </c>
      <c r="AB184" s="6" t="inlineStr">
        <is>
          <t>SCK CEN/90508872 §4.13.3.3.2; no named external code</t>
        </is>
      </c>
      <c r="AC184" s="6" t="inlineStr">
        <is>
          <t>Witnessed FAT/SAT/commissioning test against stated acceptance criteria; Calculation/model plus calibrated measurement or recorded trend</t>
        </is>
      </c>
      <c r="AD184" s="6" t="inlineStr">
        <is>
          <t>No separate deliverable explicitly named</t>
        </is>
      </c>
      <c r="AE184" s="6" t="inlineStr">
        <is>
          <t>L6 Site Acceptance Testing; L1 Conceptual Design; L2 Detailed Design</t>
        </is>
      </c>
      <c r="AF184" s="6" t="inlineStr">
        <is>
          <t>Section/contract-derived reference; explicit deliverable/test wording</t>
        </is>
      </c>
      <c r="AG184" s="58" t="inlineStr">
        <is>
          <t>OFFER-39 (Supporting)</t>
        </is>
      </c>
    </row>
    <row r="185" ht="125" customHeight="1">
      <c r="A185" s="6" t="n">
        <v>180</v>
      </c>
      <c r="B185" s="6" t="inlineStr">
        <is>
          <t>RTM-527</t>
        </is>
      </c>
      <c r="C185" s="6" t="inlineStr">
        <is>
          <t>No</t>
        </is>
      </c>
      <c r="D185" s="6" t="inlineStr">
        <is>
          <t>T1 Primary</t>
        </is>
      </c>
      <c r="E185" s="6" t="inlineStr">
        <is>
          <t>Acceptance Testing</t>
        </is>
      </c>
      <c r="F185" s="82" t="inlineStr">
        <is>
          <t>PROJECT</t>
        </is>
      </c>
      <c r="G185" s="83" t="inlineStr">
        <is>
          <t>Documentation &amp; Compliance</t>
        </is>
      </c>
      <c r="H185" s="59" t="inlineStr">
        <is>
          <t>—</t>
        </is>
      </c>
      <c r="I185" s="58" t="inlineStr">
        <is>
          <t>C7 — Quality, Testing &amp; Risk</t>
        </is>
      </c>
      <c r="J185" s="6" t="n">
        <v>102</v>
      </c>
      <c r="K185" s="6" t="inlineStr">
        <is>
          <t>4.13.3.3.2</t>
        </is>
      </c>
      <c r="L185" s="6" t="inlineStr">
        <is>
          <t>Demonstration of the 2K-OP operating envelope</t>
        </is>
      </c>
      <c r="M185" s="6" t="inlineStr">
        <is>
          <t>At each test point of the demonstration, the Contractor shall:</t>
        </is>
      </c>
      <c r="N185" s="6" t="inlineStr">
        <is>
          <t>At each test point of the demonstration, the Contractor shall:
• Demonstrate stable transition of the QPS from the preceding test point to the current test point.
• Stabilise the QPS at the test point and record the relevant process values.
• Apply a first step change ∆Q_step, as defined in RTM-528.
• Demonstrate that the QPS remains controllable and reaches a stable operating condition following the applied step change ∆Q_step.
• Apply a second independently selected step change ∆Q_step, as defined in RTM-528.
• Demonstrate that the QPS remains controllable and reaches a stable operating condition following the applied step change ∆Q_step.</t>
        </is>
      </c>
      <c r="O185" s="6" t="n">
        <v>1</v>
      </c>
      <c r="P185" s="6" t="n">
        <v>0</v>
      </c>
      <c r="Q185" s="6" t="n">
        <v>3</v>
      </c>
      <c r="R185" s="6" t="n">
        <v>0</v>
      </c>
      <c r="S185" s="6" t="n">
        <v>3</v>
      </c>
      <c r="T185" s="6" t="n">
        <v>0</v>
      </c>
      <c r="U185" s="6" t="n">
        <v>0</v>
      </c>
      <c r="V185" s="6" t="n">
        <v>38.666667</v>
      </c>
      <c r="W185" s="6" t="n">
        <v>75.3121</v>
      </c>
      <c r="X185" s="6" t="n">
        <v>12.8946</v>
      </c>
      <c r="Y185" s="6" t="inlineStr">
        <is>
          <t>Performance</t>
        </is>
      </c>
      <c r="Z185" s="6" t="inlineStr">
        <is>
          <t>Frozen-weight composite; strongest contribution: Performance.</t>
        </is>
      </c>
      <c r="AA185" s="6" t="inlineStr">
        <is>
          <t>None explicitly named in this RTM</t>
        </is>
      </c>
      <c r="AB185" s="6" t="inlineStr">
        <is>
          <t>SCK CEN/90508872 §4.13.3.3.2; no named external code</t>
        </is>
      </c>
      <c r="AC185" s="6" t="inlineStr">
        <is>
          <t>Witnessed FAT/SAT/commissioning test against stated acceptance criteria; Calculation/model plus calibrated measurement or recorded trend</t>
        </is>
      </c>
      <c r="AD185" s="6" t="inlineStr">
        <is>
          <t>No separate deliverable explicitly named</t>
        </is>
      </c>
      <c r="AE185" s="6" t="inlineStr">
        <is>
          <t>L1 Conceptual Design; L2 Detailed Design</t>
        </is>
      </c>
      <c r="AF185" s="6" t="inlineStr">
        <is>
          <t>Section/contract-derived reference; explicit deliverable/test wording</t>
        </is>
      </c>
      <c r="AG185" s="58" t="inlineStr">
        <is>
          <t>OFFER-39 (Supporting)</t>
        </is>
      </c>
    </row>
    <row r="186" ht="138" customHeight="1">
      <c r="A186" s="6" t="n">
        <v>181</v>
      </c>
      <c r="B186" s="6" t="inlineStr">
        <is>
          <t>RTM-528</t>
        </is>
      </c>
      <c r="C186" s="6" t="inlineStr">
        <is>
          <t>No</t>
        </is>
      </c>
      <c r="D186" s="6" t="inlineStr">
        <is>
          <t>T1 Primary</t>
        </is>
      </c>
      <c r="E186" s="6" t="inlineStr">
        <is>
          <t>Acceptance Testing</t>
        </is>
      </c>
      <c r="F186" s="82" t="inlineStr">
        <is>
          <t>PROJECT</t>
        </is>
      </c>
      <c r="G186" s="83" t="inlineStr">
        <is>
          <t>Governance &amp; Responsibility</t>
        </is>
      </c>
      <c r="H186" s="59" t="inlineStr">
        <is>
          <t>—</t>
        </is>
      </c>
      <c r="I186" s="58" t="inlineStr">
        <is>
          <t>C7 — Quality, Testing &amp; Risk</t>
        </is>
      </c>
      <c r="J186" s="6" t="n">
        <v>102</v>
      </c>
      <c r="K186" s="6" t="inlineStr">
        <is>
          <t>4.13.3.3.2</t>
        </is>
      </c>
      <c r="L186" s="6" t="inlineStr">
        <is>
          <t>Demonstration of the 2K-OP operating envelope</t>
        </is>
      </c>
      <c r="M186" s="6" t="inlineStr">
        <is>
          <t>The Predefined Heat-Load Step Changes (∆Q_step) shall be defined as follows:</t>
        </is>
      </c>
      <c r="N186" s="6" t="inlineStr">
        <is>
          <t>The Predefined Heat-Load Step Changes (∆Q_step) shall be defined as follows:
• Each ∆Q_step shall have a value between -30 W and +30 W. All ΔQ_step values shall be selected independently of one another.
• Each ∆Q_step shall be applied to the cavity heat loads Q_CAV, in accordance with the Cryogenic User Circuitry Model.
• Each ∆Q_step value shall result in a valid heat load condition for the 2K-OP scenario within the Operational Condition Ranges defined in §4.2.3.
• Each ∆Q_step value shall be defined by SCK CEN and communicated during the demonstration.</t>
        </is>
      </c>
      <c r="O186" s="6" t="n">
        <v>1</v>
      </c>
      <c r="P186" s="6" t="n">
        <v>0</v>
      </c>
      <c r="Q186" s="6" t="n">
        <v>3</v>
      </c>
      <c r="R186" s="6" t="n">
        <v>0</v>
      </c>
      <c r="S186" s="6" t="n">
        <v>3</v>
      </c>
      <c r="T186" s="6" t="n">
        <v>0</v>
      </c>
      <c r="U186" s="6" t="n">
        <v>0</v>
      </c>
      <c r="V186" s="6" t="n">
        <v>38.666667</v>
      </c>
      <c r="W186" s="6" t="n">
        <v>75.3121</v>
      </c>
      <c r="X186" s="6" t="n">
        <v>12.8946</v>
      </c>
      <c r="Y186" s="6" t="inlineStr">
        <is>
          <t>Performance</t>
        </is>
      </c>
      <c r="Z186" s="6" t="inlineStr">
        <is>
          <t>Frozen-weight composite; strongest contribution: Performance.</t>
        </is>
      </c>
      <c r="AA186" s="6" t="inlineStr">
        <is>
          <t>None explicitly named in this RTM</t>
        </is>
      </c>
      <c r="AB186" s="6" t="inlineStr">
        <is>
          <t>SCK CEN/90508872 §4.13.3.3.2; no named external code</t>
        </is>
      </c>
      <c r="AC186" s="6" t="inlineStr">
        <is>
          <t>Calculation/model plus calibrated measurement or recorded trend; Document review, inspection, certification, audit or traceable QC record</t>
        </is>
      </c>
      <c r="AD186" s="6" t="inlineStr">
        <is>
          <t>No separate deliverable explicitly named</t>
        </is>
      </c>
      <c r="AE186" s="6" t="inlineStr">
        <is>
          <t>L1 Conceptual Design; L2 Detailed Design</t>
        </is>
      </c>
      <c r="AF186" s="6" t="inlineStr">
        <is>
          <t>Section/contract-derived reference; derived evidence route</t>
        </is>
      </c>
      <c r="AG186" s="58" t="inlineStr">
        <is>
          <t>OFFER-39 (Supporting)</t>
        </is>
      </c>
    </row>
    <row r="187" ht="99" customHeight="1">
      <c r="A187" s="6" t="n">
        <v>182</v>
      </c>
      <c r="B187" s="6" t="inlineStr">
        <is>
          <t>RTM-529</t>
        </is>
      </c>
      <c r="C187" s="6" t="inlineStr">
        <is>
          <t>No</t>
        </is>
      </c>
      <c r="D187" s="6" t="inlineStr">
        <is>
          <t>T1 Primary</t>
        </is>
      </c>
      <c r="E187" s="6" t="inlineStr">
        <is>
          <t>Acceptance Testing</t>
        </is>
      </c>
      <c r="F187" s="82" t="inlineStr">
        <is>
          <t>PROJECT</t>
        </is>
      </c>
      <c r="G187" s="83" t="inlineStr">
        <is>
          <t>Governance &amp; Responsibility</t>
        </is>
      </c>
      <c r="H187" s="59" t="inlineStr">
        <is>
          <t>—</t>
        </is>
      </c>
      <c r="I187" s="58" t="inlineStr">
        <is>
          <t>C7 — Quality, Testing &amp; Risk</t>
        </is>
      </c>
      <c r="J187" s="6" t="n">
        <v>103</v>
      </c>
      <c r="K187" s="6" t="inlineStr">
        <is>
          <t>4.13.3.3.2</t>
        </is>
      </c>
      <c r="L187" s="6" t="inlineStr">
        <is>
          <t>Demonstration of the 2K-OP operating envelope</t>
        </is>
      </c>
      <c r="M187" s="6" t="inlineStr">
        <is>
          <t>The demonstration shall be performed according to the following sequence:</t>
        </is>
      </c>
      <c r="N187" s="6" t="inlineStr">
        <is>
          <t>The demonstration shall be performed according to the following sequence:
• The QPS shall start in 2K-SB
• The QPS shall transition from 2K-SB to 2K-OP via the transient 2K-RAMP
• The QPS shall stabilizes at the first test point
• After completion of the demonstration at a given test point, the QPS shall transition to the subsequent test point.
• The sequence shall be repeated until all test points have been demonstrated.
• After completion of all test points, the QPS shall transition back to 2K-SB.</t>
        </is>
      </c>
      <c r="O187" s="6" t="n">
        <v>1</v>
      </c>
      <c r="P187" s="6" t="n">
        <v>0</v>
      </c>
      <c r="Q187" s="6" t="n">
        <v>3</v>
      </c>
      <c r="R187" s="6" t="n">
        <v>0</v>
      </c>
      <c r="S187" s="6" t="n">
        <v>3</v>
      </c>
      <c r="T187" s="6" t="n">
        <v>0</v>
      </c>
      <c r="U187" s="6" t="n">
        <v>0</v>
      </c>
      <c r="V187" s="6" t="n">
        <v>38.666667</v>
      </c>
      <c r="W187" s="6" t="n">
        <v>75.3121</v>
      </c>
      <c r="X187" s="6" t="n">
        <v>12.8946</v>
      </c>
      <c r="Y187" s="6" t="inlineStr">
        <is>
          <t>Performance</t>
        </is>
      </c>
      <c r="Z187" s="6" t="inlineStr">
        <is>
          <t>Frozen-weight composite; strongest contribution: Performance.</t>
        </is>
      </c>
      <c r="AA187" s="6" t="inlineStr">
        <is>
          <t>None explicitly named in this RTM</t>
        </is>
      </c>
      <c r="AB187" s="6" t="inlineStr">
        <is>
          <t>SCK CEN/90508872 §4.13.3.3.2; no named external code</t>
        </is>
      </c>
      <c r="AC187" s="6" t="inlineStr">
        <is>
          <t>Witnessed FAT/SAT/commissioning test against stated acceptance criteria; Calculation/model plus calibrated measurement or recorded trend</t>
        </is>
      </c>
      <c r="AD187" s="6" t="inlineStr">
        <is>
          <t>No separate deliverable explicitly named</t>
        </is>
      </c>
      <c r="AE187" s="6" t="inlineStr">
        <is>
          <t>L1 Conceptual Design; L2 Detailed Design</t>
        </is>
      </c>
      <c r="AF187" s="6" t="inlineStr">
        <is>
          <t>Section/contract-derived reference; explicit deliverable/test wording</t>
        </is>
      </c>
      <c r="AG187" s="58" t="inlineStr">
        <is>
          <t>OFFER-39 (Supporting)</t>
        </is>
      </c>
    </row>
    <row r="188" ht="125" customHeight="1">
      <c r="A188" s="6" t="n">
        <v>183</v>
      </c>
      <c r="B188" s="6" t="inlineStr">
        <is>
          <t>RTM-534</t>
        </is>
      </c>
      <c r="C188" s="6" t="inlineStr">
        <is>
          <t>No</t>
        </is>
      </c>
      <c r="D188" s="6" t="inlineStr">
        <is>
          <t>T1 Primary</t>
        </is>
      </c>
      <c r="E188" s="6" t="inlineStr">
        <is>
          <t>Acceptance Testing</t>
        </is>
      </c>
      <c r="F188" s="82" t="inlineStr">
        <is>
          <t>PROJECT</t>
        </is>
      </c>
      <c r="G188" s="83" t="inlineStr">
        <is>
          <t>Governance &amp; Responsibility</t>
        </is>
      </c>
      <c r="H188" s="59" t="inlineStr">
        <is>
          <t>—</t>
        </is>
      </c>
      <c r="I188" s="58" t="inlineStr">
        <is>
          <t>C7 — Quality, Testing &amp; Risk</t>
        </is>
      </c>
      <c r="J188" s="6" t="n">
        <v>104</v>
      </c>
      <c r="K188" s="6" t="inlineStr">
        <is>
          <t>4.13.3.3.5</t>
        </is>
      </c>
      <c r="L188" s="6" t="inlineStr">
        <is>
          <t>Demonstration of rotating and compression equipment</t>
        </is>
      </c>
      <c r="M188" s="6" t="inlineStr">
        <is>
          <t>For the cold compressors, the Contractor shall demonstrate the operating envelope and stability margins during the SAT. This shall include, at minimum:</t>
        </is>
      </c>
      <c r="N188" s="6" t="inlineStr">
        <is>
          <t>For the cold compressors, the Contractor shall demonstrate the operating envelope and stability margins during the SAT. This shall include, at minimum:
• The verification of the operating envelope of the cold compressors.
• The provision and verification of the reference performance maps and stability limits used to define that operating envelope.
• The verification of the choke and surge margins at the demonstrated operating points.</t>
        </is>
      </c>
      <c r="O188" s="6" t="n">
        <v>1</v>
      </c>
      <c r="P188" s="6" t="n">
        <v>0</v>
      </c>
      <c r="Q188" s="6" t="n">
        <v>3</v>
      </c>
      <c r="R188" s="6" t="n">
        <v>0</v>
      </c>
      <c r="S188" s="6" t="n">
        <v>3</v>
      </c>
      <c r="T188" s="6" t="n">
        <v>0</v>
      </c>
      <c r="U188" s="6" t="n">
        <v>0</v>
      </c>
      <c r="V188" s="6" t="n">
        <v>38.666667</v>
      </c>
      <c r="W188" s="6" t="n">
        <v>75.3121</v>
      </c>
      <c r="X188" s="6" t="n">
        <v>12.8946</v>
      </c>
      <c r="Y188" s="6" t="inlineStr">
        <is>
          <t>Performance</t>
        </is>
      </c>
      <c r="Z188" s="6" t="inlineStr">
        <is>
          <t>Frozen-weight composite; strongest contribution: Performance.</t>
        </is>
      </c>
      <c r="AA188" s="6" t="inlineStr">
        <is>
          <t>None explicitly named in this RTM</t>
        </is>
      </c>
      <c r="AB188" s="6" t="inlineStr">
        <is>
          <t>SCK CEN/90508872 §4.13.3.3.5; no named external code</t>
        </is>
      </c>
      <c r="AC188" s="6" t="inlineStr">
        <is>
          <t>Witnessed FAT/SAT/commissioning test against stated acceptance criteria; Calculation/model plus calibrated measurement or recorded trend</t>
        </is>
      </c>
      <c r="AD188" s="6" t="inlineStr">
        <is>
          <t>No separate deliverable explicitly named</t>
        </is>
      </c>
      <c r="AE188" s="6" t="inlineStr">
        <is>
          <t>L6 Site Acceptance Testing; L1 Conceptual Design; L2 Detailed Design</t>
        </is>
      </c>
      <c r="AF188" s="6" t="inlineStr">
        <is>
          <t>Section/contract-derived reference; explicit deliverable/test wording</t>
        </is>
      </c>
      <c r="AG188" s="58" t="inlineStr">
        <is>
          <t>OFFER-39 (Supporting)</t>
        </is>
      </c>
    </row>
    <row r="189" ht="125" customHeight="1">
      <c r="A189" s="6" t="n">
        <v>184</v>
      </c>
      <c r="B189" s="6" t="inlineStr">
        <is>
          <t>RTM-535</t>
        </is>
      </c>
      <c r="C189" s="6" t="inlineStr">
        <is>
          <t>No</t>
        </is>
      </c>
      <c r="D189" s="6" t="inlineStr">
        <is>
          <t>T1 Primary</t>
        </is>
      </c>
      <c r="E189" s="6" t="inlineStr">
        <is>
          <t>Acceptance Testing</t>
        </is>
      </c>
      <c r="F189" s="82" t="inlineStr">
        <is>
          <t>PROJECT</t>
        </is>
      </c>
      <c r="G189" s="83" t="inlineStr">
        <is>
          <t>Governance &amp; Responsibility</t>
        </is>
      </c>
      <c r="H189" s="59" t="inlineStr">
        <is>
          <t>—</t>
        </is>
      </c>
      <c r="I189" s="58" t="inlineStr">
        <is>
          <t>C7 — Quality, Testing &amp; Risk</t>
        </is>
      </c>
      <c r="J189" s="6" t="n">
        <v>104</v>
      </c>
      <c r="K189" s="6" t="inlineStr">
        <is>
          <t>4.13.3.3.5</t>
        </is>
      </c>
      <c r="L189" s="6" t="inlineStr">
        <is>
          <t>Demonstration of rotating and compression equipment</t>
        </is>
      </c>
      <c r="M189" s="6" t="inlineStr">
        <is>
          <t>For each warm compressor unit, the Contractor shall demonstrate the relevant performance and operating characteristics during the SAT. This shall include, at minimum:</t>
        </is>
      </c>
      <c r="N189" s="6" t="inlineStr">
        <is>
          <t>For each warm compressor unit, the Contractor shall demonstrate the relevant performance and operating characteristics during the SAT. This shall include, at minimum:
• The mass-flow capability.
• The noise, vibration, and flow stability.
• The load/unload logic and turndown control behaviour.
• The verification of operation at the QPLANT Design Point
• The verification of operation at the QPLANT Standby Point
• The verification of compliance with specified noise/vibration limits</t>
        </is>
      </c>
      <c r="O189" s="6" t="n">
        <v>2</v>
      </c>
      <c r="P189" s="6" t="n">
        <v>0</v>
      </c>
      <c r="Q189" s="6" t="n">
        <v>2</v>
      </c>
      <c r="R189" s="6" t="n">
        <v>0</v>
      </c>
      <c r="S189" s="6" t="n">
        <v>3</v>
      </c>
      <c r="T189" s="6" t="n">
        <v>0</v>
      </c>
      <c r="U189" s="6" t="n">
        <v>0</v>
      </c>
      <c r="V189" s="6" t="n">
        <v>38.666667</v>
      </c>
      <c r="W189" s="6" t="n">
        <v>75.3121</v>
      </c>
      <c r="X189" s="6" t="n">
        <v>12.8946</v>
      </c>
      <c r="Y189" s="6" t="inlineStr">
        <is>
          <t>Safety / Legal / Performance</t>
        </is>
      </c>
      <c r="Z189" s="6" t="inlineStr">
        <is>
          <t>Frozen-weight composite; strongest contribution: Safety / Legal / Performance.</t>
        </is>
      </c>
      <c r="AA189" s="6" t="inlineStr">
        <is>
          <t>None explicitly named in this RTM</t>
        </is>
      </c>
      <c r="AB189" s="6" t="inlineStr">
        <is>
          <t>SCK CEN/90508872 §4.13.3.3.5; no named external code</t>
        </is>
      </c>
      <c r="AC189" s="6" t="inlineStr">
        <is>
          <t>Witnessed FAT/SAT/commissioning test against stated acceptance criteria; Calculation/model plus calibrated measurement or recorded trend</t>
        </is>
      </c>
      <c r="AD189" s="6" t="inlineStr">
        <is>
          <t>No separate deliverable explicitly named</t>
        </is>
      </c>
      <c r="AE189" s="6" t="inlineStr">
        <is>
          <t>L6 Site Acceptance Testing; L1 Conceptual Design; L2 Detailed Design</t>
        </is>
      </c>
      <c r="AF189" s="6" t="inlineStr">
        <is>
          <t>Section/contract-derived reference; explicit deliverable/test wording</t>
        </is>
      </c>
      <c r="AG189" s="58" t="inlineStr">
        <is>
          <t>OFFER-39 (Supporting)</t>
        </is>
      </c>
    </row>
    <row r="190" ht="125" customHeight="1">
      <c r="A190" s="6" t="n">
        <v>185</v>
      </c>
      <c r="B190" s="6" t="inlineStr">
        <is>
          <t>RTM-539</t>
        </is>
      </c>
      <c r="C190" s="6" t="inlineStr">
        <is>
          <t>No</t>
        </is>
      </c>
      <c r="D190" s="6" t="inlineStr">
        <is>
          <t>T1 Primary</t>
        </is>
      </c>
      <c r="E190" s="6" t="inlineStr">
        <is>
          <t>Acceptance Testing</t>
        </is>
      </c>
      <c r="F190" s="82" t="inlineStr">
        <is>
          <t>PROJECT</t>
        </is>
      </c>
      <c r="G190" s="83" t="inlineStr">
        <is>
          <t>Governance &amp; Responsibility</t>
        </is>
      </c>
      <c r="H190" s="59" t="inlineStr">
        <is>
          <t>—</t>
        </is>
      </c>
      <c r="I190" s="58" t="inlineStr">
        <is>
          <t>C7 — Quality, Testing &amp; Risk</t>
        </is>
      </c>
      <c r="J190" s="6" t="n">
        <v>105</v>
      </c>
      <c r="K190" s="6" t="inlineStr">
        <is>
          <t>4.13.3.3.6</t>
        </is>
      </c>
      <c r="L190" s="6" t="inlineStr">
        <is>
          <t>Demonstration of storage and withdrawal systems</t>
        </is>
      </c>
      <c r="M190" s="6" t="inlineStr">
        <is>
          <t>For the WSH, the Contractor shall demonstrate the performance during the SAT. This shall include, at minimum:</t>
        </is>
      </c>
      <c r="N190" s="6" t="inlineStr">
        <is>
          <t>For the WSH, the Contractor shall demonstrate the performance during the SAT. This shall include, at minimum:
• The verification of the usable helium storage capacity.
• The verification of the fill and withdrawal capability.
• The verification of the pressure stability and pressure control behaviour.
• The verification of the correct functioning of the associated instrumentation, valves, and protections.
• The verification of the correct functioning of the helium storage management, including its interface with the associated valve panel.</t>
        </is>
      </c>
      <c r="O190" s="6" t="n">
        <v>1</v>
      </c>
      <c r="P190" s="6" t="n">
        <v>0</v>
      </c>
      <c r="Q190" s="6" t="n">
        <v>3</v>
      </c>
      <c r="R190" s="6" t="n">
        <v>0</v>
      </c>
      <c r="S190" s="6" t="n">
        <v>3</v>
      </c>
      <c r="T190" s="6" t="n">
        <v>0</v>
      </c>
      <c r="U190" s="6" t="n">
        <v>0</v>
      </c>
      <c r="V190" s="6" t="n">
        <v>38.666667</v>
      </c>
      <c r="W190" s="6" t="n">
        <v>75.3121</v>
      </c>
      <c r="X190" s="6" t="n">
        <v>12.8946</v>
      </c>
      <c r="Y190" s="6" t="inlineStr">
        <is>
          <t>Performance</t>
        </is>
      </c>
      <c r="Z190" s="6" t="inlineStr">
        <is>
          <t>Frozen-weight composite; strongest contribution: Performance.</t>
        </is>
      </c>
      <c r="AA190" s="6" t="inlineStr">
        <is>
          <t>None explicitly named in this RTM</t>
        </is>
      </c>
      <c r="AB190" s="6" t="inlineStr">
        <is>
          <t>SCK CEN/90508872 §4.13.3.3.6; no named external code</t>
        </is>
      </c>
      <c r="AC190" s="6" t="inlineStr">
        <is>
          <t>Witnessed FAT/SAT/commissioning test against stated acceptance criteria; Calculation/model plus calibrated measurement or recorded trend</t>
        </is>
      </c>
      <c r="AD190" s="6" t="inlineStr">
        <is>
          <t>No separate deliverable explicitly named</t>
        </is>
      </c>
      <c r="AE190" s="6" t="inlineStr">
        <is>
          <t>L6 Site Acceptance Testing; L1 Conceptual Design; L2 Detailed Design</t>
        </is>
      </c>
      <c r="AF190" s="6" t="inlineStr">
        <is>
          <t>Section/contract-derived reference; explicit deliverable/test wording</t>
        </is>
      </c>
      <c r="AG190" s="58" t="inlineStr">
        <is>
          <t>OFFER-39 (Supporting)</t>
        </is>
      </c>
    </row>
    <row r="191" ht="99" customHeight="1">
      <c r="A191" s="6" t="n">
        <v>186</v>
      </c>
      <c r="B191" s="6" t="inlineStr">
        <is>
          <t>RTM-540</t>
        </is>
      </c>
      <c r="C191" s="6" t="inlineStr">
        <is>
          <t>No</t>
        </is>
      </c>
      <c r="D191" s="6" t="inlineStr">
        <is>
          <t>T1 Primary</t>
        </is>
      </c>
      <c r="E191" s="6" t="inlineStr">
        <is>
          <t>Acceptance Testing</t>
        </is>
      </c>
      <c r="F191" s="82" t="inlineStr">
        <is>
          <t>PROJECT</t>
        </is>
      </c>
      <c r="G191" s="83" t="inlineStr">
        <is>
          <t>Governance &amp; Responsibility</t>
        </is>
      </c>
      <c r="H191" s="59" t="inlineStr">
        <is>
          <t>—</t>
        </is>
      </c>
      <c r="I191" s="58" t="inlineStr">
        <is>
          <t>C7 — Quality, Testing &amp; Risk</t>
        </is>
      </c>
      <c r="J191" s="6" t="n">
        <v>105</v>
      </c>
      <c r="K191" s="6" t="inlineStr">
        <is>
          <t>4.13.3.3.6</t>
        </is>
      </c>
      <c r="L191" s="6" t="inlineStr">
        <is>
          <t>Demonstration of storage and withdrawal systems</t>
        </is>
      </c>
      <c r="M191" s="6" t="inlineStr">
        <is>
          <t>If the QSN is supplied, the Contractor shall demonstrate the performance of the QSN during the SAT. This shall include, at minimum:</t>
        </is>
      </c>
      <c r="N191" s="6" t="inlineStr">
        <is>
          <t>If the QSN is supplied, the Contractor shall demonstrate the performance of the QSN during the SAT. This shall include, at minimum:
• The verification of the boil-off rate.
• The verification of the usable LN2 storage capacity.
• The verification of the fill and withdrawal capability under representative demand.
• The verification of the pressure stability and pressure control behaviour.
• The verification of the correct functioning of the associated instrumentation, valves, and protections.</t>
        </is>
      </c>
      <c r="O191" s="6" t="n">
        <v>1</v>
      </c>
      <c r="P191" s="6" t="n">
        <v>0</v>
      </c>
      <c r="Q191" s="6" t="n">
        <v>3</v>
      </c>
      <c r="R191" s="6" t="n">
        <v>0</v>
      </c>
      <c r="S191" s="6" t="n">
        <v>3</v>
      </c>
      <c r="T191" s="6" t="n">
        <v>0</v>
      </c>
      <c r="U191" s="6" t="n">
        <v>0</v>
      </c>
      <c r="V191" s="6" t="n">
        <v>38.666667</v>
      </c>
      <c r="W191" s="6" t="n">
        <v>75.3121</v>
      </c>
      <c r="X191" s="6" t="n">
        <v>12.8946</v>
      </c>
      <c r="Y191" s="6" t="inlineStr">
        <is>
          <t>Performance</t>
        </is>
      </c>
      <c r="Z191" s="6" t="inlineStr">
        <is>
          <t>Frozen-weight composite; strongest contribution: Performance.</t>
        </is>
      </c>
      <c r="AA191" s="6" t="inlineStr">
        <is>
          <t>None explicitly named in this RTM</t>
        </is>
      </c>
      <c r="AB191" s="6" t="inlineStr">
        <is>
          <t>SCK CEN/90508872 §4.13.3.3.6; no named external code</t>
        </is>
      </c>
      <c r="AC191" s="6" t="inlineStr">
        <is>
          <t>Witnessed FAT/SAT/commissioning test against stated acceptance criteria; Calculation/model plus calibrated measurement or recorded trend</t>
        </is>
      </c>
      <c r="AD191" s="6" t="inlineStr">
        <is>
          <t>No separate deliverable explicitly named</t>
        </is>
      </c>
      <c r="AE191" s="6" t="inlineStr">
        <is>
          <t>L6 Site Acceptance Testing; L1 Conceptual Design; L2 Detailed Design</t>
        </is>
      </c>
      <c r="AF191" s="6" t="inlineStr">
        <is>
          <t>Section/contract-derived reference; explicit deliverable/test wording</t>
        </is>
      </c>
      <c r="AG191" s="58" t="inlineStr">
        <is>
          <t>OFFER-39 (Supporting)</t>
        </is>
      </c>
    </row>
    <row r="192" ht="242" customHeight="1">
      <c r="A192" s="6" t="n">
        <v>187</v>
      </c>
      <c r="B192" s="6" t="inlineStr">
        <is>
          <t>RTM-543</t>
        </is>
      </c>
      <c r="C192" s="6" t="inlineStr">
        <is>
          <t>No</t>
        </is>
      </c>
      <c r="D192" s="6" t="inlineStr">
        <is>
          <t>T1 Primary</t>
        </is>
      </c>
      <c r="E192" s="6" t="inlineStr">
        <is>
          <t>Acceptance Testing</t>
        </is>
      </c>
      <c r="F192" s="82" t="inlineStr">
        <is>
          <t>PROJECT</t>
        </is>
      </c>
      <c r="G192" s="83" t="inlineStr">
        <is>
          <t>Governance &amp; Responsibility</t>
        </is>
      </c>
      <c r="H192" s="59" t="inlineStr">
        <is>
          <t>—</t>
        </is>
      </c>
      <c r="I192" s="58" t="inlineStr">
        <is>
          <t>C7 — Quality, Testing &amp; Risk</t>
        </is>
      </c>
      <c r="J192" s="6" t="n">
        <v>105</v>
      </c>
      <c r="K192" s="6" t="inlineStr">
        <is>
          <t>4.13.3.3.7</t>
        </is>
      </c>
      <c r="L192" s="6" t="inlineStr">
        <is>
          <t>Energy-Efficiency demonstration</t>
        </is>
      </c>
      <c r="M192" s="6" t="inlineStr">
        <is>
          <t>The methodology used to determine invCOP_SAT shall be defined in advance and shall specify at least:</t>
        </is>
      </c>
      <c r="N192" s="6" t="inlineStr">
        <is>
          <t>The methodology used to determine invCOP_SAT shall be defined in advance and shall specify at least:
• The required instrumentation.
• The electrical measurement boundary.
• The measured and derived quantities used in the determination.
• Any correction, interpolation, or extrapolation applied to determine invCOP_SAT at the QPLANT Design Point.</t>
        </is>
      </c>
      <c r="O192" s="6" t="n">
        <v>1</v>
      </c>
      <c r="P192" s="6" t="n">
        <v>0</v>
      </c>
      <c r="Q192" s="6" t="n">
        <v>3</v>
      </c>
      <c r="R192" s="6" t="n">
        <v>0</v>
      </c>
      <c r="S192" s="6" t="n">
        <v>3</v>
      </c>
      <c r="T192" s="6" t="n">
        <v>0</v>
      </c>
      <c r="U192" s="6" t="n">
        <v>0</v>
      </c>
      <c r="V192" s="6" t="n">
        <v>38.666667</v>
      </c>
      <c r="W192" s="6" t="n">
        <v>75.3121</v>
      </c>
      <c r="X192" s="6" t="n">
        <v>12.8946</v>
      </c>
      <c r="Y192" s="6" t="inlineStr">
        <is>
          <t>Performance</t>
        </is>
      </c>
      <c r="Z192" s="6" t="inlineStr">
        <is>
          <t>Frozen-weight composite; strongest contribution: Performance.</t>
        </is>
      </c>
      <c r="AA192" s="6" t="inlineStr">
        <is>
          <t>None explicitly named in this RTM</t>
        </is>
      </c>
      <c r="AB192" s="6" t="inlineStr">
        <is>
          <t>SCK CEN/90508872 §4.13.3.3.7; no named external code</t>
        </is>
      </c>
      <c r="AC192" s="6" t="inlineStr">
        <is>
          <t>Witnessed FAT/SAT/commissioning test against stated acceptance criteria; Calculation/model plus calibrated measurement or recorded trend</t>
        </is>
      </c>
      <c r="AD192" s="6" t="inlineStr">
        <is>
          <t>No separate deliverable explicitly named</t>
        </is>
      </c>
      <c r="AE192" s="6" t="inlineStr">
        <is>
          <t>L6 Site Acceptance Testing; L1 Conceptual Design; L2 Detailed Design</t>
        </is>
      </c>
      <c r="AF192" s="6" t="inlineStr">
        <is>
          <t>Section/contract-derived reference; derived evidence route</t>
        </is>
      </c>
      <c r="AG192" s="58" t="inlineStr">
        <is>
          <t>OFFER-39 (Supporting); OFFER-40 (Direct)</t>
        </is>
      </c>
    </row>
    <row r="193" ht="73" customHeight="1">
      <c r="A193" s="6" t="n">
        <v>188</v>
      </c>
      <c r="B193" s="6" t="inlineStr">
        <is>
          <t>RTM-565</t>
        </is>
      </c>
      <c r="C193" s="6" t="inlineStr">
        <is>
          <t>No</t>
        </is>
      </c>
      <c r="D193" s="6" t="inlineStr">
        <is>
          <t>T1 Primary</t>
        </is>
      </c>
      <c r="E193" s="6" t="inlineStr">
        <is>
          <t>After-Sales</t>
        </is>
      </c>
      <c r="F193" s="82" t="inlineStr">
        <is>
          <t>PROJECT</t>
        </is>
      </c>
      <c r="G193" s="83" t="inlineStr">
        <is>
          <t>Documentation &amp; Compliance</t>
        </is>
      </c>
      <c r="H193" s="59" t="inlineStr">
        <is>
          <t>—</t>
        </is>
      </c>
      <c r="I193" s="58" t="inlineStr">
        <is>
          <t>C8 (+) — Commercial &amp; Execution + others</t>
        </is>
      </c>
      <c r="J193" s="6" t="n">
        <v>108</v>
      </c>
      <c r="K193" s="6" t="inlineStr">
        <is>
          <t>4.15</t>
        </is>
      </c>
      <c r="L193" s="6" t="inlineStr">
        <is>
          <t>After-Sales Services</t>
        </is>
      </c>
      <c r="M193" s="6" t="inlineStr">
        <is>
          <t>Following a request for support from SCK CEN, the actions and respective response times in case of a fault shall be:</t>
        </is>
      </c>
      <c r="N193" s="6" t="inlineStr">
        <is>
          <t>Following a request for support from SCK CEN, the actions and respective response times in case of a fault shall be:
• Complete the fault identification and analysis, and establish the strategy to realize the solution, including a preliminary cost and time estimate:
• Maximum 3 Business Days after SCK CEN’s request for support in case presence at the MINERVA site by the Contractor is not required for fault identification/analysis.
• Maximum 5 Business Days after SCK CEN’s request for support in case presence at the MINERVA site by the Contractor is required for fault identification/analysis.
• The Contractor shall propose a solution which implies as little downtime as reasonably possible for the operation of the LINAC.
• Submit a formal quote for the solution:
• Maximum 3 Business Days after completion of the previous step (fault identification/analysis completed; strategy for solution established).
• This quote shall clearly state (i) technical description of the proposed solution; (ii) price for the realization of the proposed solution; and (iii) the lead time for the realization of the proposed solution.</t>
        </is>
      </c>
      <c r="O193" s="6" t="n">
        <v>1</v>
      </c>
      <c r="P193" s="6" t="n">
        <v>3</v>
      </c>
      <c r="Q193" s="6" t="n">
        <v>0</v>
      </c>
      <c r="R193" s="6" t="n">
        <v>0</v>
      </c>
      <c r="S193" s="6" t="n">
        <v>0</v>
      </c>
      <c r="T193" s="6" t="n">
        <v>3</v>
      </c>
      <c r="U193" s="6" t="n">
        <v>3</v>
      </c>
      <c r="V193" s="6" t="n">
        <v>38.666667</v>
      </c>
      <c r="W193" s="6" t="n">
        <v>75.3121</v>
      </c>
      <c r="X193" s="6" t="n">
        <v>12.8946</v>
      </c>
      <c r="Y193" s="6" t="inlineStr">
        <is>
          <t>Reliability</t>
        </is>
      </c>
      <c r="Z193" s="6" t="inlineStr">
        <is>
          <t>Frozen-weight composite; strongest contribution: Reliability.</t>
        </is>
      </c>
      <c r="AA193" s="6" t="inlineStr">
        <is>
          <t>None explicitly named in this RTM</t>
        </is>
      </c>
      <c r="AB193" s="6" t="inlineStr">
        <is>
          <t>SCK CEN/90508872 §4.15; no named external code</t>
        </is>
      </c>
      <c r="AC193" s="6" t="inlineStr">
        <is>
          <t>RAM/maintenance substantiation and recovery/failure-response evidence</t>
        </is>
      </c>
      <c r="AD193" s="6" t="inlineStr">
        <is>
          <t>No separate deliverable explicitly named</t>
        </is>
      </c>
      <c r="AE193" s="6" t="inlineStr">
        <is>
          <t>L1 Conceptual Design; L2 Detailed Design</t>
        </is>
      </c>
      <c r="AF193" s="6" t="inlineStr">
        <is>
          <t>Section/contract-derived reference; derived evidence route</t>
        </is>
      </c>
      <c r="AG193" s="58" t="inlineStr">
        <is>
          <t>OFFER-42 (Direct); OFFER-43 (Contextual — maintenance effort estimate)</t>
        </is>
      </c>
    </row>
    <row r="194" ht="151" customHeight="1">
      <c r="A194" s="6" t="n">
        <v>189</v>
      </c>
      <c r="B194" s="6" t="inlineStr">
        <is>
          <t>RTM-346</t>
        </is>
      </c>
      <c r="C194" s="6" t="inlineStr">
        <is>
          <t>No</t>
        </is>
      </c>
      <c r="D194" s="6" t="inlineStr">
        <is>
          <t>T1 Primary</t>
        </is>
      </c>
      <c r="E194" s="6" t="inlineStr">
        <is>
          <t>Control &amp; Interlock</t>
        </is>
      </c>
      <c r="F194" s="82" t="inlineStr">
        <is>
          <t>SYSTEM</t>
        </is>
      </c>
      <c r="G194" s="83" t="inlineStr">
        <is>
          <t>Performance</t>
        </is>
      </c>
      <c r="H194" s="59" t="inlineStr">
        <is>
          <t>—</t>
        </is>
      </c>
      <c r="I194" s="81" t="inlineStr">
        <is>
          <t>C4 — Software &amp; Control</t>
        </is>
      </c>
      <c r="J194" s="6" t="n">
        <v>76</v>
      </c>
      <c r="K194" s="6" t="inlineStr">
        <is>
          <t>4.6.8</t>
        </is>
      </c>
      <c r="L194" s="6" t="inlineStr">
        <is>
          <t>SCADA, HMI, and Data Historian Infrastructure</t>
        </is>
      </c>
      <c r="M194" s="6" t="inlineStr">
        <is>
          <t>The Contractor shall provide local operator stations (HMI) to support local data visualization, reporting, and maintenance activities for QPS. At minimum, one station shall be installed in the Compressor Room and one in the Cold Box Room.</t>
        </is>
      </c>
      <c r="N194" s="6" t="inlineStr">
        <is>
          <t>The Contractor shall provide local operator stations (HMI) to support local data visualization, reporting, and maintenance activities for QPS. At minimum, one station shall be installed in the Compressor Room and one in the Cold Box Room.</t>
        </is>
      </c>
      <c r="O194" s="6" t="n">
        <v>0</v>
      </c>
      <c r="P194" s="6" t="n">
        <v>2</v>
      </c>
      <c r="Q194" s="6" t="n">
        <v>0</v>
      </c>
      <c r="R194" s="6" t="n">
        <v>3</v>
      </c>
      <c r="S194" s="6" t="n">
        <v>2</v>
      </c>
      <c r="T194" s="6" t="n">
        <v>0</v>
      </c>
      <c r="U194" s="6" t="n">
        <v>0</v>
      </c>
      <c r="V194" s="6" t="n">
        <v>38.666667</v>
      </c>
      <c r="W194" s="6" t="n">
        <v>73.9251</v>
      </c>
      <c r="X194" s="6" t="n">
        <v>11.8282</v>
      </c>
      <c r="Y194" s="6" t="inlineStr">
        <is>
          <t>Functional</t>
        </is>
      </c>
      <c r="Z194" s="6" t="inlineStr">
        <is>
          <t>Frozen-weight composite; strongest contribution: Functional.</t>
        </is>
      </c>
      <c r="AA194" s="6" t="inlineStr">
        <is>
          <t>None explicitly named in this RTM</t>
        </is>
      </c>
      <c r="AB194" s="6" t="inlineStr">
        <is>
          <t>SCK CEN/90508872 §4.6.8; no named external code</t>
        </is>
      </c>
      <c r="AC194" s="6" t="inlineStr">
        <is>
          <t>RAM/maintenance substantiation and recovery/failure-response evidence; Document review, inspection, certification, audit or traceable QC record</t>
        </is>
      </c>
      <c r="AD194" s="6" t="inlineStr">
        <is>
          <t>No separate deliverable explicitly named</t>
        </is>
      </c>
      <c r="AE194" s="6" t="inlineStr">
        <is>
          <t>L1 Conceptual Design; L2 Detailed Design</t>
        </is>
      </c>
      <c r="AF194" s="6" t="inlineStr">
        <is>
          <t>Section/contract-derived reference; derived evidence route</t>
        </is>
      </c>
      <c r="AG194" s="58" t="inlineStr">
        <is>
          <t>OFFER-29 (Direct)</t>
        </is>
      </c>
    </row>
    <row r="195" ht="73" customHeight="1">
      <c r="A195" s="6" t="n">
        <v>190</v>
      </c>
      <c r="B195" s="6" t="inlineStr">
        <is>
          <t>RTM-352</t>
        </is>
      </c>
      <c r="C195" s="6" t="inlineStr">
        <is>
          <t>No</t>
        </is>
      </c>
      <c r="D195" s="6" t="inlineStr">
        <is>
          <t>T1 Primary</t>
        </is>
      </c>
      <c r="E195" s="6" t="inlineStr">
        <is>
          <t>Control &amp; Interlock</t>
        </is>
      </c>
      <c r="F195" s="82" t="inlineStr">
        <is>
          <t>SYSTEM</t>
        </is>
      </c>
      <c r="G195" s="83" t="inlineStr">
        <is>
          <t>Performance</t>
        </is>
      </c>
      <c r="H195" s="59" t="inlineStr">
        <is>
          <t>—</t>
        </is>
      </c>
      <c r="I195" s="58" t="inlineStr">
        <is>
          <t>C4 — Software &amp; Control</t>
        </is>
      </c>
      <c r="J195" s="6" t="n">
        <v>76</v>
      </c>
      <c r="K195" s="6" t="inlineStr">
        <is>
          <t>4.6.8</t>
        </is>
      </c>
      <c r="L195" s="6" t="inlineStr">
        <is>
          <t>SCADA, HMI, and Data Historian Infrastructure</t>
        </is>
      </c>
      <c r="M195" s="6" t="inlineStr">
        <is>
          <t>The SCADA platform, data historian, and HMI hardware/software shall be supported with software, firmware, and security updates for at least 20 years from commissioning. The Contractor shall provide manufacturer documentation confirming update availability.</t>
        </is>
      </c>
      <c r="N195" s="6" t="inlineStr">
        <is>
          <t>The SCADA platform, data historian, and HMI hardware/software shall be supported with software, firmware, and security updates for at least 20 years from commissioning. The Contractor shall provide manufacturer documentation confirming update availability.</t>
        </is>
      </c>
      <c r="O195" s="6" t="n">
        <v>0</v>
      </c>
      <c r="P195" s="6" t="n">
        <v>3</v>
      </c>
      <c r="Q195" s="6" t="n">
        <v>0</v>
      </c>
      <c r="R195" s="6" t="n">
        <v>3</v>
      </c>
      <c r="S195" s="6" t="n">
        <v>0</v>
      </c>
      <c r="T195" s="6" t="n">
        <v>0</v>
      </c>
      <c r="U195" s="6" t="n">
        <v>0</v>
      </c>
      <c r="V195" s="6" t="n">
        <v>38</v>
      </c>
      <c r="W195" s="6" t="n">
        <v>73.7171</v>
      </c>
      <c r="X195" s="6" t="n">
        <v>11.6773</v>
      </c>
      <c r="Y195" s="6" t="inlineStr">
        <is>
          <t>Reliability</t>
        </is>
      </c>
      <c r="Z195" s="6" t="inlineStr">
        <is>
          <t>Frozen-weight composite; strongest contribution: Reliability.</t>
        </is>
      </c>
      <c r="AA195" s="6" t="inlineStr">
        <is>
          <t>None explicitly named in this RTM</t>
        </is>
      </c>
      <c r="AB195" s="6" t="inlineStr">
        <is>
          <t>SCK CEN/90508872 §4.6.8; no named external code</t>
        </is>
      </c>
      <c r="AC195" s="6" t="inlineStr">
        <is>
          <t>Witnessed FAT/SAT/commissioning test against stated acceptance criteria; Functional design/configuration review and sequence/interface demonstration; RAM/maintenance substantiation and recovery/failure-response evidence</t>
        </is>
      </c>
      <c r="AD195" s="6" t="inlineStr">
        <is>
          <t>No separate deliverable explicitly named</t>
        </is>
      </c>
      <c r="AE195" s="6" t="inlineStr">
        <is>
          <t>L1 Conceptual Design; L2 Detailed Design</t>
        </is>
      </c>
      <c r="AF195" s="6" t="inlineStr">
        <is>
          <t>Section/contract-derived reference; derived evidence route</t>
        </is>
      </c>
      <c r="AG195" s="58" t="inlineStr">
        <is>
          <t>OFFER-29 (Direct)</t>
        </is>
      </c>
    </row>
    <row r="196" ht="73" customHeight="1">
      <c r="A196" s="6" t="n">
        <v>191</v>
      </c>
      <c r="B196" s="6" t="inlineStr">
        <is>
          <t>RTM-375</t>
        </is>
      </c>
      <c r="C196" s="6" t="inlineStr">
        <is>
          <t>No</t>
        </is>
      </c>
      <c r="D196" s="6" t="inlineStr">
        <is>
          <t>T1 Primary</t>
        </is>
      </c>
      <c r="E196" s="6" t="inlineStr">
        <is>
          <t>Control &amp; Interlock</t>
        </is>
      </c>
      <c r="F196" s="82" t="inlineStr">
        <is>
          <t>SYSTEM</t>
        </is>
      </c>
      <c r="G196" s="83" t="inlineStr">
        <is>
          <t>Performance</t>
        </is>
      </c>
      <c r="H196" s="59" t="inlineStr">
        <is>
          <t>—</t>
        </is>
      </c>
      <c r="I196" s="81" t="inlineStr">
        <is>
          <t>Inferred: C4 — Software &amp; Control (high conf.)</t>
        </is>
      </c>
      <c r="J196" s="6" t="n">
        <v>78</v>
      </c>
      <c r="K196" s="6" t="inlineStr">
        <is>
          <t>4.6.10.3</t>
        </is>
      </c>
      <c r="L196" s="6" t="inlineStr">
        <is>
          <t>Interfaces with MIT</t>
        </is>
      </c>
      <c r="M196" s="6" t="inlineStr">
        <is>
          <t>The QPS shall be physically connected to the MIT network in a redundant, fault tolerant way. At minimum 2 physical links will be foreseen, each link routed via a separate pathway. The physical connections need to be distributed over at minimum 2 separate physical endpoints on the QPS side.</t>
        </is>
      </c>
      <c r="N196" s="6" t="inlineStr">
        <is>
          <t>The QPS shall be physically connected to the MIT network in a redundant, fault tolerant way. At minimum 2 physical links will be foreseen, each link routed via a separate pathway. The physical connections need to be distributed over at minimum 2 separate physical endpoints on the QPS side.</t>
        </is>
      </c>
      <c r="O196" s="6" t="n">
        <v>0</v>
      </c>
      <c r="P196" s="6" t="n">
        <v>3</v>
      </c>
      <c r="Q196" s="6" t="n">
        <v>0</v>
      </c>
      <c r="R196" s="6" t="n">
        <v>3</v>
      </c>
      <c r="S196" s="6" t="n">
        <v>0</v>
      </c>
      <c r="T196" s="6" t="n">
        <v>0</v>
      </c>
      <c r="U196" s="6" t="n">
        <v>0</v>
      </c>
      <c r="V196" s="6" t="n">
        <v>38</v>
      </c>
      <c r="W196" s="6" t="n">
        <v>73.7171</v>
      </c>
      <c r="X196" s="6" t="n">
        <v>11.6773</v>
      </c>
      <c r="Y196" s="6" t="inlineStr">
        <is>
          <t>Reliability</t>
        </is>
      </c>
      <c r="Z196" s="6" t="inlineStr">
        <is>
          <t>Frozen-weight composite; strongest contribution: Reliability.</t>
        </is>
      </c>
      <c r="AA196" s="6" t="inlineStr">
        <is>
          <t>None explicitly named in this RTM</t>
        </is>
      </c>
      <c r="AB196" s="6" t="inlineStr">
        <is>
          <t>SCK CEN/90508872 §4.6.10.3; no named external code</t>
        </is>
      </c>
      <c r="AC196" s="6" t="inlineStr">
        <is>
          <t>RAM/maintenance substantiation and recovery/failure-response evidence</t>
        </is>
      </c>
      <c r="AD196" s="6" t="inlineStr">
        <is>
          <t>No separate deliverable explicitly named</t>
        </is>
      </c>
      <c r="AE196" s="6" t="inlineStr">
        <is>
          <t>L1 Conceptual Design; L2 Detailed Design</t>
        </is>
      </c>
      <c r="AF196" s="6" t="inlineStr">
        <is>
          <t>Section/contract-derived reference; derived evidence route</t>
        </is>
      </c>
      <c r="AG196" s="58" t="inlineStr">
        <is>
          <t>Not linked to an OFFER item</t>
        </is>
      </c>
    </row>
    <row r="197" ht="112" customHeight="1">
      <c r="A197" s="6" t="n">
        <v>192</v>
      </c>
      <c r="B197" s="6" t="inlineStr">
        <is>
          <t>RTM-339</t>
        </is>
      </c>
      <c r="C197" s="6" t="inlineStr">
        <is>
          <t>No</t>
        </is>
      </c>
      <c r="D197" s="6" t="inlineStr">
        <is>
          <t>T1 Primary</t>
        </is>
      </c>
      <c r="E197" s="6" t="inlineStr">
        <is>
          <t>Control &amp; Interlock</t>
        </is>
      </c>
      <c r="F197" s="82" t="inlineStr">
        <is>
          <t>SYSTEM</t>
        </is>
      </c>
      <c r="G197" s="83" t="inlineStr">
        <is>
          <t>Control</t>
        </is>
      </c>
      <c r="H197" s="59" t="inlineStr">
        <is>
          <t>—</t>
        </is>
      </c>
      <c r="I197" s="58" t="inlineStr">
        <is>
          <t>C4 — Software &amp; Control</t>
        </is>
      </c>
      <c r="J197" s="6" t="n">
        <v>75</v>
      </c>
      <c r="K197" s="6" t="inlineStr">
        <is>
          <t>4.6.7</t>
        </is>
      </c>
      <c r="L197" s="6" t="inlineStr">
        <is>
          <t>Software development</t>
        </is>
      </c>
      <c r="M197" s="6" t="inlineStr">
        <is>
          <t>The Contractor shall provide the following as part of Control System Dossier:</t>
        </is>
      </c>
      <c r="N197" s="6" t="inlineStr">
        <is>
          <t>The Contractor shall provide the following as part of Control System Dossier:
• control philosophy, functional descriptions,
• detailed documentation of the software architecture, covering all modules, functional blocks, and components, along with their inputs and outputs.
• lists of alarms, protection functions, instruments, events, and parameters.
• control cabinet hardware configuration and recommended spare parts.</t>
        </is>
      </c>
      <c r="O197" s="6" t="n">
        <v>0</v>
      </c>
      <c r="P197" s="6" t="n">
        <v>2</v>
      </c>
      <c r="Q197" s="6" t="n">
        <v>0</v>
      </c>
      <c r="R197" s="6" t="n">
        <v>3</v>
      </c>
      <c r="S197" s="6" t="n">
        <v>0</v>
      </c>
      <c r="T197" s="6" t="n">
        <v>3</v>
      </c>
      <c r="U197" s="6" t="n">
        <v>0</v>
      </c>
      <c r="V197" s="6" t="n">
        <v>37.666667</v>
      </c>
      <c r="W197" s="6" t="n">
        <v>73.509</v>
      </c>
      <c r="X197" s="6" t="n">
        <v>11.5287</v>
      </c>
      <c r="Y197" s="6" t="inlineStr">
        <is>
          <t>Functional</t>
        </is>
      </c>
      <c r="Z197" s="6" t="inlineStr">
        <is>
          <t>Frozen-weight composite; strongest contribution: Functional.</t>
        </is>
      </c>
      <c r="AA197" s="6" t="inlineStr">
        <is>
          <t>None explicitly named in this RTM</t>
        </is>
      </c>
      <c r="AB197" s="6" t="inlineStr">
        <is>
          <t>Section-level: IEC 61131-3</t>
        </is>
      </c>
      <c r="AC197" s="6" t="inlineStr">
        <is>
          <t>Functional design/configuration review and sequence/interface demonstration; RAM/maintenance substantiation and recovery/failure-response evidence</t>
        </is>
      </c>
      <c r="AD197" s="6" t="inlineStr">
        <is>
          <t>No separate deliverable explicitly named</t>
        </is>
      </c>
      <c r="AE197" s="6" t="inlineStr">
        <is>
          <t>L1 Conceptual Design; L2 Detailed Design</t>
        </is>
      </c>
      <c r="AF197" s="6" t="inlineStr">
        <is>
          <t>Section/contract-derived reference; derived evidence route</t>
        </is>
      </c>
      <c r="AG197" s="58" t="inlineStr">
        <is>
          <t>OFFER-26 (Direct); OFFER-27 (Supporting); OFFER-28 (Supporting)</t>
        </is>
      </c>
    </row>
    <row r="198" ht="73" customHeight="1">
      <c r="A198" s="6" t="n">
        <v>193</v>
      </c>
      <c r="B198" s="6" t="inlineStr">
        <is>
          <t>RTM-086</t>
        </is>
      </c>
      <c r="C198" s="6" t="inlineStr">
        <is>
          <t>No</t>
        </is>
      </c>
      <c r="D198" s="6" t="inlineStr">
        <is>
          <t>T1 Primary</t>
        </is>
      </c>
      <c r="E198" s="6" t="inlineStr">
        <is>
          <t>Subsystems</t>
        </is>
      </c>
      <c r="F198" s="82" t="inlineStr">
        <is>
          <t>SYSTEM</t>
        </is>
      </c>
      <c r="G198" s="83" t="inlineStr">
        <is>
          <t>Performance</t>
        </is>
      </c>
      <c r="H198" s="59" t="inlineStr">
        <is>
          <t>—</t>
        </is>
      </c>
      <c r="I198" s="81" t="inlineStr">
        <is>
          <t>Inferred: C3 — Mechanical &amp; Equipment (medium conf.)</t>
        </is>
      </c>
      <c r="J198" s="6" t="n">
        <v>43</v>
      </c>
      <c r="K198" s="6" t="inlineStr">
        <is>
          <t>4.4.1.4</t>
        </is>
      </c>
      <c r="L198" s="6" t="inlineStr">
        <is>
          <t>Filters</t>
        </is>
      </c>
      <c r="M198" s="6" t="inlineStr">
        <is>
          <t>All filters shall comply with the following requirements:</t>
        </is>
      </c>
      <c r="N198" s="6" t="inlineStr">
        <is>
          <t>All filters shall comply with the following requirements:
• The filters shall be accessible for inspection, cleaning, or replacement.
• The filters shall be designed such that particles or dust retained by the filter shall not fall into the connected piping during removal or replacement, including during maintenance operations.</t>
        </is>
      </c>
      <c r="O198" s="6" t="n">
        <v>0</v>
      </c>
      <c r="P198" s="6" t="n">
        <v>2</v>
      </c>
      <c r="Q198" s="6" t="n">
        <v>0</v>
      </c>
      <c r="R198" s="6" t="n">
        <v>2</v>
      </c>
      <c r="S198" s="6" t="n">
        <v>3</v>
      </c>
      <c r="T198" s="6" t="n">
        <v>0</v>
      </c>
      <c r="U198" s="6" t="n">
        <v>0</v>
      </c>
      <c r="V198" s="6" t="n">
        <v>37.333333</v>
      </c>
      <c r="W198" s="6" t="n">
        <v>72.8849</v>
      </c>
      <c r="X198" s="6" t="n">
        <v>11.0958</v>
      </c>
      <c r="Y198" s="6" t="inlineStr">
        <is>
          <t>Reliability</t>
        </is>
      </c>
      <c r="Z198" s="6" t="inlineStr">
        <is>
          <t>Frozen-weight composite; strongest contribution: Reliability.</t>
        </is>
      </c>
      <c r="AA198" s="6" t="inlineStr">
        <is>
          <t>None explicitly named in this RTM</t>
        </is>
      </c>
      <c r="AB198" s="6" t="inlineStr">
        <is>
          <t>SCK CEN/90508872 §4.4.1.4; no named external code</t>
        </is>
      </c>
      <c r="AC198" s="6" t="inlineStr">
        <is>
          <t>RAM/maintenance substantiation and recovery/failure-response evidence; Document review, inspection, certification, audit or traceable QC record</t>
        </is>
      </c>
      <c r="AD198" s="6" t="inlineStr">
        <is>
          <t>No separate deliverable explicitly named</t>
        </is>
      </c>
      <c r="AE198" s="6" t="inlineStr">
        <is>
          <t>L1 Conceptual Design; L2 Detailed Design</t>
        </is>
      </c>
      <c r="AF198" s="6" t="inlineStr">
        <is>
          <t>Section/contract-derived reference; derived evidence route</t>
        </is>
      </c>
      <c r="AG198" s="58" t="inlineStr">
        <is>
          <t>Not linked to an OFFER item</t>
        </is>
      </c>
    </row>
    <row r="199" ht="99" customHeight="1">
      <c r="A199" s="6" t="n">
        <v>194</v>
      </c>
      <c r="B199" s="6" t="inlineStr">
        <is>
          <t>RTM-087</t>
        </is>
      </c>
      <c r="C199" s="6" t="inlineStr">
        <is>
          <t>No</t>
        </is>
      </c>
      <c r="D199" s="6" t="inlineStr">
        <is>
          <t>T1 Primary</t>
        </is>
      </c>
      <c r="E199" s="6" t="inlineStr">
        <is>
          <t>Subsystems</t>
        </is>
      </c>
      <c r="F199" s="82" t="inlineStr">
        <is>
          <t>SYSTEM</t>
        </is>
      </c>
      <c r="G199" s="83" t="inlineStr">
        <is>
          <t>Performance</t>
        </is>
      </c>
      <c r="H199" s="59" t="inlineStr">
        <is>
          <t>—</t>
        </is>
      </c>
      <c r="I199" s="81" t="inlineStr">
        <is>
          <t>Inferred: C3 — Mechanical &amp; Equipment (medium conf.)</t>
        </is>
      </c>
      <c r="J199" s="6" t="n">
        <v>43</v>
      </c>
      <c r="K199" s="6" t="inlineStr">
        <is>
          <t>4.4.1.5</t>
        </is>
      </c>
      <c r="L199" s="6" t="inlineStr">
        <is>
          <t>Support structures and access equipment</t>
        </is>
      </c>
      <c r="M199" s="6" t="inlineStr">
        <is>
          <t>The QPS shall include all support structures and access equipment required for the installation, operation, inspection, and maintenance of the QPS. This shall include, at minimum:</t>
        </is>
      </c>
      <c r="N199" s="6" t="inlineStr">
        <is>
          <t>The QPS shall include all support structures and access equipment required for the installation, operation, inspection, and maintenance of the QPS. This shall include, at minimum:
• Structural support for equipment and piping
• Ladders
• Access platforms
• Walkways and handrails where required</t>
        </is>
      </c>
      <c r="O199" s="6" t="n">
        <v>0</v>
      </c>
      <c r="P199" s="6" t="n">
        <v>2</v>
      </c>
      <c r="Q199" s="6" t="n">
        <v>0</v>
      </c>
      <c r="R199" s="6" t="n">
        <v>2</v>
      </c>
      <c r="S199" s="6" t="n">
        <v>3</v>
      </c>
      <c r="T199" s="6" t="n">
        <v>0</v>
      </c>
      <c r="U199" s="6" t="n">
        <v>0</v>
      </c>
      <c r="V199" s="6" t="n">
        <v>37.333333</v>
      </c>
      <c r="W199" s="6" t="n">
        <v>72.8849</v>
      </c>
      <c r="X199" s="6" t="n">
        <v>11.0958</v>
      </c>
      <c r="Y199" s="6" t="inlineStr">
        <is>
          <t>Reliability</t>
        </is>
      </c>
      <c r="Z199" s="6" t="inlineStr">
        <is>
          <t>Frozen-weight composite; strongest contribution: Reliability.</t>
        </is>
      </c>
      <c r="AA199" s="6" t="inlineStr">
        <is>
          <t>None explicitly named in this RTM</t>
        </is>
      </c>
      <c r="AB199" s="6" t="inlineStr">
        <is>
          <t>SCK CEN/90508872 §4.4.1.5; no named external code</t>
        </is>
      </c>
      <c r="AC199" s="6" t="inlineStr">
        <is>
          <t>RAM/maintenance substantiation and recovery/failure-response evidence; Document review, inspection, certification, audit or traceable QC record</t>
        </is>
      </c>
      <c r="AD199" s="6" t="inlineStr">
        <is>
          <t>No separate deliverable explicitly named</t>
        </is>
      </c>
      <c r="AE199" s="6" t="inlineStr">
        <is>
          <t>L4 Installation; L1 Conceptual Design; L2 Detailed Design</t>
        </is>
      </c>
      <c r="AF199" s="6" t="inlineStr">
        <is>
          <t>Section/contract-derived reference; derived evidence route</t>
        </is>
      </c>
      <c r="AG199" s="58" t="inlineStr">
        <is>
          <t>Not linked to an OFFER item</t>
        </is>
      </c>
    </row>
    <row r="200" ht="47" customHeight="1">
      <c r="A200" s="6" t="n">
        <v>195</v>
      </c>
      <c r="B200" s="6" t="inlineStr">
        <is>
          <t>RTM-088</t>
        </is>
      </c>
      <c r="C200" s="6" t="inlineStr">
        <is>
          <t>No</t>
        </is>
      </c>
      <c r="D200" s="6" t="inlineStr">
        <is>
          <t>T1 Primary</t>
        </is>
      </c>
      <c r="E200" s="6" t="inlineStr">
        <is>
          <t>Subsystems</t>
        </is>
      </c>
      <c r="F200" s="82" t="inlineStr">
        <is>
          <t>SYSTEM</t>
        </is>
      </c>
      <c r="G200" s="83" t="inlineStr">
        <is>
          <t>Performance</t>
        </is>
      </c>
      <c r="H200" s="59" t="inlineStr">
        <is>
          <t>—</t>
        </is>
      </c>
      <c r="I200" s="81" t="inlineStr">
        <is>
          <t>Inferred: C7 — Quality, Testing &amp; Risk (medium conf.)</t>
        </is>
      </c>
      <c r="J200" s="6" t="n">
        <v>43</v>
      </c>
      <c r="K200" s="6" t="inlineStr">
        <is>
          <t>4.4.1.5</t>
        </is>
      </c>
      <c r="L200" s="6" t="inlineStr">
        <is>
          <t>Support structures and access equipment</t>
        </is>
      </c>
      <c r="M200" s="6" t="inlineStr">
        <is>
          <t>Support structures and access equipment shall allow adequate access for inspection, maintenance, and replacement of major components.</t>
        </is>
      </c>
      <c r="N200" s="6" t="inlineStr">
        <is>
          <t>Support structures and access equipment shall allow adequate access for inspection, maintenance, and replacement of major components.</t>
        </is>
      </c>
      <c r="O200" s="6" t="n">
        <v>0</v>
      </c>
      <c r="P200" s="6" t="n">
        <v>2</v>
      </c>
      <c r="Q200" s="6" t="n">
        <v>0</v>
      </c>
      <c r="R200" s="6" t="n">
        <v>2</v>
      </c>
      <c r="S200" s="6" t="n">
        <v>3</v>
      </c>
      <c r="T200" s="6" t="n">
        <v>0</v>
      </c>
      <c r="U200" s="6" t="n">
        <v>0</v>
      </c>
      <c r="V200" s="6" t="n">
        <v>37.333333</v>
      </c>
      <c r="W200" s="6" t="n">
        <v>72.8849</v>
      </c>
      <c r="X200" s="6" t="n">
        <v>11.0958</v>
      </c>
      <c r="Y200" s="6" t="inlineStr">
        <is>
          <t>Reliability</t>
        </is>
      </c>
      <c r="Z200" s="6" t="inlineStr">
        <is>
          <t>Frozen-weight composite; strongest contribution: Reliability.</t>
        </is>
      </c>
      <c r="AA200" s="6" t="inlineStr">
        <is>
          <t>None explicitly named in this RTM</t>
        </is>
      </c>
      <c r="AB200" s="6" t="inlineStr">
        <is>
          <t>SCK CEN/90508872 §4.4.1.5; no named external code</t>
        </is>
      </c>
      <c r="AC200" s="6" t="inlineStr">
        <is>
          <t>RAM/maintenance substantiation and recovery/failure-response evidence; Document review, inspection, certification, audit or traceable QC record</t>
        </is>
      </c>
      <c r="AD200" s="6" t="inlineStr">
        <is>
          <t>No separate deliverable explicitly named</t>
        </is>
      </c>
      <c r="AE200" s="6" t="inlineStr">
        <is>
          <t>L1 Conceptual Design; L2 Detailed Design</t>
        </is>
      </c>
      <c r="AF200" s="6" t="inlineStr">
        <is>
          <t>Section/contract-derived reference; derived evidence route</t>
        </is>
      </c>
      <c r="AG200" s="58" t="inlineStr">
        <is>
          <t>Not linked to an OFFER item</t>
        </is>
      </c>
    </row>
    <row r="201" ht="60" customHeight="1">
      <c r="A201" s="6" t="n">
        <v>196</v>
      </c>
      <c r="B201" s="6" t="inlineStr">
        <is>
          <t>RTM-114</t>
        </is>
      </c>
      <c r="C201" s="6" t="inlineStr">
        <is>
          <t>No</t>
        </is>
      </c>
      <c r="D201" s="6" t="inlineStr">
        <is>
          <t>T1 Primary</t>
        </is>
      </c>
      <c r="E201" s="6" t="inlineStr">
        <is>
          <t>Subsystems</t>
        </is>
      </c>
      <c r="F201" s="82" t="inlineStr">
        <is>
          <t>PROJECT</t>
        </is>
      </c>
      <c r="G201" s="83" t="inlineStr">
        <is>
          <t>Documentation &amp; Compliance</t>
        </is>
      </c>
      <c r="H201" s="59" t="inlineStr">
        <is>
          <t>—</t>
        </is>
      </c>
      <c r="I201" s="81" t="inlineStr">
        <is>
          <t>Inferred: C2 — Process Design (low conf.)</t>
        </is>
      </c>
      <c r="J201" s="6" t="n">
        <v>45</v>
      </c>
      <c r="K201" s="6" t="inlineStr">
        <is>
          <t>4.4.2.3</t>
        </is>
      </c>
      <c r="L201" s="6" t="inlineStr">
        <is>
          <t>Temperature sensors</t>
        </is>
      </c>
      <c r="M201" s="6" t="inlineStr">
        <is>
          <t>For each temperature sensor, the Contractor shall define the accuracy class (“standard” or “high”, as defined in Table 12.).</t>
        </is>
      </c>
      <c r="N201" s="6" t="inlineStr">
        <is>
          <t>For each temperature sensor, the Contractor shall define the accuracy class (“standard” or “high”, as defined in Table 12.).
• The Contractor shall submit a proposal for SCK CEN review and approval during the Detailed Design phase.</t>
        </is>
      </c>
      <c r="O201" s="6" t="n">
        <v>2</v>
      </c>
      <c r="P201" s="6" t="n">
        <v>0</v>
      </c>
      <c r="Q201" s="6" t="n">
        <v>2</v>
      </c>
      <c r="R201" s="6" t="n">
        <v>2</v>
      </c>
      <c r="S201" s="6" t="n">
        <v>0</v>
      </c>
      <c r="T201" s="6" t="n">
        <v>0</v>
      </c>
      <c r="U201" s="6" t="n">
        <v>0</v>
      </c>
      <c r="V201" s="6" t="n">
        <v>37.333333</v>
      </c>
      <c r="W201" s="6" t="n">
        <v>72.8849</v>
      </c>
      <c r="X201" s="6" t="n">
        <v>11.0958</v>
      </c>
      <c r="Y201" s="6" t="inlineStr">
        <is>
          <t>Safety / Legal / Performance</t>
        </is>
      </c>
      <c r="Z201" s="6" t="inlineStr">
        <is>
          <t>Frozen-weight composite; strongest contribution: Safety / Legal / Performance.</t>
        </is>
      </c>
      <c r="AA201" s="6" t="inlineStr">
        <is>
          <t>None explicitly named in this RTM</t>
        </is>
      </c>
      <c r="AB201" s="6" t="inlineStr">
        <is>
          <t>Section-level: IEC 60751; IEC 60359; ISA RP12.6</t>
        </is>
      </c>
      <c r="AC201" s="6" t="inlineStr">
        <is>
          <t>Calculation/model plus calibrated measurement or recorded trend</t>
        </is>
      </c>
      <c r="AD201" s="6" t="inlineStr">
        <is>
          <t>No separate deliverable explicitly named</t>
        </is>
      </c>
      <c r="AE201" s="6" t="inlineStr">
        <is>
          <t>L2 Detailed Design; L1 Conceptual Design</t>
        </is>
      </c>
      <c r="AF201" s="6" t="inlineStr">
        <is>
          <t>Section/contract-derived reference; derived evidence route</t>
        </is>
      </c>
      <c r="AG201" s="58" t="inlineStr">
        <is>
          <t>Not linked to an OFFER item</t>
        </is>
      </c>
    </row>
    <row r="202" ht="47" customHeight="1">
      <c r="A202" s="6" t="n">
        <v>197</v>
      </c>
      <c r="B202" s="6" t="inlineStr">
        <is>
          <t>RTM-140</t>
        </is>
      </c>
      <c r="C202" s="6" t="inlineStr">
        <is>
          <t>No</t>
        </is>
      </c>
      <c r="D202" s="6" t="inlineStr">
        <is>
          <t>T1 Primary</t>
        </is>
      </c>
      <c r="E202" s="6" t="inlineStr">
        <is>
          <t>Subsystems</t>
        </is>
      </c>
      <c r="F202" s="82" t="inlineStr">
        <is>
          <t>SYSTEM</t>
        </is>
      </c>
      <c r="G202" s="83" t="inlineStr">
        <is>
          <t>Control</t>
        </is>
      </c>
      <c r="H202" s="59" t="inlineStr">
        <is>
          <t>—</t>
        </is>
      </c>
      <c r="I202" s="81" t="inlineStr">
        <is>
          <t>Inferred: C2 — Process Design (low conf.)</t>
        </is>
      </c>
      <c r="J202" s="6" t="n">
        <v>48</v>
      </c>
      <c r="K202" s="6" t="inlineStr">
        <is>
          <t>4.4.2.8</t>
        </is>
      </c>
      <c r="L202" s="6" t="inlineStr">
        <is>
          <t>Instrumentation tags</t>
        </is>
      </c>
      <c r="M202" s="6" t="inlineStr">
        <is>
          <t>The Contractor shall apply the tag prefixes defined in Table 13 for instrumentation and devices represented in P&amp;IDs and control documentation.</t>
        </is>
      </c>
      <c r="N202" s="6" t="inlineStr">
        <is>
          <t>The Contractor shall apply the tag prefixes defined in Table 13 for instrumentation and devices represented in P&amp;IDs and control documentation.
• All other instrumentation may follow the Contractor’s standard practice.</t>
        </is>
      </c>
      <c r="O202" s="6" t="n">
        <v>2</v>
      </c>
      <c r="P202" s="6" t="n">
        <v>0</v>
      </c>
      <c r="Q202" s="6" t="n">
        <v>2</v>
      </c>
      <c r="R202" s="6" t="n">
        <v>2</v>
      </c>
      <c r="S202" s="6" t="n">
        <v>0</v>
      </c>
      <c r="T202" s="6" t="n">
        <v>0</v>
      </c>
      <c r="U202" s="6" t="n">
        <v>0</v>
      </c>
      <c r="V202" s="6" t="n">
        <v>37.333333</v>
      </c>
      <c r="W202" s="6" t="n">
        <v>72.8849</v>
      </c>
      <c r="X202" s="6" t="n">
        <v>11.0958</v>
      </c>
      <c r="Y202" s="6" t="inlineStr">
        <is>
          <t>Safety / Legal / Performance</t>
        </is>
      </c>
      <c r="Z202" s="6" t="inlineStr">
        <is>
          <t>Frozen-weight composite; strongest contribution: Safety / Legal / Performance.</t>
        </is>
      </c>
      <c r="AA202" s="6" t="inlineStr">
        <is>
          <t>None explicitly named in this RTM</t>
        </is>
      </c>
      <c r="AB202" s="6" t="inlineStr">
        <is>
          <t>SCK CEN/90508872 §4.4.2.8; no named external code</t>
        </is>
      </c>
      <c r="AC202" s="6" t="inlineStr">
        <is>
          <t>Calculation/model plus calibrated measurement or recorded trend; Functional design/configuration review and sequence/interface demonstration</t>
        </is>
      </c>
      <c r="AD202" s="6" t="inlineStr">
        <is>
          <t>No separate deliverable explicitly named</t>
        </is>
      </c>
      <c r="AE202" s="6" t="inlineStr">
        <is>
          <t>L1 Conceptual Design; L2 Detailed Design</t>
        </is>
      </c>
      <c r="AF202" s="6" t="inlineStr">
        <is>
          <t>Section/contract-derived reference; derived evidence route</t>
        </is>
      </c>
      <c r="AG202" s="58" t="inlineStr">
        <is>
          <t>Not linked to an OFFER item</t>
        </is>
      </c>
    </row>
    <row r="203" ht="47" customHeight="1">
      <c r="A203" s="6" t="n">
        <v>198</v>
      </c>
      <c r="B203" s="6" t="inlineStr">
        <is>
          <t>RTM-152</t>
        </is>
      </c>
      <c r="C203" s="6" t="inlineStr">
        <is>
          <t>No</t>
        </is>
      </c>
      <c r="D203" s="6" t="inlineStr">
        <is>
          <t>T1 Primary</t>
        </is>
      </c>
      <c r="E203" s="6" t="inlineStr">
        <is>
          <t>Subsystems</t>
        </is>
      </c>
      <c r="F203" s="82" t="inlineStr">
        <is>
          <t>SYSTEM</t>
        </is>
      </c>
      <c r="G203" s="83" t="inlineStr">
        <is>
          <t>Performance</t>
        </is>
      </c>
      <c r="H203" s="59" t="inlineStr">
        <is>
          <t>—</t>
        </is>
      </c>
      <c r="I203" s="58" t="inlineStr">
        <is>
          <t>C3 — Mechanical &amp; Equipment</t>
        </is>
      </c>
      <c r="J203" s="6" t="n">
        <v>49</v>
      </c>
      <c r="K203" s="6" t="inlineStr">
        <is>
          <t>4.4.3.2</t>
        </is>
      </c>
      <c r="L203" s="6" t="inlineStr">
        <is>
          <t>Compressors requirements</t>
        </is>
      </c>
      <c r="M203" s="6" t="inlineStr">
        <is>
          <t>The flexible coupling between the electric motor and the HP compressor shall comply with API 671 / ISO 10441, or an equivalent standard.</t>
        </is>
      </c>
      <c r="N203" s="6" t="inlineStr">
        <is>
          <t>The flexible coupling between the electric motor and the HP compressor shall comply with API 671 / ISO 10441, or an equivalent standard.</t>
        </is>
      </c>
      <c r="O203" s="6" t="n">
        <v>2</v>
      </c>
      <c r="P203" s="6" t="n">
        <v>0</v>
      </c>
      <c r="Q203" s="6" t="n">
        <v>2</v>
      </c>
      <c r="R203" s="6" t="n">
        <v>2</v>
      </c>
      <c r="S203" s="6" t="n">
        <v>0</v>
      </c>
      <c r="T203" s="6" t="n">
        <v>0</v>
      </c>
      <c r="U203" s="6" t="n">
        <v>0</v>
      </c>
      <c r="V203" s="6" t="n">
        <v>37.333333</v>
      </c>
      <c r="W203" s="6" t="n">
        <v>72.8849</v>
      </c>
      <c r="X203" s="6" t="n">
        <v>11.0958</v>
      </c>
      <c r="Y203" s="6" t="inlineStr">
        <is>
          <t>Safety / Legal / Performance</t>
        </is>
      </c>
      <c r="Z203" s="6" t="inlineStr">
        <is>
          <t>Frozen-weight composite; strongest contribution: Safety / Legal / Performance.</t>
        </is>
      </c>
      <c r="AA203" s="6" t="inlineStr">
        <is>
          <t>API 671; ISO 10441</t>
        </is>
      </c>
      <c r="AB203" s="6" t="inlineStr">
        <is>
          <t>API 671; ISO 10441</t>
        </is>
      </c>
      <c r="AC203" s="6" t="inlineStr">
        <is>
          <t>Calculation/model plus calibrated measurement or recorded trend</t>
        </is>
      </c>
      <c r="AD203" s="6" t="inlineStr">
        <is>
          <t>No separate deliverable explicitly named</t>
        </is>
      </c>
      <c r="AE203" s="6" t="inlineStr">
        <is>
          <t>L1 Conceptual Design; L2 Detailed Design</t>
        </is>
      </c>
      <c r="AF203" s="6" t="inlineStr">
        <is>
          <t>Explicit/table-grounded standard; derived evidence route</t>
        </is>
      </c>
      <c r="AG203" s="58" t="inlineStr">
        <is>
          <t>OFFER-13 (Broad/contextual — main component specification); OFFER-16 (Direct)</t>
        </is>
      </c>
    </row>
    <row r="204" ht="60" customHeight="1">
      <c r="A204" s="6" t="n">
        <v>199</v>
      </c>
      <c r="B204" s="6" t="inlineStr">
        <is>
          <t>RTM-559</t>
        </is>
      </c>
      <c r="C204" s="6" t="inlineStr">
        <is>
          <t>No</t>
        </is>
      </c>
      <c r="D204" s="6" t="inlineStr">
        <is>
          <t>T1 Primary</t>
        </is>
      </c>
      <c r="E204" s="6" t="inlineStr">
        <is>
          <t>Other Deliverables</t>
        </is>
      </c>
      <c r="F204" s="82" t="inlineStr">
        <is>
          <t>PROJECT</t>
        </is>
      </c>
      <c r="G204" s="83" t="inlineStr">
        <is>
          <t>Governance &amp; Responsibility</t>
        </is>
      </c>
      <c r="H204" s="59" t="inlineStr">
        <is>
          <t>—</t>
        </is>
      </c>
      <c r="I204" s="81" t="inlineStr">
        <is>
          <t>Inferred: C6 — Reliability &amp; Maintenance (high conf.)</t>
        </is>
      </c>
      <c r="J204" s="6" t="n">
        <v>107</v>
      </c>
      <c r="K204" s="6" t="inlineStr">
        <is>
          <t>4.14.2</t>
        </is>
      </c>
      <c r="L204" s="6" t="inlineStr">
        <is>
          <t>Special tooling</t>
        </is>
      </c>
      <c r="M204" s="6" t="inlineStr">
        <is>
          <t>The Contractor shall identify, document, and supply all proprietary, special, and operational tools and equipment required for operation, installation, commissioning, and maintenance.</t>
        </is>
      </c>
      <c r="N204" s="6" t="inlineStr">
        <is>
          <t>The Contractor shall identify, document, and supply all proprietary, special, and operational tools and equipment required for operation, installation, commissioning, and maintenance.</t>
        </is>
      </c>
      <c r="O204" s="6" t="n">
        <v>1</v>
      </c>
      <c r="P204" s="6" t="n">
        <v>2</v>
      </c>
      <c r="Q204" s="6" t="n">
        <v>0</v>
      </c>
      <c r="R204" s="6" t="n">
        <v>3</v>
      </c>
      <c r="S204" s="6" t="n">
        <v>0</v>
      </c>
      <c r="T204" s="6" t="n">
        <v>0</v>
      </c>
      <c r="U204" s="6" t="n">
        <v>0</v>
      </c>
      <c r="V204" s="6" t="n">
        <v>37.333333</v>
      </c>
      <c r="W204" s="6" t="n">
        <v>72.8849</v>
      </c>
      <c r="X204" s="6" t="n">
        <v>11.0958</v>
      </c>
      <c r="Y204" s="6" t="inlineStr">
        <is>
          <t>Functional</t>
        </is>
      </c>
      <c r="Z204" s="6" t="inlineStr">
        <is>
          <t>Frozen-weight composite; strongest contribution: Functional.</t>
        </is>
      </c>
      <c r="AA204" s="6" t="inlineStr">
        <is>
          <t>None explicitly named in this RTM</t>
        </is>
      </c>
      <c r="AB204" s="6" t="inlineStr">
        <is>
          <t>SCK CEN/90508872 §4.14.2; no named external code</t>
        </is>
      </c>
      <c r="AC204" s="6" t="inlineStr">
        <is>
          <t>Witnessed FAT/SAT/commissioning test against stated acceptance criteria; Functional design/configuration review and sequence/interface demonstration; RAM/maintenance substantiation and recovery/failure-response evidence</t>
        </is>
      </c>
      <c r="AD204" s="6" t="inlineStr">
        <is>
          <t>No separate deliverable explicitly named</t>
        </is>
      </c>
      <c r="AE204" s="6" t="inlineStr">
        <is>
          <t>L4 Installation; L1 Conceptual Design; L2 Detailed Design</t>
        </is>
      </c>
      <c r="AF204" s="6" t="inlineStr">
        <is>
          <t>Section/contract-derived reference; derived evidence route</t>
        </is>
      </c>
      <c r="AG204" s="58" t="inlineStr">
        <is>
          <t>Not linked to an OFFER item</t>
        </is>
      </c>
    </row>
    <row r="205" ht="281" customHeight="1">
      <c r="A205" s="6" t="n">
        <v>200</v>
      </c>
      <c r="B205" s="6" t="inlineStr">
        <is>
          <t>RTM-582</t>
        </is>
      </c>
      <c r="C205" s="6" t="inlineStr">
        <is>
          <t>No</t>
        </is>
      </c>
      <c r="D205" s="6" t="inlineStr">
        <is>
          <t>T2 Secondary</t>
        </is>
      </c>
      <c r="E205" s="6" t="inlineStr">
        <is>
          <t>Technical Documentation</t>
        </is>
      </c>
      <c r="F205" s="82" t="inlineStr">
        <is>
          <t>PROJECT</t>
        </is>
      </c>
      <c r="G205" s="83" t="inlineStr">
        <is>
          <t>Documentation &amp; Compliance</t>
        </is>
      </c>
      <c r="H205" s="59" t="inlineStr">
        <is>
          <t>—</t>
        </is>
      </c>
      <c r="I205" s="58" t="inlineStr">
        <is>
          <t>Not linked to an OFFER item</t>
        </is>
      </c>
      <c r="J205" s="6" t="n">
        <v>111</v>
      </c>
      <c r="K205" s="6" t="inlineStr">
        <is>
          <t>4.16.4</t>
        </is>
      </c>
      <c r="L205" s="6" t="inlineStr">
        <is>
          <t>Quality Control Report</t>
        </is>
      </c>
      <c r="M205" s="6" t="inlineStr">
        <is>
          <t>The Quality Control Report shall include, at least, the following aspects:</t>
        </is>
      </c>
      <c r="N205" s="6" t="inlineStr">
        <is>
          <t>The Quality Control Report shall include, at least, the following aspects:
• The Manufacturing File version(s) applied for each manufacturing step.
• The Installation File version(s) applied for each installation step.
• The identification, such as batch numbers or serial numbers, of all Parts used to manufacture and install the Instance, to ensure full traceability.
• The complete QC documentation for all Parts and materials used to manufacture and install the Instance.
• Where applicable, the material certificates in accordance with EN 10204, including especially type 3.1 and type 3.2 certificates.
• A detailed log of each manufacturing, packaging, transportation, and installation step, including the relevant process parameters.
• For packaging and transportation, a log of any loads or events that may affect the functionality of the Instance. At minimum, the state of the transportation-monitoring equipment shall be documented before and after transportation.
• A photographic log of the Instrumentation located within the insulation vacuum environment, in accordance with §RTM-095
• The Spatial Referencing information.
• The QC results and records, in accordance with §8..
• The reporting of deviations, including an overview of all Non-Conformity Reports (NCRs).</t>
        </is>
      </c>
      <c r="O205" s="6" t="n">
        <v>2</v>
      </c>
      <c r="P205" s="6" t="n">
        <v>1</v>
      </c>
      <c r="Q205" s="6" t="n">
        <v>0</v>
      </c>
      <c r="R205" s="6" t="n">
        <v>0</v>
      </c>
      <c r="S205" s="6" t="n">
        <v>3</v>
      </c>
      <c r="T205" s="6" t="n">
        <v>2</v>
      </c>
      <c r="U205" s="6" t="n">
        <v>0</v>
      </c>
      <c r="V205" s="6" t="n">
        <v>37.333333</v>
      </c>
      <c r="W205" s="6" t="n">
        <v>72.8849</v>
      </c>
      <c r="X205" s="6" t="n">
        <v>11.0958</v>
      </c>
      <c r="Y205" s="6" t="inlineStr">
        <is>
          <t>Safety / Legal</t>
        </is>
      </c>
      <c r="Z205" s="6" t="inlineStr">
        <is>
          <t>Frozen-weight composite; strongest contribution: Safety / Legal.</t>
        </is>
      </c>
      <c r="AA205" s="6" t="inlineStr">
        <is>
          <t>EN 10204</t>
        </is>
      </c>
      <c r="AB205" s="6" t="inlineStr">
        <is>
          <t>EN 10204</t>
        </is>
      </c>
      <c r="AC205" s="6" t="inlineStr">
        <is>
          <t>Submit and review the named deliverable with RTM traceability and approval status; Document review, inspection, certification, audit or traceable QC record</t>
        </is>
      </c>
      <c r="AD205" s="6" t="inlineStr">
        <is>
          <t>Manufacturing File; Installation File; Quality Control Report; Certificate / calibration evidence</t>
        </is>
      </c>
      <c r="AE205" s="6" t="inlineStr">
        <is>
          <t>L3 Procurement &amp; Manufacturing / FAT; L4 Installation; L1 Conceptual Design; L2 Detailed Design</t>
        </is>
      </c>
      <c r="AF205" s="6" t="inlineStr">
        <is>
          <t>Explicit/table-grounded standard; explicit deliverable/test wording</t>
        </is>
      </c>
      <c r="AG205" s="58" t="inlineStr">
        <is>
          <t>Not linked to an OFFER item</t>
        </is>
      </c>
    </row>
    <row r="206" ht="73" customHeight="1">
      <c r="A206" s="6" t="n">
        <v>201</v>
      </c>
      <c r="B206" s="6" t="inlineStr">
        <is>
          <t>RTM-261</t>
        </is>
      </c>
      <c r="C206" s="6" t="inlineStr">
        <is>
          <t>No</t>
        </is>
      </c>
      <c r="D206" s="6" t="inlineStr">
        <is>
          <t>T2 Secondary</t>
        </is>
      </c>
      <c r="E206" s="6" t="inlineStr">
        <is>
          <t>Subsystems</t>
        </is>
      </c>
      <c r="F206" s="82" t="inlineStr">
        <is>
          <t>SYSTEM</t>
        </is>
      </c>
      <c r="G206" s="83" t="inlineStr">
        <is>
          <t>Performance</t>
        </is>
      </c>
      <c r="H206" s="59" t="inlineStr">
        <is>
          <t>—</t>
        </is>
      </c>
      <c r="I206" s="58" t="inlineStr">
        <is>
          <t>C2 (+) — Process Design + others</t>
        </is>
      </c>
      <c r="J206" s="6" t="n">
        <v>64</v>
      </c>
      <c r="K206" s="6" t="inlineStr">
        <is>
          <t>4.4.7.3</t>
        </is>
      </c>
      <c r="L206" s="6" t="inlineStr">
        <is>
          <t>Abnormal conditions</t>
        </is>
      </c>
      <c r="M206" s="6" t="inlineStr">
        <is>
          <t>In case of abnormal conditions at the Cryogenic Users, the QPS shall cope, without loss of inventory, with a helium flow returning through line QRB.S of:</t>
        </is>
      </c>
      <c r="N206" s="6" t="inlineStr">
        <is>
          <t>In case of abnormal conditions at the Cryogenic Users, the QPS shall cope, without loss of inventory, with a helium flow returning through line QRB.S of:
• ≥200 g/s during normal operation of the QPS.
• ≥100 g/s during abnormal operation of the QPS, such as LOOP.</t>
        </is>
      </c>
      <c r="O206" s="6" t="n">
        <v>0</v>
      </c>
      <c r="P206" s="6" t="n">
        <v>3</v>
      </c>
      <c r="Q206" s="6" t="n">
        <v>0</v>
      </c>
      <c r="R206" s="6" t="n">
        <v>2</v>
      </c>
      <c r="S206" s="6" t="n">
        <v>1</v>
      </c>
      <c r="T206" s="6" t="n">
        <v>0</v>
      </c>
      <c r="U206" s="6" t="n">
        <v>0</v>
      </c>
      <c r="V206" s="6" t="n">
        <v>36.666667</v>
      </c>
      <c r="W206" s="6" t="n">
        <v>72.1914</v>
      </c>
      <c r="X206" s="6" t="n">
        <v>10.6367</v>
      </c>
      <c r="Y206" s="6" t="inlineStr">
        <is>
          <t>Reliability</t>
        </is>
      </c>
      <c r="Z206" s="6" t="inlineStr">
        <is>
          <t>Frozen-weight composite; strongest contribution: Reliability.</t>
        </is>
      </c>
      <c r="AA206" s="6" t="inlineStr">
        <is>
          <t>None explicitly named in this RTM</t>
        </is>
      </c>
      <c r="AB206" s="6" t="inlineStr">
        <is>
          <t>SCK CEN/90508872 §4.4.7.3; no named external code</t>
        </is>
      </c>
      <c r="AC206" s="6" t="inlineStr">
        <is>
          <t>Calculation/model plus calibrated measurement or recorded trend; RAM/maintenance substantiation and recovery/failure-response evidence</t>
        </is>
      </c>
      <c r="AD206" s="6" t="inlineStr">
        <is>
          <t>No separate deliverable explicitly named</t>
        </is>
      </c>
      <c r="AE206" s="6" t="inlineStr">
        <is>
          <t>L1 Conceptual Design; L2 Detailed Design</t>
        </is>
      </c>
      <c r="AF206" s="6" t="inlineStr">
        <is>
          <t>Section/contract-derived reference; derived evidence route</t>
        </is>
      </c>
      <c r="AG206" s="58" t="inlineStr">
        <is>
          <t>OFFER-20 (Supporting); OFFER-22 (Direct)</t>
        </is>
      </c>
    </row>
    <row r="207" ht="164" customHeight="1">
      <c r="A207" s="6" t="n">
        <v>202</v>
      </c>
      <c r="B207" s="6" t="inlineStr">
        <is>
          <t>RTM-490</t>
        </is>
      </c>
      <c r="C207" s="6" t="inlineStr">
        <is>
          <t>No</t>
        </is>
      </c>
      <c r="D207" s="6" t="inlineStr">
        <is>
          <t>T2 Secondary</t>
        </is>
      </c>
      <c r="E207" s="6" t="inlineStr">
        <is>
          <t>Training</t>
        </is>
      </c>
      <c r="F207" s="82" t="inlineStr">
        <is>
          <t>PROJECT</t>
        </is>
      </c>
      <c r="G207" s="83" t="inlineStr">
        <is>
          <t>Governance &amp; Responsibility</t>
        </is>
      </c>
      <c r="H207" s="59" t="inlineStr">
        <is>
          <t>—</t>
        </is>
      </c>
      <c r="I207" s="58" t="inlineStr">
        <is>
          <t>C6 — Reliability &amp; Maintenance</t>
        </is>
      </c>
      <c r="J207" s="6" t="n">
        <v>94</v>
      </c>
      <c r="K207" s="6" t="inlineStr">
        <is>
          <t>4.12.1</t>
        </is>
      </c>
      <c r="L207" s="6" t="inlineStr">
        <is>
          <t>Training and Competence Transfer</t>
        </is>
      </c>
      <c r="M207" s="6" t="inlineStr">
        <is>
          <t>The helium logistics, consumables, waste handling, and special-tools training shall include, at minimum:</t>
        </is>
      </c>
      <c r="N207" s="6" t="inlineStr">
        <is>
          <t>The helium logistics, consumables, waste handling, and special-tools training shall include, at minimum:
• Management of helium delivery by road tanker, including connection, disconnection, and transfer to the WSH.
• Procedures for handling and disposal of the relevant consumables, solid waste, and hazardous fluids.
• Procedures for absorbent and desiccant replacement.
• Procedures for compressor and pump oil changes.
• Procedures for glycol-water drainage at the relevant water interfaces.
• Training in the correct use of all proprietary and special tools required for safety devices, rotating machinery, maintenance, installation, and skid positioning activities.</t>
        </is>
      </c>
      <c r="O207" s="6" t="n">
        <v>1</v>
      </c>
      <c r="P207" s="6" t="n">
        <v>2</v>
      </c>
      <c r="Q207" s="6" t="n">
        <v>0</v>
      </c>
      <c r="R207" s="6" t="n">
        <v>2</v>
      </c>
      <c r="S207" s="6" t="n">
        <v>0</v>
      </c>
      <c r="T207" s="6" t="n">
        <v>2</v>
      </c>
      <c r="U207" s="6" t="n">
        <v>0</v>
      </c>
      <c r="V207" s="6" t="n">
        <v>36.666667</v>
      </c>
      <c r="W207" s="6" t="n">
        <v>72.1914</v>
      </c>
      <c r="X207" s="6" t="n">
        <v>10.6367</v>
      </c>
      <c r="Y207" s="6" t="inlineStr">
        <is>
          <t>Reliability</t>
        </is>
      </c>
      <c r="Z207" s="6" t="inlineStr">
        <is>
          <t>Frozen-weight composite; strongest contribution: Reliability.</t>
        </is>
      </c>
      <c r="AA207" s="6" t="inlineStr">
        <is>
          <t>None explicitly named in this RTM</t>
        </is>
      </c>
      <c r="AB207" s="6" t="inlineStr">
        <is>
          <t>SCK CEN/90508872 §4.12.1; no named external code</t>
        </is>
      </c>
      <c r="AC207" s="6" t="inlineStr">
        <is>
          <t>Submit and review the named deliverable with RTM traceability and approval status; Functional design/configuration review and sequence/interface demonstration; RAM/maintenance substantiation and recovery/failure-response evidence</t>
        </is>
      </c>
      <c r="AD207" s="6" t="inlineStr">
        <is>
          <t>Procedure / work instruction</t>
        </is>
      </c>
      <c r="AE207" s="6" t="inlineStr">
        <is>
          <t>L4 Installation; PAC / Handover; L1 Conceptual Design; L2 Detailed Design</t>
        </is>
      </c>
      <c r="AF207" s="6" t="inlineStr">
        <is>
          <t>Section/contract-derived reference; explicit deliverable/test wording</t>
        </is>
      </c>
      <c r="AG207" s="58" t="inlineStr">
        <is>
          <t>OFFER-38 (Direct)</t>
        </is>
      </c>
    </row>
    <row r="208" ht="34" customHeight="1">
      <c r="A208" s="6" t="n">
        <v>203</v>
      </c>
      <c r="B208" s="6" t="inlineStr">
        <is>
          <t>RTM-369</t>
        </is>
      </c>
      <c r="C208" s="6" t="inlineStr">
        <is>
          <t>No</t>
        </is>
      </c>
      <c r="D208" s="6" t="inlineStr">
        <is>
          <t>T2 Secondary</t>
        </is>
      </c>
      <c r="E208" s="6" t="inlineStr">
        <is>
          <t>Control &amp; Interlock</t>
        </is>
      </c>
      <c r="F208" s="82" t="inlineStr">
        <is>
          <t>SYSTEM</t>
        </is>
      </c>
      <c r="G208" s="83" t="inlineStr">
        <is>
          <t>Performance</t>
        </is>
      </c>
      <c r="H208" s="59" t="inlineStr">
        <is>
          <t>—</t>
        </is>
      </c>
      <c r="I208" s="58" t="inlineStr">
        <is>
          <t>C4 — Software &amp; Control</t>
        </is>
      </c>
      <c r="J208" s="6" t="n">
        <v>78</v>
      </c>
      <c r="K208" s="6" t="inlineStr">
        <is>
          <t>4.6.9</t>
        </is>
      </c>
      <c r="L208" s="6" t="inlineStr">
        <is>
          <t>Software Change Management</t>
        </is>
      </c>
      <c r="M208" s="6" t="inlineStr">
        <is>
          <t>The Contractor shall define all warranty limitations related to post-acceptance software modifications.</t>
        </is>
      </c>
      <c r="N208" s="6" t="inlineStr">
        <is>
          <t>The Contractor shall define all warranty limitations related to post-acceptance software modifications.</t>
        </is>
      </c>
      <c r="O208" s="6" t="n">
        <v>2</v>
      </c>
      <c r="P208" s="6" t="n">
        <v>0</v>
      </c>
      <c r="Q208" s="6" t="n">
        <v>0</v>
      </c>
      <c r="R208" s="6" t="n">
        <v>3</v>
      </c>
      <c r="S208" s="6" t="n">
        <v>0</v>
      </c>
      <c r="T208" s="6" t="n">
        <v>3</v>
      </c>
      <c r="U208" s="6" t="n">
        <v>0</v>
      </c>
      <c r="V208" s="6" t="n">
        <v>36.333333</v>
      </c>
      <c r="W208" s="6" t="n">
        <v>71.9834</v>
      </c>
      <c r="X208" s="6" t="n">
        <v>10.5033</v>
      </c>
      <c r="Y208" s="6" t="inlineStr">
        <is>
          <t>Functional</t>
        </is>
      </c>
      <c r="Z208" s="6" t="inlineStr">
        <is>
          <t>Frozen-weight composite; strongest contribution: Functional.</t>
        </is>
      </c>
      <c r="AA208" s="6" t="inlineStr">
        <is>
          <t>None explicitly named in this RTM</t>
        </is>
      </c>
      <c r="AB208" s="6" t="inlineStr">
        <is>
          <t>SCK CEN/90508872 §4.6.9; no named external code</t>
        </is>
      </c>
      <c r="AC208" s="6" t="inlineStr">
        <is>
          <t>Functional design/configuration review and sequence/interface demonstration</t>
        </is>
      </c>
      <c r="AD208" s="6" t="inlineStr">
        <is>
          <t>No separate deliverable explicitly named</t>
        </is>
      </c>
      <c r="AE208" s="6" t="inlineStr">
        <is>
          <t>Warranty; L1 Conceptual Design; L2 Detailed Design</t>
        </is>
      </c>
      <c r="AF208" s="6" t="inlineStr">
        <is>
          <t>Section/contract-derived reference; derived evidence route</t>
        </is>
      </c>
      <c r="AG208" s="58" t="inlineStr">
        <is>
          <t>OFFER-30 (Direct)</t>
        </is>
      </c>
    </row>
    <row r="209" ht="86" customHeight="1">
      <c r="A209" s="6" t="n">
        <v>204</v>
      </c>
      <c r="B209" s="6" t="inlineStr">
        <is>
          <t>RTM-012</t>
        </is>
      </c>
      <c r="C209" s="6" t="inlineStr">
        <is>
          <t>No</t>
        </is>
      </c>
      <c r="D209" s="6" t="inlineStr">
        <is>
          <t>T2 Secondary</t>
        </is>
      </c>
      <c r="E209" s="6" t="inlineStr">
        <is>
          <t>Process &amp; Functional</t>
        </is>
      </c>
      <c r="F209" s="82" t="inlineStr">
        <is>
          <t>SYSTEM</t>
        </is>
      </c>
      <c r="G209" s="83" t="inlineStr">
        <is>
          <t>Control</t>
        </is>
      </c>
      <c r="H209" s="59" t="inlineStr">
        <is>
          <t>—</t>
        </is>
      </c>
      <c r="I209" s="81" t="inlineStr">
        <is>
          <t>Inferred: C2 — Process Design (low conf.)</t>
        </is>
      </c>
      <c r="J209" s="6" t="n">
        <v>27</v>
      </c>
      <c r="K209" s="6" t="inlineStr">
        <is>
          <t>4.2.2</t>
        </is>
      </c>
      <c r="L209" s="6" t="inlineStr">
        <is>
          <t>Operational Scenarios and Transitions</t>
        </is>
      </c>
      <c r="M209" s="6" t="inlineStr">
        <is>
          <t>The Contractor shall define and implement all necessary QPS operational scenarios and transitions.</t>
        </is>
      </c>
      <c r="N209" s="6" t="inlineStr">
        <is>
          <t>The Contractor shall define and implement all necessary QPS operational scenarios and transitions.
• This shall include, at minimum, all operational scenarios and transitions specified in section §4.2.2.
• The Contractor may subdivide scenarios into intermediate operational steps, as required by its design for control or sequencing purposes.</t>
        </is>
      </c>
      <c r="O209" s="6" t="n">
        <v>0</v>
      </c>
      <c r="P209" s="6" t="n">
        <v>0</v>
      </c>
      <c r="Q209" s="6" t="n">
        <v>3</v>
      </c>
      <c r="R209" s="6" t="n">
        <v>3</v>
      </c>
      <c r="S209" s="6" t="n">
        <v>0</v>
      </c>
      <c r="T209" s="6" t="n">
        <v>0</v>
      </c>
      <c r="U209" s="6" t="n">
        <v>0</v>
      </c>
      <c r="V209" s="6" t="n">
        <v>36</v>
      </c>
      <c r="W209" s="6" t="n">
        <v>69.9723</v>
      </c>
      <c r="X209" s="6" t="n">
        <v>9.308199999999999</v>
      </c>
      <c r="Y209" s="6" t="inlineStr">
        <is>
          <t>Performance</t>
        </is>
      </c>
      <c r="Z209" s="6" t="inlineStr">
        <is>
          <t>Frozen-weight composite; strongest contribution: Performance.</t>
        </is>
      </c>
      <c r="AA209" s="6" t="inlineStr">
        <is>
          <t>None explicitly named in this RTM</t>
        </is>
      </c>
      <c r="AB209" s="6" t="inlineStr">
        <is>
          <t>SCK CEN/90508872 §4.2.2; no named external code</t>
        </is>
      </c>
      <c r="AC209" s="6" t="inlineStr">
        <is>
          <t>Calculation/model plus calibrated measurement or recorded trend; Functional design/configuration review and sequence/interface demonstration</t>
        </is>
      </c>
      <c r="AD209" s="6" t="inlineStr">
        <is>
          <t>No separate deliverable explicitly named</t>
        </is>
      </c>
      <c r="AE209" s="6" t="inlineStr">
        <is>
          <t>L1 Conceptual Design; L2 Detailed Design</t>
        </is>
      </c>
      <c r="AF209" s="6" t="inlineStr">
        <is>
          <t>Section/contract-derived reference; derived evidence route</t>
        </is>
      </c>
      <c r="AG209" s="58" t="inlineStr">
        <is>
          <t>Not linked to an OFFER item</t>
        </is>
      </c>
    </row>
    <row r="210" ht="86" customHeight="1">
      <c r="A210" s="6" t="n">
        <v>205</v>
      </c>
      <c r="B210" s="6" t="inlineStr">
        <is>
          <t>RTM-013</t>
        </is>
      </c>
      <c r="C210" s="6" t="inlineStr">
        <is>
          <t>No</t>
        </is>
      </c>
      <c r="D210" s="6" t="inlineStr">
        <is>
          <t>T2 Secondary</t>
        </is>
      </c>
      <c r="E210" s="6" t="inlineStr">
        <is>
          <t>Process &amp; Functional</t>
        </is>
      </c>
      <c r="F210" s="82" t="inlineStr">
        <is>
          <t>SYSTEM</t>
        </is>
      </c>
      <c r="G210" s="83" t="inlineStr">
        <is>
          <t>Control</t>
        </is>
      </c>
      <c r="H210" s="59" t="inlineStr">
        <is>
          <t>—</t>
        </is>
      </c>
      <c r="I210" s="81" t="inlineStr">
        <is>
          <t>Inferred: C2 — Process Design (low conf.)</t>
        </is>
      </c>
      <c r="J210" s="6" t="n">
        <v>27</v>
      </c>
      <c r="K210" s="6" t="inlineStr">
        <is>
          <t>4.2.2</t>
        </is>
      </c>
      <c r="L210" s="6" t="inlineStr">
        <is>
          <t>Operational Scenarios and Transitions</t>
        </is>
      </c>
      <c r="M210" s="6" t="inlineStr">
        <is>
          <t>All QPS operational scenarios and transitions shall be integrated into the QPS design and control system and shall:</t>
        </is>
      </c>
      <c r="N210" s="6" t="inlineStr">
        <is>
          <t>All QPS operational scenarios and transitions shall be integrated into the QPS design and control system and shall:
• Enable controlled operation in each specified scenario and transition.
• Provide, via the QPS:CIS, the scenario execution status, including at minimum the active scenario identifier, current sub-step identifier, readiness-to-proceed status, and hold/abort status.</t>
        </is>
      </c>
      <c r="O210" s="6" t="n">
        <v>0</v>
      </c>
      <c r="P210" s="6" t="n">
        <v>0</v>
      </c>
      <c r="Q210" s="6" t="n">
        <v>3</v>
      </c>
      <c r="R210" s="6" t="n">
        <v>3</v>
      </c>
      <c r="S210" s="6" t="n">
        <v>0</v>
      </c>
      <c r="T210" s="6" t="n">
        <v>0</v>
      </c>
      <c r="U210" s="6" t="n">
        <v>0</v>
      </c>
      <c r="V210" s="6" t="n">
        <v>36</v>
      </c>
      <c r="W210" s="6" t="n">
        <v>69.9723</v>
      </c>
      <c r="X210" s="6" t="n">
        <v>9.308199999999999</v>
      </c>
      <c r="Y210" s="6" t="inlineStr">
        <is>
          <t>Performance</t>
        </is>
      </c>
      <c r="Z210" s="6" t="inlineStr">
        <is>
          <t>Frozen-weight composite; strongest contribution: Performance.</t>
        </is>
      </c>
      <c r="AA210" s="6" t="inlineStr">
        <is>
          <t>None explicitly named in this RTM</t>
        </is>
      </c>
      <c r="AB210" s="6" t="inlineStr">
        <is>
          <t>SCK CEN/90508872 §4.2.2; no named external code</t>
        </is>
      </c>
      <c r="AC210" s="6" t="inlineStr">
        <is>
          <t>Calculation/model plus calibrated measurement or recorded trend; Functional design/configuration review and sequence/interface demonstration</t>
        </is>
      </c>
      <c r="AD210" s="6" t="inlineStr">
        <is>
          <t>No separate deliverable explicitly named</t>
        </is>
      </c>
      <c r="AE210" s="6" t="inlineStr">
        <is>
          <t>L1 Conceptual Design; L2 Detailed Design</t>
        </is>
      </c>
      <c r="AF210" s="6" t="inlineStr">
        <is>
          <t>Section/contract-derived reference; derived evidence route</t>
        </is>
      </c>
      <c r="AG210" s="58" t="inlineStr">
        <is>
          <t>Not linked to an OFFER item</t>
        </is>
      </c>
    </row>
    <row r="211" ht="47" customHeight="1">
      <c r="A211" s="6" t="n">
        <v>206</v>
      </c>
      <c r="B211" s="6" t="inlineStr">
        <is>
          <t>RTM-016</t>
        </is>
      </c>
      <c r="C211" s="6" t="inlineStr">
        <is>
          <t>No</t>
        </is>
      </c>
      <c r="D211" s="6" t="inlineStr">
        <is>
          <t>T2 Secondary</t>
        </is>
      </c>
      <c r="E211" s="6" t="inlineStr">
        <is>
          <t>Process &amp; Functional</t>
        </is>
      </c>
      <c r="F211" s="82" t="inlineStr">
        <is>
          <t>SYSTEM</t>
        </is>
      </c>
      <c r="G211" s="83" t="inlineStr">
        <is>
          <t>Performance</t>
        </is>
      </c>
      <c r="H211" s="59" t="inlineStr">
        <is>
          <t>—</t>
        </is>
      </c>
      <c r="I211" s="81" t="inlineStr">
        <is>
          <t>Inferred: C2 — Process Design (low conf.)</t>
        </is>
      </c>
      <c r="J211" s="6" t="n">
        <v>28</v>
      </c>
      <c r="K211" s="6" t="inlineStr">
        <is>
          <t>4.2.2.1</t>
        </is>
      </c>
      <c r="L211" s="6" t="inlineStr">
        <is>
          <t>Steady-State Operational Scenarios</t>
        </is>
      </c>
      <c r="M211" s="6" t="inlineStr">
        <is>
          <t>The QPS shall implement the Steady State Operational Scenarios defined in Table 3.</t>
        </is>
      </c>
      <c r="N211" s="6" t="inlineStr">
        <is>
          <t>The QPS shall implement the Steady State Operational Scenarios defined in Table 3.</t>
        </is>
      </c>
      <c r="O211" s="6" t="n">
        <v>0</v>
      </c>
      <c r="P211" s="6" t="n">
        <v>0</v>
      </c>
      <c r="Q211" s="6" t="n">
        <v>3</v>
      </c>
      <c r="R211" s="6" t="n">
        <v>3</v>
      </c>
      <c r="S211" s="6" t="n">
        <v>0</v>
      </c>
      <c r="T211" s="6" t="n">
        <v>0</v>
      </c>
      <c r="U211" s="6" t="n">
        <v>0</v>
      </c>
      <c r="V211" s="6" t="n">
        <v>36</v>
      </c>
      <c r="W211" s="6" t="n">
        <v>69.9723</v>
      </c>
      <c r="X211" s="6" t="n">
        <v>9.308199999999999</v>
      </c>
      <c r="Y211" s="6" t="inlineStr">
        <is>
          <t>Performance</t>
        </is>
      </c>
      <c r="Z211" s="6" t="inlineStr">
        <is>
          <t>Frozen-weight composite; strongest contribution: Performance.</t>
        </is>
      </c>
      <c r="AA211" s="6" t="inlineStr">
        <is>
          <t>None explicitly named in this RTM</t>
        </is>
      </c>
      <c r="AB211" s="6" t="inlineStr">
        <is>
          <t>SCK CEN/90508872 §4.2.2.1; no named external code</t>
        </is>
      </c>
      <c r="AC211" s="6" t="inlineStr">
        <is>
          <t>Calculation/model plus calibrated measurement or recorded trend; Functional design/configuration review and sequence/interface demonstration</t>
        </is>
      </c>
      <c r="AD211" s="6" t="inlineStr">
        <is>
          <t>No separate deliverable explicitly named</t>
        </is>
      </c>
      <c r="AE211" s="6" t="inlineStr">
        <is>
          <t>L1 Conceptual Design; L2 Detailed Design</t>
        </is>
      </c>
      <c r="AF211" s="6" t="inlineStr">
        <is>
          <t>Section/contract-derived reference; derived evidence route</t>
        </is>
      </c>
      <c r="AG211" s="58" t="inlineStr">
        <is>
          <t>Not linked to an OFFER item</t>
        </is>
      </c>
    </row>
    <row r="212" ht="60" customHeight="1">
      <c r="A212" s="6" t="n">
        <v>207</v>
      </c>
      <c r="B212" s="6" t="inlineStr">
        <is>
          <t>RTM-018</t>
        </is>
      </c>
      <c r="C212" s="6" t="inlineStr">
        <is>
          <t>No</t>
        </is>
      </c>
      <c r="D212" s="6" t="inlineStr">
        <is>
          <t>T2 Secondary</t>
        </is>
      </c>
      <c r="E212" s="6" t="inlineStr">
        <is>
          <t>Process &amp; Functional</t>
        </is>
      </c>
      <c r="F212" s="82" t="inlineStr">
        <is>
          <t>SYSTEM</t>
        </is>
      </c>
      <c r="G212" s="83" t="inlineStr">
        <is>
          <t>Performance</t>
        </is>
      </c>
      <c r="H212" s="59" t="inlineStr">
        <is>
          <t>—</t>
        </is>
      </c>
      <c r="I212" s="81" t="inlineStr">
        <is>
          <t>Inferred: C2 — Process Design (low conf.)</t>
        </is>
      </c>
      <c r="J212" s="6" t="n">
        <v>28</v>
      </c>
      <c r="K212" s="6" t="inlineStr">
        <is>
          <t>4.2.2.1</t>
        </is>
      </c>
      <c r="L212" s="6" t="inlineStr">
        <is>
          <t>Steady-State Operational Scenarios</t>
        </is>
      </c>
      <c r="M212" s="6" t="inlineStr">
        <is>
          <t>For each Steady State Operational Scenario, the Contractor shall specify the maximum sustainable cooling capacity available to the Cryogenic Users as resulting from the QPS design.</t>
        </is>
      </c>
      <c r="N212" s="6" t="inlineStr">
        <is>
          <t>For each Steady State Operational Scenario, the Contractor shall specify the maximum sustainable cooling capacity available to the Cryogenic Users as resulting from the QPS design.</t>
        </is>
      </c>
      <c r="O212" s="6" t="n">
        <v>0</v>
      </c>
      <c r="P212" s="6" t="n">
        <v>0</v>
      </c>
      <c r="Q212" s="6" t="n">
        <v>3</v>
      </c>
      <c r="R212" s="6" t="n">
        <v>3</v>
      </c>
      <c r="S212" s="6" t="n">
        <v>0</v>
      </c>
      <c r="T212" s="6" t="n">
        <v>0</v>
      </c>
      <c r="U212" s="6" t="n">
        <v>0</v>
      </c>
      <c r="V212" s="6" t="n">
        <v>36</v>
      </c>
      <c r="W212" s="6" t="n">
        <v>69.9723</v>
      </c>
      <c r="X212" s="6" t="n">
        <v>9.308199999999999</v>
      </c>
      <c r="Y212" s="6" t="inlineStr">
        <is>
          <t>Performance</t>
        </is>
      </c>
      <c r="Z212" s="6" t="inlineStr">
        <is>
          <t>Frozen-weight composite; strongest contribution: Performance.</t>
        </is>
      </c>
      <c r="AA212" s="6" t="inlineStr">
        <is>
          <t>None explicitly named in this RTM</t>
        </is>
      </c>
      <c r="AB212" s="6" t="inlineStr">
        <is>
          <t>SCK CEN/90508872 §4.2.2.1; no named external code</t>
        </is>
      </c>
      <c r="AC212" s="6" t="inlineStr">
        <is>
          <t>Calculation/model plus calibrated measurement or recorded trend; Functional design/configuration review and sequence/interface demonstration</t>
        </is>
      </c>
      <c r="AD212" s="6" t="inlineStr">
        <is>
          <t>No separate deliverable explicitly named</t>
        </is>
      </c>
      <c r="AE212" s="6" t="inlineStr">
        <is>
          <t>L1 Conceptual Design; L2 Detailed Design</t>
        </is>
      </c>
      <c r="AF212" s="6" t="inlineStr">
        <is>
          <t>Section/contract-derived reference; derived evidence route</t>
        </is>
      </c>
      <c r="AG212" s="58" t="inlineStr">
        <is>
          <t>Not linked to an OFFER item</t>
        </is>
      </c>
    </row>
    <row r="213" ht="47" customHeight="1">
      <c r="A213" s="6" t="n">
        <v>208</v>
      </c>
      <c r="B213" s="6" t="inlineStr">
        <is>
          <t>RTM-019</t>
        </is>
      </c>
      <c r="C213" s="6" t="inlineStr">
        <is>
          <t>No</t>
        </is>
      </c>
      <c r="D213" s="6" t="inlineStr">
        <is>
          <t>T2 Secondary</t>
        </is>
      </c>
      <c r="E213" s="6" t="inlineStr">
        <is>
          <t>Process &amp; Functional</t>
        </is>
      </c>
      <c r="F213" s="82" t="inlineStr">
        <is>
          <t>SYSTEM</t>
        </is>
      </c>
      <c r="G213" s="83" t="inlineStr">
        <is>
          <t>Performance</t>
        </is>
      </c>
      <c r="H213" s="59" t="inlineStr">
        <is>
          <t>—</t>
        </is>
      </c>
      <c r="I213" s="58" t="inlineStr">
        <is>
          <t>C1 — Performance</t>
        </is>
      </c>
      <c r="J213" s="6" t="n">
        <v>28</v>
      </c>
      <c r="K213" s="6" t="inlineStr">
        <is>
          <t>4.2.2.2</t>
        </is>
      </c>
      <c r="L213" s="6" t="inlineStr">
        <is>
          <t>Transient Operational Scenarios</t>
        </is>
      </c>
      <c r="M213" s="6" t="inlineStr">
        <is>
          <t>The QPS shall implement the Transient Operational Scenarios defined in Table 4.</t>
        </is>
      </c>
      <c r="N213" s="6" t="inlineStr">
        <is>
          <t>The QPS shall implement the Transient Operational Scenarios defined in Table 4.</t>
        </is>
      </c>
      <c r="O213" s="6" t="n">
        <v>0</v>
      </c>
      <c r="P213" s="6" t="n">
        <v>0</v>
      </c>
      <c r="Q213" s="6" t="n">
        <v>3</v>
      </c>
      <c r="R213" s="6" t="n">
        <v>3</v>
      </c>
      <c r="S213" s="6" t="n">
        <v>0</v>
      </c>
      <c r="T213" s="6" t="n">
        <v>0</v>
      </c>
      <c r="U213" s="6" t="n">
        <v>0</v>
      </c>
      <c r="V213" s="6" t="n">
        <v>36</v>
      </c>
      <c r="W213" s="6" t="n">
        <v>69.9723</v>
      </c>
      <c r="X213" s="6" t="n">
        <v>9.308199999999999</v>
      </c>
      <c r="Y213" s="6" t="inlineStr">
        <is>
          <t>Performance</t>
        </is>
      </c>
      <c r="Z213" s="6" t="inlineStr">
        <is>
          <t>Frozen-weight composite; strongest contribution: Performance.</t>
        </is>
      </c>
      <c r="AA213" s="6" t="inlineStr">
        <is>
          <t>None explicitly named in this RTM</t>
        </is>
      </c>
      <c r="AB213" s="6" t="inlineStr">
        <is>
          <t>SCK CEN/90508872 §4.2.2.2; no named external code</t>
        </is>
      </c>
      <c r="AC213" s="6" t="inlineStr">
        <is>
          <t>Calculation/model plus calibrated measurement or recorded trend; Functional design/configuration review and sequence/interface demonstration</t>
        </is>
      </c>
      <c r="AD213" s="6" t="inlineStr">
        <is>
          <t>No separate deliverable explicitly named</t>
        </is>
      </c>
      <c r="AE213" s="6" t="inlineStr">
        <is>
          <t>L1 Conceptual Design; L2 Detailed Design</t>
        </is>
      </c>
      <c r="AF213" s="6" t="inlineStr">
        <is>
          <t>Section/contract-derived reference; derived evidence route</t>
        </is>
      </c>
      <c r="AG213" s="58" t="inlineStr">
        <is>
          <t>OFFER-04 (Direct)</t>
        </is>
      </c>
    </row>
    <row r="214" ht="47" customHeight="1">
      <c r="A214" s="6" t="n">
        <v>209</v>
      </c>
      <c r="B214" s="6" t="inlineStr">
        <is>
          <t>RTM-023</t>
        </is>
      </c>
      <c r="C214" s="6" t="inlineStr">
        <is>
          <t>No</t>
        </is>
      </c>
      <c r="D214" s="6" t="inlineStr">
        <is>
          <t>T2 Secondary</t>
        </is>
      </c>
      <c r="E214" s="6" t="inlineStr">
        <is>
          <t>Process &amp; Functional</t>
        </is>
      </c>
      <c r="F214" s="82" t="inlineStr">
        <is>
          <t>SYSTEM</t>
        </is>
      </c>
      <c r="G214" s="83" t="inlineStr">
        <is>
          <t>Performance</t>
        </is>
      </c>
      <c r="H214" s="59" t="inlineStr">
        <is>
          <t>—</t>
        </is>
      </c>
      <c r="I214" s="81" t="inlineStr">
        <is>
          <t>Inferred: C2 — Process Design (low conf.)</t>
        </is>
      </c>
      <c r="J214" s="6" t="n">
        <v>29</v>
      </c>
      <c r="K214" s="6" t="inlineStr">
        <is>
          <t>4.2.2.3</t>
        </is>
      </c>
      <c r="L214" s="6" t="inlineStr">
        <is>
          <t>Transition between Operational Scenarios</t>
        </is>
      </c>
      <c r="M214" s="6" t="inlineStr">
        <is>
          <t>The QPS shall implement the transitions between Operational Scenarios defined in Figure 8.</t>
        </is>
      </c>
      <c r="N214" s="6" t="inlineStr">
        <is>
          <t>The QPS shall implement the transitions between Operational Scenarios defined in Figure 8.</t>
        </is>
      </c>
      <c r="O214" s="6" t="n">
        <v>0</v>
      </c>
      <c r="P214" s="6" t="n">
        <v>0</v>
      </c>
      <c r="Q214" s="6" t="n">
        <v>3</v>
      </c>
      <c r="R214" s="6" t="n">
        <v>3</v>
      </c>
      <c r="S214" s="6" t="n">
        <v>0</v>
      </c>
      <c r="T214" s="6" t="n">
        <v>0</v>
      </c>
      <c r="U214" s="6" t="n">
        <v>0</v>
      </c>
      <c r="V214" s="6" t="n">
        <v>36</v>
      </c>
      <c r="W214" s="6" t="n">
        <v>69.9723</v>
      </c>
      <c r="X214" s="6" t="n">
        <v>9.308199999999999</v>
      </c>
      <c r="Y214" s="6" t="inlineStr">
        <is>
          <t>Performance</t>
        </is>
      </c>
      <c r="Z214" s="6" t="inlineStr">
        <is>
          <t>Frozen-weight composite; strongest contribution: Performance.</t>
        </is>
      </c>
      <c r="AA214" s="6" t="inlineStr">
        <is>
          <t>None explicitly named in this RTM</t>
        </is>
      </c>
      <c r="AB214" s="6" t="inlineStr">
        <is>
          <t>SCK CEN/90508872 §4.2.2.3; no named external code</t>
        </is>
      </c>
      <c r="AC214" s="6" t="inlineStr">
        <is>
          <t>Calculation/model plus calibrated measurement or recorded trend; Functional design/configuration review and sequence/interface demonstration</t>
        </is>
      </c>
      <c r="AD214" s="6" t="inlineStr">
        <is>
          <t>No separate deliverable explicitly named</t>
        </is>
      </c>
      <c r="AE214" s="6" t="inlineStr">
        <is>
          <t>L1 Conceptual Design; L2 Detailed Design</t>
        </is>
      </c>
      <c r="AF214" s="6" t="inlineStr">
        <is>
          <t>Section/contract-derived reference; derived evidence route</t>
        </is>
      </c>
      <c r="AG214" s="58" t="inlineStr">
        <is>
          <t>Not linked to an OFFER item</t>
        </is>
      </c>
    </row>
    <row r="215" ht="47" customHeight="1">
      <c r="A215" s="6" t="n">
        <v>210</v>
      </c>
      <c r="B215" s="6" t="inlineStr">
        <is>
          <t>RTM-025</t>
        </is>
      </c>
      <c r="C215" s="6" t="inlineStr">
        <is>
          <t>No</t>
        </is>
      </c>
      <c r="D215" s="6" t="inlineStr">
        <is>
          <t>T2 Secondary</t>
        </is>
      </c>
      <c r="E215" s="6" t="inlineStr">
        <is>
          <t>Process &amp; Functional</t>
        </is>
      </c>
      <c r="F215" s="82" t="inlineStr">
        <is>
          <t>SYSTEM</t>
        </is>
      </c>
      <c r="G215" s="83" t="inlineStr">
        <is>
          <t>Performance</t>
        </is>
      </c>
      <c r="H215" s="59" t="inlineStr">
        <is>
          <t>—</t>
        </is>
      </c>
      <c r="I215" s="58" t="inlineStr">
        <is>
          <t>C8 — Commercial &amp; Execution</t>
        </is>
      </c>
      <c r="J215" s="6" t="n">
        <v>30</v>
      </c>
      <c r="K215" s="6" t="inlineStr">
        <is>
          <t>4.2.2.4.1</t>
        </is>
      </c>
      <c r="L215" s="6" t="inlineStr">
        <is>
          <t>Purging and Conditioning</t>
        </is>
      </c>
      <c r="M215" s="6" t="inlineStr">
        <is>
          <t>The QPS shall implement operational scenarios for purging and conditioning of the QPS.</t>
        </is>
      </c>
      <c r="N215" s="6" t="inlineStr">
        <is>
          <t>The QPS shall implement operational scenarios for purging and conditioning of the QPS.</t>
        </is>
      </c>
      <c r="O215" s="6" t="n">
        <v>0</v>
      </c>
      <c r="P215" s="6" t="n">
        <v>0</v>
      </c>
      <c r="Q215" s="6" t="n">
        <v>3</v>
      </c>
      <c r="R215" s="6" t="n">
        <v>3</v>
      </c>
      <c r="S215" s="6" t="n">
        <v>0</v>
      </c>
      <c r="T215" s="6" t="n">
        <v>0</v>
      </c>
      <c r="U215" s="6" t="n">
        <v>0</v>
      </c>
      <c r="V215" s="6" t="n">
        <v>36</v>
      </c>
      <c r="W215" s="6" t="n">
        <v>69.9723</v>
      </c>
      <c r="X215" s="6" t="n">
        <v>9.308199999999999</v>
      </c>
      <c r="Y215" s="6" t="inlineStr">
        <is>
          <t>Performance</t>
        </is>
      </c>
      <c r="Z215" s="6" t="inlineStr">
        <is>
          <t>Frozen-weight composite; strongest contribution: Performance.</t>
        </is>
      </c>
      <c r="AA215" s="6" t="inlineStr">
        <is>
          <t>None explicitly named in this RTM</t>
        </is>
      </c>
      <c r="AB215" s="6" t="inlineStr">
        <is>
          <t>SCK CEN/90508872 §4.2.2.4.1; no named external code</t>
        </is>
      </c>
      <c r="AC215" s="6" t="inlineStr">
        <is>
          <t>Calculation/model plus calibrated measurement or recorded trend; Functional design/configuration review and sequence/interface demonstration</t>
        </is>
      </c>
      <c r="AD215" s="6" t="inlineStr">
        <is>
          <t>No separate deliverable explicitly named</t>
        </is>
      </c>
      <c r="AE215" s="6" t="inlineStr">
        <is>
          <t>L1 Conceptual Design; L2 Detailed Design</t>
        </is>
      </c>
      <c r="AF215" s="6" t="inlineStr">
        <is>
          <t>Section/contract-derived reference; derived evidence route</t>
        </is>
      </c>
      <c r="AG215" s="58" t="inlineStr">
        <is>
          <t>OFFER-05 (Direct)</t>
        </is>
      </c>
    </row>
    <row r="216" ht="47" customHeight="1">
      <c r="A216" s="6" t="n">
        <v>211</v>
      </c>
      <c r="B216" s="6" t="inlineStr">
        <is>
          <t>RTM-028</t>
        </is>
      </c>
      <c r="C216" s="6" t="inlineStr">
        <is>
          <t>No</t>
        </is>
      </c>
      <c r="D216" s="6" t="inlineStr">
        <is>
          <t>T2 Secondary</t>
        </is>
      </c>
      <c r="E216" s="6" t="inlineStr">
        <is>
          <t>Process &amp; Functional</t>
        </is>
      </c>
      <c r="F216" s="82" t="inlineStr">
        <is>
          <t>SYSTEM</t>
        </is>
      </c>
      <c r="G216" s="83" t="inlineStr">
        <is>
          <t>Performance</t>
        </is>
      </c>
      <c r="H216" s="59" t="inlineStr">
        <is>
          <t>—</t>
        </is>
      </c>
      <c r="I216" s="81" t="inlineStr">
        <is>
          <t>Inferred: C2 — Process Design (low conf.)</t>
        </is>
      </c>
      <c r="J216" s="6" t="n">
        <v>31</v>
      </c>
      <c r="K216" s="6" t="inlineStr">
        <is>
          <t>4.2.2.4.2</t>
        </is>
      </c>
      <c r="L216" s="6" t="inlineStr">
        <is>
          <t>Startup preparation</t>
        </is>
      </c>
      <c r="M216" s="6" t="inlineStr">
        <is>
          <t>The QPS shall implement operational scenarios for the startup preparation of the QPS.</t>
        </is>
      </c>
      <c r="N216" s="6" t="inlineStr">
        <is>
          <t>The QPS shall implement operational scenarios for the startup preparation of the QPS.</t>
        </is>
      </c>
      <c r="O216" s="6" t="n">
        <v>0</v>
      </c>
      <c r="P216" s="6" t="n">
        <v>0</v>
      </c>
      <c r="Q216" s="6" t="n">
        <v>3</v>
      </c>
      <c r="R216" s="6" t="n">
        <v>3</v>
      </c>
      <c r="S216" s="6" t="n">
        <v>0</v>
      </c>
      <c r="T216" s="6" t="n">
        <v>0</v>
      </c>
      <c r="U216" s="6" t="n">
        <v>0</v>
      </c>
      <c r="V216" s="6" t="n">
        <v>36</v>
      </c>
      <c r="W216" s="6" t="n">
        <v>69.9723</v>
      </c>
      <c r="X216" s="6" t="n">
        <v>9.308199999999999</v>
      </c>
      <c r="Y216" s="6" t="inlineStr">
        <is>
          <t>Performance</t>
        </is>
      </c>
      <c r="Z216" s="6" t="inlineStr">
        <is>
          <t>Frozen-weight composite; strongest contribution: Performance.</t>
        </is>
      </c>
      <c r="AA216" s="6" t="inlineStr">
        <is>
          <t>None explicitly named in this RTM</t>
        </is>
      </c>
      <c r="AB216" s="6" t="inlineStr">
        <is>
          <t>SCK CEN/90508872 §4.2.2.4.2; no named external code</t>
        </is>
      </c>
      <c r="AC216" s="6" t="inlineStr">
        <is>
          <t>Calculation/model plus calibrated measurement or recorded trend; Functional design/configuration review and sequence/interface demonstration</t>
        </is>
      </c>
      <c r="AD216" s="6" t="inlineStr">
        <is>
          <t>No separate deliverable explicitly named</t>
        </is>
      </c>
      <c r="AE216" s="6" t="inlineStr">
        <is>
          <t>L1 Conceptual Design; L2 Detailed Design</t>
        </is>
      </c>
      <c r="AF216" s="6" t="inlineStr">
        <is>
          <t>Section/contract-derived reference; derived evidence route</t>
        </is>
      </c>
      <c r="AG216" s="58" t="inlineStr">
        <is>
          <t>Not linked to an OFFER item</t>
        </is>
      </c>
    </row>
    <row r="217" ht="60" customHeight="1">
      <c r="A217" s="6" t="n">
        <v>212</v>
      </c>
      <c r="B217" s="6" t="inlineStr">
        <is>
          <t>RTM-030</t>
        </is>
      </c>
      <c r="C217" s="6" t="inlineStr">
        <is>
          <t>No</t>
        </is>
      </c>
      <c r="D217" s="6" t="inlineStr">
        <is>
          <t>T2 Secondary</t>
        </is>
      </c>
      <c r="E217" s="6" t="inlineStr">
        <is>
          <t>Process &amp; Functional</t>
        </is>
      </c>
      <c r="F217" s="82" t="inlineStr">
        <is>
          <t>SYSTEM</t>
        </is>
      </c>
      <c r="G217" s="83" t="inlineStr">
        <is>
          <t>Performance</t>
        </is>
      </c>
      <c r="H217" s="59" t="inlineStr">
        <is>
          <t>—</t>
        </is>
      </c>
      <c r="I217" s="58" t="inlineStr">
        <is>
          <t>C1 — Performance</t>
        </is>
      </c>
      <c r="J217" s="6" t="n">
        <v>31</v>
      </c>
      <c r="K217" s="6" t="inlineStr">
        <is>
          <t>4.2.2.4.3</t>
        </is>
      </c>
      <c r="L217" s="6" t="inlineStr">
        <is>
          <t>LHe Filling / Emptying</t>
        </is>
      </c>
      <c r="M217" s="6" t="inlineStr">
        <is>
          <t>The QPS shall allow the transfer of helium inventory between the QCELLs and the WSH.</t>
        </is>
      </c>
      <c r="N217" s="6" t="inlineStr">
        <is>
          <t>The QPS shall allow the transfer of helium inventory between the QCELLs and the WSH.
• The QPS shall autonomously manage the helium inventory during transfer operations within the defined operating limits.</t>
        </is>
      </c>
      <c r="O217" s="6" t="n">
        <v>0</v>
      </c>
      <c r="P217" s="6" t="n">
        <v>0</v>
      </c>
      <c r="Q217" s="6" t="n">
        <v>3</v>
      </c>
      <c r="R217" s="6" t="n">
        <v>3</v>
      </c>
      <c r="S217" s="6" t="n">
        <v>0</v>
      </c>
      <c r="T217" s="6" t="n">
        <v>0</v>
      </c>
      <c r="U217" s="6" t="n">
        <v>0</v>
      </c>
      <c r="V217" s="6" t="n">
        <v>36</v>
      </c>
      <c r="W217" s="6" t="n">
        <v>69.9723</v>
      </c>
      <c r="X217" s="6" t="n">
        <v>9.308199999999999</v>
      </c>
      <c r="Y217" s="6" t="inlineStr">
        <is>
          <t>Performance</t>
        </is>
      </c>
      <c r="Z217" s="6" t="inlineStr">
        <is>
          <t>Frozen-weight composite; strongest contribution: Performance.</t>
        </is>
      </c>
      <c r="AA217" s="6" t="inlineStr">
        <is>
          <t>None explicitly named in this RTM</t>
        </is>
      </c>
      <c r="AB217" s="6" t="inlineStr">
        <is>
          <t>SCK CEN/90508872 §4.2.2.4.3; no named external code</t>
        </is>
      </c>
      <c r="AC217" s="6" t="inlineStr">
        <is>
          <t>Calculation/model plus calibrated measurement or recorded trend</t>
        </is>
      </c>
      <c r="AD217" s="6" t="inlineStr">
        <is>
          <t>No separate deliverable explicitly named</t>
        </is>
      </c>
      <c r="AE217" s="6" t="inlineStr">
        <is>
          <t>L1 Conceptual Design; L2 Detailed Design</t>
        </is>
      </c>
      <c r="AF217" s="6" t="inlineStr">
        <is>
          <t>Section/contract-derived reference; derived evidence route</t>
        </is>
      </c>
      <c r="AG217" s="58" t="inlineStr">
        <is>
          <t>OFFER-06 (Direct)</t>
        </is>
      </c>
    </row>
    <row r="218" ht="112" customHeight="1">
      <c r="A218" s="6" t="n">
        <v>213</v>
      </c>
      <c r="B218" s="6" t="inlineStr">
        <is>
          <t>RTM-031</t>
        </is>
      </c>
      <c r="C218" s="6" t="inlineStr">
        <is>
          <t>No</t>
        </is>
      </c>
      <c r="D218" s="6" t="inlineStr">
        <is>
          <t>T2 Secondary</t>
        </is>
      </c>
      <c r="E218" s="6" t="inlineStr">
        <is>
          <t>Process &amp; Functional</t>
        </is>
      </c>
      <c r="F218" s="82" t="inlineStr">
        <is>
          <t>SYSTEM</t>
        </is>
      </c>
      <c r="G218" s="83" t="inlineStr">
        <is>
          <t>Performance</t>
        </is>
      </c>
      <c r="H218" s="59" t="inlineStr">
        <is>
          <t>—</t>
        </is>
      </c>
      <c r="I218" s="58" t="inlineStr">
        <is>
          <t>C1 — Performance</t>
        </is>
      </c>
      <c r="J218" s="6" t="n">
        <v>31</v>
      </c>
      <c r="K218" s="6" t="inlineStr">
        <is>
          <t>4.2.2.4.3</t>
        </is>
      </c>
      <c r="L218" s="6" t="inlineStr">
        <is>
          <t>LHe Filling / Emptying</t>
        </is>
      </c>
      <c r="M218" s="6" t="inlineStr">
        <is>
          <t>Within the constraints in RTM-043, the QPS shall accommodate LHe filling and emptying consistent with the indicative demand specified in Table 5.</t>
        </is>
      </c>
      <c r="N218" s="6" t="inlineStr">
        <is>
          <t>Within the constraints in RTM-043, the QPS shall accommodate LHe filling and emptying consistent with the indicative demand specified in Table 5.
• The values in Table 5 indicate the expected LHe filling and emptying demand of the cryogenic users
• The terms filling rate and filling capacity refer to accumulated LHe at the cryogenic users.
• The terms emptying rate and emptying capacity refer to the evaporated LHe at the cryogenic users.</t>
        </is>
      </c>
      <c r="O218" s="6" t="n">
        <v>0</v>
      </c>
      <c r="P218" s="6" t="n">
        <v>0</v>
      </c>
      <c r="Q218" s="6" t="n">
        <v>3</v>
      </c>
      <c r="R218" s="6" t="n">
        <v>3</v>
      </c>
      <c r="S218" s="6" t="n">
        <v>0</v>
      </c>
      <c r="T218" s="6" t="n">
        <v>0</v>
      </c>
      <c r="U218" s="6" t="n">
        <v>0</v>
      </c>
      <c r="V218" s="6" t="n">
        <v>36</v>
      </c>
      <c r="W218" s="6" t="n">
        <v>69.9723</v>
      </c>
      <c r="X218" s="6" t="n">
        <v>9.308199999999999</v>
      </c>
      <c r="Y218" s="6" t="inlineStr">
        <is>
          <t>Performance</t>
        </is>
      </c>
      <c r="Z218" s="6" t="inlineStr">
        <is>
          <t>Frozen-weight composite; strongest contribution: Performance.</t>
        </is>
      </c>
      <c r="AA218" s="6" t="inlineStr">
        <is>
          <t>None explicitly named in this RTM</t>
        </is>
      </c>
      <c r="AB218" s="6" t="inlineStr">
        <is>
          <t>SCK CEN/90508872 §4.2.2.4.3; no named external code</t>
        </is>
      </c>
      <c r="AC218" s="6" t="inlineStr">
        <is>
          <t>Calculation/model plus calibrated measurement or recorded trend</t>
        </is>
      </c>
      <c r="AD218" s="6" t="inlineStr">
        <is>
          <t>No separate deliverable explicitly named</t>
        </is>
      </c>
      <c r="AE218" s="6" t="inlineStr">
        <is>
          <t>L1 Conceptual Design; L2 Detailed Design</t>
        </is>
      </c>
      <c r="AF218" s="6" t="inlineStr">
        <is>
          <t>Section/contract-derived reference; derived evidence route</t>
        </is>
      </c>
      <c r="AG218" s="58" t="inlineStr">
        <is>
          <t>OFFER-06 (Direct)</t>
        </is>
      </c>
    </row>
    <row r="219" ht="47" customHeight="1">
      <c r="A219" s="6" t="n">
        <v>214</v>
      </c>
      <c r="B219" s="6" t="inlineStr">
        <is>
          <t>RTM-032</t>
        </is>
      </c>
      <c r="C219" s="6" t="inlineStr">
        <is>
          <t>No</t>
        </is>
      </c>
      <c r="D219" s="6" t="inlineStr">
        <is>
          <t>T2 Secondary</t>
        </is>
      </c>
      <c r="E219" s="6" t="inlineStr">
        <is>
          <t>Process &amp; Functional</t>
        </is>
      </c>
      <c r="F219" s="82" t="inlineStr">
        <is>
          <t>SYSTEM</t>
        </is>
      </c>
      <c r="G219" s="83" t="inlineStr">
        <is>
          <t>Performance</t>
        </is>
      </c>
      <c r="H219" s="59" t="inlineStr">
        <is>
          <t>—</t>
        </is>
      </c>
      <c r="I219" s="58" t="inlineStr">
        <is>
          <t>C1 — Performance</t>
        </is>
      </c>
      <c r="J219" s="6" t="n">
        <v>31</v>
      </c>
      <c r="K219" s="6" t="inlineStr">
        <is>
          <t>4.2.2.4.3</t>
        </is>
      </c>
      <c r="L219" s="6" t="inlineStr">
        <is>
          <t>LHe Filling / Emptying</t>
        </is>
      </c>
      <c r="M219" s="6" t="inlineStr">
        <is>
          <t>During LHe evaporation, the QPS shall include provisions to safely accommodate transiently large helium return flows from the cryogenic users.</t>
        </is>
      </c>
      <c r="N219" s="6" t="inlineStr">
        <is>
          <t>During LHe evaporation, the QPS shall include provisions to safely accommodate transiently large helium return flows from the cryogenic users.</t>
        </is>
      </c>
      <c r="O219" s="6" t="n">
        <v>0</v>
      </c>
      <c r="P219" s="6" t="n">
        <v>0</v>
      </c>
      <c r="Q219" s="6" t="n">
        <v>3</v>
      </c>
      <c r="R219" s="6" t="n">
        <v>3</v>
      </c>
      <c r="S219" s="6" t="n">
        <v>0</v>
      </c>
      <c r="T219" s="6" t="n">
        <v>0</v>
      </c>
      <c r="U219" s="6" t="n">
        <v>0</v>
      </c>
      <c r="V219" s="6" t="n">
        <v>36</v>
      </c>
      <c r="W219" s="6" t="n">
        <v>69.9723</v>
      </c>
      <c r="X219" s="6" t="n">
        <v>9.308199999999999</v>
      </c>
      <c r="Y219" s="6" t="inlineStr">
        <is>
          <t>Performance</t>
        </is>
      </c>
      <c r="Z219" s="6" t="inlineStr">
        <is>
          <t>Frozen-weight composite; strongest contribution: Performance.</t>
        </is>
      </c>
      <c r="AA219" s="6" t="inlineStr">
        <is>
          <t>None explicitly named in this RTM</t>
        </is>
      </c>
      <c r="AB219" s="6" t="inlineStr">
        <is>
          <t>SCK CEN/90508872 §4.2.2.4.3; no named external code</t>
        </is>
      </c>
      <c r="AC219" s="6" t="inlineStr">
        <is>
          <t>Calculation/model plus calibrated measurement or recorded trend</t>
        </is>
      </c>
      <c r="AD219" s="6" t="inlineStr">
        <is>
          <t>No separate deliverable explicitly named</t>
        </is>
      </c>
      <c r="AE219" s="6" t="inlineStr">
        <is>
          <t>L1 Conceptual Design; L2 Detailed Design</t>
        </is>
      </c>
      <c r="AF219" s="6" t="inlineStr">
        <is>
          <t>Section/contract-derived reference; derived evidence route</t>
        </is>
      </c>
      <c r="AG219" s="58" t="inlineStr">
        <is>
          <t>OFFER-06 (Direct)</t>
        </is>
      </c>
    </row>
    <row r="220" ht="164" customHeight="1">
      <c r="A220" s="6" t="n">
        <v>215</v>
      </c>
      <c r="B220" s="6" t="inlineStr">
        <is>
          <t>RTM-033</t>
        </is>
      </c>
      <c r="C220" s="6" t="inlineStr">
        <is>
          <t>No</t>
        </is>
      </c>
      <c r="D220" s="6" t="inlineStr">
        <is>
          <t>T2 Secondary</t>
        </is>
      </c>
      <c r="E220" s="6" t="inlineStr">
        <is>
          <t>Process &amp; Functional</t>
        </is>
      </c>
      <c r="F220" s="82" t="inlineStr">
        <is>
          <t>SYSTEM</t>
        </is>
      </c>
      <c r="G220" s="83" t="inlineStr">
        <is>
          <t>Performance</t>
        </is>
      </c>
      <c r="H220" s="59" t="inlineStr">
        <is>
          <t>—</t>
        </is>
      </c>
      <c r="I220" s="58" t="inlineStr">
        <is>
          <t>C1 — Performance</t>
        </is>
      </c>
      <c r="J220" s="6" t="n">
        <v>31</v>
      </c>
      <c r="K220" s="6" t="inlineStr">
        <is>
          <t>4.2.2.4.3</t>
        </is>
      </c>
      <c r="L220" s="6" t="inlineStr">
        <is>
          <t>LHe Filling / Emptying</t>
        </is>
      </c>
      <c r="M220" s="6" t="inlineStr">
        <is>
          <t>For the scenarios LHe filling and LHe emptying, the Contractor shall define and substantiate the operating limits supported by the QPS. At minimum, the Contractor shall define:</t>
        </is>
      </c>
      <c r="N220" s="6" t="inlineStr">
        <is>
          <t>For the scenarios LHe filling and LHe emptying, the Contractor shall define and substantiate the operating limits supported by the QPS. At minimum, the Contractor shall define:
• LHe filling rate
• nominal operating range
• maximum allowable value
• LHe emptying rate
• nominal operating range
• maximum rate without loss of Helium inventory (all helium recovered by the QPS)
• maximum rate with controlled loss of Helium inventory (partial venting of helium to atmosphere)</t>
        </is>
      </c>
      <c r="O220" s="6" t="n">
        <v>0</v>
      </c>
      <c r="P220" s="6" t="n">
        <v>0</v>
      </c>
      <c r="Q220" s="6" t="n">
        <v>3</v>
      </c>
      <c r="R220" s="6" t="n">
        <v>3</v>
      </c>
      <c r="S220" s="6" t="n">
        <v>0</v>
      </c>
      <c r="T220" s="6" t="n">
        <v>0</v>
      </c>
      <c r="U220" s="6" t="n">
        <v>0</v>
      </c>
      <c r="V220" s="6" t="n">
        <v>36</v>
      </c>
      <c r="W220" s="6" t="n">
        <v>69.9723</v>
      </c>
      <c r="X220" s="6" t="n">
        <v>9.308199999999999</v>
      </c>
      <c r="Y220" s="6" t="inlineStr">
        <is>
          <t>Performance</t>
        </is>
      </c>
      <c r="Z220" s="6" t="inlineStr">
        <is>
          <t>Frozen-weight composite; strongest contribution: Performance.</t>
        </is>
      </c>
      <c r="AA220" s="6" t="inlineStr">
        <is>
          <t>None explicitly named in this RTM</t>
        </is>
      </c>
      <c r="AB220" s="6" t="inlineStr">
        <is>
          <t>SCK CEN/90508872 §4.2.2.4.3; no named external code</t>
        </is>
      </c>
      <c r="AC220" s="6" t="inlineStr">
        <is>
          <t>Calculation/model plus calibrated measurement or recorded trend; Functional design/configuration review and sequence/interface demonstration</t>
        </is>
      </c>
      <c r="AD220" s="6" t="inlineStr">
        <is>
          <t>No separate deliverable explicitly named</t>
        </is>
      </c>
      <c r="AE220" s="6" t="inlineStr">
        <is>
          <t>L1 Conceptual Design; L2 Detailed Design</t>
        </is>
      </c>
      <c r="AF220" s="6" t="inlineStr">
        <is>
          <t>Section/contract-derived reference; derived evidence route</t>
        </is>
      </c>
      <c r="AG220" s="58" t="inlineStr">
        <is>
          <t>OFFER-06 (Direct)</t>
        </is>
      </c>
    </row>
    <row r="221" ht="73" customHeight="1">
      <c r="A221" s="6" t="n">
        <v>216</v>
      </c>
      <c r="B221" s="6" t="inlineStr">
        <is>
          <t>RTM-034</t>
        </is>
      </c>
      <c r="C221" s="6" t="inlineStr">
        <is>
          <t>No</t>
        </is>
      </c>
      <c r="D221" s="6" t="inlineStr">
        <is>
          <t>T2 Secondary</t>
        </is>
      </c>
      <c r="E221" s="6" t="inlineStr">
        <is>
          <t>Process &amp; Functional</t>
        </is>
      </c>
      <c r="F221" s="82" t="inlineStr">
        <is>
          <t>SYSTEM</t>
        </is>
      </c>
      <c r="G221" s="83" t="inlineStr">
        <is>
          <t>Performance</t>
        </is>
      </c>
      <c r="H221" s="59" t="inlineStr">
        <is>
          <t>—</t>
        </is>
      </c>
      <c r="I221" s="81" t="inlineStr">
        <is>
          <t>Inferred: C2 — Process Design (low conf.)</t>
        </is>
      </c>
      <c r="J221" s="6" t="n">
        <v>32</v>
      </c>
      <c r="K221" s="6" t="inlineStr">
        <is>
          <t>4.2.3</t>
        </is>
      </c>
      <c r="L221" s="6" t="inlineStr">
        <is>
          <t>Operational Condition Ranges</t>
        </is>
      </c>
      <c r="M221" s="6" t="inlineStr">
        <is>
          <t>The Contractor shall design the QPS to accommodate the Operational Conditions specified in Table 6 and Table 7, for all applicable operational scenarios and configurations as anticipated by the Cryogenic User.</t>
        </is>
      </c>
      <c r="N221" s="6" t="inlineStr">
        <is>
          <t>The Contractor shall design the QPS to accommodate the Operational Conditions specified in Table 6 and Table 7, for all applicable operational scenarios and configurations as anticipated by the Cryogenic User.
• Table 6 specifies the Operational Heat Load Ranges
• Table 7 specifies the Operational Flow Conditions at QPS interfaces</t>
        </is>
      </c>
      <c r="O221" s="6" t="n">
        <v>0</v>
      </c>
      <c r="P221" s="6" t="n">
        <v>0</v>
      </c>
      <c r="Q221" s="6" t="n">
        <v>3</v>
      </c>
      <c r="R221" s="6" t="n">
        <v>3</v>
      </c>
      <c r="S221" s="6" t="n">
        <v>0</v>
      </c>
      <c r="T221" s="6" t="n">
        <v>0</v>
      </c>
      <c r="U221" s="6" t="n">
        <v>0</v>
      </c>
      <c r="V221" s="6" t="n">
        <v>36</v>
      </c>
      <c r="W221" s="6" t="n">
        <v>69.9723</v>
      </c>
      <c r="X221" s="6" t="n">
        <v>9.308199999999999</v>
      </c>
      <c r="Y221" s="6" t="inlineStr">
        <is>
          <t>Performance</t>
        </is>
      </c>
      <c r="Z221" s="6" t="inlineStr">
        <is>
          <t>Frozen-weight composite; strongest contribution: Performance.</t>
        </is>
      </c>
      <c r="AA221" s="6" t="inlineStr">
        <is>
          <t>None explicitly named in this RTM</t>
        </is>
      </c>
      <c r="AB221" s="6" t="inlineStr">
        <is>
          <t>SCK CEN/90508872 §4.2.3; no named external code</t>
        </is>
      </c>
      <c r="AC221" s="6" t="inlineStr">
        <is>
          <t>Calculation/model plus calibrated measurement or recorded trend; Functional design/configuration review and sequence/interface demonstration</t>
        </is>
      </c>
      <c r="AD221" s="6" t="inlineStr">
        <is>
          <t>No separate deliverable explicitly named</t>
        </is>
      </c>
      <c r="AE221" s="6" t="inlineStr">
        <is>
          <t>L1 Conceptual Design; L2 Detailed Design</t>
        </is>
      </c>
      <c r="AF221" s="6" t="inlineStr">
        <is>
          <t>Section/contract-derived reference; derived evidence route</t>
        </is>
      </c>
      <c r="AG221" s="58" t="inlineStr">
        <is>
          <t>Not linked to an OFFER item</t>
        </is>
      </c>
    </row>
    <row r="222" ht="125" customHeight="1">
      <c r="A222" s="6" t="n">
        <v>217</v>
      </c>
      <c r="B222" s="6" t="inlineStr">
        <is>
          <t>RTM-041</t>
        </is>
      </c>
      <c r="C222" s="6" t="inlineStr">
        <is>
          <t>No</t>
        </is>
      </c>
      <c r="D222" s="6" t="inlineStr">
        <is>
          <t>T2 Secondary</t>
        </is>
      </c>
      <c r="E222" s="6" t="inlineStr">
        <is>
          <t>Process &amp; Functional</t>
        </is>
      </c>
      <c r="F222" s="82" t="inlineStr">
        <is>
          <t>SYSTEM</t>
        </is>
      </c>
      <c r="G222" s="83" t="inlineStr">
        <is>
          <t>Performance</t>
        </is>
      </c>
      <c r="H222" s="59" t="inlineStr">
        <is>
          <t>—</t>
        </is>
      </c>
      <c r="I222" s="58" t="inlineStr">
        <is>
          <t>C2 — Process Design</t>
        </is>
      </c>
      <c r="J222" s="6" t="n">
        <v>33</v>
      </c>
      <c r="K222" s="6" t="inlineStr">
        <is>
          <t>4.2.4</t>
        </is>
      </c>
      <c r="L222" s="6" t="inlineStr">
        <is>
          <t>Cooling Capacity</t>
        </is>
      </c>
      <c r="M222" s="6" t="inlineStr">
        <is>
          <t>The Design Cooling Capacity in Table 8 shall apply at the Design Flow Conditions specified in Table 9 for the corresponding operational scenario and configuration.</t>
        </is>
      </c>
      <c r="N222" s="6" t="inlineStr">
        <is>
          <t>The Design Cooling Capacity in Table 8 shall apply at the Design Flow Conditions specified in Table 9 for the corresponding operational scenario and configuration.
• The values in Table 9 shall define the Design Flow Conditions at the QPS user interfaces for headers A, B, D, E, and W, in terms of temperature, pressure, and mass flow rate.
• For the Design Flow Conditions specified in Table 9, the applicable stability requirements shall be those specified in Table 7 for the corresponding operational scenario</t>
        </is>
      </c>
      <c r="O222" s="6" t="n">
        <v>0</v>
      </c>
      <c r="P222" s="6" t="n">
        <v>0</v>
      </c>
      <c r="Q222" s="6" t="n">
        <v>3</v>
      </c>
      <c r="R222" s="6" t="n">
        <v>3</v>
      </c>
      <c r="S222" s="6" t="n">
        <v>0</v>
      </c>
      <c r="T222" s="6" t="n">
        <v>0</v>
      </c>
      <c r="U222" s="6" t="n">
        <v>0</v>
      </c>
      <c r="V222" s="6" t="n">
        <v>36</v>
      </c>
      <c r="W222" s="6" t="n">
        <v>69.9723</v>
      </c>
      <c r="X222" s="6" t="n">
        <v>9.308199999999999</v>
      </c>
      <c r="Y222" s="6" t="inlineStr">
        <is>
          <t>Performance</t>
        </is>
      </c>
      <c r="Z222" s="6" t="inlineStr">
        <is>
          <t>Frozen-weight composite; strongest contribution: Performance.</t>
        </is>
      </c>
      <c r="AA222" s="6" t="inlineStr">
        <is>
          <t>None explicitly named in this RTM</t>
        </is>
      </c>
      <c r="AB222" s="6" t="inlineStr">
        <is>
          <t>SCK CEN/90508872 §4.2.4; no named external code</t>
        </is>
      </c>
      <c r="AC222" s="6" t="inlineStr">
        <is>
          <t>Calculation/model plus calibrated measurement or recorded trend; Functional design/configuration review and sequence/interface demonstration</t>
        </is>
      </c>
      <c r="AD222" s="6" t="inlineStr">
        <is>
          <t>No separate deliverable explicitly named</t>
        </is>
      </c>
      <c r="AE222" s="6" t="inlineStr">
        <is>
          <t>L1 Conceptual Design; L2 Detailed Design</t>
        </is>
      </c>
      <c r="AF222" s="6" t="inlineStr">
        <is>
          <t>Section/contract-derived reference; derived evidence route</t>
        </is>
      </c>
      <c r="AG222" s="58" t="inlineStr">
        <is>
          <t>OFFER-07 (Direct)</t>
        </is>
      </c>
    </row>
    <row r="223" ht="112" customHeight="1">
      <c r="A223" s="6" t="n">
        <v>218</v>
      </c>
      <c r="B223" s="6" t="inlineStr">
        <is>
          <t>RTM-113</t>
        </is>
      </c>
      <c r="C223" s="6" t="inlineStr">
        <is>
          <t>No</t>
        </is>
      </c>
      <c r="D223" s="6" t="inlineStr">
        <is>
          <t>T2 Secondary</t>
        </is>
      </c>
      <c r="E223" s="6" t="inlineStr">
        <is>
          <t>Subsystems</t>
        </is>
      </c>
      <c r="F223" s="82" t="inlineStr">
        <is>
          <t>SYSTEM</t>
        </is>
      </c>
      <c r="G223" s="83" t="inlineStr">
        <is>
          <t>Control</t>
        </is>
      </c>
      <c r="H223" s="59" t="inlineStr">
        <is>
          <t>—</t>
        </is>
      </c>
      <c r="I223" s="81" t="inlineStr">
        <is>
          <t>Inferred: C2 — Process Design (low conf.)</t>
        </is>
      </c>
      <c r="J223" s="6" t="n">
        <v>45</v>
      </c>
      <c r="K223" s="6" t="inlineStr">
        <is>
          <t>4.4.2.3</t>
        </is>
      </c>
      <c r="L223" s="6" t="inlineStr">
        <is>
          <t>Temperature sensors</t>
        </is>
      </c>
      <c r="M223" s="6" t="inlineStr">
        <is>
          <t>The temperature measurements shall comply with the requirements specified in Table 12.</t>
        </is>
      </c>
      <c r="N223" s="6" t="inlineStr">
        <is>
          <t>The temperature measurements shall comply with the requirements specified in Table 12.
• The specified accuracies shall apply to the installed measurement, including sensor element, mounting, thermalisation, wiring, and signal conditioning.
• The Contractor shall design the installation (mounting and lead thermalisation) such that parasitic heat conduction and thermal gradients do not dominate the measurement uncertainty.</t>
        </is>
      </c>
      <c r="O223" s="6" t="n">
        <v>0</v>
      </c>
      <c r="P223" s="6" t="n">
        <v>0</v>
      </c>
      <c r="Q223" s="6" t="n">
        <v>2</v>
      </c>
      <c r="R223" s="6" t="n">
        <v>2</v>
      </c>
      <c r="S223" s="6" t="n">
        <v>3</v>
      </c>
      <c r="T223" s="6" t="n">
        <v>0</v>
      </c>
      <c r="U223" s="6" t="n">
        <v>0</v>
      </c>
      <c r="V223" s="6" t="n">
        <v>36</v>
      </c>
      <c r="W223" s="6" t="n">
        <v>69.9723</v>
      </c>
      <c r="X223" s="6" t="n">
        <v>9.308199999999999</v>
      </c>
      <c r="Y223" s="6" t="inlineStr">
        <is>
          <t>Performance</t>
        </is>
      </c>
      <c r="Z223" s="6" t="inlineStr">
        <is>
          <t>Frozen-weight composite; strongest contribution: Performance.</t>
        </is>
      </c>
      <c r="AA223" s="6" t="inlineStr">
        <is>
          <t>None explicitly named in this RTM</t>
        </is>
      </c>
      <c r="AB223" s="6" t="inlineStr">
        <is>
          <t>Section-level: IEC 60751; IEC 60359; ISA RP12.6</t>
        </is>
      </c>
      <c r="AC223" s="6" t="inlineStr">
        <is>
          <t>Witnessed FAT/SAT/commissioning test against stated acceptance criteria; Calculation/model plus calibrated measurement or recorded trend</t>
        </is>
      </c>
      <c r="AD223" s="6" t="inlineStr">
        <is>
          <t>No separate deliverable explicitly named</t>
        </is>
      </c>
      <c r="AE223" s="6" t="inlineStr">
        <is>
          <t>L4 Installation; L6 Site Acceptance Testing; L1 Conceptual Design; L2 Detailed Design</t>
        </is>
      </c>
      <c r="AF223" s="6" t="inlineStr">
        <is>
          <t>Section/contract-derived reference; derived evidence route</t>
        </is>
      </c>
      <c r="AG223" s="58" t="inlineStr">
        <is>
          <t>Not linked to an OFFER item</t>
        </is>
      </c>
    </row>
    <row r="224" ht="86" customHeight="1">
      <c r="A224" s="6" t="n">
        <v>219</v>
      </c>
      <c r="B224" s="6" t="inlineStr">
        <is>
          <t>RTM-146</t>
        </is>
      </c>
      <c r="C224" s="6" t="inlineStr">
        <is>
          <t>No</t>
        </is>
      </c>
      <c r="D224" s="6" t="inlineStr">
        <is>
          <t>T2 Secondary</t>
        </is>
      </c>
      <c r="E224" s="6" t="inlineStr">
        <is>
          <t>Subsystems</t>
        </is>
      </c>
      <c r="F224" s="82" t="inlineStr">
        <is>
          <t>PROJECT</t>
        </is>
      </c>
      <c r="G224" s="83" t="inlineStr">
        <is>
          <t>Documentation &amp; Compliance</t>
        </is>
      </c>
      <c r="H224" s="59" t="inlineStr">
        <is>
          <t>—</t>
        </is>
      </c>
      <c r="I224" s="58" t="inlineStr">
        <is>
          <t>C3 — Mechanical &amp; Equipment</t>
        </is>
      </c>
      <c r="J224" s="6" t="n">
        <v>49</v>
      </c>
      <c r="K224" s="6" t="inlineStr">
        <is>
          <t>4.4.3.1</t>
        </is>
      </c>
      <c r="L224" s="6" t="inlineStr">
        <is>
          <t>General Requirements</t>
        </is>
      </c>
      <c r="M224" s="6" t="inlineStr">
        <is>
          <t>The maximum vibration levels of the compressors and other rotating machines shall comply with ISO 2372 or its successor ISO 20816.</t>
        </is>
      </c>
      <c r="N224" s="6" t="inlineStr">
        <is>
          <t>The maximum vibration levels of the compressors and other rotating machines shall comply with ISO 2372 or its successor ISO 20816.
• During the design phase, the Contractor shall submit a vibration-analysis report and calculation dossier.
• During SAT, the Contractor shall measure the vibration using calibrated instruments and test methods in accordance with ISO 2954.</t>
        </is>
      </c>
      <c r="O224" s="6" t="n">
        <v>0</v>
      </c>
      <c r="P224" s="6" t="n">
        <v>0</v>
      </c>
      <c r="Q224" s="6" t="n">
        <v>2</v>
      </c>
      <c r="R224" s="6" t="n">
        <v>2</v>
      </c>
      <c r="S224" s="6" t="n">
        <v>3</v>
      </c>
      <c r="T224" s="6" t="n">
        <v>0</v>
      </c>
      <c r="U224" s="6" t="n">
        <v>0</v>
      </c>
      <c r="V224" s="6" t="n">
        <v>36</v>
      </c>
      <c r="W224" s="6" t="n">
        <v>69.9723</v>
      </c>
      <c r="X224" s="6" t="n">
        <v>9.308199999999999</v>
      </c>
      <c r="Y224" s="6" t="inlineStr">
        <is>
          <t>Performance</t>
        </is>
      </c>
      <c r="Z224" s="6" t="inlineStr">
        <is>
          <t>Frozen-weight composite; strongest contribution: Performance.</t>
        </is>
      </c>
      <c r="AA224" s="6" t="inlineStr">
        <is>
          <t>ISO 2372; ISO 20816; ISO 2954</t>
        </is>
      </c>
      <c r="AB224" s="6" t="inlineStr">
        <is>
          <t>ISO 2372; ISO 20816; ISO 2954</t>
        </is>
      </c>
      <c r="AC224" s="6" t="inlineStr">
        <is>
          <t>Witnessed FAT/SAT/commissioning test against stated acceptance criteria; Calculation/model plus calibrated measurement or recorded trend</t>
        </is>
      </c>
      <c r="AD224" s="6" t="inlineStr">
        <is>
          <t>No separate deliverable explicitly named</t>
        </is>
      </c>
      <c r="AE224" s="6" t="inlineStr">
        <is>
          <t>L6 Site Acceptance Testing; L1 Conceptual Design; L2 Detailed Design</t>
        </is>
      </c>
      <c r="AF224" s="6" t="inlineStr">
        <is>
          <t>Explicit/table-grounded standard; explicit deliverable/test wording</t>
        </is>
      </c>
      <c r="AG224" s="58" t="inlineStr">
        <is>
          <t>OFFER-13 (Broad/contextual — main component specification); OFFER-15 (Direct)</t>
        </is>
      </c>
    </row>
    <row r="225" ht="73" customHeight="1">
      <c r="A225" s="6" t="n">
        <v>220</v>
      </c>
      <c r="B225" s="6" t="inlineStr">
        <is>
          <t>RTM-147</t>
        </is>
      </c>
      <c r="C225" s="6" t="inlineStr">
        <is>
          <t>No</t>
        </is>
      </c>
      <c r="D225" s="6" t="inlineStr">
        <is>
          <t>T2 Secondary</t>
        </is>
      </c>
      <c r="E225" s="6" t="inlineStr">
        <is>
          <t>Subsystems</t>
        </is>
      </c>
      <c r="F225" s="82" t="inlineStr">
        <is>
          <t>SYSTEM</t>
        </is>
      </c>
      <c r="G225" s="83" t="inlineStr">
        <is>
          <t>Constraint</t>
        </is>
      </c>
      <c r="H225" s="59" t="inlineStr">
        <is>
          <t>—</t>
        </is>
      </c>
      <c r="I225" s="58" t="inlineStr">
        <is>
          <t>C3 — Mechanical &amp; Equipment</t>
        </is>
      </c>
      <c r="J225" s="6" t="n">
        <v>49</v>
      </c>
      <c r="K225" s="6" t="inlineStr">
        <is>
          <t>4.4.3.1</t>
        </is>
      </c>
      <c r="L225" s="6" t="inlineStr">
        <is>
          <t>General Requirements</t>
        </is>
      </c>
      <c r="M225" s="6" t="inlineStr">
        <is>
          <t>The sound pressure level of each compressor shall not exceed 80 dB at 1 m while in any steady-state operating condition.</t>
        </is>
      </c>
      <c r="N225" s="6" t="inlineStr">
        <is>
          <t>The sound pressure level of each compressor shall not exceed 80 dB at 1 m while in any steady-state operating condition.
• The Contractor shall validate this by noise tests on each compressor and its electric-motor drive during FAT and SAT, in accordance with ISO 2151 or equivalent.</t>
        </is>
      </c>
      <c r="O225" s="6" t="n">
        <v>0</v>
      </c>
      <c r="P225" s="6" t="n">
        <v>0</v>
      </c>
      <c r="Q225" s="6" t="n">
        <v>2</v>
      </c>
      <c r="R225" s="6" t="n">
        <v>2</v>
      </c>
      <c r="S225" s="6" t="n">
        <v>3</v>
      </c>
      <c r="T225" s="6" t="n">
        <v>0</v>
      </c>
      <c r="U225" s="6" t="n">
        <v>0</v>
      </c>
      <c r="V225" s="6" t="n">
        <v>36</v>
      </c>
      <c r="W225" s="6" t="n">
        <v>69.9723</v>
      </c>
      <c r="X225" s="6" t="n">
        <v>9.308199999999999</v>
      </c>
      <c r="Y225" s="6" t="inlineStr">
        <is>
          <t>Performance</t>
        </is>
      </c>
      <c r="Z225" s="6" t="inlineStr">
        <is>
          <t>Frozen-weight composite; strongest contribution: Performance.</t>
        </is>
      </c>
      <c r="AA225" s="6" t="inlineStr">
        <is>
          <t>ISO 2151</t>
        </is>
      </c>
      <c r="AB225" s="6" t="inlineStr">
        <is>
          <t>ISO 2151</t>
        </is>
      </c>
      <c r="AC225" s="6" t="inlineStr">
        <is>
          <t>Witnessed FAT/SAT/commissioning test against stated acceptance criteria; Calculation/model plus calibrated measurement or recorded trend</t>
        </is>
      </c>
      <c r="AD225" s="6" t="inlineStr">
        <is>
          <t>No separate deliverable explicitly named</t>
        </is>
      </c>
      <c r="AE225" s="6" t="inlineStr">
        <is>
          <t>L6 Site Acceptance Testing; L1 Conceptual Design; L2 Detailed Design</t>
        </is>
      </c>
      <c r="AF225" s="6" t="inlineStr">
        <is>
          <t>Explicit/table-grounded standard; explicit deliverable/test wording</t>
        </is>
      </c>
      <c r="AG225" s="58" t="inlineStr">
        <is>
          <t>OFFER-13 (Broad/contextual — main component specification); OFFER-15 (Direct)</t>
        </is>
      </c>
    </row>
    <row r="226" ht="60" customHeight="1">
      <c r="A226" s="6" t="n">
        <v>221</v>
      </c>
      <c r="B226" s="6" t="inlineStr">
        <is>
          <t>RTM-166</t>
        </is>
      </c>
      <c r="C226" s="6" t="inlineStr">
        <is>
          <t>No</t>
        </is>
      </c>
      <c r="D226" s="6" t="inlineStr">
        <is>
          <t>T2 Secondary</t>
        </is>
      </c>
      <c r="E226" s="6" t="inlineStr">
        <is>
          <t>Subsystems</t>
        </is>
      </c>
      <c r="F226" s="82" t="inlineStr">
        <is>
          <t>SYSTEM</t>
        </is>
      </c>
      <c r="G226" s="83" t="inlineStr">
        <is>
          <t>Performance</t>
        </is>
      </c>
      <c r="H226" s="59" t="inlineStr">
        <is>
          <t>—</t>
        </is>
      </c>
      <c r="I226" s="81" t="inlineStr">
        <is>
          <t>Inferred: C7 — Quality, Testing &amp; Risk (medium conf.)</t>
        </is>
      </c>
      <c r="J226" s="6" t="n">
        <v>51</v>
      </c>
      <c r="K226" s="6" t="inlineStr">
        <is>
          <t>4.4.3.5.2</t>
        </is>
      </c>
      <c r="L226" s="6" t="inlineStr">
        <is>
          <t>Bulk Oil Separators and Oil Retention</t>
        </is>
      </c>
      <c r="M226" s="6" t="inlineStr">
        <is>
          <t>The Contractor shall provide suitable sampling points and agreed measurement procedures at the helium-gas outlet of each bulk oil separator to allow verification of oil carry-over during performance tests and long-term operation.</t>
        </is>
      </c>
      <c r="N226" s="6" t="inlineStr">
        <is>
          <t>The Contractor shall provide suitable sampling points and agreed measurement procedures at the helium-gas outlet of each bulk oil separator to allow verification of oil carry-over during performance tests and long-term operation.</t>
        </is>
      </c>
      <c r="O226" s="6" t="n">
        <v>0</v>
      </c>
      <c r="P226" s="6" t="n">
        <v>0</v>
      </c>
      <c r="Q226" s="6" t="n">
        <v>2</v>
      </c>
      <c r="R226" s="6" t="n">
        <v>2</v>
      </c>
      <c r="S226" s="6" t="n">
        <v>3</v>
      </c>
      <c r="T226" s="6" t="n">
        <v>0</v>
      </c>
      <c r="U226" s="6" t="n">
        <v>0</v>
      </c>
      <c r="V226" s="6" t="n">
        <v>36</v>
      </c>
      <c r="W226" s="6" t="n">
        <v>69.9723</v>
      </c>
      <c r="X226" s="6" t="n">
        <v>9.308199999999999</v>
      </c>
      <c r="Y226" s="6" t="inlineStr">
        <is>
          <t>Performance</t>
        </is>
      </c>
      <c r="Z226" s="6" t="inlineStr">
        <is>
          <t>Frozen-weight composite; strongest contribution: Performance.</t>
        </is>
      </c>
      <c r="AA226" s="6" t="inlineStr">
        <is>
          <t>None explicitly named in this RTM</t>
        </is>
      </c>
      <c r="AB226" s="6" t="inlineStr">
        <is>
          <t>SCK CEN/90508872 §4.4.3.5.2; no named external code</t>
        </is>
      </c>
      <c r="AC226" s="6" t="inlineStr">
        <is>
          <t>Submit and review the named deliverable with RTM traceability and approval status; Witnessed FAT/SAT/commissioning test against stated acceptance criteria; Calculation/model plus calibrated measurement or recorded trend</t>
        </is>
      </c>
      <c r="AD226" s="6" t="inlineStr">
        <is>
          <t>Procedure / work instruction</t>
        </is>
      </c>
      <c r="AE226" s="6" t="inlineStr">
        <is>
          <t>L1 Conceptual Design; L2 Detailed Design</t>
        </is>
      </c>
      <c r="AF226" s="6" t="inlineStr">
        <is>
          <t>Section/contract-derived reference; explicit deliverable/test wording</t>
        </is>
      </c>
      <c r="AG226" s="58" t="inlineStr">
        <is>
          <t>Not linked to an OFFER item</t>
        </is>
      </c>
    </row>
    <row r="227" ht="60" customHeight="1">
      <c r="A227" s="6" t="n">
        <v>222</v>
      </c>
      <c r="B227" s="6" t="inlineStr">
        <is>
          <t>RTM-177</t>
        </is>
      </c>
      <c r="C227" s="6" t="inlineStr">
        <is>
          <t>No</t>
        </is>
      </c>
      <c r="D227" s="6" t="inlineStr">
        <is>
          <t>T2 Secondary</t>
        </is>
      </c>
      <c r="E227" s="6" t="inlineStr">
        <is>
          <t>Subsystems</t>
        </is>
      </c>
      <c r="F227" s="82" t="inlineStr">
        <is>
          <t>SYSTEM</t>
        </is>
      </c>
      <c r="G227" s="83" t="inlineStr">
        <is>
          <t>Performance</t>
        </is>
      </c>
      <c r="H227" s="59" t="inlineStr">
        <is>
          <t>—</t>
        </is>
      </c>
      <c r="I227" s="81" t="inlineStr">
        <is>
          <t>Inferred: C3 — Mechanical &amp; Equipment (medium conf.)</t>
        </is>
      </c>
      <c r="J227" s="6" t="n">
        <v>52</v>
      </c>
      <c r="K227" s="6" t="inlineStr">
        <is>
          <t>4.4.3.6.1</t>
        </is>
      </c>
      <c r="L227" s="6" t="inlineStr">
        <is>
          <t>Coalescer system</t>
        </is>
      </c>
      <c r="M227" s="6" t="inlineStr">
        <is>
          <t>The coalescer assembly, including its sealing arrangement, shall be designed to withstand the compressor-induced vibration without unacceptable mechanical fatigue, loss of sealing integrity, or loss of fastener tightness.</t>
        </is>
      </c>
      <c r="N227" s="6" t="inlineStr">
        <is>
          <t>The coalescer assembly, including its sealing arrangement, shall be designed to withstand the compressor-induced vibration without unacceptable mechanical fatigue, loss of sealing integrity, or loss of fastener tightness.</t>
        </is>
      </c>
      <c r="O227" s="6" t="n">
        <v>0</v>
      </c>
      <c r="P227" s="6" t="n">
        <v>0</v>
      </c>
      <c r="Q227" s="6" t="n">
        <v>2</v>
      </c>
      <c r="R227" s="6" t="n">
        <v>2</v>
      </c>
      <c r="S227" s="6" t="n">
        <v>3</v>
      </c>
      <c r="T227" s="6" t="n">
        <v>0</v>
      </c>
      <c r="U227" s="6" t="n">
        <v>0</v>
      </c>
      <c r="V227" s="6" t="n">
        <v>36</v>
      </c>
      <c r="W227" s="6" t="n">
        <v>69.9723</v>
      </c>
      <c r="X227" s="6" t="n">
        <v>9.308199999999999</v>
      </c>
      <c r="Y227" s="6" t="inlineStr">
        <is>
          <t>Performance</t>
        </is>
      </c>
      <c r="Z227" s="6" t="inlineStr">
        <is>
          <t>Frozen-weight composite; strongest contribution: Performance.</t>
        </is>
      </c>
      <c r="AA227" s="6" t="inlineStr">
        <is>
          <t>None explicitly named in this RTM</t>
        </is>
      </c>
      <c r="AB227" s="6" t="inlineStr">
        <is>
          <t>SCK CEN/90508872 §4.4.3.6.1; no named external code</t>
        </is>
      </c>
      <c r="AC227" s="6" t="inlineStr">
        <is>
          <t>Witnessed FAT/SAT/commissioning test against stated acceptance criteria; Calculation/model plus calibrated measurement or recorded trend</t>
        </is>
      </c>
      <c r="AD227" s="6" t="inlineStr">
        <is>
          <t>No separate deliverable explicitly named</t>
        </is>
      </c>
      <c r="AE227" s="6" t="inlineStr">
        <is>
          <t>L1 Conceptual Design; L2 Detailed Design</t>
        </is>
      </c>
      <c r="AF227" s="6" t="inlineStr">
        <is>
          <t>Section/contract-derived reference; derived evidence route</t>
        </is>
      </c>
      <c r="AG227" s="58" t="inlineStr">
        <is>
          <t>Not linked to an OFFER item</t>
        </is>
      </c>
    </row>
    <row r="228" ht="60" customHeight="1">
      <c r="A228" s="6" t="n">
        <v>223</v>
      </c>
      <c r="B228" s="6" t="inlineStr">
        <is>
          <t>RTM-184</t>
        </is>
      </c>
      <c r="C228" s="6" t="inlineStr">
        <is>
          <t>No</t>
        </is>
      </c>
      <c r="D228" s="6" t="inlineStr">
        <is>
          <t>T2 Secondary</t>
        </is>
      </c>
      <c r="E228" s="6" t="inlineStr">
        <is>
          <t>Subsystems</t>
        </is>
      </c>
      <c r="F228" s="82" t="inlineStr">
        <is>
          <t>SYSTEM</t>
        </is>
      </c>
      <c r="G228" s="83" t="inlineStr">
        <is>
          <t>Performance</t>
        </is>
      </c>
      <c r="H228" s="59" t="inlineStr">
        <is>
          <t>—</t>
        </is>
      </c>
      <c r="I228" s="81" t="inlineStr">
        <is>
          <t>Inferred: C2 — Process Design (low conf.)</t>
        </is>
      </c>
      <c r="J228" s="6" t="n">
        <v>53</v>
      </c>
      <c r="K228" s="6" t="inlineStr">
        <is>
          <t>4.4.3.6.2</t>
        </is>
      </c>
      <c r="L228" s="6" t="inlineStr">
        <is>
          <t>Charcoal adsorber system</t>
        </is>
      </c>
      <c r="M228" s="6" t="inlineStr">
        <is>
          <t>The Contractor shall demonstrate that movement of the adsorbent and carry-over of dust particles are prevented.</t>
        </is>
      </c>
      <c r="N228" s="6" t="inlineStr">
        <is>
          <t>The Contractor shall demonstrate that movement of the adsorbent and carry-over of dust particles are prevented.
• This demonstration shall be supported by both design justification and relevant experience.</t>
        </is>
      </c>
      <c r="O228" s="6" t="n">
        <v>0</v>
      </c>
      <c r="P228" s="6" t="n">
        <v>0</v>
      </c>
      <c r="Q228" s="6" t="n">
        <v>2</v>
      </c>
      <c r="R228" s="6" t="n">
        <v>2</v>
      </c>
      <c r="S228" s="6" t="n">
        <v>3</v>
      </c>
      <c r="T228" s="6" t="n">
        <v>0</v>
      </c>
      <c r="U228" s="6" t="n">
        <v>0</v>
      </c>
      <c r="V228" s="6" t="n">
        <v>36</v>
      </c>
      <c r="W228" s="6" t="n">
        <v>69.9723</v>
      </c>
      <c r="X228" s="6" t="n">
        <v>9.308199999999999</v>
      </c>
      <c r="Y228" s="6" t="inlineStr">
        <is>
          <t>Performance</t>
        </is>
      </c>
      <c r="Z228" s="6" t="inlineStr">
        <is>
          <t>Frozen-weight composite; strongest contribution: Performance.</t>
        </is>
      </c>
      <c r="AA228" s="6" t="inlineStr">
        <is>
          <t>None explicitly named in this RTM</t>
        </is>
      </c>
      <c r="AB228" s="6" t="inlineStr">
        <is>
          <t>SCK CEN/90508872 §4.4.3.6.2; no named external code</t>
        </is>
      </c>
      <c r="AC228" s="6" t="inlineStr">
        <is>
          <t>Witnessed FAT/SAT/commissioning test against stated acceptance criteria; Calculation/model plus calibrated measurement or recorded trend; Document review, inspection, certification, audit or traceable QC record</t>
        </is>
      </c>
      <c r="AD228" s="6" t="inlineStr">
        <is>
          <t>No separate deliverable explicitly named</t>
        </is>
      </c>
      <c r="AE228" s="6" t="inlineStr">
        <is>
          <t>L1 Conceptual Design; L2 Detailed Design</t>
        </is>
      </c>
      <c r="AF228" s="6" t="inlineStr">
        <is>
          <t>Section/contract-derived reference; explicit deliverable/test wording</t>
        </is>
      </c>
      <c r="AG228" s="58" t="inlineStr">
        <is>
          <t>Not linked to an OFFER item</t>
        </is>
      </c>
    </row>
    <row r="229" ht="73" customHeight="1">
      <c r="A229" s="6" t="n">
        <v>224</v>
      </c>
      <c r="B229" s="6" t="inlineStr">
        <is>
          <t>RTM-213</t>
        </is>
      </c>
      <c r="C229" s="6" t="inlineStr">
        <is>
          <t>No</t>
        </is>
      </c>
      <c r="D229" s="6" t="inlineStr">
        <is>
          <t>T2 Secondary</t>
        </is>
      </c>
      <c r="E229" s="6" t="inlineStr">
        <is>
          <t>Subsystems</t>
        </is>
      </c>
      <c r="F229" s="82" t="inlineStr">
        <is>
          <t>SYSTEM</t>
        </is>
      </c>
      <c r="G229" s="83" t="inlineStr">
        <is>
          <t>Performance</t>
        </is>
      </c>
      <c r="H229" s="59" t="inlineStr">
        <is>
          <t>—</t>
        </is>
      </c>
      <c r="I229" s="81" t="inlineStr">
        <is>
          <t>Inferred: C7 — Quality, Testing &amp; Risk (medium conf.)</t>
        </is>
      </c>
      <c r="J229" s="6" t="n">
        <v>57</v>
      </c>
      <c r="K229" s="6" t="inlineStr">
        <is>
          <t>4.4.4.2.3</t>
        </is>
      </c>
      <c r="L229" s="6" t="inlineStr">
        <is>
          <t>Turbines</t>
        </is>
      </c>
      <c r="M229" s="6" t="inlineStr">
        <is>
          <t>The brake system shall reject the extracted power via a water-cooled heat exchanger.</t>
        </is>
      </c>
      <c r="N229" s="6" t="inlineStr">
        <is>
          <t>The brake system shall reject the extracted power via a water-cooled heat exchanger.
• Acceptable materials for the water channels are stainless steel and copper compatible with the water quality specified in §4.7.
• The water channels shall provide easy access for inspection and cleaning.</t>
        </is>
      </c>
      <c r="O229" s="6" t="n">
        <v>0</v>
      </c>
      <c r="P229" s="6" t="n">
        <v>0</v>
      </c>
      <c r="Q229" s="6" t="n">
        <v>2</v>
      </c>
      <c r="R229" s="6" t="n">
        <v>2</v>
      </c>
      <c r="S229" s="6" t="n">
        <v>3</v>
      </c>
      <c r="T229" s="6" t="n">
        <v>0</v>
      </c>
      <c r="U229" s="6" t="n">
        <v>0</v>
      </c>
      <c r="V229" s="6" t="n">
        <v>36</v>
      </c>
      <c r="W229" s="6" t="n">
        <v>69.9723</v>
      </c>
      <c r="X229" s="6" t="n">
        <v>9.308199999999999</v>
      </c>
      <c r="Y229" s="6" t="inlineStr">
        <is>
          <t>Performance</t>
        </is>
      </c>
      <c r="Z229" s="6" t="inlineStr">
        <is>
          <t>Frozen-weight composite; strongest contribution: Performance.</t>
        </is>
      </c>
      <c r="AA229" s="6" t="inlineStr">
        <is>
          <t>None explicitly named in this RTM</t>
        </is>
      </c>
      <c r="AB229" s="6" t="inlineStr">
        <is>
          <t>SCK CEN/90508872 §4.4.4.2.3; no named external code</t>
        </is>
      </c>
      <c r="AC229" s="6" t="inlineStr">
        <is>
          <t>Calculation/model plus calibrated measurement or recorded trend; Document review, inspection, certification, audit or traceable QC record</t>
        </is>
      </c>
      <c r="AD229" s="6" t="inlineStr">
        <is>
          <t>No separate deliverable explicitly named</t>
        </is>
      </c>
      <c r="AE229" s="6" t="inlineStr">
        <is>
          <t>L1 Conceptual Design; L2 Detailed Design</t>
        </is>
      </c>
      <c r="AF229" s="6" t="inlineStr">
        <is>
          <t>Section/contract-derived reference; derived evidence route</t>
        </is>
      </c>
      <c r="AG229" s="58" t="inlineStr">
        <is>
          <t>Not linked to an OFFER item</t>
        </is>
      </c>
    </row>
    <row r="230" ht="60" customHeight="1">
      <c r="A230" s="6" t="n">
        <v>225</v>
      </c>
      <c r="B230" s="6" t="inlineStr">
        <is>
          <t>RTM-214</t>
        </is>
      </c>
      <c r="C230" s="6" t="inlineStr">
        <is>
          <t>No</t>
        </is>
      </c>
      <c r="D230" s="6" t="inlineStr">
        <is>
          <t>T2 Secondary</t>
        </is>
      </c>
      <c r="E230" s="6" t="inlineStr">
        <is>
          <t>Subsystems</t>
        </is>
      </c>
      <c r="F230" s="82" t="inlineStr">
        <is>
          <t>SYSTEM</t>
        </is>
      </c>
      <c r="G230" s="83" t="inlineStr">
        <is>
          <t>Performance</t>
        </is>
      </c>
      <c r="H230" s="59" t="inlineStr">
        <is>
          <t>—</t>
        </is>
      </c>
      <c r="I230" s="81" t="inlineStr">
        <is>
          <t>Inferred: C3 — Mechanical &amp; Equipment (medium conf.)</t>
        </is>
      </c>
      <c r="J230" s="6" t="n">
        <v>57</v>
      </c>
      <c r="K230" s="6" t="inlineStr">
        <is>
          <t>4.4.4.2.3</t>
        </is>
      </c>
      <c r="L230" s="6" t="inlineStr">
        <is>
          <t>Turbines</t>
        </is>
      </c>
      <c r="M230" s="6" t="inlineStr">
        <is>
          <t>Each turbine shall be equipped with a dedicated inlet gas filtration system to protect the wheel, nozzle, and bearing system from particulate contamination.</t>
        </is>
      </c>
      <c r="N230" s="6" t="inlineStr">
        <is>
          <t>Each turbine shall be equipped with a dedicated inlet gas filtration system to protect the wheel, nozzle, and bearing system from particulate contamination.
• The filtration system shall be accessible for inspection and replacement.</t>
        </is>
      </c>
      <c r="O230" s="6" t="n">
        <v>0</v>
      </c>
      <c r="P230" s="6" t="n">
        <v>0</v>
      </c>
      <c r="Q230" s="6" t="n">
        <v>2</v>
      </c>
      <c r="R230" s="6" t="n">
        <v>2</v>
      </c>
      <c r="S230" s="6" t="n">
        <v>3</v>
      </c>
      <c r="T230" s="6" t="n">
        <v>0</v>
      </c>
      <c r="U230" s="6" t="n">
        <v>0</v>
      </c>
      <c r="V230" s="6" t="n">
        <v>36</v>
      </c>
      <c r="W230" s="6" t="n">
        <v>69.9723</v>
      </c>
      <c r="X230" s="6" t="n">
        <v>9.308199999999999</v>
      </c>
      <c r="Y230" s="6" t="inlineStr">
        <is>
          <t>Performance</t>
        </is>
      </c>
      <c r="Z230" s="6" t="inlineStr">
        <is>
          <t>Frozen-weight composite; strongest contribution: Performance.</t>
        </is>
      </c>
      <c r="AA230" s="6" t="inlineStr">
        <is>
          <t>None explicitly named in this RTM</t>
        </is>
      </c>
      <c r="AB230" s="6" t="inlineStr">
        <is>
          <t>SCK CEN/90508872 §4.4.4.2.3; no named external code</t>
        </is>
      </c>
      <c r="AC230" s="6" t="inlineStr">
        <is>
          <t>Calculation/model plus calibrated measurement or recorded trend; Document review, inspection, certification, audit or traceable QC record</t>
        </is>
      </c>
      <c r="AD230" s="6" t="inlineStr">
        <is>
          <t>No separate deliverable explicitly named</t>
        </is>
      </c>
      <c r="AE230" s="6" t="inlineStr">
        <is>
          <t>L1 Conceptual Design; L2 Detailed Design</t>
        </is>
      </c>
      <c r="AF230" s="6" t="inlineStr">
        <is>
          <t>Section/contract-derived reference; derived evidence route</t>
        </is>
      </c>
      <c r="AG230" s="58" t="inlineStr">
        <is>
          <t>Not linked to an OFFER item</t>
        </is>
      </c>
    </row>
    <row r="231" ht="47" customHeight="1">
      <c r="A231" s="6" t="n">
        <v>226</v>
      </c>
      <c r="B231" s="6" t="inlineStr">
        <is>
          <t>RTM-230</t>
        </is>
      </c>
      <c r="C231" s="6" t="inlineStr">
        <is>
          <t>No</t>
        </is>
      </c>
      <c r="D231" s="6" t="inlineStr">
        <is>
          <t>T2 Secondary</t>
        </is>
      </c>
      <c r="E231" s="6" t="inlineStr">
        <is>
          <t>Subsystems</t>
        </is>
      </c>
      <c r="F231" s="82" t="inlineStr">
        <is>
          <t>SYSTEM</t>
        </is>
      </c>
      <c r="G231" s="83" t="inlineStr">
        <is>
          <t>Performance</t>
        </is>
      </c>
      <c r="H231" s="59" t="inlineStr">
        <is>
          <t>—</t>
        </is>
      </c>
      <c r="I231" s="81" t="inlineStr">
        <is>
          <t>Inferred: C3 — Mechanical &amp; Equipment (medium conf.)</t>
        </is>
      </c>
      <c r="J231" s="6" t="n">
        <v>58</v>
      </c>
      <c r="K231" s="6" t="inlineStr">
        <is>
          <t>4.4.4.2.7</t>
        </is>
      </c>
      <c r="L231" s="6" t="inlineStr">
        <is>
          <t>Filters</t>
        </is>
      </c>
      <c r="M231" s="6" t="inlineStr">
        <is>
          <t>Filters installed in the QRB cold circuits shall be accessible from outside of the vacuum vessel for inspection, cleaning, or replacement.</t>
        </is>
      </c>
      <c r="N231" s="6" t="inlineStr">
        <is>
          <t>Filters installed in the QRB cold circuits shall be accessible from outside of the vacuum vessel for inspection, cleaning, or replacement.</t>
        </is>
      </c>
      <c r="O231" s="6" t="n">
        <v>0</v>
      </c>
      <c r="P231" s="6" t="n">
        <v>0</v>
      </c>
      <c r="Q231" s="6" t="n">
        <v>2</v>
      </c>
      <c r="R231" s="6" t="n">
        <v>2</v>
      </c>
      <c r="S231" s="6" t="n">
        <v>3</v>
      </c>
      <c r="T231" s="6" t="n">
        <v>0</v>
      </c>
      <c r="U231" s="6" t="n">
        <v>0</v>
      </c>
      <c r="V231" s="6" t="n">
        <v>36</v>
      </c>
      <c r="W231" s="6" t="n">
        <v>69.9723</v>
      </c>
      <c r="X231" s="6" t="n">
        <v>9.308199999999999</v>
      </c>
      <c r="Y231" s="6" t="inlineStr">
        <is>
          <t>Performance</t>
        </is>
      </c>
      <c r="Z231" s="6" t="inlineStr">
        <is>
          <t>Frozen-weight composite; strongest contribution: Performance.</t>
        </is>
      </c>
      <c r="AA231" s="6" t="inlineStr">
        <is>
          <t>None explicitly named in this RTM</t>
        </is>
      </c>
      <c r="AB231" s="6" t="inlineStr">
        <is>
          <t>SCK CEN/90508872 §4.4.4.2.7; no named external code</t>
        </is>
      </c>
      <c r="AC231" s="6" t="inlineStr">
        <is>
          <t>Calculation/model plus calibrated measurement or recorded trend; Document review, inspection, certification, audit or traceable QC record</t>
        </is>
      </c>
      <c r="AD231" s="6" t="inlineStr">
        <is>
          <t>No separate deliverable explicitly named</t>
        </is>
      </c>
      <c r="AE231" s="6" t="inlineStr">
        <is>
          <t>L1 Conceptual Design; L2 Detailed Design</t>
        </is>
      </c>
      <c r="AF231" s="6" t="inlineStr">
        <is>
          <t>Section/contract-derived reference; derived evidence route</t>
        </is>
      </c>
      <c r="AG231" s="58" t="inlineStr">
        <is>
          <t>Not linked to an OFFER item</t>
        </is>
      </c>
    </row>
    <row r="232" ht="99" customHeight="1">
      <c r="A232" s="6" t="n">
        <v>227</v>
      </c>
      <c r="B232" s="6" t="inlineStr">
        <is>
          <t>RTM-243</t>
        </is>
      </c>
      <c r="C232" s="6" t="inlineStr">
        <is>
          <t>No</t>
        </is>
      </c>
      <c r="D232" s="6" t="inlineStr">
        <is>
          <t>T2 Secondary</t>
        </is>
      </c>
      <c r="E232" s="6" t="inlineStr">
        <is>
          <t>Subsystems</t>
        </is>
      </c>
      <c r="F232" s="82" t="inlineStr">
        <is>
          <t>SYSTEM</t>
        </is>
      </c>
      <c r="G232" s="83" t="inlineStr">
        <is>
          <t>Performance</t>
        </is>
      </c>
      <c r="H232" s="59" t="inlineStr">
        <is>
          <t>—</t>
        </is>
      </c>
      <c r="I232" s="58" t="inlineStr">
        <is>
          <t>C2 (+) — Process Design + others</t>
        </is>
      </c>
      <c r="J232" s="6" t="n">
        <v>61</v>
      </c>
      <c r="K232" s="6" t="inlineStr">
        <is>
          <t>4.4.5.2</t>
        </is>
      </c>
      <c r="L232" s="6" t="inlineStr">
        <is>
          <t>WSH Requirements</t>
        </is>
      </c>
      <c r="M232" s="6" t="inlineStr">
        <is>
          <t>Each Helium storage vessel shall:</t>
        </is>
      </c>
      <c r="N232" s="6" t="inlineStr">
        <is>
          <t>Each Helium storage vessel shall:
• Be located within the designated outdoor Storage Area
• Be oriented vertically
• Include at least one inspection manhole for internal access during periodic inspection
• Be provided with any ports required for purging, conditioning, and gas analysis</t>
        </is>
      </c>
      <c r="O232" s="6" t="n">
        <v>0</v>
      </c>
      <c r="P232" s="6" t="n">
        <v>0</v>
      </c>
      <c r="Q232" s="6" t="n">
        <v>2</v>
      </c>
      <c r="R232" s="6" t="n">
        <v>2</v>
      </c>
      <c r="S232" s="6" t="n">
        <v>3</v>
      </c>
      <c r="T232" s="6" t="n">
        <v>0</v>
      </c>
      <c r="U232" s="6" t="n">
        <v>0</v>
      </c>
      <c r="V232" s="6" t="n">
        <v>36</v>
      </c>
      <c r="W232" s="6" t="n">
        <v>69.9723</v>
      </c>
      <c r="X232" s="6" t="n">
        <v>9.308199999999999</v>
      </c>
      <c r="Y232" s="6" t="inlineStr">
        <is>
          <t>Performance</t>
        </is>
      </c>
      <c r="Z232" s="6" t="inlineStr">
        <is>
          <t>Frozen-weight composite; strongest contribution: Performance.</t>
        </is>
      </c>
      <c r="AA232" s="6" t="inlineStr">
        <is>
          <t>None explicitly named in this RTM</t>
        </is>
      </c>
      <c r="AB232" s="6" t="inlineStr">
        <is>
          <t>SCK CEN/90508872 §4.4.5.2; no named external code</t>
        </is>
      </c>
      <c r="AC232" s="6" t="inlineStr">
        <is>
          <t>Calculation/model plus calibrated measurement or recorded trend; Document review, inspection, certification, audit or traceable QC record</t>
        </is>
      </c>
      <c r="AD232" s="6" t="inlineStr">
        <is>
          <t>No separate deliverable explicitly named</t>
        </is>
      </c>
      <c r="AE232" s="6" t="inlineStr">
        <is>
          <t>L1 Conceptual Design; L2 Detailed Design</t>
        </is>
      </c>
      <c r="AF232" s="6" t="inlineStr">
        <is>
          <t>Section/contract-derived reference; derived evidence route</t>
        </is>
      </c>
      <c r="AG232" s="58" t="inlineStr">
        <is>
          <t>OFFER-13 (Broad/contextual — main component specification); OFFER-19 (Direct)</t>
        </is>
      </c>
    </row>
    <row r="233" ht="47" customHeight="1">
      <c r="A233" s="6" t="n">
        <v>228</v>
      </c>
      <c r="B233" s="6" t="inlineStr">
        <is>
          <t>RTM-411</t>
        </is>
      </c>
      <c r="C233" s="6" t="inlineStr">
        <is>
          <t>No</t>
        </is>
      </c>
      <c r="D233" s="6" t="inlineStr">
        <is>
          <t>T2 Secondary</t>
        </is>
      </c>
      <c r="E233" s="6" t="inlineStr">
        <is>
          <t>Buildings &amp; Utilities</t>
        </is>
      </c>
      <c r="F233" s="82" t="inlineStr">
        <is>
          <t>SYSTEM</t>
        </is>
      </c>
      <c r="G233" s="83" t="inlineStr">
        <is>
          <t>Performance</t>
        </is>
      </c>
      <c r="H233" s="59" t="inlineStr">
        <is>
          <t>—</t>
        </is>
      </c>
      <c r="I233" s="81" t="inlineStr">
        <is>
          <t>Inferred: C5 — Infrastructure &amp; Integration (high conf.)</t>
        </is>
      </c>
      <c r="J233" s="6" t="n">
        <v>83</v>
      </c>
      <c r="K233" s="6" t="inlineStr">
        <is>
          <t>4.7.4.2</t>
        </is>
      </c>
      <c r="L233" s="6" t="inlineStr">
        <is>
          <t>Process cooling water general</t>
        </is>
      </c>
      <c r="M233" s="6" t="inlineStr">
        <is>
          <t>The Contractor shall quantify the expected heat load and cooling water flow rates for all operational scenarios provide by the end of the Conceptual Design phase.</t>
        </is>
      </c>
      <c r="N233" s="6" t="inlineStr">
        <is>
          <t>The Contractor shall quantify the expected heat load and cooling water flow rates for all operational scenarios provide by the end of the Conceptual Design phase.</t>
        </is>
      </c>
      <c r="O233" s="6" t="n">
        <v>0</v>
      </c>
      <c r="P233" s="6" t="n">
        <v>0</v>
      </c>
      <c r="Q233" s="6" t="n">
        <v>3</v>
      </c>
      <c r="R233" s="6" t="n">
        <v>3</v>
      </c>
      <c r="S233" s="6" t="n">
        <v>0</v>
      </c>
      <c r="T233" s="6" t="n">
        <v>0</v>
      </c>
      <c r="U233" s="6" t="n">
        <v>0</v>
      </c>
      <c r="V233" s="6" t="n">
        <v>36</v>
      </c>
      <c r="W233" s="6" t="n">
        <v>69.9723</v>
      </c>
      <c r="X233" s="6" t="n">
        <v>9.308199999999999</v>
      </c>
      <c r="Y233" s="6" t="inlineStr">
        <is>
          <t>Performance</t>
        </is>
      </c>
      <c r="Z233" s="6" t="inlineStr">
        <is>
          <t>Frozen-weight composite; strongest contribution: Performance.</t>
        </is>
      </c>
      <c r="AA233" s="6" t="inlineStr">
        <is>
          <t>None explicitly named in this RTM</t>
        </is>
      </c>
      <c r="AB233" s="6" t="inlineStr">
        <is>
          <t>SCK CEN/90508872 §4.7.4.2; no named external code</t>
        </is>
      </c>
      <c r="AC233" s="6" t="inlineStr">
        <is>
          <t>Calculation/model plus calibrated measurement or recorded trend; Functional design/configuration review and sequence/interface demonstration</t>
        </is>
      </c>
      <c r="AD233" s="6" t="inlineStr">
        <is>
          <t>No separate deliverable explicitly named</t>
        </is>
      </c>
      <c r="AE233" s="6" t="inlineStr">
        <is>
          <t>L1 Conceptual Design; L2 Detailed Design</t>
        </is>
      </c>
      <c r="AF233" s="6" t="inlineStr">
        <is>
          <t>Section/contract-derived reference; derived evidence route</t>
        </is>
      </c>
      <c r="AG233" s="58" t="inlineStr">
        <is>
          <t>Not linked to an OFFER item</t>
        </is>
      </c>
    </row>
    <row r="234" ht="99" customHeight="1">
      <c r="A234" s="6" t="n">
        <v>229</v>
      </c>
      <c r="B234" s="6" t="inlineStr">
        <is>
          <t>RTM-464</t>
        </is>
      </c>
      <c r="C234" s="6" t="inlineStr">
        <is>
          <t>No</t>
        </is>
      </c>
      <c r="D234" s="6" t="inlineStr">
        <is>
          <t>T2 Secondary</t>
        </is>
      </c>
      <c r="E234" s="6" t="inlineStr">
        <is>
          <t>Design &amp; Fabrication</t>
        </is>
      </c>
      <c r="F234" s="82" t="inlineStr">
        <is>
          <t>SYSTEM</t>
        </is>
      </c>
      <c r="G234" s="83" t="inlineStr">
        <is>
          <t>Performance</t>
        </is>
      </c>
      <c r="H234" s="59" t="inlineStr">
        <is>
          <t>—</t>
        </is>
      </c>
      <c r="I234" s="81" t="inlineStr">
        <is>
          <t>Inferred: C5 — Infrastructure &amp; Integration (medium conf.)</t>
        </is>
      </c>
      <c r="J234" s="6" t="n">
        <v>90</v>
      </c>
      <c r="K234" s="6" t="inlineStr">
        <is>
          <t>4.8.4.3</t>
        </is>
      </c>
      <c r="L234" s="6" t="inlineStr">
        <is>
          <t>Weld testing &amp; inspections</t>
        </is>
      </c>
      <c r="M234" s="6" t="inlineStr">
        <is>
          <t>The Contractor shall:</t>
        </is>
      </c>
      <c r="N234" s="6" t="inlineStr">
        <is>
          <t>The Contractor shall:
• Indicate in the Manufacturing File which circular welds will be radiographically inspected;
• Treat any weld that fails the examination as a Non-Conformity. Weld rework for the purpose of passing the examination shall not be permitted;
• Provide the results of welding inspections to SCK CEN no later than one week after their realization.</t>
        </is>
      </c>
      <c r="O234" s="6" t="n">
        <v>2</v>
      </c>
      <c r="P234" s="6" t="n">
        <v>0</v>
      </c>
      <c r="Q234" s="6" t="n">
        <v>0</v>
      </c>
      <c r="R234" s="6" t="n">
        <v>2</v>
      </c>
      <c r="S234" s="6" t="n">
        <v>3</v>
      </c>
      <c r="T234" s="6" t="n">
        <v>0</v>
      </c>
      <c r="U234" s="6" t="n">
        <v>0</v>
      </c>
      <c r="V234" s="6" t="n">
        <v>36</v>
      </c>
      <c r="W234" s="6" t="n">
        <v>69.9723</v>
      </c>
      <c r="X234" s="6" t="n">
        <v>9.308199999999999</v>
      </c>
      <c r="Y234" s="6" t="inlineStr">
        <is>
          <t>Safety / Legal</t>
        </is>
      </c>
      <c r="Z234" s="6" t="inlineStr">
        <is>
          <t>Frozen-weight composite; strongest contribution: Safety / Legal.</t>
        </is>
      </c>
      <c r="AA234" s="6" t="inlineStr">
        <is>
          <t>None explicitly named in this RTM</t>
        </is>
      </c>
      <c r="AB234" s="6" t="inlineStr">
        <is>
          <t>Section-level: ISO 9712; EN 17636; ISO 5817</t>
        </is>
      </c>
      <c r="AC234" s="6" t="inlineStr">
        <is>
          <t>Submit and review the named deliverable with RTM traceability and approval status; Document review, inspection, certification, audit or traceable QC record</t>
        </is>
      </c>
      <c r="AD234" s="6" t="inlineStr">
        <is>
          <t>Manufacturing File</t>
        </is>
      </c>
      <c r="AE234" s="6" t="inlineStr">
        <is>
          <t>L3 Procurement &amp; Manufacturing / FAT; L1 Conceptual Design; L2 Detailed Design</t>
        </is>
      </c>
      <c r="AF234" s="6" t="inlineStr">
        <is>
          <t>Section/contract-derived reference; explicit deliverable/test wording</t>
        </is>
      </c>
      <c r="AG234" s="58" t="inlineStr">
        <is>
          <t>Not linked to an OFFER item</t>
        </is>
      </c>
    </row>
    <row r="235" ht="99" customHeight="1">
      <c r="A235" s="6" t="n">
        <v>230</v>
      </c>
      <c r="B235" s="6" t="inlineStr">
        <is>
          <t>RTM-679</t>
        </is>
      </c>
      <c r="C235" s="6" t="inlineStr">
        <is>
          <t>No</t>
        </is>
      </c>
      <c r="D235" s="6" t="inlineStr">
        <is>
          <t>T2 Secondary</t>
        </is>
      </c>
      <c r="E235" s="6" t="inlineStr">
        <is>
          <t>Quality Assurance &amp; Control</t>
        </is>
      </c>
      <c r="F235" s="82" t="inlineStr">
        <is>
          <t>PROJECT</t>
        </is>
      </c>
      <c r="G235" s="83" t="inlineStr">
        <is>
          <t>Quality Assurance</t>
        </is>
      </c>
      <c r="H235" s="59" t="inlineStr">
        <is>
          <t>—</t>
        </is>
      </c>
      <c r="I235" s="81" t="inlineStr">
        <is>
          <t>Inferred: C7 — Quality, Testing &amp; Risk (high conf.)</t>
        </is>
      </c>
      <c r="J235" s="6" t="n">
        <v>125</v>
      </c>
      <c r="K235" s="6" t="inlineStr">
        <is>
          <t>8.1.7</t>
        </is>
      </c>
      <c r="L235" s="6" t="inlineStr">
        <is>
          <t>Non-Conformity Management</t>
        </is>
      </c>
      <c r="M235" s="6" t="inlineStr">
        <is>
          <t>Neither the implementation of the procedure on Non-Conformity management, nor the approval by SCK CEN of a Non-Conformity Report, shall waive or reduce the Contractor’s responsibility, according to the relevant stipulations of the Contract, to indemnify and hold SCK CEN harmless against all losses, damages, and costs (e.g. due to delay on the schedule) arising from such Non-Conformity.</t>
        </is>
      </c>
      <c r="N235" s="6" t="inlineStr">
        <is>
          <t>Neither the implementation of the procedure on Non-Conformity management, nor the approval by SCK CEN of a Non-Conformity Report, shall waive or reduce the Contractor’s responsibility, according to the relevant stipulations of the Contract, to indemnify and hold SCK CEN harmless against all losses, damages, and costs (e.g. due to delay on the schedule) arising from such Non-Conformity.</t>
        </is>
      </c>
      <c r="O235" s="6" t="n">
        <v>2</v>
      </c>
      <c r="P235" s="6" t="n">
        <v>0</v>
      </c>
      <c r="Q235" s="6" t="n">
        <v>0</v>
      </c>
      <c r="R235" s="6" t="n">
        <v>2</v>
      </c>
      <c r="S235" s="6" t="n">
        <v>3</v>
      </c>
      <c r="T235" s="6" t="n">
        <v>0</v>
      </c>
      <c r="U235" s="6" t="n">
        <v>0</v>
      </c>
      <c r="V235" s="6" t="n">
        <v>36</v>
      </c>
      <c r="W235" s="6" t="n">
        <v>69.9723</v>
      </c>
      <c r="X235" s="6" t="n">
        <v>9.308199999999999</v>
      </c>
      <c r="Y235" s="6" t="inlineStr">
        <is>
          <t>Safety / Legal</t>
        </is>
      </c>
      <c r="Z235" s="6" t="inlineStr">
        <is>
          <t>Frozen-weight composite; strongest contribution: Safety / Legal.</t>
        </is>
      </c>
      <c r="AA235" s="6" t="inlineStr">
        <is>
          <t>None explicitly named in this RTM</t>
        </is>
      </c>
      <c r="AB235" s="6" t="inlineStr">
        <is>
          <t>SCK CEN/90508872 §8.1.7; no named external code</t>
        </is>
      </c>
      <c r="AC235" s="6" t="inlineStr">
        <is>
          <t>Submit and review the named deliverable with RTM traceability and approval status; Functional design/configuration review and sequence/interface demonstration; Document review, inspection, certification, audit or traceable QC record</t>
        </is>
      </c>
      <c r="AD235" s="6" t="inlineStr">
        <is>
          <t>Procedure / work instruction</t>
        </is>
      </c>
      <c r="AE235" s="6" t="inlineStr">
        <is>
          <t>L0 Tender / Offer; L1 Conceptual Design; L2 Detailed Design; L3 Procurement &amp; Manufacturing / FAT; L4 Installation; L5 Standalone Commissioning; L6 Site Acceptance Testing</t>
        </is>
      </c>
      <c r="AF235" s="6" t="inlineStr">
        <is>
          <t>Section/contract-derived reference; explicit deliverable/test wording</t>
        </is>
      </c>
      <c r="AG235" s="58" t="inlineStr">
        <is>
          <t>Not linked to an OFFER item</t>
        </is>
      </c>
    </row>
    <row r="236" ht="112" customHeight="1">
      <c r="A236" s="6" t="n">
        <v>231</v>
      </c>
      <c r="B236" s="6" t="inlineStr">
        <is>
          <t>RTM-680</t>
        </is>
      </c>
      <c r="C236" s="6" t="inlineStr">
        <is>
          <t>No</t>
        </is>
      </c>
      <c r="D236" s="6" t="inlineStr">
        <is>
          <t>T2 Secondary</t>
        </is>
      </c>
      <c r="E236" s="6" t="inlineStr">
        <is>
          <t>Quality Assurance &amp; Control</t>
        </is>
      </c>
      <c r="F236" s="82" t="inlineStr">
        <is>
          <t>PROJECT</t>
        </is>
      </c>
      <c r="G236" s="83" t="inlineStr">
        <is>
          <t>Quality Assurance</t>
        </is>
      </c>
      <c r="H236" s="59" t="inlineStr">
        <is>
          <t>—</t>
        </is>
      </c>
      <c r="I236" s="81" t="inlineStr">
        <is>
          <t>Inferred: C7 — Quality, Testing &amp; Risk (high conf.)</t>
        </is>
      </c>
      <c r="J236" s="6" t="n">
        <v>125</v>
      </c>
      <c r="K236" s="6" t="inlineStr">
        <is>
          <t>8.1.8</t>
        </is>
      </c>
      <c r="L236" s="6" t="inlineStr">
        <is>
          <t>Audits</t>
        </is>
      </c>
      <c r="M236" s="6" t="inlineStr">
        <is>
          <t>SCK CEN shall be entitled to conduct, or to have carried out by a third party on its behalf (procured at SCK CEN’s own cost), an audit of Contractor/its Subcontractor’s premises, equipment, procedures to assess the ability of Contractor/Subcontractor to comply with the requirements of this document and the Contract. SCK CEN may request such audit when at least one of the following conditions is met:</t>
        </is>
      </c>
      <c r="N236" s="6" t="inlineStr">
        <is>
          <t>SCK CEN shall be entitled to conduct, or to have carried out by a third party on its behalf (procured at SCK CEN’s own cost), an audit of Contractor/its Subcontractor’s premises, equipment, procedures to assess the ability of Contractor/Subcontractor to comply with the requirements of this document and the Contract. SCK CEN may request such audit when at least one of the following conditions is met:
• to qualify a Contractor/Subcontractor which is not ISO 9001 certified.
• to address performance issues.</t>
        </is>
      </c>
      <c r="O236" s="6" t="n">
        <v>2</v>
      </c>
      <c r="P236" s="6" t="n">
        <v>0</v>
      </c>
      <c r="Q236" s="6" t="n">
        <v>0</v>
      </c>
      <c r="R236" s="6" t="n">
        <v>2</v>
      </c>
      <c r="S236" s="6" t="n">
        <v>3</v>
      </c>
      <c r="T236" s="6" t="n">
        <v>0</v>
      </c>
      <c r="U236" s="6" t="n">
        <v>0</v>
      </c>
      <c r="V236" s="6" t="n">
        <v>36</v>
      </c>
      <c r="W236" s="6" t="n">
        <v>69.9723</v>
      </c>
      <c r="X236" s="6" t="n">
        <v>9.308199999999999</v>
      </c>
      <c r="Y236" s="6" t="inlineStr">
        <is>
          <t>Safety / Legal</t>
        </is>
      </c>
      <c r="Z236" s="6" t="inlineStr">
        <is>
          <t>Frozen-weight composite; strongest contribution: Safety / Legal.</t>
        </is>
      </c>
      <c r="AA236" s="6" t="inlineStr">
        <is>
          <t>ISO 9001</t>
        </is>
      </c>
      <c r="AB236" s="6" t="inlineStr">
        <is>
          <t>ISO 9001</t>
        </is>
      </c>
      <c r="AC236" s="6" t="inlineStr">
        <is>
          <t>Submit and review the named deliverable with RTM traceability and approval status; Functional design/configuration review and sequence/interface demonstration; Document review, inspection, certification, audit or traceable QC record</t>
        </is>
      </c>
      <c r="AD236" s="6" t="inlineStr">
        <is>
          <t>Procedure / work instruction</t>
        </is>
      </c>
      <c r="AE236" s="6" t="inlineStr">
        <is>
          <t>L0 Tender / Offer; L1 Conceptual Design; L2 Detailed Design; L3 Procurement &amp; Manufacturing / FAT; L4 Installation; L5 Standalone Commissioning; L6 Site Acceptance Testing</t>
        </is>
      </c>
      <c r="AF236" s="6" t="inlineStr">
        <is>
          <t>Explicit/table-grounded standard; explicit deliverable/test wording</t>
        </is>
      </c>
      <c r="AG236" s="58" t="inlineStr">
        <is>
          <t>Not linked to an OFFER item</t>
        </is>
      </c>
    </row>
    <row r="237" ht="112" customHeight="1">
      <c r="A237" s="6" t="n">
        <v>232</v>
      </c>
      <c r="B237" s="6" t="inlineStr">
        <is>
          <t>RTM-563</t>
        </is>
      </c>
      <c r="C237" s="6" t="inlineStr">
        <is>
          <t>No</t>
        </is>
      </c>
      <c r="D237" s="6" t="inlineStr">
        <is>
          <t>T2 Secondary</t>
        </is>
      </c>
      <c r="E237" s="6" t="inlineStr">
        <is>
          <t>After-Sales</t>
        </is>
      </c>
      <c r="F237" s="82" t="inlineStr">
        <is>
          <t>PROJECT</t>
        </is>
      </c>
      <c r="G237" s="83" t="inlineStr">
        <is>
          <t>Governance &amp; Responsibility</t>
        </is>
      </c>
      <c r="H237" s="59" t="inlineStr">
        <is>
          <t>—</t>
        </is>
      </c>
      <c r="I237" s="58" t="inlineStr">
        <is>
          <t>C8 (+) — Commercial &amp; Execution + others</t>
        </is>
      </c>
      <c r="J237" s="6" t="n">
        <v>108</v>
      </c>
      <c r="K237" s="6" t="inlineStr">
        <is>
          <t>4.15</t>
        </is>
      </c>
      <c r="L237" s="6" t="inlineStr">
        <is>
          <t>After-Sales Services</t>
        </is>
      </c>
      <c r="M237" s="6" t="inlineStr">
        <is>
          <t>The Contractor shall provide After-Sales Services for the full Lifetime of the QPS. The After-Sales service shall include at least (but not be limited to) the services stated below:</t>
        </is>
      </c>
      <c r="N237" s="6" t="inlineStr">
        <is>
          <t>The Contractor shall provide After-Sales Services for the full Lifetime of the QPS. The After-Sales service shall include at least (but not be limited to) the services stated below:
• Helpdesk offers remote technical support, available on Business Days during normal working hours (from 7:00 am until 19:00 CE(S)T) via telephone, MS® Teams, or other commonly available communication tools.
• Technical field service, available to provide technical support at the MINERVA site.</t>
        </is>
      </c>
      <c r="O237" s="6" t="n">
        <v>1</v>
      </c>
      <c r="P237" s="6" t="n">
        <v>3</v>
      </c>
      <c r="Q237" s="6" t="n">
        <v>0</v>
      </c>
      <c r="R237" s="6" t="n">
        <v>0</v>
      </c>
      <c r="S237" s="6" t="n">
        <v>0</v>
      </c>
      <c r="T237" s="6" t="n">
        <v>3</v>
      </c>
      <c r="U237" s="6" t="n">
        <v>0</v>
      </c>
      <c r="V237" s="6" t="n">
        <v>35.666667</v>
      </c>
      <c r="W237" s="6" t="n">
        <v>67.96120000000001</v>
      </c>
      <c r="X237" s="6" t="n">
        <v>8.2654</v>
      </c>
      <c r="Y237" s="6" t="inlineStr">
        <is>
          <t>Reliability</t>
        </is>
      </c>
      <c r="Z237" s="6" t="inlineStr">
        <is>
          <t>Frozen-weight composite; strongest contribution: Reliability.</t>
        </is>
      </c>
      <c r="AA237" s="6" t="inlineStr">
        <is>
          <t>None explicitly named in this RTM</t>
        </is>
      </c>
      <c r="AB237" s="6" t="inlineStr">
        <is>
          <t>SCK CEN/90508872 §4.15; no named external code</t>
        </is>
      </c>
      <c r="AC237" s="6" t="inlineStr">
        <is>
          <t>RAM/maintenance substantiation and recovery/failure-response evidence</t>
        </is>
      </c>
      <c r="AD237" s="6" t="inlineStr">
        <is>
          <t>No separate deliverable explicitly named</t>
        </is>
      </c>
      <c r="AE237" s="6" t="inlineStr">
        <is>
          <t>L1 Conceptual Design; L2 Detailed Design</t>
        </is>
      </c>
      <c r="AF237" s="6" t="inlineStr">
        <is>
          <t>Section/contract-derived reference; derived evidence route</t>
        </is>
      </c>
      <c r="AG237" s="58" t="inlineStr">
        <is>
          <t>OFFER-42 (Direct); OFFER-43 (Contextual — maintenance effort estimate)</t>
        </is>
      </c>
    </row>
    <row r="238" ht="177" customHeight="1">
      <c r="A238" s="6" t="n">
        <v>233</v>
      </c>
      <c r="B238" s="6" t="inlineStr">
        <is>
          <t>RTM-195</t>
        </is>
      </c>
      <c r="C238" s="6" t="inlineStr">
        <is>
          <t>No</t>
        </is>
      </c>
      <c r="D238" s="6" t="inlineStr">
        <is>
          <t>T2 Secondary</t>
        </is>
      </c>
      <c r="E238" s="6" t="inlineStr">
        <is>
          <t>Subsystems</t>
        </is>
      </c>
      <c r="F238" s="82" t="inlineStr">
        <is>
          <t>SYSTEM</t>
        </is>
      </c>
      <c r="G238" s="83" t="inlineStr">
        <is>
          <t>Performance</t>
        </is>
      </c>
      <c r="H238" s="59" t="inlineStr">
        <is>
          <t>—</t>
        </is>
      </c>
      <c r="I238" s="58" t="inlineStr">
        <is>
          <t>C5 (+) — Infrastructure &amp; Integration + others</t>
        </is>
      </c>
      <c r="J238" s="6" t="n">
        <v>55</v>
      </c>
      <c r="K238" s="6" t="inlineStr">
        <is>
          <t>4.4.4.1</t>
        </is>
      </c>
      <c r="L238" s="6" t="inlineStr">
        <is>
          <t>General Requirements</t>
        </is>
      </c>
      <c r="M238" s="6" t="inlineStr">
        <is>
          <t>The cold box unit shall contain, at minimum, the following internal components:</t>
        </is>
      </c>
      <c r="N238" s="6" t="inlineStr">
        <is>
          <t>The cold box unit shall contain, at minimum, the following internal components:
• Main Process Heat Exchangers
• Expansion turbines
• Cold compressors
• Process piping
• 80 K dual-bed adsorbers
• 20 K single-bed adsorber
• Helium phase separators at ~4.5 K and ~2 K
• Cryogenic valves
• Electrical heaters
• Filters
• Instrumentation required for operation, protection, and diagnostics</t>
        </is>
      </c>
      <c r="O238" s="6" t="n">
        <v>0</v>
      </c>
      <c r="P238" s="6" t="n">
        <v>1</v>
      </c>
      <c r="Q238" s="6" t="n">
        <v>2</v>
      </c>
      <c r="R238" s="6" t="n">
        <v>2</v>
      </c>
      <c r="S238" s="6" t="n">
        <v>1</v>
      </c>
      <c r="T238" s="6" t="n">
        <v>0</v>
      </c>
      <c r="U238" s="6" t="n">
        <v>0</v>
      </c>
      <c r="V238" s="6" t="n">
        <v>35.333333</v>
      </c>
      <c r="W238" s="6" t="n">
        <v>67.4064</v>
      </c>
      <c r="X238" s="6" t="n">
        <v>8.001300000000001</v>
      </c>
      <c r="Y238" s="6" t="inlineStr">
        <is>
          <t>Performance</t>
        </is>
      </c>
      <c r="Z238" s="6" t="inlineStr">
        <is>
          <t>Frozen-weight composite; strongest contribution: Performance.</t>
        </is>
      </c>
      <c r="AA238" s="6" t="inlineStr">
        <is>
          <t>None explicitly named in this RTM</t>
        </is>
      </c>
      <c r="AB238" s="6" t="inlineStr">
        <is>
          <t>SCK CEN/90508872 §4.4.4.1; no named external code</t>
        </is>
      </c>
      <c r="AC238" s="6" t="inlineStr">
        <is>
          <t>Calculation/model plus calibrated measurement or recorded trend</t>
        </is>
      </c>
      <c r="AD238" s="6" t="inlineStr">
        <is>
          <t>No separate deliverable explicitly named</t>
        </is>
      </c>
      <c r="AE238" s="6" t="inlineStr">
        <is>
          <t>L1 Conceptual Design; L2 Detailed Design</t>
        </is>
      </c>
      <c r="AF238" s="6" t="inlineStr">
        <is>
          <t>Section/contract-derived reference; derived evidence route</t>
        </is>
      </c>
      <c r="AG238" s="58" t="inlineStr">
        <is>
          <t>OFFER-13 (Broad/contextual — main component specification); OFFER-17 (Direct)</t>
        </is>
      </c>
    </row>
    <row r="239" ht="60" customHeight="1">
      <c r="A239" s="6" t="n">
        <v>234</v>
      </c>
      <c r="B239" s="6" t="inlineStr">
        <is>
          <t>RTM-587</t>
        </is>
      </c>
      <c r="C239" s="6" t="inlineStr">
        <is>
          <t>No</t>
        </is>
      </c>
      <c r="D239" s="6" t="inlineStr">
        <is>
          <t>T2 Secondary</t>
        </is>
      </c>
      <c r="E239" s="6" t="inlineStr">
        <is>
          <t>Technical Documentation</t>
        </is>
      </c>
      <c r="F239" s="82" t="inlineStr">
        <is>
          <t>PROJECT</t>
        </is>
      </c>
      <c r="G239" s="83" t="inlineStr">
        <is>
          <t>Documentation &amp; Compliance</t>
        </is>
      </c>
      <c r="H239" s="59" t="inlineStr">
        <is>
          <t>—</t>
        </is>
      </c>
      <c r="I239" s="58" t="inlineStr">
        <is>
          <t>Not linked to an OFFER item</t>
        </is>
      </c>
      <c r="J239" s="6" t="n">
        <v>112</v>
      </c>
      <c r="K239" s="6" t="inlineStr">
        <is>
          <t>4.16.7</t>
        </is>
      </c>
      <c r="L239" s="6" t="inlineStr">
        <is>
          <t>Commissioning Plan</t>
        </is>
      </c>
      <c r="M239" s="6" t="inlineStr">
        <is>
          <t>The Commissioning Plan shall contain all information required to duly perform the commissioning of each individual Instance, each sub-system, and of the combined total system (QPS including QPS/CIS).</t>
        </is>
      </c>
      <c r="N239" s="6" t="inlineStr">
        <is>
          <t>The Commissioning Plan shall contain all information required to duly perform the commissioning of each individual Instance, each sub-system, and of the combined total system (QPS including QPS/CIS).</t>
        </is>
      </c>
      <c r="O239" s="6" t="n">
        <v>1</v>
      </c>
      <c r="P239" s="6" t="n">
        <v>0</v>
      </c>
      <c r="Q239" s="6" t="n">
        <v>0</v>
      </c>
      <c r="R239" s="6" t="n">
        <v>3</v>
      </c>
      <c r="S239" s="6" t="n">
        <v>2</v>
      </c>
      <c r="T239" s="6" t="n">
        <v>2</v>
      </c>
      <c r="U239" s="6" t="n">
        <v>0</v>
      </c>
      <c r="V239" s="6" t="n">
        <v>35.333333</v>
      </c>
      <c r="W239" s="6" t="n">
        <v>67.4064</v>
      </c>
      <c r="X239" s="6" t="n">
        <v>8.001300000000001</v>
      </c>
      <c r="Y239" s="6" t="inlineStr">
        <is>
          <t>Functional</t>
        </is>
      </c>
      <c r="Z239" s="6" t="inlineStr">
        <is>
          <t>Frozen-weight composite; strongest contribution: Functional.</t>
        </is>
      </c>
      <c r="AA239" s="6" t="inlineStr">
        <is>
          <t>None explicitly named in this RTM</t>
        </is>
      </c>
      <c r="AB239" s="6" t="inlineStr">
        <is>
          <t>SCK CEN/90508872 §4.16.7; no named external code</t>
        </is>
      </c>
      <c r="AC239" s="6" t="inlineStr">
        <is>
          <t>Submit and review the named deliverable with RTM traceability and approval status; Witnessed FAT/SAT/commissioning test against stated acceptance criteria; Document review, inspection, certification, audit or traceable QC record</t>
        </is>
      </c>
      <c r="AD239" s="6" t="inlineStr">
        <is>
          <t>Commissioning Plan</t>
        </is>
      </c>
      <c r="AE239" s="6" t="inlineStr">
        <is>
          <t>L1 Conceptual Design; L2 Detailed Design</t>
        </is>
      </c>
      <c r="AF239" s="6" t="inlineStr">
        <is>
          <t>Section/contract-derived reference; explicit deliverable/test wording</t>
        </is>
      </c>
      <c r="AG239" s="58" t="inlineStr">
        <is>
          <t>Not linked to an OFFER item</t>
        </is>
      </c>
    </row>
    <row r="240" ht="86" customHeight="1">
      <c r="A240" s="6" t="n">
        <v>235</v>
      </c>
      <c r="B240" s="6" t="inlineStr">
        <is>
          <t>RTM-588</t>
        </is>
      </c>
      <c r="C240" s="6" t="inlineStr">
        <is>
          <t>No</t>
        </is>
      </c>
      <c r="D240" s="6" t="inlineStr">
        <is>
          <t>T2 Secondary</t>
        </is>
      </c>
      <c r="E240" s="6" t="inlineStr">
        <is>
          <t>Technical Documentation</t>
        </is>
      </c>
      <c r="F240" s="82" t="inlineStr">
        <is>
          <t>PROJECT</t>
        </is>
      </c>
      <c r="G240" s="83" t="inlineStr">
        <is>
          <t>Documentation &amp; Compliance</t>
        </is>
      </c>
      <c r="H240" s="59" t="inlineStr">
        <is>
          <t>—</t>
        </is>
      </c>
      <c r="I240" s="58" t="inlineStr">
        <is>
          <t>Not linked to an OFFER item</t>
        </is>
      </c>
      <c r="J240" s="6" t="n">
        <v>113</v>
      </c>
      <c r="K240" s="6" t="inlineStr">
        <is>
          <t>4.16.8</t>
        </is>
      </c>
      <c r="L240" s="6" t="inlineStr">
        <is>
          <t>Commissioning Report</t>
        </is>
      </c>
      <c r="M240" s="6" t="inlineStr">
        <is>
          <t>The Commissioning Report shall document the execution and results of each individual test stipulated in the applicable Commissioning Plan.</t>
        </is>
      </c>
      <c r="N240" s="6" t="inlineStr">
        <is>
          <t>The Commissioning Report shall document the execution and results of each individual test stipulated in the applicable Commissioning Plan.
• The Commissioning Report shall include, at minimum:
• The Commissioning Plan version(s) according to which each commissioning test has been performed.
• The results and records of each individual test.</t>
        </is>
      </c>
      <c r="O240" s="6" t="n">
        <v>1</v>
      </c>
      <c r="P240" s="6" t="n">
        <v>0</v>
      </c>
      <c r="Q240" s="6" t="n">
        <v>0</v>
      </c>
      <c r="R240" s="6" t="n">
        <v>3</v>
      </c>
      <c r="S240" s="6" t="n">
        <v>2</v>
      </c>
      <c r="T240" s="6" t="n">
        <v>2</v>
      </c>
      <c r="U240" s="6" t="n">
        <v>0</v>
      </c>
      <c r="V240" s="6" t="n">
        <v>35.333333</v>
      </c>
      <c r="W240" s="6" t="n">
        <v>67.4064</v>
      </c>
      <c r="X240" s="6" t="n">
        <v>8.001300000000001</v>
      </c>
      <c r="Y240" s="6" t="inlineStr">
        <is>
          <t>Functional</t>
        </is>
      </c>
      <c r="Z240" s="6" t="inlineStr">
        <is>
          <t>Frozen-weight composite; strongest contribution: Functional.</t>
        </is>
      </c>
      <c r="AA240" s="6" t="inlineStr">
        <is>
          <t>None explicitly named in this RTM</t>
        </is>
      </c>
      <c r="AB240" s="6" t="inlineStr">
        <is>
          <t>SCK CEN/90508872 §4.16.8; no named external code</t>
        </is>
      </c>
      <c r="AC240" s="6" t="inlineStr">
        <is>
          <t>Submit and review the named deliverable with RTM traceability and approval status; Witnessed FAT/SAT/commissioning test against stated acceptance criteria</t>
        </is>
      </c>
      <c r="AD240" s="6" t="inlineStr">
        <is>
          <t>Commissioning Plan; Commissioning Report</t>
        </is>
      </c>
      <c r="AE240" s="6" t="inlineStr">
        <is>
          <t>L1 Conceptual Design; L2 Detailed Design</t>
        </is>
      </c>
      <c r="AF240" s="6" t="inlineStr">
        <is>
          <t>Section/contract-derived reference; explicit deliverable/test wording</t>
        </is>
      </c>
      <c r="AG240" s="58" t="inlineStr">
        <is>
          <t>Not linked to an OFFER item</t>
        </is>
      </c>
    </row>
    <row r="241" ht="73" customHeight="1">
      <c r="A241" s="6" t="n">
        <v>236</v>
      </c>
      <c r="B241" s="6" t="inlineStr">
        <is>
          <t>RTM-710</t>
        </is>
      </c>
      <c r="C241" s="6" t="inlineStr">
        <is>
          <t>No</t>
        </is>
      </c>
      <c r="D241" s="6" t="inlineStr">
        <is>
          <t>T2 Secondary</t>
        </is>
      </c>
      <c r="E241" s="6" t="inlineStr">
        <is>
          <t>Acceptance &amp; Warranty</t>
        </is>
      </c>
      <c r="F241" s="82" t="inlineStr">
        <is>
          <t>PROJECT</t>
        </is>
      </c>
      <c r="G241" s="83" t="inlineStr">
        <is>
          <t>Governance &amp; Responsibility</t>
        </is>
      </c>
      <c r="H241" s="59" t="inlineStr">
        <is>
          <t>—</t>
        </is>
      </c>
      <c r="I241" s="58" t="inlineStr">
        <is>
          <t>C6 — Reliability &amp; Maintenance</t>
        </is>
      </c>
      <c r="J241" s="6" t="n">
        <v>130</v>
      </c>
      <c r="K241" s="6" t="inlineStr">
        <is>
          <t>10.2</t>
        </is>
      </c>
      <c r="L241" s="6" t="inlineStr">
        <is>
          <t>Warranty Period</t>
        </is>
      </c>
      <c r="M241" s="6" t="inlineStr">
        <is>
          <t>If the Contractor fails to fulfil its obligations under the warranty, so that final acceptance cannot take place at the scheduled time, the Warranty Period shall be automatically extended, without any right to compensation for the Contractor, until final acceptance takes place.</t>
        </is>
      </c>
      <c r="N241" s="6" t="inlineStr">
        <is>
          <t>If the Contractor fails to fulfil its obligations under the warranty, so that final acceptance cannot take place at the scheduled time, the Warranty Period shall be automatically extended, without any right to compensation for the Contractor, until final acceptance takes place.</t>
        </is>
      </c>
      <c r="O241" s="6" t="n">
        <v>2</v>
      </c>
      <c r="P241" s="6" t="n">
        <v>0</v>
      </c>
      <c r="Q241" s="6" t="n">
        <v>0</v>
      </c>
      <c r="R241" s="6" t="n">
        <v>0</v>
      </c>
      <c r="S241" s="6" t="n">
        <v>3</v>
      </c>
      <c r="T241" s="6" t="n">
        <v>3</v>
      </c>
      <c r="U241" s="6" t="n">
        <v>3</v>
      </c>
      <c r="V241" s="6" t="n">
        <v>35.333333</v>
      </c>
      <c r="W241" s="6" t="n">
        <v>67.4064</v>
      </c>
      <c r="X241" s="6" t="n">
        <v>8.001300000000001</v>
      </c>
      <c r="Y241" s="6" t="inlineStr">
        <is>
          <t>Safety / Legal</t>
        </is>
      </c>
      <c r="Z241" s="6" t="inlineStr">
        <is>
          <t>Frozen-weight composite; strongest contribution: Safety / Legal.</t>
        </is>
      </c>
      <c r="AA241" s="6" t="inlineStr">
        <is>
          <t>None explicitly named in this RTM</t>
        </is>
      </c>
      <c r="AB241" s="6" t="inlineStr">
        <is>
          <t>SCK CEN/90508872 §10.2; no named external code</t>
        </is>
      </c>
      <c r="AC241" s="6" t="inlineStr">
        <is>
          <t>Witnessed FAT/SAT/commissioning test against stated acceptance criteria</t>
        </is>
      </c>
      <c r="AD241" s="6" t="inlineStr">
        <is>
          <t>No separate deliverable explicitly named</t>
        </is>
      </c>
      <c r="AE241" s="6" t="inlineStr">
        <is>
          <t>L6 Site Acceptance Testing; Warranty; FAC; PAC / Handover</t>
        </is>
      </c>
      <c r="AF241" s="6" t="inlineStr">
        <is>
          <t>Section/contract-derived reference; derived evidence route</t>
        </is>
      </c>
      <c r="AG241" s="58" t="inlineStr">
        <is>
          <t>OFFER-50 (Supporting)</t>
        </is>
      </c>
    </row>
    <row r="242" ht="60" customHeight="1">
      <c r="A242" s="6" t="n">
        <v>237</v>
      </c>
      <c r="B242" s="6" t="inlineStr">
        <is>
          <t>RTM-713</t>
        </is>
      </c>
      <c r="C242" s="6" t="inlineStr">
        <is>
          <t>No</t>
        </is>
      </c>
      <c r="D242" s="6" t="inlineStr">
        <is>
          <t>T2 Secondary</t>
        </is>
      </c>
      <c r="E242" s="6" t="inlineStr">
        <is>
          <t>Acceptance &amp; Warranty</t>
        </is>
      </c>
      <c r="F242" s="82" t="inlineStr">
        <is>
          <t>PROJECT</t>
        </is>
      </c>
      <c r="G242" s="83" t="inlineStr">
        <is>
          <t>Governance &amp; Responsibility</t>
        </is>
      </c>
      <c r="H242" s="59" t="inlineStr">
        <is>
          <t>—</t>
        </is>
      </c>
      <c r="I242" s="81" t="inlineStr">
        <is>
          <t>Inferred: C6 — Reliability &amp; Maintenance (high conf.)</t>
        </is>
      </c>
      <c r="J242" s="6" t="n">
        <v>130</v>
      </c>
      <c r="K242" s="6" t="inlineStr">
        <is>
          <t>10.3</t>
        </is>
      </c>
      <c r="L242" s="6" t="inlineStr">
        <is>
          <t>Warranty Conditions</t>
        </is>
      </c>
      <c r="M242" s="6" t="inlineStr">
        <is>
          <t>In case the warranty work needs to be performed at SCK CEN, the Contractor shall consider and comply with SCK CEN’s instructions relating to working hours, access, ..., without being entitled to any additional compensation.</t>
        </is>
      </c>
      <c r="N242" s="6" t="inlineStr">
        <is>
          <t>In case the warranty work needs to be performed at SCK CEN, the Contractor shall consider and comply with SCK CEN’s instructions relating to working hours, access, ..., without being entitled to any additional compensation.</t>
        </is>
      </c>
      <c r="O242" s="6" t="n">
        <v>2</v>
      </c>
      <c r="P242" s="6" t="n">
        <v>0</v>
      </c>
      <c r="Q242" s="6" t="n">
        <v>0</v>
      </c>
      <c r="R242" s="6" t="n">
        <v>0</v>
      </c>
      <c r="S242" s="6" t="n">
        <v>3</v>
      </c>
      <c r="T242" s="6" t="n">
        <v>3</v>
      </c>
      <c r="U242" s="6" t="n">
        <v>3</v>
      </c>
      <c r="V242" s="6" t="n">
        <v>35.333333</v>
      </c>
      <c r="W242" s="6" t="n">
        <v>67.4064</v>
      </c>
      <c r="X242" s="6" t="n">
        <v>8.001300000000001</v>
      </c>
      <c r="Y242" s="6" t="inlineStr">
        <is>
          <t>Safety / Legal</t>
        </is>
      </c>
      <c r="Z242" s="6" t="inlineStr">
        <is>
          <t>Frozen-weight composite; strongest contribution: Safety / Legal.</t>
        </is>
      </c>
      <c r="AA242" s="6" t="inlineStr">
        <is>
          <t>None explicitly named in this RTM</t>
        </is>
      </c>
      <c r="AB242" s="6" t="inlineStr">
        <is>
          <t>SCK CEN/90508872 §10.3; no named external code</t>
        </is>
      </c>
      <c r="AC242" s="6" t="inlineStr">
        <is>
          <t>Witnessed FAT/SAT/commissioning test against stated acceptance criteria</t>
        </is>
      </c>
      <c r="AD242" s="6" t="inlineStr">
        <is>
          <t>No separate deliverable explicitly named</t>
        </is>
      </c>
      <c r="AE242" s="6" t="inlineStr">
        <is>
          <t>L6 Site Acceptance Testing; Warranty; PAC / Handover; FAC</t>
        </is>
      </c>
      <c r="AF242" s="6" t="inlineStr">
        <is>
          <t>Section/contract-derived reference; derived evidence route</t>
        </is>
      </c>
      <c r="AG242" s="58" t="inlineStr">
        <is>
          <t>Not linked to an OFFER item</t>
        </is>
      </c>
    </row>
    <row r="243" ht="86" customHeight="1">
      <c r="A243" s="6" t="n">
        <v>238</v>
      </c>
      <c r="B243" s="6" t="inlineStr">
        <is>
          <t>RTM-718</t>
        </is>
      </c>
      <c r="C243" s="6" t="inlineStr">
        <is>
          <t>No</t>
        </is>
      </c>
      <c r="D243" s="6" t="inlineStr">
        <is>
          <t>T2 Secondary</t>
        </is>
      </c>
      <c r="E243" s="6" t="inlineStr">
        <is>
          <t>Acceptance &amp; Warranty</t>
        </is>
      </c>
      <c r="F243" s="82" t="inlineStr">
        <is>
          <t>PROJECT</t>
        </is>
      </c>
      <c r="G243" s="83" t="inlineStr">
        <is>
          <t>Governance &amp; Responsibility</t>
        </is>
      </c>
      <c r="H243" s="59" t="inlineStr">
        <is>
          <t>—</t>
        </is>
      </c>
      <c r="I243" s="81" t="inlineStr">
        <is>
          <t>Inferred: C6 — Reliability &amp; Maintenance (high conf.)</t>
        </is>
      </c>
      <c r="J243" s="6" t="n">
        <v>131</v>
      </c>
      <c r="K243" s="6" t="inlineStr">
        <is>
          <t>10.3</t>
        </is>
      </c>
      <c r="L243" s="6" t="inlineStr">
        <is>
          <t>Warranty Conditions</t>
        </is>
      </c>
      <c r="M243" s="6" t="inlineStr">
        <is>
          <t>If the Contractor fails to fulfil its obligations under the warranty, so that final acceptance cannot take place at the scheduled time, the warranty period shall be automatically extended, without any right to compensation and/or remuneration for the Contractor, until final acceptance takes place.</t>
        </is>
      </c>
      <c r="N243" s="6" t="inlineStr">
        <is>
          <t>If the Contractor fails to fulfil its obligations under the warranty, so that final acceptance cannot take place at the scheduled time, the warranty period shall be automatically extended, without any right to compensation and/or remuneration for the Contractor, until final acceptance takes place.</t>
        </is>
      </c>
      <c r="O243" s="6" t="n">
        <v>2</v>
      </c>
      <c r="P243" s="6" t="n">
        <v>0</v>
      </c>
      <c r="Q243" s="6" t="n">
        <v>0</v>
      </c>
      <c r="R243" s="6" t="n">
        <v>0</v>
      </c>
      <c r="S243" s="6" t="n">
        <v>3</v>
      </c>
      <c r="T243" s="6" t="n">
        <v>3</v>
      </c>
      <c r="U243" s="6" t="n">
        <v>3</v>
      </c>
      <c r="V243" s="6" t="n">
        <v>35.333333</v>
      </c>
      <c r="W243" s="6" t="n">
        <v>67.4064</v>
      </c>
      <c r="X243" s="6" t="n">
        <v>8.001300000000001</v>
      </c>
      <c r="Y243" s="6" t="inlineStr">
        <is>
          <t>Safety / Legal</t>
        </is>
      </c>
      <c r="Z243" s="6" t="inlineStr">
        <is>
          <t>Frozen-weight composite; strongest contribution: Safety / Legal.</t>
        </is>
      </c>
      <c r="AA243" s="6" t="inlineStr">
        <is>
          <t>None explicitly named in this RTM</t>
        </is>
      </c>
      <c r="AB243" s="6" t="inlineStr">
        <is>
          <t>SCK CEN/90508872 §10.3; no named external code</t>
        </is>
      </c>
      <c r="AC243" s="6" t="inlineStr">
        <is>
          <t>Witnessed FAT/SAT/commissioning test against stated acceptance criteria</t>
        </is>
      </c>
      <c r="AD243" s="6" t="inlineStr">
        <is>
          <t>No separate deliverable explicitly named</t>
        </is>
      </c>
      <c r="AE243" s="6" t="inlineStr">
        <is>
          <t>L6 Site Acceptance Testing; Warranty; FAC; PAC / Handover</t>
        </is>
      </c>
      <c r="AF243" s="6" t="inlineStr">
        <is>
          <t>Section/contract-derived reference; derived evidence route</t>
        </is>
      </c>
      <c r="AG243" s="58" t="inlineStr">
        <is>
          <t>Not linked to an OFFER item</t>
        </is>
      </c>
    </row>
    <row r="244" ht="60" customHeight="1">
      <c r="A244" s="6" t="n">
        <v>239</v>
      </c>
      <c r="B244" s="6" t="inlineStr">
        <is>
          <t>RTM-720</t>
        </is>
      </c>
      <c r="C244" s="6" t="inlineStr">
        <is>
          <t>No</t>
        </is>
      </c>
      <c r="D244" s="6" t="inlineStr">
        <is>
          <t>T2 Secondary</t>
        </is>
      </c>
      <c r="E244" s="6" t="inlineStr">
        <is>
          <t>Acceptance &amp; Warranty</t>
        </is>
      </c>
      <c r="F244" s="82" t="inlineStr">
        <is>
          <t>PROJECT</t>
        </is>
      </c>
      <c r="G244" s="83" t="inlineStr">
        <is>
          <t>Governance &amp; Responsibility</t>
        </is>
      </c>
      <c r="H244" s="59" t="inlineStr">
        <is>
          <t>—</t>
        </is>
      </c>
      <c r="I244" s="81" t="inlineStr">
        <is>
          <t>Inferred: C6 — Reliability &amp; Maintenance (high conf.)</t>
        </is>
      </c>
      <c r="J244" s="6" t="n">
        <v>131</v>
      </c>
      <c r="K244" s="6" t="inlineStr">
        <is>
          <t>10.3</t>
        </is>
      </c>
      <c r="L244" s="6" t="inlineStr">
        <is>
          <t>Warranty Conditions</t>
        </is>
      </c>
      <c r="M244" s="6" t="inlineStr">
        <is>
          <t>In addition to the above rights, SCK CEN shall be entitled to full compensation for all damages incurred in view of these outstanding issues, shortcomings, and/or defects according to the stipulations of the contract.</t>
        </is>
      </c>
      <c r="N244" s="6" t="inlineStr">
        <is>
          <t>In addition to the above rights, SCK CEN shall be entitled to full compensation for all damages incurred in view of these outstanding issues, shortcomings, and/or defects according to the stipulations of the contract.</t>
        </is>
      </c>
      <c r="O244" s="6" t="n">
        <v>2</v>
      </c>
      <c r="P244" s="6" t="n">
        <v>0</v>
      </c>
      <c r="Q244" s="6" t="n">
        <v>0</v>
      </c>
      <c r="R244" s="6" t="n">
        <v>0</v>
      </c>
      <c r="S244" s="6" t="n">
        <v>3</v>
      </c>
      <c r="T244" s="6" t="n">
        <v>3</v>
      </c>
      <c r="U244" s="6" t="n">
        <v>3</v>
      </c>
      <c r="V244" s="6" t="n">
        <v>35.333333</v>
      </c>
      <c r="W244" s="6" t="n">
        <v>67.4064</v>
      </c>
      <c r="X244" s="6" t="n">
        <v>8.001300000000001</v>
      </c>
      <c r="Y244" s="6" t="inlineStr">
        <is>
          <t>Safety / Legal</t>
        </is>
      </c>
      <c r="Z244" s="6" t="inlineStr">
        <is>
          <t>Frozen-weight composite; strongest contribution: Safety / Legal.</t>
        </is>
      </c>
      <c r="AA244" s="6" t="inlineStr">
        <is>
          <t>None explicitly named in this RTM</t>
        </is>
      </c>
      <c r="AB244" s="6" t="inlineStr">
        <is>
          <t>SCK CEN/90508872 §10.3; no named external code</t>
        </is>
      </c>
      <c r="AC244" s="6" t="inlineStr">
        <is>
          <t>Witnessed FAT/SAT/commissioning test against stated acceptance criteria</t>
        </is>
      </c>
      <c r="AD244" s="6" t="inlineStr">
        <is>
          <t>No separate deliverable explicitly named</t>
        </is>
      </c>
      <c r="AE244" s="6" t="inlineStr">
        <is>
          <t>L6 Site Acceptance Testing; PAC / Handover; Warranty; FAC</t>
        </is>
      </c>
      <c r="AF244" s="6" t="inlineStr">
        <is>
          <t>Section/contract-derived reference; derived evidence route</t>
        </is>
      </c>
      <c r="AG244" s="58" t="inlineStr">
        <is>
          <t>Not linked to an OFFER item</t>
        </is>
      </c>
    </row>
    <row r="245" ht="255" customHeight="1">
      <c r="A245" s="6" t="n">
        <v>240</v>
      </c>
      <c r="B245" s="6" t="inlineStr">
        <is>
          <t>RTM-633</t>
        </is>
      </c>
      <c r="C245" s="6" t="inlineStr">
        <is>
          <t>No</t>
        </is>
      </c>
      <c r="D245" s="6" t="inlineStr">
        <is>
          <t>T2 Secondary</t>
        </is>
      </c>
      <c r="E245" s="6" t="inlineStr">
        <is>
          <t>Contract Performance</t>
        </is>
      </c>
      <c r="F245" s="82" t="inlineStr">
        <is>
          <t>PROJECT</t>
        </is>
      </c>
      <c r="G245" s="83" t="inlineStr">
        <is>
          <t>Documentation &amp; Compliance</t>
        </is>
      </c>
      <c r="H245" s="59" t="inlineStr">
        <is>
          <t>—</t>
        </is>
      </c>
      <c r="I245" s="58" t="inlineStr">
        <is>
          <t>C8 — Commercial &amp; Execution</t>
        </is>
      </c>
      <c r="J245" s="6" t="n">
        <v>120</v>
      </c>
      <c r="K245" s="6" t="inlineStr">
        <is>
          <t>7.4.1</t>
        </is>
      </c>
      <c r="L245" s="6" t="inlineStr">
        <is>
          <t>Progress Dashboard</t>
        </is>
      </c>
      <c r="M245" s="6" t="inlineStr">
        <is>
          <t>The Contractor shall implement a digital dashboard giving SCK CEN a snapshot up-to-date information on the status and progress of the Contract. The information shall be continuously (at least monthly) updated with the latest information. The Contractor shall produce and submit monthly progress reports to SCK CEN at least three Business Days prior to the monthly progress meeting. If comments or revisions arise during the progress meeting, the Contractor shall issue an updated version five business days after the meeting. The dashboard shall, as a minimum, include the following:</t>
        </is>
      </c>
      <c r="N245" s="6" t="inlineStr">
        <is>
          <t>The Contractor shall implement a digital dashboard giving SCK CEN a snapshot up-to-date information on the status and progress of the Contract. The information shall be continuously (at least monthly) updated with the latest information. The Contractor shall produce and submit monthly progress reports to SCK CEN at least three Business Days prior to the monthly progress meeting. If comments or revisions arise during the progress meeting, the Contractor shall issue an updated version five business days after the meeting. The dashboard shall, as a minimum, include the following:
• A concise summary of the Contract progress
• Updated open-action-register.
• Work completed since the last update of the dashboard including encountered difficulties and improvement proposal.
• Work scheduled until the next update of the dashboard
• Monitoring of the schedule
• Updated issue register, and any other points-of-attention identified during the performance of the Contract
• Updated Change register
• Updated non-conformity register
• Updated Risk register</t>
        </is>
      </c>
      <c r="O245" s="6" t="n">
        <v>2</v>
      </c>
      <c r="P245" s="6" t="n">
        <v>1</v>
      </c>
      <c r="Q245" s="6" t="n">
        <v>0</v>
      </c>
      <c r="R245" s="6" t="n">
        <v>1</v>
      </c>
      <c r="S245" s="6" t="n">
        <v>2</v>
      </c>
      <c r="T245" s="6" t="n">
        <v>0</v>
      </c>
      <c r="U245" s="6" t="n">
        <v>1</v>
      </c>
      <c r="V245" s="6" t="n">
        <v>35</v>
      </c>
      <c r="W245" s="6" t="n">
        <v>66.4355</v>
      </c>
      <c r="X245" s="6" t="n">
        <v>7.5616</v>
      </c>
      <c r="Y245" s="6" t="inlineStr">
        <is>
          <t>Safety / Legal</t>
        </is>
      </c>
      <c r="Z245" s="6" t="inlineStr">
        <is>
          <t>Frozen-weight composite; strongest contribution: Safety / Legal.</t>
        </is>
      </c>
      <c r="AA245" s="6" t="inlineStr">
        <is>
          <t>None explicitly named in this RTM</t>
        </is>
      </c>
      <c r="AB245" s="6" t="inlineStr">
        <is>
          <t>SCK CEN/90508872 §7.4.1; no named external code</t>
        </is>
      </c>
      <c r="AC245" s="6" t="inlineStr">
        <is>
          <t>Submit and review the named deliverable with RTM traceability and approval status; Witnessed FAT/SAT/commissioning test against stated acceptance criteria</t>
        </is>
      </c>
      <c r="AD245" s="6" t="inlineStr">
        <is>
          <t>List / register / matrix</t>
        </is>
      </c>
      <c r="AE245" s="6" t="inlineStr">
        <is>
          <t>L0 Tender / Offer; L1 Conceptual Design; L2 Detailed Design; L3 Procurement &amp; Manufacturing / FAT; L4 Installation; L5 Standalone Commissioning; L6 Site Acceptance Testing</t>
        </is>
      </c>
      <c r="AF245" s="6" t="inlineStr">
        <is>
          <t>Section/contract-derived reference; explicit deliverable/test wording</t>
        </is>
      </c>
      <c r="AG245" s="58" t="inlineStr">
        <is>
          <t>OFFER-45 (Direct)</t>
        </is>
      </c>
    </row>
    <row r="246" ht="60" customHeight="1">
      <c r="A246" s="6" t="n">
        <v>241</v>
      </c>
      <c r="B246" s="6" t="inlineStr">
        <is>
          <t>RTM-697</t>
        </is>
      </c>
      <c r="C246" s="6" t="inlineStr">
        <is>
          <t>No</t>
        </is>
      </c>
      <c r="D246" s="6" t="inlineStr">
        <is>
          <t>T2 Secondary</t>
        </is>
      </c>
      <c r="E246" s="6" t="inlineStr">
        <is>
          <t>Codes &amp; Standards</t>
        </is>
      </c>
      <c r="F246" s="82" t="inlineStr">
        <is>
          <t>SYSTEM</t>
        </is>
      </c>
      <c r="G246" s="83" t="inlineStr">
        <is>
          <t>Constraint</t>
        </is>
      </c>
      <c r="H246" s="59" t="inlineStr">
        <is>
          <t>—</t>
        </is>
      </c>
      <c r="I246" s="58" t="inlineStr">
        <is>
          <t>C7 — Quality, Testing &amp; Risk</t>
        </is>
      </c>
      <c r="J246" s="6" t="n">
        <v>128</v>
      </c>
      <c r="K246" s="6" t="inlineStr">
        <is>
          <t>9.2</t>
        </is>
      </c>
      <c r="L246" s="6" t="inlineStr">
        <is>
          <t>Asset Management and Maintenance Standards</t>
        </is>
      </c>
      <c r="M246" s="6" t="inlineStr">
        <is>
          <t>The Contractor shall apply at least the standards listed in Table 23</t>
        </is>
      </c>
      <c r="N246" s="6" t="inlineStr">
        <is>
          <t>The Contractor shall apply at least the standards listed in Table 23</t>
        </is>
      </c>
      <c r="O246" s="6" t="n">
        <v>2</v>
      </c>
      <c r="P246" s="6" t="n">
        <v>2</v>
      </c>
      <c r="Q246" s="6" t="n">
        <v>0</v>
      </c>
      <c r="R246" s="6" t="n">
        <v>0</v>
      </c>
      <c r="S246" s="6" t="n">
        <v>0</v>
      </c>
      <c r="T246" s="6" t="n">
        <v>3</v>
      </c>
      <c r="U246" s="6" t="n">
        <v>0</v>
      </c>
      <c r="V246" s="6" t="n">
        <v>35</v>
      </c>
      <c r="W246" s="6" t="n">
        <v>66.4355</v>
      </c>
      <c r="X246" s="6" t="n">
        <v>7.5616</v>
      </c>
      <c r="Y246" s="6" t="inlineStr">
        <is>
          <t>Reliability</t>
        </is>
      </c>
      <c r="Z246" s="6" t="inlineStr">
        <is>
          <t>Frozen-weight composite; strongest contribution: Reliability.</t>
        </is>
      </c>
      <c r="AA246" s="6" t="inlineStr">
        <is>
          <t>IEC 60300-3-3 (Reliability-Centered Maintenance); ISO 20815; IEC 60300-3-11; IEC 60300-3-12 (Life-cycle costing); ISO 55000 / 55001 / 55002 (Asset Management); ISO 14224 (Reliability &amp; maintenance data)</t>
        </is>
      </c>
      <c r="AB246" s="6" t="inlineStr">
        <is>
          <t>IEC 60300-3-3 (Reliability-Centered Maintenance); ISO 20815; IEC 60300-3-11; IEC 60300-3-12 (Life-cycle costing); ISO 55000 / 55001 / 55002 (Asset Management); ISO 14224 (Reliability &amp; maintenance data)</t>
        </is>
      </c>
      <c r="AC246" s="6" t="inlineStr">
        <is>
          <t>RAM/maintenance substantiation and recovery/failure-response evidence</t>
        </is>
      </c>
      <c r="AD246" s="6" t="inlineStr">
        <is>
          <t>No separate deliverable explicitly named</t>
        </is>
      </c>
      <c r="AE246" s="6" t="inlineStr">
        <is>
          <t>L0 Tender / Offer; L1 Conceptual Design; L2 Detailed Design; L3 Procurement &amp; Manufacturing / FAT; L4 Installation; L5 Standalone Commissioning; L6 Site Acceptance Testing</t>
        </is>
      </c>
      <c r="AF246" s="6" t="inlineStr">
        <is>
          <t>Explicit/table-grounded standard; derived evidence route</t>
        </is>
      </c>
      <c r="AG246" s="58" t="inlineStr">
        <is>
          <t>OFFER-49 (Supporting)</t>
        </is>
      </c>
    </row>
    <row r="247" ht="112" customHeight="1">
      <c r="A247" s="6" t="n">
        <v>242</v>
      </c>
      <c r="B247" s="6" t="inlineStr">
        <is>
          <t>RTM-709</t>
        </is>
      </c>
      <c r="C247" s="6" t="inlineStr">
        <is>
          <t>No</t>
        </is>
      </c>
      <c r="D247" s="6" t="inlineStr">
        <is>
          <t>T2 Secondary</t>
        </is>
      </c>
      <c r="E247" s="6" t="inlineStr">
        <is>
          <t>Acceptance &amp; Warranty</t>
        </is>
      </c>
      <c r="F247" s="82" t="inlineStr">
        <is>
          <t>PROJECT</t>
        </is>
      </c>
      <c r="G247" s="83" t="inlineStr">
        <is>
          <t>Governance &amp; Responsibility</t>
        </is>
      </c>
      <c r="H247" s="59" t="inlineStr">
        <is>
          <t>—</t>
        </is>
      </c>
      <c r="I247" s="58" t="inlineStr">
        <is>
          <t>C6 — Reliability &amp; Maintenance</t>
        </is>
      </c>
      <c r="J247" s="6" t="n">
        <v>130</v>
      </c>
      <c r="K247" s="6" t="inlineStr">
        <is>
          <t>10.2</t>
        </is>
      </c>
      <c r="L247" s="6" t="inlineStr">
        <is>
          <t>Warranty Period</t>
        </is>
      </c>
      <c r="M247" s="6" t="inlineStr">
        <is>
          <t>In-warranty repairs and/or replacement parts shall be warranted for at least one (1) year after execution, or for the unexpired portion of the original Warranty Period of the CRYOPLANT, whichever is longest. Notwithstanding the foregoing, the Warranty Period is suspended for the duration between formal notice by the Contracting Authority to the Contractor on the defect and resolving of said defect by the Contractor.</t>
        </is>
      </c>
      <c r="N247" s="6" t="inlineStr">
        <is>
          <t>In-warranty repairs and/or replacement parts shall be warranted for at least one (1) year after execution, or for the unexpired portion of the original Warranty Period of the CRYOPLANT, whichever is longest. Notwithstanding the foregoing, the Warranty Period is suspended for the duration between formal notice by the Contracting Authority to the Contractor on the defect and resolving of said defect by the Contractor.</t>
        </is>
      </c>
      <c r="O247" s="6" t="n">
        <v>2</v>
      </c>
      <c r="P247" s="6" t="n">
        <v>2</v>
      </c>
      <c r="Q247" s="6" t="n">
        <v>0</v>
      </c>
      <c r="R247" s="6" t="n">
        <v>0</v>
      </c>
      <c r="S247" s="6" t="n">
        <v>0</v>
      </c>
      <c r="T247" s="6" t="n">
        <v>3</v>
      </c>
      <c r="U247" s="6" t="n">
        <v>0</v>
      </c>
      <c r="V247" s="6" t="n">
        <v>35</v>
      </c>
      <c r="W247" s="6" t="n">
        <v>66.4355</v>
      </c>
      <c r="X247" s="6" t="n">
        <v>7.5616</v>
      </c>
      <c r="Y247" s="6" t="inlineStr">
        <is>
          <t>Reliability</t>
        </is>
      </c>
      <c r="Z247" s="6" t="inlineStr">
        <is>
          <t>Frozen-weight composite; strongest contribution: Reliability.</t>
        </is>
      </c>
      <c r="AA247" s="6" t="inlineStr">
        <is>
          <t>None explicitly named in this RTM</t>
        </is>
      </c>
      <c r="AB247" s="6" t="inlineStr">
        <is>
          <t>SCK CEN/90508872 §10.2; no named external code</t>
        </is>
      </c>
      <c r="AC247" s="6" t="inlineStr">
        <is>
          <t>RAM/maintenance substantiation and recovery/failure-response evidence</t>
        </is>
      </c>
      <c r="AD247" s="6" t="inlineStr">
        <is>
          <t>No separate deliverable explicitly named</t>
        </is>
      </c>
      <c r="AE247" s="6" t="inlineStr">
        <is>
          <t>Warranty; PAC / Handover; FAC</t>
        </is>
      </c>
      <c r="AF247" s="6" t="inlineStr">
        <is>
          <t>Section/contract-derived reference; derived evidence route</t>
        </is>
      </c>
      <c r="AG247" s="58" t="inlineStr">
        <is>
          <t>OFFER-50 (Supporting)</t>
        </is>
      </c>
    </row>
    <row r="248" ht="60" customHeight="1">
      <c r="A248" s="6" t="n">
        <v>243</v>
      </c>
      <c r="B248" s="6" t="inlineStr">
        <is>
          <t>RTM-712</t>
        </is>
      </c>
      <c r="C248" s="6" t="inlineStr">
        <is>
          <t>No</t>
        </is>
      </c>
      <c r="D248" s="6" t="inlineStr">
        <is>
          <t>T2 Secondary</t>
        </is>
      </c>
      <c r="E248" s="6" t="inlineStr">
        <is>
          <t>Acceptance &amp; Warranty</t>
        </is>
      </c>
      <c r="F248" s="82" t="inlineStr">
        <is>
          <t>PROJECT</t>
        </is>
      </c>
      <c r="G248" s="83" t="inlineStr">
        <is>
          <t>Governance &amp; Responsibility</t>
        </is>
      </c>
      <c r="H248" s="59" t="inlineStr">
        <is>
          <t>—</t>
        </is>
      </c>
      <c r="I248" s="81" t="inlineStr">
        <is>
          <t>Inferred: C6 — Reliability &amp; Maintenance (high conf.)</t>
        </is>
      </c>
      <c r="J248" s="6" t="n">
        <v>130</v>
      </c>
      <c r="K248" s="6" t="inlineStr">
        <is>
          <t>10.3</t>
        </is>
      </c>
      <c r="L248" s="6" t="inlineStr">
        <is>
          <t>Warranty Conditions</t>
        </is>
      </c>
      <c r="M248" s="6" t="inlineStr">
        <is>
          <t>The Contractor’s methods of solving a warranty issue shall always need to be approved in advance by SCK CEN. SCK CEN reserves the right, at its sole discretion, to not allow for repair and to demand replacement of a defective item.</t>
        </is>
      </c>
      <c r="N248" s="6" t="inlineStr">
        <is>
          <t>The Contractor’s methods of solving a warranty issue shall always need to be approved in advance by SCK CEN. SCK CEN reserves the right, at its sole discretion, to not allow for repair and to demand replacement of a defective item.</t>
        </is>
      </c>
      <c r="O248" s="6" t="n">
        <v>2</v>
      </c>
      <c r="P248" s="6" t="n">
        <v>2</v>
      </c>
      <c r="Q248" s="6" t="n">
        <v>0</v>
      </c>
      <c r="R248" s="6" t="n">
        <v>0</v>
      </c>
      <c r="S248" s="6" t="n">
        <v>0</v>
      </c>
      <c r="T248" s="6" t="n">
        <v>3</v>
      </c>
      <c r="U248" s="6" t="n">
        <v>0</v>
      </c>
      <c r="V248" s="6" t="n">
        <v>35</v>
      </c>
      <c r="W248" s="6" t="n">
        <v>66.4355</v>
      </c>
      <c r="X248" s="6" t="n">
        <v>7.5616</v>
      </c>
      <c r="Y248" s="6" t="inlineStr">
        <is>
          <t>Reliability</t>
        </is>
      </c>
      <c r="Z248" s="6" t="inlineStr">
        <is>
          <t>Frozen-weight composite; strongest contribution: Reliability.</t>
        </is>
      </c>
      <c r="AA248" s="6" t="inlineStr">
        <is>
          <t>None explicitly named in this RTM</t>
        </is>
      </c>
      <c r="AB248" s="6" t="inlineStr">
        <is>
          <t>SCK CEN/90508872 §10.3; no named external code</t>
        </is>
      </c>
      <c r="AC248" s="6" t="inlineStr">
        <is>
          <t>RAM/maintenance substantiation and recovery/failure-response evidence</t>
        </is>
      </c>
      <c r="AD248" s="6" t="inlineStr">
        <is>
          <t>No separate deliverable explicitly named</t>
        </is>
      </c>
      <c r="AE248" s="6" t="inlineStr">
        <is>
          <t>Warranty; PAC / Handover; FAC</t>
        </is>
      </c>
      <c r="AF248" s="6" t="inlineStr">
        <is>
          <t>Section/contract-derived reference; derived evidence route</t>
        </is>
      </c>
      <c r="AG248" s="58" t="inlineStr">
        <is>
          <t>Not linked to an OFFER item</t>
        </is>
      </c>
    </row>
    <row r="249" ht="112" customHeight="1">
      <c r="A249" s="6" t="n">
        <v>244</v>
      </c>
      <c r="B249" s="6" t="inlineStr">
        <is>
          <t>RTM-715</t>
        </is>
      </c>
      <c r="C249" s="6" t="inlineStr">
        <is>
          <t>No</t>
        </is>
      </c>
      <c r="D249" s="6" t="inlineStr">
        <is>
          <t>T2 Secondary</t>
        </is>
      </c>
      <c r="E249" s="6" t="inlineStr">
        <is>
          <t>Acceptance &amp; Warranty</t>
        </is>
      </c>
      <c r="F249" s="82" t="inlineStr">
        <is>
          <t>PROJECT</t>
        </is>
      </c>
      <c r="G249" s="83" t="inlineStr">
        <is>
          <t>Governance &amp; Responsibility</t>
        </is>
      </c>
      <c r="H249" s="59" t="inlineStr">
        <is>
          <t>—</t>
        </is>
      </c>
      <c r="I249" s="81" t="inlineStr">
        <is>
          <t>Inferred: C6 — Reliability &amp; Maintenance (high conf.)</t>
        </is>
      </c>
      <c r="J249" s="6" t="n">
        <v>131</v>
      </c>
      <c r="K249" s="6" t="inlineStr">
        <is>
          <t>10.3</t>
        </is>
      </c>
      <c r="L249" s="6" t="inlineStr">
        <is>
          <t>Warranty Conditions</t>
        </is>
      </c>
      <c r="M249" s="6" t="inlineStr">
        <is>
          <t>During the warranty period, the Contractor shall execute repairs and/or replacements without undue delay at the Contractor’s risk and expense. SCK CEN may request warranty service during non-normal working hours or for services excluded from the warranty coverage as defined herein, provided that SCK CEN shall pay the reasonable overtime premium portion of the non-normal hours worked or the normal service charge, respectively.</t>
        </is>
      </c>
      <c r="N249" s="6" t="inlineStr">
        <is>
          <t>During the warranty period, the Contractor shall execute repairs and/or replacements without undue delay at the Contractor’s risk and expense. SCK CEN may request warranty service during non-normal working hours or for services excluded from the warranty coverage as defined herein, provided that SCK CEN shall pay the reasonable overtime premium portion of the non-normal hours worked or the normal service charge, respectively.</t>
        </is>
      </c>
      <c r="O249" s="6" t="n">
        <v>2</v>
      </c>
      <c r="P249" s="6" t="n">
        <v>2</v>
      </c>
      <c r="Q249" s="6" t="n">
        <v>0</v>
      </c>
      <c r="R249" s="6" t="n">
        <v>0</v>
      </c>
      <c r="S249" s="6" t="n">
        <v>0</v>
      </c>
      <c r="T249" s="6" t="n">
        <v>3</v>
      </c>
      <c r="U249" s="6" t="n">
        <v>0</v>
      </c>
      <c r="V249" s="6" t="n">
        <v>35</v>
      </c>
      <c r="W249" s="6" t="n">
        <v>66.4355</v>
      </c>
      <c r="X249" s="6" t="n">
        <v>7.5616</v>
      </c>
      <c r="Y249" s="6" t="inlineStr">
        <is>
          <t>Reliability</t>
        </is>
      </c>
      <c r="Z249" s="6" t="inlineStr">
        <is>
          <t>Frozen-weight composite; strongest contribution: Reliability.</t>
        </is>
      </c>
      <c r="AA249" s="6" t="inlineStr">
        <is>
          <t>None explicitly named in this RTM</t>
        </is>
      </c>
      <c r="AB249" s="6" t="inlineStr">
        <is>
          <t>SCK CEN/90508872 §10.3; no named external code</t>
        </is>
      </c>
      <c r="AC249" s="6" t="inlineStr">
        <is>
          <t>RAM/maintenance substantiation and recovery/failure-response evidence</t>
        </is>
      </c>
      <c r="AD249" s="6" t="inlineStr">
        <is>
          <t>No separate deliverable explicitly named</t>
        </is>
      </c>
      <c r="AE249" s="6" t="inlineStr">
        <is>
          <t>Warranty; PAC / Handover; FAC</t>
        </is>
      </c>
      <c r="AF249" s="6" t="inlineStr">
        <is>
          <t>Section/contract-derived reference; derived evidence route</t>
        </is>
      </c>
      <c r="AG249" s="58" t="inlineStr">
        <is>
          <t>Not linked to an OFFER item</t>
        </is>
      </c>
    </row>
    <row r="250" ht="60" customHeight="1">
      <c r="A250" s="6" t="n">
        <v>245</v>
      </c>
      <c r="B250" s="6" t="inlineStr">
        <is>
          <t>RTM-716</t>
        </is>
      </c>
      <c r="C250" s="6" t="inlineStr">
        <is>
          <t>No</t>
        </is>
      </c>
      <c r="D250" s="6" t="inlineStr">
        <is>
          <t>T2 Secondary</t>
        </is>
      </c>
      <c r="E250" s="6" t="inlineStr">
        <is>
          <t>Acceptance &amp; Warranty</t>
        </is>
      </c>
      <c r="F250" s="82" t="inlineStr">
        <is>
          <t>PROJECT</t>
        </is>
      </c>
      <c r="G250" s="83" t="inlineStr">
        <is>
          <t>Governance &amp; Responsibility</t>
        </is>
      </c>
      <c r="H250" s="59" t="inlineStr">
        <is>
          <t>—</t>
        </is>
      </c>
      <c r="I250" s="81" t="inlineStr">
        <is>
          <t>Inferred: C6 — Reliability &amp; Maintenance (high conf.)</t>
        </is>
      </c>
      <c r="J250" s="6" t="n">
        <v>131</v>
      </c>
      <c r="K250" s="6" t="inlineStr">
        <is>
          <t>10.3</t>
        </is>
      </c>
      <c r="L250" s="6" t="inlineStr">
        <is>
          <t>Warranty Conditions</t>
        </is>
      </c>
      <c r="M250" s="6" t="inlineStr">
        <is>
          <t>In-warranty repairs and/or replacement parts shall be warranted for at least one year after execution, or for the unexpired portion of the original warranty period of the deliverable, whichever is longest.</t>
        </is>
      </c>
      <c r="N250" s="6" t="inlineStr">
        <is>
          <t>In-warranty repairs and/or replacement parts shall be warranted for at least one year after execution, or for the unexpired portion of the original warranty period of the deliverable, whichever is longest.</t>
        </is>
      </c>
      <c r="O250" s="6" t="n">
        <v>2</v>
      </c>
      <c r="P250" s="6" t="n">
        <v>2</v>
      </c>
      <c r="Q250" s="6" t="n">
        <v>0</v>
      </c>
      <c r="R250" s="6" t="n">
        <v>0</v>
      </c>
      <c r="S250" s="6" t="n">
        <v>0</v>
      </c>
      <c r="T250" s="6" t="n">
        <v>3</v>
      </c>
      <c r="U250" s="6" t="n">
        <v>0</v>
      </c>
      <c r="V250" s="6" t="n">
        <v>35</v>
      </c>
      <c r="W250" s="6" t="n">
        <v>66.4355</v>
      </c>
      <c r="X250" s="6" t="n">
        <v>7.5616</v>
      </c>
      <c r="Y250" s="6" t="inlineStr">
        <is>
          <t>Reliability</t>
        </is>
      </c>
      <c r="Z250" s="6" t="inlineStr">
        <is>
          <t>Frozen-weight composite; strongest contribution: Reliability.</t>
        </is>
      </c>
      <c r="AA250" s="6" t="inlineStr">
        <is>
          <t>None explicitly named in this RTM</t>
        </is>
      </c>
      <c r="AB250" s="6" t="inlineStr">
        <is>
          <t>SCK CEN/90508872 §10.3; no named external code</t>
        </is>
      </c>
      <c r="AC250" s="6" t="inlineStr">
        <is>
          <t>RAM/maintenance substantiation and recovery/failure-response evidence</t>
        </is>
      </c>
      <c r="AD250" s="6" t="inlineStr">
        <is>
          <t>No separate deliverable explicitly named</t>
        </is>
      </c>
      <c r="AE250" s="6" t="inlineStr">
        <is>
          <t>Warranty; PAC / Handover; FAC</t>
        </is>
      </c>
      <c r="AF250" s="6" t="inlineStr">
        <is>
          <t>Section/contract-derived reference; derived evidence route</t>
        </is>
      </c>
      <c r="AG250" s="58" t="inlineStr">
        <is>
          <t>Not linked to an OFFER item</t>
        </is>
      </c>
    </row>
    <row r="251" ht="47" customHeight="1">
      <c r="A251" s="6" t="n">
        <v>246</v>
      </c>
      <c r="B251" s="6" t="inlineStr">
        <is>
          <t>RTM-722</t>
        </is>
      </c>
      <c r="C251" s="6" t="inlineStr">
        <is>
          <t>No</t>
        </is>
      </c>
      <c r="D251" s="6" t="inlineStr">
        <is>
          <t>T2 Secondary</t>
        </is>
      </c>
      <c r="E251" s="6" t="inlineStr">
        <is>
          <t>Acceptance &amp; Warranty</t>
        </is>
      </c>
      <c r="F251" s="82" t="inlineStr">
        <is>
          <t>PROJECT</t>
        </is>
      </c>
      <c r="G251" s="83" t="inlineStr">
        <is>
          <t>Governance &amp; Responsibility</t>
        </is>
      </c>
      <c r="H251" s="59" t="inlineStr">
        <is>
          <t>—</t>
        </is>
      </c>
      <c r="I251" s="81" t="inlineStr">
        <is>
          <t>Inferred: C6 — Reliability &amp; Maintenance (high conf.)</t>
        </is>
      </c>
      <c r="J251" s="6" t="n">
        <v>131</v>
      </c>
      <c r="K251" s="6" t="inlineStr">
        <is>
          <t>10.3</t>
        </is>
      </c>
      <c r="L251" s="6" t="inlineStr">
        <is>
          <t>Warranty Conditions</t>
        </is>
      </c>
      <c r="M251" s="6" t="inlineStr">
        <is>
          <t>The warranty stipulations regarding warranty shall apply mutatis mutandis to any spare parts supplied under header of this contract.</t>
        </is>
      </c>
      <c r="N251" s="6" t="inlineStr">
        <is>
          <t>The warranty stipulations regarding warranty shall apply mutatis mutandis to any spare parts supplied under header of this contract.</t>
        </is>
      </c>
      <c r="O251" s="6" t="n">
        <v>2</v>
      </c>
      <c r="P251" s="6" t="n">
        <v>2</v>
      </c>
      <c r="Q251" s="6" t="n">
        <v>0</v>
      </c>
      <c r="R251" s="6" t="n">
        <v>0</v>
      </c>
      <c r="S251" s="6" t="n">
        <v>0</v>
      </c>
      <c r="T251" s="6" t="n">
        <v>3</v>
      </c>
      <c r="U251" s="6" t="n">
        <v>0</v>
      </c>
      <c r="V251" s="6" t="n">
        <v>35</v>
      </c>
      <c r="W251" s="6" t="n">
        <v>66.4355</v>
      </c>
      <c r="X251" s="6" t="n">
        <v>7.5616</v>
      </c>
      <c r="Y251" s="6" t="inlineStr">
        <is>
          <t>Reliability</t>
        </is>
      </c>
      <c r="Z251" s="6" t="inlineStr">
        <is>
          <t>Frozen-weight composite; strongest contribution: Reliability.</t>
        </is>
      </c>
      <c r="AA251" s="6" t="inlineStr">
        <is>
          <t>None explicitly named in this RTM</t>
        </is>
      </c>
      <c r="AB251" s="6" t="inlineStr">
        <is>
          <t>SCK CEN/90508872 §10.3; no named external code</t>
        </is>
      </c>
      <c r="AC251" s="6" t="inlineStr">
        <is>
          <t>RAM/maintenance substantiation and recovery/failure-response evidence</t>
        </is>
      </c>
      <c r="AD251" s="6" t="inlineStr">
        <is>
          <t>No separate deliverable explicitly named</t>
        </is>
      </c>
      <c r="AE251" s="6" t="inlineStr">
        <is>
          <t>Warranty; PAC / Handover; FAC</t>
        </is>
      </c>
      <c r="AF251" s="6" t="inlineStr">
        <is>
          <t>Section/contract-derived reference; derived evidence route</t>
        </is>
      </c>
      <c r="AG251" s="58" t="inlineStr">
        <is>
          <t>Not linked to an OFFER item</t>
        </is>
      </c>
    </row>
    <row r="252" ht="47" customHeight="1">
      <c r="A252" s="6" t="n">
        <v>247</v>
      </c>
      <c r="B252" s="6" t="inlineStr">
        <is>
          <t>RTM-149</t>
        </is>
      </c>
      <c r="C252" s="6" t="inlineStr">
        <is>
          <t>No</t>
        </is>
      </c>
      <c r="D252" s="6" t="inlineStr">
        <is>
          <t>T2 Secondary</t>
        </is>
      </c>
      <c r="E252" s="6" t="inlineStr">
        <is>
          <t>Subsystems</t>
        </is>
      </c>
      <c r="F252" s="82" t="inlineStr">
        <is>
          <t>SYSTEM</t>
        </is>
      </c>
      <c r="G252" s="83" t="inlineStr">
        <is>
          <t>Performance</t>
        </is>
      </c>
      <c r="H252" s="59" t="inlineStr">
        <is>
          <t>—</t>
        </is>
      </c>
      <c r="I252" s="58" t="inlineStr">
        <is>
          <t>C3 — Mechanical &amp; Equipment</t>
        </is>
      </c>
      <c r="J252" s="6" t="n">
        <v>49</v>
      </c>
      <c r="K252" s="6" t="inlineStr">
        <is>
          <t>4.4.3.2</t>
        </is>
      </c>
      <c r="L252" s="6" t="inlineStr">
        <is>
          <t>Compressors requirements</t>
        </is>
      </c>
      <c r="M252" s="6" t="inlineStr">
        <is>
          <t>Each compressor shall be capable of stable turndown to ≤ 30 % of the rated mass flow, without surge or recycle, over the specified operating-pressure range.</t>
        </is>
      </c>
      <c r="N252" s="6" t="inlineStr">
        <is>
          <t>Each compressor shall be capable of stable turndown to ≤ 30 % of the rated mass flow, without surge or recycle, over the specified operating-pressure range.</t>
        </is>
      </c>
      <c r="O252" s="6" t="n">
        <v>0</v>
      </c>
      <c r="P252" s="6" t="n">
        <v>0</v>
      </c>
      <c r="Q252" s="6" t="n">
        <v>3</v>
      </c>
      <c r="R252" s="6" t="n">
        <v>2</v>
      </c>
      <c r="S252" s="6" t="n">
        <v>1</v>
      </c>
      <c r="T252" s="6" t="n">
        <v>0</v>
      </c>
      <c r="U252" s="6" t="n">
        <v>0</v>
      </c>
      <c r="V252" s="6" t="n">
        <v>34.666667</v>
      </c>
      <c r="W252" s="6" t="n">
        <v>65.1872</v>
      </c>
      <c r="X252" s="6" t="n">
        <v>7.0351</v>
      </c>
      <c r="Y252" s="6" t="inlineStr">
        <is>
          <t>Performance</t>
        </is>
      </c>
      <c r="Z252" s="6" t="inlineStr">
        <is>
          <t>Frozen-weight composite; strongest contribution: Performance.</t>
        </is>
      </c>
      <c r="AA252" s="6" t="inlineStr">
        <is>
          <t>None explicitly named in this RTM</t>
        </is>
      </c>
      <c r="AB252" s="6" t="inlineStr">
        <is>
          <t>Section-level: API 671; ISO 10441</t>
        </is>
      </c>
      <c r="AC252" s="6" t="inlineStr">
        <is>
          <t>Calculation/model plus calibrated measurement or recorded trend</t>
        </is>
      </c>
      <c r="AD252" s="6" t="inlineStr">
        <is>
          <t>No separate deliverable explicitly named</t>
        </is>
      </c>
      <c r="AE252" s="6" t="inlineStr">
        <is>
          <t>L1 Conceptual Design; L2 Detailed Design</t>
        </is>
      </c>
      <c r="AF252" s="6" t="inlineStr">
        <is>
          <t>Section/contract-derived reference; derived evidence route</t>
        </is>
      </c>
      <c r="AG252" s="58" t="inlineStr">
        <is>
          <t>OFFER-13 (Broad/contextual — main component specification); OFFER-16 (Direct)</t>
        </is>
      </c>
    </row>
    <row r="253" ht="125" customHeight="1">
      <c r="A253" s="6" t="n">
        <v>248</v>
      </c>
      <c r="B253" s="6" t="inlineStr">
        <is>
          <t>RTM-187</t>
        </is>
      </c>
      <c r="C253" s="6" t="inlineStr">
        <is>
          <t>No</t>
        </is>
      </c>
      <c r="D253" s="6" t="inlineStr">
        <is>
          <t>T2 Secondary</t>
        </is>
      </c>
      <c r="E253" s="6" t="inlineStr">
        <is>
          <t>Subsystems</t>
        </is>
      </c>
      <c r="F253" s="82" t="inlineStr">
        <is>
          <t>SYSTEM</t>
        </is>
      </c>
      <c r="G253" s="83" t="inlineStr">
        <is>
          <t>Performance</t>
        </is>
      </c>
      <c r="H253" s="59" t="inlineStr">
        <is>
          <t>—</t>
        </is>
      </c>
      <c r="I253" s="81" t="inlineStr">
        <is>
          <t>Inferred: C2 — Process Design (low conf.)</t>
        </is>
      </c>
      <c r="J253" s="6" t="n">
        <v>53</v>
      </c>
      <c r="K253" s="6" t="inlineStr">
        <is>
          <t>4.4.3.7</t>
        </is>
      </c>
      <c r="L253" s="6" t="inlineStr">
        <is>
          <t>Helium dryer</t>
        </is>
      </c>
      <c r="M253" s="6" t="inlineStr">
        <is>
          <t>The helium dryer system shall comply with the following performance requirements:</t>
        </is>
      </c>
      <c r="N253" s="6" t="inlineStr">
        <is>
          <t>The helium dryer system shall comply with the following performance requirements:
• It shall remove water from the helium stream to a residual concentration of less than 1 ppm by volume.
• It shall generate a total pressure drop of less than 0.5 bar at nominal operating conditions.
• Each helium dryer shall be dimensioned for the full HP helium mass flow contaminated with up to 50 ppm by volume of water for a duration of at least 12 h before regeneration is required.</t>
        </is>
      </c>
      <c r="O253" s="6" t="n">
        <v>0</v>
      </c>
      <c r="P253" s="6" t="n">
        <v>0</v>
      </c>
      <c r="Q253" s="6" t="n">
        <v>3</v>
      </c>
      <c r="R253" s="6" t="n">
        <v>2</v>
      </c>
      <c r="S253" s="6" t="n">
        <v>1</v>
      </c>
      <c r="T253" s="6" t="n">
        <v>0</v>
      </c>
      <c r="U253" s="6" t="n">
        <v>0</v>
      </c>
      <c r="V253" s="6" t="n">
        <v>34.666667</v>
      </c>
      <c r="W253" s="6" t="n">
        <v>65.1872</v>
      </c>
      <c r="X253" s="6" t="n">
        <v>7.0351</v>
      </c>
      <c r="Y253" s="6" t="inlineStr">
        <is>
          <t>Performance</t>
        </is>
      </c>
      <c r="Z253" s="6" t="inlineStr">
        <is>
          <t>Frozen-weight composite; strongest contribution: Performance.</t>
        </is>
      </c>
      <c r="AA253" s="6" t="inlineStr">
        <is>
          <t>None explicitly named in this RTM</t>
        </is>
      </c>
      <c r="AB253" s="6" t="inlineStr">
        <is>
          <t>SCK CEN/90508872 §4.4.3.7; no named external code</t>
        </is>
      </c>
      <c r="AC253" s="6" t="inlineStr">
        <is>
          <t>Calculation/model plus calibrated measurement or recorded trend</t>
        </is>
      </c>
      <c r="AD253" s="6" t="inlineStr">
        <is>
          <t>No separate deliverable explicitly named</t>
        </is>
      </c>
      <c r="AE253" s="6" t="inlineStr">
        <is>
          <t>L1 Conceptual Design; L2 Detailed Design</t>
        </is>
      </c>
      <c r="AF253" s="6" t="inlineStr">
        <is>
          <t>Section/contract-derived reference; derived evidence route</t>
        </is>
      </c>
      <c r="AG253" s="58" t="inlineStr">
        <is>
          <t>Not linked to an OFFER item</t>
        </is>
      </c>
    </row>
    <row r="254" ht="60" customHeight="1">
      <c r="A254" s="6" t="n">
        <v>249</v>
      </c>
      <c r="B254" s="6" t="inlineStr">
        <is>
          <t>RTM-206</t>
        </is>
      </c>
      <c r="C254" s="6" t="inlineStr">
        <is>
          <t>No</t>
        </is>
      </c>
      <c r="D254" s="6" t="inlineStr">
        <is>
          <t>T2 Secondary</t>
        </is>
      </c>
      <c r="E254" s="6" t="inlineStr">
        <is>
          <t>Subsystems</t>
        </is>
      </c>
      <c r="F254" s="82" t="inlineStr">
        <is>
          <t>SYSTEM</t>
        </is>
      </c>
      <c r="G254" s="83" t="inlineStr">
        <is>
          <t>Performance</t>
        </is>
      </c>
      <c r="H254" s="59" t="inlineStr">
        <is>
          <t>—</t>
        </is>
      </c>
      <c r="I254" s="58" t="inlineStr">
        <is>
          <t>C2 — Process Design</t>
        </is>
      </c>
      <c r="J254" s="6" t="n">
        <v>56</v>
      </c>
      <c r="K254" s="6" t="inlineStr">
        <is>
          <t>4.4.4.2.2</t>
        </is>
      </c>
      <c r="L254" s="6" t="inlineStr">
        <is>
          <t>Main Process Heat Exchangers (MPHX)</t>
        </is>
      </c>
      <c r="M254" s="6" t="inlineStr">
        <is>
          <t>For MPHXs operating between 300 K and 80 K, the design shall incorporate provisions for controlled warm-up and regeneration of the high-pressure side to remove frozen moisture and impurities.</t>
        </is>
      </c>
      <c r="N254" s="6" t="inlineStr">
        <is>
          <t>For MPHXs operating between 300 K and 80 K, the design shall incorporate provisions for controlled warm-up and regeneration of the high-pressure side to remove frozen moisture and impurities.</t>
        </is>
      </c>
      <c r="O254" s="6" t="n">
        <v>0</v>
      </c>
      <c r="P254" s="6" t="n">
        <v>0</v>
      </c>
      <c r="Q254" s="6" t="n">
        <v>3</v>
      </c>
      <c r="R254" s="6" t="n">
        <v>2</v>
      </c>
      <c r="S254" s="6" t="n">
        <v>1</v>
      </c>
      <c r="T254" s="6" t="n">
        <v>0</v>
      </c>
      <c r="U254" s="6" t="n">
        <v>0</v>
      </c>
      <c r="V254" s="6" t="n">
        <v>34.666667</v>
      </c>
      <c r="W254" s="6" t="n">
        <v>65.1872</v>
      </c>
      <c r="X254" s="6" t="n">
        <v>7.0351</v>
      </c>
      <c r="Y254" s="6" t="inlineStr">
        <is>
          <t>Performance</t>
        </is>
      </c>
      <c r="Z254" s="6" t="inlineStr">
        <is>
          <t>Frozen-weight composite; strongest contribution: Performance.</t>
        </is>
      </c>
      <c r="AA254" s="6" t="inlineStr">
        <is>
          <t>None explicitly named in this RTM</t>
        </is>
      </c>
      <c r="AB254" s="6" t="inlineStr">
        <is>
          <t>SCK CEN/90508872 §4.4.4.2.2; no named external code</t>
        </is>
      </c>
      <c r="AC254" s="6" t="inlineStr">
        <is>
          <t>Calculation/model plus calibrated measurement or recorded trend; Functional design/configuration review and sequence/interface demonstration</t>
        </is>
      </c>
      <c r="AD254" s="6" t="inlineStr">
        <is>
          <t>No separate deliverable explicitly named</t>
        </is>
      </c>
      <c r="AE254" s="6" t="inlineStr">
        <is>
          <t>L1 Conceptual Design; L2 Detailed Design</t>
        </is>
      </c>
      <c r="AF254" s="6" t="inlineStr">
        <is>
          <t>Section/contract-derived reference; derived evidence route</t>
        </is>
      </c>
      <c r="AG254" s="58" t="inlineStr">
        <is>
          <t>OFFER-18 (Direct)</t>
        </is>
      </c>
    </row>
    <row r="255" ht="99" customHeight="1">
      <c r="A255" s="6" t="n">
        <v>250</v>
      </c>
      <c r="B255" s="6" t="inlineStr">
        <is>
          <t>RTM-228</t>
        </is>
      </c>
      <c r="C255" s="6" t="inlineStr">
        <is>
          <t>No</t>
        </is>
      </c>
      <c r="D255" s="6" t="inlineStr">
        <is>
          <t>T2 Secondary</t>
        </is>
      </c>
      <c r="E255" s="6" t="inlineStr">
        <is>
          <t>Subsystems</t>
        </is>
      </c>
      <c r="F255" s="82" t="inlineStr">
        <is>
          <t>SYSTEM</t>
        </is>
      </c>
      <c r="G255" s="83" t="inlineStr">
        <is>
          <t>Performance</t>
        </is>
      </c>
      <c r="H255" s="59" t="inlineStr">
        <is>
          <t>—</t>
        </is>
      </c>
      <c r="I255" s="81" t="inlineStr">
        <is>
          <t>Inferred: C2 — Process Design (low conf.)</t>
        </is>
      </c>
      <c r="J255" s="6" t="n">
        <v>58</v>
      </c>
      <c r="K255" s="6" t="inlineStr">
        <is>
          <t>4.4.4.2.6</t>
        </is>
      </c>
      <c r="L255" s="6" t="inlineStr">
        <is>
          <t>Adsorbers</t>
        </is>
      </c>
      <c r="M255" s="6" t="inlineStr">
        <is>
          <t>The 20 K adsorber system shall remove residual impurities (i.e. neon and hydrogen), and shall comply with the following requirements:</t>
        </is>
      </c>
      <c r="N255" s="6" t="inlineStr">
        <is>
          <t>The 20 K adsorber system shall remove residual impurities (i.e. neon and hydrogen), and shall comply with the following requirements:
• The adsorber shall operate at a temperature below 25 K.
• The adsorber shall be sized to retain impurities corresponding to the full helium flow contaminated with ≤1 ppm by volume of hydrogen and ≤1 ppm by volume of neon for a duration of at least 200 hours.
• The regeneration and subsequent cool-down shall take less than 12 hours.</t>
        </is>
      </c>
      <c r="O255" s="6" t="n">
        <v>0</v>
      </c>
      <c r="P255" s="6" t="n">
        <v>0</v>
      </c>
      <c r="Q255" s="6" t="n">
        <v>3</v>
      </c>
      <c r="R255" s="6" t="n">
        <v>2</v>
      </c>
      <c r="S255" s="6" t="n">
        <v>1</v>
      </c>
      <c r="T255" s="6" t="n">
        <v>0</v>
      </c>
      <c r="U255" s="6" t="n">
        <v>0</v>
      </c>
      <c r="V255" s="6" t="n">
        <v>34.666667</v>
      </c>
      <c r="W255" s="6" t="n">
        <v>65.1872</v>
      </c>
      <c r="X255" s="6" t="n">
        <v>7.0351</v>
      </c>
      <c r="Y255" s="6" t="inlineStr">
        <is>
          <t>Performance</t>
        </is>
      </c>
      <c r="Z255" s="6" t="inlineStr">
        <is>
          <t>Frozen-weight composite; strongest contribution: Performance.</t>
        </is>
      </c>
      <c r="AA255" s="6" t="inlineStr">
        <is>
          <t>None explicitly named in this RTM</t>
        </is>
      </c>
      <c r="AB255" s="6" t="inlineStr">
        <is>
          <t>SCK CEN/90508872 §4.4.4.2.6; no named external code</t>
        </is>
      </c>
      <c r="AC255" s="6" t="inlineStr">
        <is>
          <t>Calculation/model plus calibrated measurement or recorded trend</t>
        </is>
      </c>
      <c r="AD255" s="6" t="inlineStr">
        <is>
          <t>No separate deliverable explicitly named</t>
        </is>
      </c>
      <c r="AE255" s="6" t="inlineStr">
        <is>
          <t>L1 Conceptual Design; L2 Detailed Design</t>
        </is>
      </c>
      <c r="AF255" s="6" t="inlineStr">
        <is>
          <t>Section/contract-derived reference; derived evidence route</t>
        </is>
      </c>
      <c r="AG255" s="58" t="inlineStr">
        <is>
          <t>Not linked to an OFFER item</t>
        </is>
      </c>
    </row>
    <row r="256" ht="138" customHeight="1">
      <c r="A256" s="6" t="n">
        <v>251</v>
      </c>
      <c r="B256" s="6" t="inlineStr">
        <is>
          <t>RTM-289</t>
        </is>
      </c>
      <c r="C256" s="6" t="inlineStr">
        <is>
          <t>No</t>
        </is>
      </c>
      <c r="D256" s="6" t="inlineStr">
        <is>
          <t>T2 Secondary</t>
        </is>
      </c>
      <c r="E256" s="6" t="inlineStr">
        <is>
          <t>Cryogenic Interfaces</t>
        </is>
      </c>
      <c r="F256" s="82" t="inlineStr">
        <is>
          <t>SYSTEM</t>
        </is>
      </c>
      <c r="G256" s="83" t="inlineStr">
        <is>
          <t>Performance</t>
        </is>
      </c>
      <c r="H256" s="59" t="inlineStr">
        <is>
          <t>—</t>
        </is>
      </c>
      <c r="I256" s="58" t="inlineStr">
        <is>
          <t>Not linked to an OFFER item</t>
        </is>
      </c>
      <c r="J256" s="6" t="n">
        <v>68</v>
      </c>
      <c r="K256" s="6" t="inlineStr">
        <is>
          <t>4.5.2.1</t>
        </is>
      </c>
      <c r="L256" s="6" t="inlineStr">
        <is>
          <t>Specificities for Line U interface</t>
        </is>
      </c>
      <c r="M256" s="6" t="inlineStr">
        <is>
          <t>The flow conditions at QRB.U shall be:</t>
        </is>
      </c>
      <c r="N256" s="6" t="inlineStr">
        <is>
          <t>The flow conditions at QRB.U shall be:
• Nominal flow temperature: ambient temperature ± 5 K
• Nominal supply pressure: ~1.5 bar
• Protected maximum supply pressure: 1.6 bar
• Helium mass flow rate:
• ≤20 g/s during conditioning of Cryogenic Users (~2 kg in ≤120 s)
• During replenishment of helium guards: to be defined latest by the end of the Detailed Design phase
• Helium quality: clean helium suitable for direct use, in accordance with the QPS helium cleanliness requirements</t>
        </is>
      </c>
      <c r="O256" s="6" t="n">
        <v>0</v>
      </c>
      <c r="P256" s="6" t="n">
        <v>0</v>
      </c>
      <c r="Q256" s="6" t="n">
        <v>3</v>
      </c>
      <c r="R256" s="6" t="n">
        <v>2</v>
      </c>
      <c r="S256" s="6" t="n">
        <v>1</v>
      </c>
      <c r="T256" s="6" t="n">
        <v>0</v>
      </c>
      <c r="U256" s="6" t="n">
        <v>0</v>
      </c>
      <c r="V256" s="6" t="n">
        <v>34.666667</v>
      </c>
      <c r="W256" s="6" t="n">
        <v>65.1872</v>
      </c>
      <c r="X256" s="6" t="n">
        <v>7.0351</v>
      </c>
      <c r="Y256" s="6" t="inlineStr">
        <is>
          <t>Performance</t>
        </is>
      </c>
      <c r="Z256" s="6" t="inlineStr">
        <is>
          <t>Frozen-weight composite; strongest contribution: Performance.</t>
        </is>
      </c>
      <c r="AA256" s="6" t="inlineStr">
        <is>
          <t>None explicitly named in this RTM</t>
        </is>
      </c>
      <c r="AB256" s="6" t="inlineStr">
        <is>
          <t>SCK CEN/90508872 §4.5.2.1; no named external code</t>
        </is>
      </c>
      <c r="AC256" s="6" t="inlineStr">
        <is>
          <t>Witnessed FAT/SAT/commissioning test against stated acceptance criteria; Calculation/model plus calibrated measurement or recorded trend</t>
        </is>
      </c>
      <c r="AD256" s="6" t="inlineStr">
        <is>
          <t>No separate deliverable explicitly named</t>
        </is>
      </c>
      <c r="AE256" s="6" t="inlineStr">
        <is>
          <t>L2 Detailed Design; L1 Conceptual Design</t>
        </is>
      </c>
      <c r="AF256" s="6" t="inlineStr">
        <is>
          <t>Section/contract-derived reference; explicit deliverable/test wording</t>
        </is>
      </c>
      <c r="AG256" s="58" t="inlineStr">
        <is>
          <t>Not linked to an OFFER item</t>
        </is>
      </c>
    </row>
    <row r="257" ht="164" customHeight="1">
      <c r="A257" s="6" t="n">
        <v>252</v>
      </c>
      <c r="B257" s="6" t="inlineStr">
        <is>
          <t>RTM-292</t>
        </is>
      </c>
      <c r="C257" s="6" t="inlineStr">
        <is>
          <t>No</t>
        </is>
      </c>
      <c r="D257" s="6" t="inlineStr">
        <is>
          <t>T2 Secondary</t>
        </is>
      </c>
      <c r="E257" s="6" t="inlineStr">
        <is>
          <t>Cryogenic Interfaces</t>
        </is>
      </c>
      <c r="F257" s="82" t="inlineStr">
        <is>
          <t>SYSTEM</t>
        </is>
      </c>
      <c r="G257" s="83" t="inlineStr">
        <is>
          <t>Performance</t>
        </is>
      </c>
      <c r="H257" s="59" t="inlineStr">
        <is>
          <t>—</t>
        </is>
      </c>
      <c r="I257" s="58" t="inlineStr">
        <is>
          <t>Not linked to an OFFER item</t>
        </is>
      </c>
      <c r="J257" s="6" t="n">
        <v>68</v>
      </c>
      <c r="K257" s="6" t="inlineStr">
        <is>
          <t>4.5.2.2</t>
        </is>
      </c>
      <c r="L257" s="6" t="inlineStr">
        <is>
          <t>Specificities for Line S interface</t>
        </is>
      </c>
      <c r="M257" s="6" t="inlineStr">
        <is>
          <t>The flow conditions at QRB.S shall be:</t>
        </is>
      </c>
      <c r="N257" s="6" t="inlineStr">
        <is>
          <t>The flow conditions at QRB.S shall be:
• Nominal flow temperature: ambient temperature ± 15 K
• Nominal return pressure: 1.1 bar ±5 mbar
• Minimum allowable pressure: 1.05 bar
• Helium mass flow rate capabilities (use cases):
• Residual/erratic return flow: ≤0.1 g/s continuous
• Uncontrolled reheating at the Cryogenic Users: 100 g/s nominal with spikes to 150 g/s during 6-8 h
• Sudden and total break of insulation vacuum at the Cryogenic Users (QVE): transient return flow spike up to 200 g/s for ~100 s.
• Helium quality: clean helium suitable for direct use, in accordance with the QPS helium cleanliness requirements.</t>
        </is>
      </c>
      <c r="O257" s="6" t="n">
        <v>0</v>
      </c>
      <c r="P257" s="6" t="n">
        <v>0</v>
      </c>
      <c r="Q257" s="6" t="n">
        <v>3</v>
      </c>
      <c r="R257" s="6" t="n">
        <v>2</v>
      </c>
      <c r="S257" s="6" t="n">
        <v>1</v>
      </c>
      <c r="T257" s="6" t="n">
        <v>0</v>
      </c>
      <c r="U257" s="6" t="n">
        <v>0</v>
      </c>
      <c r="V257" s="6" t="n">
        <v>34.666667</v>
      </c>
      <c r="W257" s="6" t="n">
        <v>65.1872</v>
      </c>
      <c r="X257" s="6" t="n">
        <v>7.0351</v>
      </c>
      <c r="Y257" s="6" t="inlineStr">
        <is>
          <t>Performance</t>
        </is>
      </c>
      <c r="Z257" s="6" t="inlineStr">
        <is>
          <t>Frozen-weight composite; strongest contribution: Performance.</t>
        </is>
      </c>
      <c r="AA257" s="6" t="inlineStr">
        <is>
          <t>None explicitly named in this RTM</t>
        </is>
      </c>
      <c r="AB257" s="6" t="inlineStr">
        <is>
          <t>SCK CEN/90508872 §4.5.2.2; no named external code</t>
        </is>
      </c>
      <c r="AC257" s="6" t="inlineStr">
        <is>
          <t>Calculation/model plus calibrated measurement or recorded trend; Functional design/configuration review and sequence/interface demonstration</t>
        </is>
      </c>
      <c r="AD257" s="6" t="inlineStr">
        <is>
          <t>No separate deliverable explicitly named</t>
        </is>
      </c>
      <c r="AE257" s="6" t="inlineStr">
        <is>
          <t>L1 Conceptual Design; L2 Detailed Design</t>
        </is>
      </c>
      <c r="AF257" s="6" t="inlineStr">
        <is>
          <t>Section/contract-derived reference; derived evidence route</t>
        </is>
      </c>
      <c r="AG257" s="58" t="inlineStr">
        <is>
          <t>Not linked to an OFFER item</t>
        </is>
      </c>
    </row>
    <row r="258" ht="125" customHeight="1">
      <c r="A258" s="6" t="n">
        <v>253</v>
      </c>
      <c r="B258" s="6" t="inlineStr">
        <is>
          <t>RTM-296</t>
        </is>
      </c>
      <c r="C258" s="6" t="inlineStr">
        <is>
          <t>No</t>
        </is>
      </c>
      <c r="D258" s="6" t="inlineStr">
        <is>
          <t>T2 Secondary</t>
        </is>
      </c>
      <c r="E258" s="6" t="inlineStr">
        <is>
          <t>Cryogenic Interfaces</t>
        </is>
      </c>
      <c r="F258" s="82" t="inlineStr">
        <is>
          <t>SYSTEM</t>
        </is>
      </c>
      <c r="G258" s="83" t="inlineStr">
        <is>
          <t>Performance</t>
        </is>
      </c>
      <c r="H258" s="59" t="inlineStr">
        <is>
          <t>—</t>
        </is>
      </c>
      <c r="I258" s="58" t="inlineStr">
        <is>
          <t>Not linked to an OFFER item</t>
        </is>
      </c>
      <c r="J258" s="6" t="n">
        <v>69</v>
      </c>
      <c r="K258" s="6" t="inlineStr">
        <is>
          <t>4.5.2.3</t>
        </is>
      </c>
      <c r="L258" s="6" t="inlineStr">
        <is>
          <t>Specificities for Line W interface</t>
        </is>
      </c>
      <c r="M258" s="6" t="inlineStr">
        <is>
          <t>The flow conditions at QRB.W shall be:</t>
        </is>
      </c>
      <c r="N258" s="6" t="inlineStr">
        <is>
          <t>The flow conditions at QRB.W shall be:
• Nominal flow temperature: ambient temperature ± 5 K
• Nominal return pressure: 1.1 bar ±10 mbar
• Helium mass flow rate:
• For 4K-SB, 2K-SB and 2K-OP: 0-3 g/s with stability of ±0.1g/s peak-to-peak over τ=1 min
• For TS-SB and RT-SB: no flow
• Helium quality: clean helium suitable for direct use, in accordance with the QPS helium cleanliness requirements.</t>
        </is>
      </c>
      <c r="O258" s="6" t="n">
        <v>0</v>
      </c>
      <c r="P258" s="6" t="n">
        <v>0</v>
      </c>
      <c r="Q258" s="6" t="n">
        <v>3</v>
      </c>
      <c r="R258" s="6" t="n">
        <v>2</v>
      </c>
      <c r="S258" s="6" t="n">
        <v>1</v>
      </c>
      <c r="T258" s="6" t="n">
        <v>0</v>
      </c>
      <c r="U258" s="6" t="n">
        <v>0</v>
      </c>
      <c r="V258" s="6" t="n">
        <v>34.666667</v>
      </c>
      <c r="W258" s="6" t="n">
        <v>65.1872</v>
      </c>
      <c r="X258" s="6" t="n">
        <v>7.0351</v>
      </c>
      <c r="Y258" s="6" t="inlineStr">
        <is>
          <t>Performance</t>
        </is>
      </c>
      <c r="Z258" s="6" t="inlineStr">
        <is>
          <t>Frozen-weight composite; strongest contribution: Performance.</t>
        </is>
      </c>
      <c r="AA258" s="6" t="inlineStr">
        <is>
          <t>None explicitly named in this RTM</t>
        </is>
      </c>
      <c r="AB258" s="6" t="inlineStr">
        <is>
          <t>SCK CEN/90508872 §4.5.2.3; no named external code</t>
        </is>
      </c>
      <c r="AC258" s="6" t="inlineStr">
        <is>
          <t>Calculation/model plus calibrated measurement or recorded trend</t>
        </is>
      </c>
      <c r="AD258" s="6" t="inlineStr">
        <is>
          <t>No separate deliverable explicitly named</t>
        </is>
      </c>
      <c r="AE258" s="6" t="inlineStr">
        <is>
          <t>L1 Conceptual Design; L2 Detailed Design</t>
        </is>
      </c>
      <c r="AF258" s="6" t="inlineStr">
        <is>
          <t>Section/contract-derived reference; derived evidence route</t>
        </is>
      </c>
      <c r="AG258" s="58" t="inlineStr">
        <is>
          <t>Not linked to an OFFER item</t>
        </is>
      </c>
    </row>
    <row r="259" ht="112" customHeight="1">
      <c r="A259" s="6" t="n">
        <v>254</v>
      </c>
      <c r="B259" s="6" t="inlineStr">
        <is>
          <t>RTM-475</t>
        </is>
      </c>
      <c r="C259" s="6" t="inlineStr">
        <is>
          <t>No</t>
        </is>
      </c>
      <c r="D259" s="6" t="inlineStr">
        <is>
          <t>T2 Secondary</t>
        </is>
      </c>
      <c r="E259" s="6" t="inlineStr">
        <is>
          <t>Installation</t>
        </is>
      </c>
      <c r="F259" s="82" t="inlineStr">
        <is>
          <t>PROJECT</t>
        </is>
      </c>
      <c r="G259" s="83" t="inlineStr">
        <is>
          <t>Documentation &amp; Compliance</t>
        </is>
      </c>
      <c r="H259" s="59" t="inlineStr">
        <is>
          <t>—</t>
        </is>
      </c>
      <c r="I259" s="58" t="inlineStr">
        <is>
          <t>Not linked to an OFFER item</t>
        </is>
      </c>
      <c r="J259" s="6" t="n">
        <v>91</v>
      </c>
      <c r="K259" s="6" t="inlineStr">
        <is>
          <t>4.10</t>
        </is>
      </c>
      <c r="L259" s="6" t="inlineStr">
        <is>
          <t>Installation Requirements</t>
        </is>
      </c>
      <c r="M259" s="6" t="inlineStr">
        <is>
          <t>Prior to installation at the SCK CEN site, the Contractor shall submit the QA/QC governance applicable to the installation activities.</t>
        </is>
      </c>
      <c r="N259" s="6" t="inlineStr">
        <is>
          <t>Prior to installation at the SCK CEN site, the Contractor shall submit the QA/QC governance applicable to the installation activities.
• This shall identify the responsibilities for installation quality control, the authority for approval of installation completion prior to testing, and the escalation path for deviations and non-conformities.
• This governance shall be documented in the applicable QAP documentation and updated as necessary to provide granular details of the installation phase.</t>
        </is>
      </c>
      <c r="O259" s="6" t="n">
        <v>1</v>
      </c>
      <c r="P259" s="6" t="n">
        <v>0</v>
      </c>
      <c r="Q259" s="6" t="n">
        <v>0</v>
      </c>
      <c r="R259" s="6" t="n">
        <v>3</v>
      </c>
      <c r="S259" s="6" t="n">
        <v>3</v>
      </c>
      <c r="T259" s="6" t="n">
        <v>0</v>
      </c>
      <c r="U259" s="6" t="n">
        <v>0</v>
      </c>
      <c r="V259" s="6" t="n">
        <v>34.666667</v>
      </c>
      <c r="W259" s="6" t="n">
        <v>65.1872</v>
      </c>
      <c r="X259" s="6" t="n">
        <v>7.0351</v>
      </c>
      <c r="Y259" s="6" t="inlineStr">
        <is>
          <t>Functional</t>
        </is>
      </c>
      <c r="Z259" s="6" t="inlineStr">
        <is>
          <t>Frozen-weight composite; strongest contribution: Functional.</t>
        </is>
      </c>
      <c r="AA259" s="6" t="inlineStr">
        <is>
          <t>None explicitly named in this RTM</t>
        </is>
      </c>
      <c r="AB259" s="6" t="inlineStr">
        <is>
          <t>SCK CEN/90508872 §4.10; no named external code</t>
        </is>
      </c>
      <c r="AC259" s="6" t="inlineStr">
        <is>
          <t>Submit and review the named deliverable with RTM traceability and approval status; Witnessed FAT/SAT/commissioning test against stated acceptance criteria; Functional design/configuration review and sequence/interface demonstration</t>
        </is>
      </c>
      <c r="AD259" s="6" t="inlineStr">
        <is>
          <t>Quality Assurance Plan (QAP)</t>
        </is>
      </c>
      <c r="AE259" s="6" t="inlineStr">
        <is>
          <t>L4 Installation; L1 Conceptual Design; L2 Detailed Design</t>
        </is>
      </c>
      <c r="AF259" s="6" t="inlineStr">
        <is>
          <t>Section/contract-derived reference; explicit deliverable/test wording</t>
        </is>
      </c>
      <c r="AG259" s="58" t="inlineStr">
        <is>
          <t>Not linked to an OFFER item</t>
        </is>
      </c>
    </row>
    <row r="260" ht="34" customHeight="1">
      <c r="A260" s="6" t="n">
        <v>255</v>
      </c>
      <c r="B260" s="6" t="inlineStr">
        <is>
          <t>RTM-510</t>
        </is>
      </c>
      <c r="C260" s="6" t="inlineStr">
        <is>
          <t>No</t>
        </is>
      </c>
      <c r="D260" s="6" t="inlineStr">
        <is>
          <t>T2 Secondary</t>
        </is>
      </c>
      <c r="E260" s="6" t="inlineStr">
        <is>
          <t>Acceptance Testing</t>
        </is>
      </c>
      <c r="F260" s="82" t="inlineStr">
        <is>
          <t>PROJECT</t>
        </is>
      </c>
      <c r="G260" s="83" t="inlineStr">
        <is>
          <t>Governance &amp; Responsibility</t>
        </is>
      </c>
      <c r="H260" s="59" t="inlineStr">
        <is>
          <t>—</t>
        </is>
      </c>
      <c r="I260" s="58" t="inlineStr">
        <is>
          <t>C7 — Quality, Testing &amp; Risk</t>
        </is>
      </c>
      <c r="J260" s="6" t="n">
        <v>98</v>
      </c>
      <c r="K260" s="6" t="inlineStr">
        <is>
          <t>4.13.3.1</t>
        </is>
      </c>
      <c r="L260" s="6" t="inlineStr">
        <is>
          <t>Demonstration of functional behaviour and operability</t>
        </is>
      </c>
      <c r="M260" s="6" t="inlineStr">
        <is>
          <t>The Contractor shall demonstrate the correct functional behaviour and operability of the QPS during the SAT.</t>
        </is>
      </c>
      <c r="N260" s="6" t="inlineStr">
        <is>
          <t>The Contractor shall demonstrate the correct functional behaviour and operability of the QPS during the SAT.</t>
        </is>
      </c>
      <c r="O260" s="6" t="n">
        <v>1</v>
      </c>
      <c r="P260" s="6" t="n">
        <v>0</v>
      </c>
      <c r="Q260" s="6" t="n">
        <v>0</v>
      </c>
      <c r="R260" s="6" t="n">
        <v>3</v>
      </c>
      <c r="S260" s="6" t="n">
        <v>3</v>
      </c>
      <c r="T260" s="6" t="n">
        <v>0</v>
      </c>
      <c r="U260" s="6" t="n">
        <v>0</v>
      </c>
      <c r="V260" s="6" t="n">
        <v>34.666667</v>
      </c>
      <c r="W260" s="6" t="n">
        <v>65.1872</v>
      </c>
      <c r="X260" s="6" t="n">
        <v>7.0351</v>
      </c>
      <c r="Y260" s="6" t="inlineStr">
        <is>
          <t>Functional</t>
        </is>
      </c>
      <c r="Z260" s="6" t="inlineStr">
        <is>
          <t>Frozen-weight composite; strongest contribution: Functional.</t>
        </is>
      </c>
      <c r="AA260" s="6" t="inlineStr">
        <is>
          <t>None explicitly named in this RTM</t>
        </is>
      </c>
      <c r="AB260" s="6" t="inlineStr">
        <is>
          <t>SCK CEN/90508872 §4.13.3.1; no named external code</t>
        </is>
      </c>
      <c r="AC260" s="6" t="inlineStr">
        <is>
          <t>Witnessed FAT/SAT/commissioning test against stated acceptance criteria</t>
        </is>
      </c>
      <c r="AD260" s="6" t="inlineStr">
        <is>
          <t>No separate deliverable explicitly named</t>
        </is>
      </c>
      <c r="AE260" s="6" t="inlineStr">
        <is>
          <t>L6 Site Acceptance Testing; L1 Conceptual Design; L2 Detailed Design</t>
        </is>
      </c>
      <c r="AF260" s="6" t="inlineStr">
        <is>
          <t>Section/contract-derived reference; explicit deliverable/test wording</t>
        </is>
      </c>
      <c r="AG260" s="58" t="inlineStr">
        <is>
          <t>OFFER-39 (Supporting)</t>
        </is>
      </c>
    </row>
    <row r="261" ht="164" customHeight="1">
      <c r="A261" s="6" t="n">
        <v>256</v>
      </c>
      <c r="B261" s="6" t="inlineStr">
        <is>
          <t>RTM-552</t>
        </is>
      </c>
      <c r="C261" s="6" t="inlineStr">
        <is>
          <t>No</t>
        </is>
      </c>
      <c r="D261" s="6" t="inlineStr">
        <is>
          <t>T2 Secondary</t>
        </is>
      </c>
      <c r="E261" s="6" t="inlineStr">
        <is>
          <t>Acceptance Testing</t>
        </is>
      </c>
      <c r="F261" s="82" t="inlineStr">
        <is>
          <t>PROJECT</t>
        </is>
      </c>
      <c r="G261" s="83" t="inlineStr">
        <is>
          <t>Governance &amp; Responsibility</t>
        </is>
      </c>
      <c r="H261" s="59" t="inlineStr">
        <is>
          <t>—</t>
        </is>
      </c>
      <c r="I261" s="58" t="inlineStr">
        <is>
          <t>C7 — Quality, Testing &amp; Risk</t>
        </is>
      </c>
      <c r="J261" s="6" t="n">
        <v>107</v>
      </c>
      <c r="K261" s="6" t="inlineStr">
        <is>
          <t>4.13.3.5</t>
        </is>
      </c>
      <c r="L261" s="6" t="inlineStr">
        <is>
          <t>Demonstration of control system behaviour</t>
        </is>
      </c>
      <c r="M261" s="6" t="inlineStr">
        <is>
          <t>The Contractor shall demonstrate the correct behavior of the QPS:CIS protection and interlock mechanisms during the SAT. This shall include, at minimum:</t>
        </is>
      </c>
      <c r="N261" s="6" t="inlineStr">
        <is>
          <t>The Contractor shall demonstrate the correct behavior of the QPS:CIS protection and interlock mechanisms during the SAT. This shall include, at minimum:
• The verification that all relevant interlocks prevent unsafe commands or sequences.
• The verification of trip propagation and latching behavior.
• The verification of reset procedures for trips and interlocks.
• The verification of permissive chains required for equipment start or operation.
• The verification of safe-state transitions when protection signals are activated.
• The verification of safe-state behaviour in case of loss of power, where applicable.</t>
        </is>
      </c>
      <c r="O261" s="6" t="n">
        <v>1</v>
      </c>
      <c r="P261" s="6" t="n">
        <v>0</v>
      </c>
      <c r="Q261" s="6" t="n">
        <v>0</v>
      </c>
      <c r="R261" s="6" t="n">
        <v>3</v>
      </c>
      <c r="S261" s="6" t="n">
        <v>3</v>
      </c>
      <c r="T261" s="6" t="n">
        <v>0</v>
      </c>
      <c r="U261" s="6" t="n">
        <v>0</v>
      </c>
      <c r="V261" s="6" t="n">
        <v>34.666667</v>
      </c>
      <c r="W261" s="6" t="n">
        <v>65.1872</v>
      </c>
      <c r="X261" s="6" t="n">
        <v>7.0351</v>
      </c>
      <c r="Y261" s="6" t="inlineStr">
        <is>
          <t>Functional</t>
        </is>
      </c>
      <c r="Z261" s="6" t="inlineStr">
        <is>
          <t>Frozen-weight composite; strongest contribution: Functional.</t>
        </is>
      </c>
      <c r="AA261" s="6" t="inlineStr">
        <is>
          <t>None explicitly named in this RTM</t>
        </is>
      </c>
      <c r="AB261" s="6" t="inlineStr">
        <is>
          <t>SCK CEN/90508872 §4.13.3.5; no named external code</t>
        </is>
      </c>
      <c r="AC261" s="6" t="inlineStr">
        <is>
          <t>Submit and review the named deliverable with RTM traceability and approval status; Witnessed FAT/SAT/commissioning test against stated acceptance criteria; Functional design/configuration review and sequence/interface demonstration</t>
        </is>
      </c>
      <c r="AD261" s="6" t="inlineStr">
        <is>
          <t>Procedure / work instruction</t>
        </is>
      </c>
      <c r="AE261" s="6" t="inlineStr">
        <is>
          <t>L6 Site Acceptance Testing; L1 Conceptual Design; L2 Detailed Design</t>
        </is>
      </c>
      <c r="AF261" s="6" t="inlineStr">
        <is>
          <t>Section/contract-derived reference; explicit deliverable/test wording</t>
        </is>
      </c>
      <c r="AG261" s="58" t="inlineStr">
        <is>
          <t>OFFER-39 (Supporting)</t>
        </is>
      </c>
    </row>
    <row r="262" ht="125" customHeight="1">
      <c r="A262" s="6" t="n">
        <v>257</v>
      </c>
      <c r="B262" s="6" t="inlineStr">
        <is>
          <t>RTM-556</t>
        </is>
      </c>
      <c r="C262" s="6" t="inlineStr">
        <is>
          <t>No</t>
        </is>
      </c>
      <c r="D262" s="6" t="inlineStr">
        <is>
          <t>T2 Secondary</t>
        </is>
      </c>
      <c r="E262" s="6" t="inlineStr">
        <is>
          <t>Acceptance Testing</t>
        </is>
      </c>
      <c r="F262" s="82" t="inlineStr">
        <is>
          <t>PROJECT</t>
        </is>
      </c>
      <c r="G262" s="83" t="inlineStr">
        <is>
          <t>Governance &amp; Responsibility</t>
        </is>
      </c>
      <c r="H262" s="59" t="inlineStr">
        <is>
          <t>—</t>
        </is>
      </c>
      <c r="I262" s="58" t="inlineStr">
        <is>
          <t>C7 — Quality, Testing &amp; Risk</t>
        </is>
      </c>
      <c r="J262" s="6" t="n">
        <v>107</v>
      </c>
      <c r="K262" s="6" t="inlineStr">
        <is>
          <t>4.13.3.5</t>
        </is>
      </c>
      <c r="L262" s="6" t="inlineStr">
        <is>
          <t>Demonstration of control system behaviour</t>
        </is>
      </c>
      <c r="M262" s="6" t="inlineStr">
        <is>
          <t>The Contractor shall demonstrate the readiness of the external interfaces of the QPS:CIS during the SAT. This shall include, at minimum:</t>
        </is>
      </c>
      <c r="N262" s="6" t="inlineStr">
        <is>
          <t>The Contractor shall demonstrate the readiness of the external interfaces of the QPS:CIS during the SAT. This shall include, at minimum:
• The readiness of the interface towards MIT services, where applicable.
• The readiness of the interface towards the MCS.
• The readiness and correct behaviour of the interlock interfaces towards the MIS.
• Where the actual external system is not available during the SAT, the Contractor shall demonstrate the interface by means of an agreed simulation, emulation, or equivalent test method.</t>
        </is>
      </c>
      <c r="O262" s="6" t="n">
        <v>1</v>
      </c>
      <c r="P262" s="6" t="n">
        <v>0</v>
      </c>
      <c r="Q262" s="6" t="n">
        <v>0</v>
      </c>
      <c r="R262" s="6" t="n">
        <v>3</v>
      </c>
      <c r="S262" s="6" t="n">
        <v>3</v>
      </c>
      <c r="T262" s="6" t="n">
        <v>0</v>
      </c>
      <c r="U262" s="6" t="n">
        <v>0</v>
      </c>
      <c r="V262" s="6" t="n">
        <v>34.666667</v>
      </c>
      <c r="W262" s="6" t="n">
        <v>65.1872</v>
      </c>
      <c r="X262" s="6" t="n">
        <v>7.0351</v>
      </c>
      <c r="Y262" s="6" t="inlineStr">
        <is>
          <t>Functional</t>
        </is>
      </c>
      <c r="Z262" s="6" t="inlineStr">
        <is>
          <t>Frozen-weight composite; strongest contribution: Functional.</t>
        </is>
      </c>
      <c r="AA262" s="6" t="inlineStr">
        <is>
          <t>None explicitly named in this RTM</t>
        </is>
      </c>
      <c r="AB262" s="6" t="inlineStr">
        <is>
          <t>SCK CEN/90508872 §4.13.3.5; no named external code</t>
        </is>
      </c>
      <c r="AC262" s="6" t="inlineStr">
        <is>
          <t>Witnessed FAT/SAT/commissioning test against stated acceptance criteria; Functional design/configuration review and sequence/interface demonstration</t>
        </is>
      </c>
      <c r="AD262" s="6" t="inlineStr">
        <is>
          <t>No separate deliverable explicitly named</t>
        </is>
      </c>
      <c r="AE262" s="6" t="inlineStr">
        <is>
          <t>L6 Site Acceptance Testing; L1 Conceptual Design; L2 Detailed Design</t>
        </is>
      </c>
      <c r="AF262" s="6" t="inlineStr">
        <is>
          <t>Section/contract-derived reference; explicit deliverable/test wording</t>
        </is>
      </c>
      <c r="AG262" s="58" t="inlineStr">
        <is>
          <t>OFFER-39 (Supporting)</t>
        </is>
      </c>
    </row>
    <row r="263" ht="125" customHeight="1">
      <c r="A263" s="6" t="n">
        <v>258</v>
      </c>
      <c r="B263" s="6" t="inlineStr">
        <is>
          <t>RTM-129</t>
        </is>
      </c>
      <c r="C263" s="6" t="inlineStr">
        <is>
          <t>No</t>
        </is>
      </c>
      <c r="D263" s="6" t="inlineStr">
        <is>
          <t>T2 Secondary</t>
        </is>
      </c>
      <c r="E263" s="6" t="inlineStr">
        <is>
          <t>Subsystems</t>
        </is>
      </c>
      <c r="F263" s="82" t="inlineStr">
        <is>
          <t>PROJECT</t>
        </is>
      </c>
      <c r="G263" s="83" t="inlineStr">
        <is>
          <t>Documentation &amp; Compliance</t>
        </is>
      </c>
      <c r="H263" s="59" t="inlineStr">
        <is>
          <t>—</t>
        </is>
      </c>
      <c r="I263" s="81" t="inlineStr">
        <is>
          <t>Inferred: C3 — Mechanical &amp; Equipment (medium conf.)</t>
        </is>
      </c>
      <c r="J263" s="6" t="n">
        <v>47</v>
      </c>
      <c r="K263" s="6" t="inlineStr">
        <is>
          <t>4.4.2.5</t>
        </is>
      </c>
      <c r="L263" s="6" t="inlineStr">
        <is>
          <t>Liquid level sensors</t>
        </is>
      </c>
      <c r="M263" s="6" t="inlineStr">
        <is>
          <t>For each liquid level measurement, the displayed level value shall be based on a documented level-to-volume conversion.</t>
        </is>
      </c>
      <c r="N263" s="6" t="inlineStr">
        <is>
          <t>For each liquid level measurement, the displayed level value shall be based on a documented level-to-volume conversion.
• The Contractor shall provide the level-to-volume function “volume = f (level)”, derived from the as-built geometry (as-built CAD), and identify the valid level range for the function.
• The Contractor shall document the transfer functions used to derive the level reading in engineering units (e.g. mm and/or % of useful working volume) and the corresponding liquid volume (nominal working volume basis), including any non-linear vessel geometry effects.</t>
        </is>
      </c>
      <c r="O263" s="6" t="n">
        <v>0</v>
      </c>
      <c r="P263" s="6" t="n">
        <v>0</v>
      </c>
      <c r="Q263" s="6" t="n">
        <v>2</v>
      </c>
      <c r="R263" s="6" t="n">
        <v>2</v>
      </c>
      <c r="S263" s="6" t="n">
        <v>2</v>
      </c>
      <c r="T263" s="6" t="n">
        <v>1</v>
      </c>
      <c r="U263" s="6" t="n">
        <v>0</v>
      </c>
      <c r="V263" s="6" t="n">
        <v>34.333333</v>
      </c>
      <c r="W263" s="6" t="n">
        <v>64.28570000000001</v>
      </c>
      <c r="X263" s="6" t="n">
        <v>6.6801</v>
      </c>
      <c r="Y263" s="6" t="inlineStr">
        <is>
          <t>Performance</t>
        </is>
      </c>
      <c r="Z263" s="6" t="inlineStr">
        <is>
          <t>Frozen-weight composite; strongest contribution: Performance.</t>
        </is>
      </c>
      <c r="AA263" s="6" t="inlineStr">
        <is>
          <t>None explicitly named in this RTM</t>
        </is>
      </c>
      <c r="AB263" s="6" t="inlineStr">
        <is>
          <t>SCK CEN/90508872 §4.4.2.5; no named external code</t>
        </is>
      </c>
      <c r="AC263" s="6" t="inlineStr">
        <is>
          <t>Calculation/model plus calibrated measurement or recorded trend; Document review, inspection, certification, audit or traceable QC record</t>
        </is>
      </c>
      <c r="AD263" s="6" t="inlineStr">
        <is>
          <t>No separate deliverable explicitly named</t>
        </is>
      </c>
      <c r="AE263" s="6" t="inlineStr">
        <is>
          <t>L1 Conceptual Design; L2 Detailed Design</t>
        </is>
      </c>
      <c r="AF263" s="6" t="inlineStr">
        <is>
          <t>Section/contract-derived reference; derived evidence route</t>
        </is>
      </c>
      <c r="AG263" s="58" t="inlineStr">
        <is>
          <t>Not linked to an OFFER item</t>
        </is>
      </c>
    </row>
    <row r="264" ht="99" customHeight="1">
      <c r="A264" s="6" t="n">
        <v>259</v>
      </c>
      <c r="B264" s="6" t="inlineStr">
        <is>
          <t>RTM-451</t>
        </is>
      </c>
      <c r="C264" s="6" t="inlineStr">
        <is>
          <t>No</t>
        </is>
      </c>
      <c r="D264" s="6" t="inlineStr">
        <is>
          <t>T2 Secondary</t>
        </is>
      </c>
      <c r="E264" s="6" t="inlineStr">
        <is>
          <t>Design &amp; Fabrication</t>
        </is>
      </c>
      <c r="F264" s="82" t="inlineStr">
        <is>
          <t>SYSTEM</t>
        </is>
      </c>
      <c r="G264" s="83" t="inlineStr">
        <is>
          <t>Performance</t>
        </is>
      </c>
      <c r="H264" s="59" t="inlineStr">
        <is>
          <t>—</t>
        </is>
      </c>
      <c r="I264" s="58" t="inlineStr">
        <is>
          <t>C4 — Software &amp; Control</t>
        </is>
      </c>
      <c r="J264" s="6" t="n">
        <v>88</v>
      </c>
      <c r="K264" s="6" t="inlineStr">
        <is>
          <t>4.8.2</t>
        </is>
      </c>
      <c r="L264" s="6" t="inlineStr">
        <is>
          <t>Digital Process Model and Digital Twin</t>
        </is>
      </c>
      <c r="M264" s="6" t="inlineStr">
        <is>
          <t>The Contractor may supply a Digital Process Model, a Digital Twin, or both. If supplied, the Digital Process Model and/or Digital Twin shall:</t>
        </is>
      </c>
      <c r="N264" s="6" t="inlineStr">
        <is>
          <t>The Contractor may supply a Digital Process Model, a Digital Twin, or both. If supplied, the Digital Process Model and/or Digital Twin shall:
• Be representative of the as-built QPS
• Be based on modelling tools that are certified, validated, or compliant with recognised standards
• Be delivered with sufficient documentation to allow independent use by SCK CEN</t>
        </is>
      </c>
      <c r="O264" s="6" t="n">
        <v>2</v>
      </c>
      <c r="P264" s="6" t="n">
        <v>0</v>
      </c>
      <c r="Q264" s="6" t="n">
        <v>0</v>
      </c>
      <c r="R264" s="6" t="n">
        <v>2</v>
      </c>
      <c r="S264" s="6" t="n">
        <v>2</v>
      </c>
      <c r="T264" s="6" t="n">
        <v>1</v>
      </c>
      <c r="U264" s="6" t="n">
        <v>0</v>
      </c>
      <c r="V264" s="6" t="n">
        <v>34.333333</v>
      </c>
      <c r="W264" s="6" t="n">
        <v>64.28570000000001</v>
      </c>
      <c r="X264" s="6" t="n">
        <v>6.6801</v>
      </c>
      <c r="Y264" s="6" t="inlineStr">
        <is>
          <t>Safety / Legal</t>
        </is>
      </c>
      <c r="Z264" s="6" t="inlineStr">
        <is>
          <t>Frozen-weight composite; strongest contribution: Safety / Legal.</t>
        </is>
      </c>
      <c r="AA264" s="6" t="inlineStr">
        <is>
          <t>None explicitly named in this RTM</t>
        </is>
      </c>
      <c r="AB264" s="6" t="inlineStr">
        <is>
          <t>SCK CEN/90508872 §4.8.2; no named external code</t>
        </is>
      </c>
      <c r="AC264" s="6" t="inlineStr">
        <is>
          <t>Submit and review the named deliverable with RTM traceability and approval status; Document review, inspection, certification, audit or traceable QC record</t>
        </is>
      </c>
      <c r="AD264" s="6" t="inlineStr">
        <is>
          <t>Digital Process Model / Digital Twin</t>
        </is>
      </c>
      <c r="AE264" s="6" t="inlineStr">
        <is>
          <t>L1 Conceptual Design; L2 Detailed Design</t>
        </is>
      </c>
      <c r="AF264" s="6" t="inlineStr">
        <is>
          <t>Section/contract-derived reference; explicit deliverable/test wording</t>
        </is>
      </c>
      <c r="AG264" s="58" t="inlineStr">
        <is>
          <t>OFFER-37 (Direct)</t>
        </is>
      </c>
    </row>
    <row r="265" ht="164" customHeight="1">
      <c r="A265" s="6" t="n">
        <v>260</v>
      </c>
      <c r="B265" s="6" t="inlineStr">
        <is>
          <t>RTM-057</t>
        </is>
      </c>
      <c r="C265" s="6" t="inlineStr">
        <is>
          <t>No</t>
        </is>
      </c>
      <c r="D265" s="6" t="inlineStr">
        <is>
          <t>T2 Secondary</t>
        </is>
      </c>
      <c r="E265" s="6" t="inlineStr">
        <is>
          <t>Global Design Criteria</t>
        </is>
      </c>
      <c r="F265" s="82" t="inlineStr">
        <is>
          <t>SYSTEM</t>
        </is>
      </c>
      <c r="G265" s="83" t="inlineStr">
        <is>
          <t>Performance</t>
        </is>
      </c>
      <c r="H265" s="59" t="inlineStr">
        <is>
          <t>—</t>
        </is>
      </c>
      <c r="I265" s="58" t="inlineStr">
        <is>
          <t>C6 — Reliability &amp; Maintenance</t>
        </is>
      </c>
      <c r="J265" s="6" t="n">
        <v>37</v>
      </c>
      <c r="K265" s="6" t="inlineStr">
        <is>
          <t>4.3.2</t>
        </is>
      </c>
      <c r="L265" s="6" t="inlineStr">
        <is>
          <t>Availability &amp; Reliability</t>
        </is>
      </c>
      <c r="M265" s="6" t="inlineStr">
        <is>
          <t>The QPS shall apply industrially proven technologies and engineering processes with demonstrated operational experience in comparable systems. To this end, the Contractor shall:</t>
        </is>
      </c>
      <c r="N265" s="6" t="inlineStr">
        <is>
          <t>The QPS shall apply industrially proven technologies and engineering processes with demonstrated operational experience in comparable systems. To this end, the Contractor shall:
• Use components and subsystems with documented operational experience under comparable operating conditions.
• Identify all critical equipment and subsystems.
• Identify any critical equipment with limited operational experience and explicitly justify its selection.
• Prioritise reliability and availability over performance optimisation in all design decisions.
• Obtain prior written approval from SCK CEN before implementing any technology lacking demonstrated operational reference.</t>
        </is>
      </c>
      <c r="O265" s="6" t="n">
        <v>0</v>
      </c>
      <c r="P265" s="6" t="n">
        <v>3</v>
      </c>
      <c r="Q265" s="6" t="n">
        <v>0</v>
      </c>
      <c r="R265" s="6" t="n">
        <v>0</v>
      </c>
      <c r="S265" s="6" t="n">
        <v>3</v>
      </c>
      <c r="T265" s="6" t="n">
        <v>0</v>
      </c>
      <c r="U265" s="6" t="n">
        <v>0</v>
      </c>
      <c r="V265" s="6" t="n">
        <v>34</v>
      </c>
      <c r="W265" s="6" t="n">
        <v>64.00830000000001</v>
      </c>
      <c r="X265" s="6" t="n">
        <v>6.5748</v>
      </c>
      <c r="Y265" s="6" t="inlineStr">
        <is>
          <t>Reliability</t>
        </is>
      </c>
      <c r="Z265" s="6" t="inlineStr">
        <is>
          <t>Frozen-weight composite; strongest contribution: Reliability.</t>
        </is>
      </c>
      <c r="AA265" s="6" t="inlineStr">
        <is>
          <t>None explicitly named in this RTM</t>
        </is>
      </c>
      <c r="AB265" s="6" t="inlineStr">
        <is>
          <t>SCK CEN/90508872 §4.3.2; no named external code</t>
        </is>
      </c>
      <c r="AC265" s="6" t="inlineStr">
        <is>
          <t>Witnessed FAT/SAT/commissioning test against stated acceptance criteria; RAM/maintenance substantiation and recovery/failure-response evidence</t>
        </is>
      </c>
      <c r="AD265" s="6" t="inlineStr">
        <is>
          <t>No separate deliverable explicitly named</t>
        </is>
      </c>
      <c r="AE265" s="6" t="inlineStr">
        <is>
          <t>L6 Site Acceptance Testing; L1 Conceptual Design; L2 Detailed Design</t>
        </is>
      </c>
      <c r="AF265" s="6" t="inlineStr">
        <is>
          <t>Section/contract-derived reference; explicit deliverable/test wording</t>
        </is>
      </c>
      <c r="AG265" s="58" t="inlineStr">
        <is>
          <t>OFFER-11 (Direct)</t>
        </is>
      </c>
    </row>
    <row r="266" ht="177" customHeight="1">
      <c r="A266" s="6" t="n">
        <v>261</v>
      </c>
      <c r="B266" s="6" t="inlineStr">
        <is>
          <t>RTM-486</t>
        </is>
      </c>
      <c r="C266" s="6" t="inlineStr">
        <is>
          <t>No</t>
        </is>
      </c>
      <c r="D266" s="6" t="inlineStr">
        <is>
          <t>T2 Secondary</t>
        </is>
      </c>
      <c r="E266" s="6" t="inlineStr">
        <is>
          <t>Training</t>
        </is>
      </c>
      <c r="F266" s="82" t="inlineStr">
        <is>
          <t>PROJECT</t>
        </is>
      </c>
      <c r="G266" s="83" t="inlineStr">
        <is>
          <t>Governance &amp; Responsibility</t>
        </is>
      </c>
      <c r="H266" s="59" t="inlineStr">
        <is>
          <t>—</t>
        </is>
      </c>
      <c r="I266" s="58" t="inlineStr">
        <is>
          <t>C6 — Reliability &amp; Maintenance</t>
        </is>
      </c>
      <c r="J266" s="6" t="n">
        <v>93</v>
      </c>
      <c r="K266" s="6" t="inlineStr">
        <is>
          <t>4.12.1</t>
        </is>
      </c>
      <c r="L266" s="6" t="inlineStr">
        <is>
          <t>Training and Competence Transfer</t>
        </is>
      </c>
      <c r="M266" s="6" t="inlineStr">
        <is>
          <t>The installation and commissioning training shall provide personnel with the necessary knowledge for interface coordination and integrated commissioning of the QPS with the overall cryogenic system, at minimum:</t>
        </is>
      </c>
      <c r="N266" s="6" t="inlineStr">
        <is>
          <t>The installation and commissioning training shall provide personnel with the necessary knowledge for interface coordination and integrated commissioning of the QPS with the overall cryogenic system, at minimum:
• The QPS-specific installation sequence and the associated constraints at the interfaces with site infrastructure and connected cryogenic systems.
• The QPS-specific precautions, methods, and acceptance criteria applicable to pressure-retaining joints, leak testing, vacuum activities, purging, and initial conditioning, including any deviations from standard cryogenic practice.
• The QPS-specific prerequisites, hold points, and boundary conditions for the transition from stand-alone commissioning to integrated commissioning.
• The operating constraints, temporary measures, and coordination logic applicable to integrated commissioning with connected systems.</t>
        </is>
      </c>
      <c r="O266" s="6" t="n">
        <v>2</v>
      </c>
      <c r="P266" s="6" t="n">
        <v>0</v>
      </c>
      <c r="Q266" s="6" t="n">
        <v>0</v>
      </c>
      <c r="R266" s="6" t="n">
        <v>3</v>
      </c>
      <c r="S266" s="6" t="n">
        <v>0</v>
      </c>
      <c r="T266" s="6" t="n">
        <v>2</v>
      </c>
      <c r="U266" s="6" t="n">
        <v>0</v>
      </c>
      <c r="V266" s="6" t="n">
        <v>34</v>
      </c>
      <c r="W266" s="6" t="n">
        <v>64.00830000000001</v>
      </c>
      <c r="X266" s="6" t="n">
        <v>6.5748</v>
      </c>
      <c r="Y266" s="6" t="inlineStr">
        <is>
          <t>Functional</t>
        </is>
      </c>
      <c r="Z266" s="6" t="inlineStr">
        <is>
          <t>Frozen-weight composite; strongest contribution: Functional.</t>
        </is>
      </c>
      <c r="AA266" s="6" t="inlineStr">
        <is>
          <t>None explicitly named in this RTM</t>
        </is>
      </c>
      <c r="AB266" s="6" t="inlineStr">
        <is>
          <t>SCK CEN/90508872 §4.12.1; no named external code</t>
        </is>
      </c>
      <c r="AC266" s="6" t="inlineStr">
        <is>
          <t>Witnessed FAT/SAT/commissioning test against stated acceptance criteria; Functional design/configuration review and sequence/interface demonstration</t>
        </is>
      </c>
      <c r="AD266" s="6" t="inlineStr">
        <is>
          <t>No separate deliverable explicitly named</t>
        </is>
      </c>
      <c r="AE266" s="6" t="inlineStr">
        <is>
          <t>L4 Installation; L1 Conceptual Design; L2 Detailed Design</t>
        </is>
      </c>
      <c r="AF266" s="6" t="inlineStr">
        <is>
          <t>Section/contract-derived reference; explicit deliverable/test wording</t>
        </is>
      </c>
      <c r="AG266" s="58" t="inlineStr">
        <is>
          <t>OFFER-38 (Direct)</t>
        </is>
      </c>
    </row>
    <row r="267" ht="99" customHeight="1">
      <c r="A267" s="6" t="n">
        <v>262</v>
      </c>
      <c r="B267" s="6" t="inlineStr">
        <is>
          <t>RTM-065</t>
        </is>
      </c>
      <c r="C267" s="6" t="inlineStr">
        <is>
          <t>No</t>
        </is>
      </c>
      <c r="D267" s="6" t="inlineStr">
        <is>
          <t>T2 Secondary</t>
        </is>
      </c>
      <c r="E267" s="6" t="inlineStr">
        <is>
          <t>Global Design Criteria</t>
        </is>
      </c>
      <c r="F267" s="82" t="inlineStr">
        <is>
          <t>SYSTEM</t>
        </is>
      </c>
      <c r="G267" s="83" t="inlineStr">
        <is>
          <t>Performance</t>
        </is>
      </c>
      <c r="H267" s="59" t="inlineStr">
        <is>
          <t>—</t>
        </is>
      </c>
      <c r="I267" s="81" t="inlineStr">
        <is>
          <t>Inferred: C1 — Performance (medium conf.)</t>
        </is>
      </c>
      <c r="J267" s="6" t="n">
        <v>39</v>
      </c>
      <c r="K267" s="6" t="inlineStr">
        <is>
          <t>4.3.3</t>
        </is>
      </c>
      <c r="L267" s="6" t="inlineStr">
        <is>
          <t>Maintenance strategy</t>
        </is>
      </c>
      <c r="M267" s="6" t="inlineStr">
        <is>
          <t>The Maintenance Plan shall include, at minimum:</t>
        </is>
      </c>
      <c r="N267" s="6" t="inlineStr">
        <is>
          <t>The Maintenance Plan shall include, at minimum:
• A testing schedule, including inspection and replacement intervals
• Recommended spare parts and minimum stock levels
• Identification of critical components and long-lead items
• The recommended maintenance strategy for each component (e.g. run-to-failure, time-based, condition-based)
• Proof-tests intervals, where applicable</t>
        </is>
      </c>
      <c r="O267" s="6" t="n">
        <v>0</v>
      </c>
      <c r="P267" s="6" t="n">
        <v>2</v>
      </c>
      <c r="Q267" s="6" t="n">
        <v>0</v>
      </c>
      <c r="R267" s="6" t="n">
        <v>0</v>
      </c>
      <c r="S267" s="6" t="n">
        <v>3</v>
      </c>
      <c r="T267" s="6" t="n">
        <v>3</v>
      </c>
      <c r="U267" s="6" t="n">
        <v>0</v>
      </c>
      <c r="V267" s="6" t="n">
        <v>33.666667</v>
      </c>
      <c r="W267" s="6" t="n">
        <v>63.7309</v>
      </c>
      <c r="X267" s="6" t="n">
        <v>6.4714</v>
      </c>
      <c r="Y267" s="6" t="inlineStr">
        <is>
          <t>Reliability</t>
        </is>
      </c>
      <c r="Z267" s="6" t="inlineStr">
        <is>
          <t>Frozen-weight composite; strongest contribution: Reliability.</t>
        </is>
      </c>
      <c r="AA267" s="6" t="inlineStr">
        <is>
          <t>None explicitly named in this RTM</t>
        </is>
      </c>
      <c r="AB267" s="6" t="inlineStr">
        <is>
          <t>Section-level: ISO 55000; ISO 14224</t>
        </is>
      </c>
      <c r="AC267" s="6" t="inlineStr">
        <is>
          <t>Submit and review the named deliverable with RTM traceability and approval status; Witnessed FAT/SAT/commissioning test against stated acceptance criteria; RAM/maintenance substantiation and recovery/failure-response evidence</t>
        </is>
      </c>
      <c r="AD267" s="6" t="inlineStr">
        <is>
          <t>Maintenance / RCM Plan</t>
        </is>
      </c>
      <c r="AE267" s="6" t="inlineStr">
        <is>
          <t>L1 Conceptual Design; L2 Detailed Design</t>
        </is>
      </c>
      <c r="AF267" s="6" t="inlineStr">
        <is>
          <t>Section/contract-derived reference; explicit deliverable/test wording</t>
        </is>
      </c>
      <c r="AG267" s="58" t="inlineStr">
        <is>
          <t>Not linked to an OFFER item</t>
        </is>
      </c>
    </row>
    <row r="268" ht="73" customHeight="1">
      <c r="A268" s="6" t="n">
        <v>263</v>
      </c>
      <c r="B268" s="6" t="inlineStr">
        <is>
          <t>RTM-096</t>
        </is>
      </c>
      <c r="C268" s="6" t="inlineStr">
        <is>
          <t>No</t>
        </is>
      </c>
      <c r="D268" s="6" t="inlineStr">
        <is>
          <t>T2 Secondary</t>
        </is>
      </c>
      <c r="E268" s="6" t="inlineStr">
        <is>
          <t>Subsystems</t>
        </is>
      </c>
      <c r="F268" s="82" t="inlineStr">
        <is>
          <t>PROJECT</t>
        </is>
      </c>
      <c r="G268" s="83" t="inlineStr">
        <is>
          <t>Documentation &amp; Compliance</t>
        </is>
      </c>
      <c r="H268" s="59" t="inlineStr">
        <is>
          <t>—</t>
        </is>
      </c>
      <c r="I268" s="81" t="inlineStr">
        <is>
          <t>Inferred: C2 — Process Design (low conf.)</t>
        </is>
      </c>
      <c r="J268" s="6" t="n">
        <v>44</v>
      </c>
      <c r="K268" s="6" t="inlineStr">
        <is>
          <t>4.4.2</t>
        </is>
      </c>
      <c r="L268" s="6" t="inlineStr">
        <is>
          <t>Common Instrumentation Parts</t>
        </is>
      </c>
      <c r="M268" s="6" t="inlineStr">
        <is>
          <t>The Contractor shall submit a complete set of documentation containing at least:</t>
        </is>
      </c>
      <c r="N268" s="6" t="inlineStr">
        <is>
          <t>The Contractor shall submit a complete set of documentation containing at least:
• calibration curves, power rating, location, and protection set points (where applicable).
• the complete, as-built wiring diagram</t>
        </is>
      </c>
      <c r="O268" s="6" t="n">
        <v>0</v>
      </c>
      <c r="P268" s="6" t="n">
        <v>1</v>
      </c>
      <c r="Q268" s="6" t="n">
        <v>2</v>
      </c>
      <c r="R268" s="6" t="n">
        <v>2</v>
      </c>
      <c r="S268" s="6" t="n">
        <v>0</v>
      </c>
      <c r="T268" s="6" t="n">
        <v>1</v>
      </c>
      <c r="U268" s="6" t="n">
        <v>0</v>
      </c>
      <c r="V268" s="6" t="n">
        <v>33.666667</v>
      </c>
      <c r="W268" s="6" t="n">
        <v>63.7309</v>
      </c>
      <c r="X268" s="6" t="n">
        <v>6.4714</v>
      </c>
      <c r="Y268" s="6" t="inlineStr">
        <is>
          <t>Performance</t>
        </is>
      </c>
      <c r="Z268" s="6" t="inlineStr">
        <is>
          <t>Frozen-weight composite; strongest contribution: Performance.</t>
        </is>
      </c>
      <c r="AA268" s="6" t="inlineStr">
        <is>
          <t>None explicitly named in this RTM</t>
        </is>
      </c>
      <c r="AB268" s="6" t="inlineStr">
        <is>
          <t>SCK CEN/90508872 §4.4.2; no named external code</t>
        </is>
      </c>
      <c r="AC268" s="6" t="inlineStr">
        <is>
          <t>Submit and review the named deliverable with RTM traceability and approval status; Calculation/model plus calibrated measurement or recorded trend</t>
        </is>
      </c>
      <c r="AD268" s="6" t="inlineStr">
        <is>
          <t>Drawing / diagram</t>
        </is>
      </c>
      <c r="AE268" s="6" t="inlineStr">
        <is>
          <t>L1 Conceptual Design; L2 Detailed Design</t>
        </is>
      </c>
      <c r="AF268" s="6" t="inlineStr">
        <is>
          <t>Section/contract-derived reference; explicit deliverable/test wording</t>
        </is>
      </c>
      <c r="AG268" s="58" t="inlineStr">
        <is>
          <t>Not linked to an OFFER item</t>
        </is>
      </c>
    </row>
    <row r="269" ht="60" customHeight="1">
      <c r="A269" s="6" t="n">
        <v>264</v>
      </c>
      <c r="B269" s="6" t="inlineStr">
        <is>
          <t>RTM-483</t>
        </is>
      </c>
      <c r="C269" s="6" t="inlineStr">
        <is>
          <t>No</t>
        </is>
      </c>
      <c r="D269" s="6" t="inlineStr">
        <is>
          <t>T2 Secondary</t>
        </is>
      </c>
      <c r="E269" s="6" t="inlineStr">
        <is>
          <t>Training</t>
        </is>
      </c>
      <c r="F269" s="82" t="inlineStr">
        <is>
          <t>PROJECT</t>
        </is>
      </c>
      <c r="G269" s="83" t="inlineStr">
        <is>
          <t>Governance &amp; Responsibility</t>
        </is>
      </c>
      <c r="H269" s="59" t="inlineStr">
        <is>
          <t>—</t>
        </is>
      </c>
      <c r="I269" s="58" t="inlineStr">
        <is>
          <t>C6 — Reliability &amp; Maintenance</t>
        </is>
      </c>
      <c r="J269" s="6" t="n">
        <v>93</v>
      </c>
      <c r="K269" s="6" t="inlineStr">
        <is>
          <t>4.12.1</t>
        </is>
      </c>
      <c r="L269" s="6" t="inlineStr">
        <is>
          <t>Training and Competence Transfer</t>
        </is>
      </c>
      <c r="M269" s="6" t="inlineStr">
        <is>
          <t>The Contractor shall train SCK CEN personnel to a level that enables them to autonomously operate, maintain, and troubleshoot the QPS.</t>
        </is>
      </c>
      <c r="N269" s="6" t="inlineStr">
        <is>
          <t>The Contractor shall train SCK CEN personnel to a level that enables them to autonomously operate, maintain, and troubleshoot the QPS.
• This shall include theoretical instruction, supervised practical training, and simulation-based recovery exercises for abnormal events (e.g. LOOP).</t>
        </is>
      </c>
      <c r="O269" s="6" t="n">
        <v>1</v>
      </c>
      <c r="P269" s="6" t="n">
        <v>3</v>
      </c>
      <c r="Q269" s="6" t="n">
        <v>0</v>
      </c>
      <c r="R269" s="6" t="n">
        <v>0</v>
      </c>
      <c r="S269" s="6" t="n">
        <v>0</v>
      </c>
      <c r="T269" s="6" t="n">
        <v>2</v>
      </c>
      <c r="U269" s="6" t="n">
        <v>0</v>
      </c>
      <c r="V269" s="6" t="n">
        <v>33.333333</v>
      </c>
      <c r="W269" s="6" t="n">
        <v>63.4535</v>
      </c>
      <c r="X269" s="6" t="n">
        <v>6.3697</v>
      </c>
      <c r="Y269" s="6" t="inlineStr">
        <is>
          <t>Reliability</t>
        </is>
      </c>
      <c r="Z269" s="6" t="inlineStr">
        <is>
          <t>Frozen-weight composite; strongest contribution: Reliability.</t>
        </is>
      </c>
      <c r="AA269" s="6" t="inlineStr">
        <is>
          <t>None explicitly named in this RTM</t>
        </is>
      </c>
      <c r="AB269" s="6" t="inlineStr">
        <is>
          <t>SCK CEN/90508872 §4.12.1; no named external code</t>
        </is>
      </c>
      <c r="AC269" s="6" t="inlineStr">
        <is>
          <t>RAM/maintenance substantiation and recovery/failure-response evidence</t>
        </is>
      </c>
      <c r="AD269" s="6" t="inlineStr">
        <is>
          <t>No separate deliverable explicitly named</t>
        </is>
      </c>
      <c r="AE269" s="6" t="inlineStr">
        <is>
          <t>L1 Conceptual Design; L2 Detailed Design</t>
        </is>
      </c>
      <c r="AF269" s="6" t="inlineStr">
        <is>
          <t>Section/contract-derived reference; derived evidence route</t>
        </is>
      </c>
      <c r="AG269" s="58" t="inlineStr">
        <is>
          <t>OFFER-38 (Direct)</t>
        </is>
      </c>
    </row>
    <row r="270" ht="151" customHeight="1">
      <c r="A270" s="6" t="n">
        <v>265</v>
      </c>
      <c r="B270" s="6" t="inlineStr">
        <is>
          <t>RTM-551</t>
        </is>
      </c>
      <c r="C270" s="6" t="inlineStr">
        <is>
          <t>No</t>
        </is>
      </c>
      <c r="D270" s="6" t="inlineStr">
        <is>
          <t>T2 Secondary</t>
        </is>
      </c>
      <c r="E270" s="6" t="inlineStr">
        <is>
          <t>Acceptance Testing</t>
        </is>
      </c>
      <c r="F270" s="82" t="inlineStr">
        <is>
          <t>PROJECT</t>
        </is>
      </c>
      <c r="G270" s="83" t="inlineStr">
        <is>
          <t>Governance &amp; Responsibility</t>
        </is>
      </c>
      <c r="H270" s="59" t="inlineStr">
        <is>
          <t>—</t>
        </is>
      </c>
      <c r="I270" s="58" t="inlineStr">
        <is>
          <t>C7 — Quality, Testing &amp; Risk</t>
        </is>
      </c>
      <c r="J270" s="6" t="n">
        <v>106</v>
      </c>
      <c r="K270" s="6" t="inlineStr">
        <is>
          <t>4.13.3.5</t>
        </is>
      </c>
      <c r="L270" s="6" t="inlineStr">
        <is>
          <t>Demonstration of control system behaviour</t>
        </is>
      </c>
      <c r="M270" s="6" t="inlineStr">
        <is>
          <t>The Contractor shall demonstrate the correct continuity and functionality of the control cabinets and I/O chains during the SAT. This shall include, at minimum:</t>
        </is>
      </c>
      <c r="N270" s="6" t="inlineStr">
        <is>
          <t>The Contractor shall demonstrate the correct continuity and functionality of the control cabinets and I/O chains during the SAT. This shall include, at minimum:
• The continuity between FAT-validated and SAT-validated cabinet functions, where applicable.
• The validation of the relevant I/O signals, command paths, status indications, and permissives.
• The validation of the relevant sequence execution from the QPS:CIS perspective.
• The demonstration of the relevant manual, maintenance, and degraded operating modes, where applicable.</t>
        </is>
      </c>
      <c r="O270" s="6" t="n">
        <v>1</v>
      </c>
      <c r="P270" s="6" t="n">
        <v>2</v>
      </c>
      <c r="Q270" s="6" t="n">
        <v>0</v>
      </c>
      <c r="R270" s="6" t="n">
        <v>0</v>
      </c>
      <c r="S270" s="6" t="n">
        <v>3</v>
      </c>
      <c r="T270" s="6" t="n">
        <v>0</v>
      </c>
      <c r="U270" s="6" t="n">
        <v>0</v>
      </c>
      <c r="V270" s="6" t="n">
        <v>33.333333</v>
      </c>
      <c r="W270" s="6" t="n">
        <v>63.4535</v>
      </c>
      <c r="X270" s="6" t="n">
        <v>6.3697</v>
      </c>
      <c r="Y270" s="6" t="inlineStr">
        <is>
          <t>Reliability</t>
        </is>
      </c>
      <c r="Z270" s="6" t="inlineStr">
        <is>
          <t>Frozen-weight composite; strongest contribution: Reliability.</t>
        </is>
      </c>
      <c r="AA270" s="6" t="inlineStr">
        <is>
          <t>None explicitly named in this RTM</t>
        </is>
      </c>
      <c r="AB270" s="6" t="inlineStr">
        <is>
          <t>SCK CEN/90508872 §4.13.3.5; no named external code</t>
        </is>
      </c>
      <c r="AC270" s="6" t="inlineStr">
        <is>
          <t>Witnessed FAT/SAT/commissioning test against stated acceptance criteria; RAM/maintenance substantiation and recovery/failure-response evidence</t>
        </is>
      </c>
      <c r="AD270" s="6" t="inlineStr">
        <is>
          <t>No separate deliverable explicitly named</t>
        </is>
      </c>
      <c r="AE270" s="6" t="inlineStr">
        <is>
          <t>L6 Site Acceptance Testing; L1 Conceptual Design; L2 Detailed Design</t>
        </is>
      </c>
      <c r="AF270" s="6" t="inlineStr">
        <is>
          <t>Section/contract-derived reference; explicit deliverable/test wording</t>
        </is>
      </c>
      <c r="AG270" s="58" t="inlineStr">
        <is>
          <t>OFFER-39 (Supporting)</t>
        </is>
      </c>
    </row>
    <row r="271" ht="99" customHeight="1">
      <c r="A271" s="6" t="n">
        <v>266</v>
      </c>
      <c r="B271" s="6" t="inlineStr">
        <is>
          <t>RTM-044</t>
        </is>
      </c>
      <c r="C271" s="6" t="inlineStr">
        <is>
          <t>No</t>
        </is>
      </c>
      <c r="D271" s="6" t="inlineStr">
        <is>
          <t>T2 Secondary</t>
        </is>
      </c>
      <c r="E271" s="6" t="inlineStr">
        <is>
          <t>Process &amp; Functional</t>
        </is>
      </c>
      <c r="F271" s="82" t="inlineStr">
        <is>
          <t>SYSTEM</t>
        </is>
      </c>
      <c r="G271" s="83" t="inlineStr">
        <is>
          <t>Constraint</t>
        </is>
      </c>
      <c r="H271" s="59" t="inlineStr">
        <is>
          <t>—</t>
        </is>
      </c>
      <c r="I271" s="58" t="inlineStr">
        <is>
          <t>C2 — Process Design</t>
        </is>
      </c>
      <c r="J271" s="6" t="n">
        <v>26</v>
      </c>
      <c r="K271" s="6" t="inlineStr">
        <is>
          <t>4.2.4</t>
        </is>
      </c>
      <c r="L271" s="6" t="inlineStr">
        <is>
          <t>Cooling Capacity</t>
        </is>
      </c>
      <c r="M271" s="6" t="inlineStr">
        <is>
          <t>The Contractor shall determine the “QPLANT Maximal Point” in accordance with the following requirements:</t>
        </is>
      </c>
      <c r="N271" s="6" t="inlineStr">
        <is>
          <t>The Contractor shall determine the “QPLANT Maximal Point” in accordance with the following requirements:
• The QPLANT Maximal Point shall correspond to the highest continuous cooling capacity claimed by the Contractor for the as-built QPS.
• The QPLANT Maximal Point shall apply to the same user configuration and boundary conditions as the QPLANT Design Point, but with the heat loads at the cavity circuit (Q_CAV) maximized.</t>
        </is>
      </c>
      <c r="O271" s="6" t="n">
        <v>0</v>
      </c>
      <c r="P271" s="6" t="n">
        <v>0</v>
      </c>
      <c r="Q271" s="6" t="n">
        <v>3</v>
      </c>
      <c r="R271" s="6" t="n">
        <v>2</v>
      </c>
      <c r="S271" s="6" t="n">
        <v>0</v>
      </c>
      <c r="T271" s="6" t="n">
        <v>1</v>
      </c>
      <c r="U271" s="6" t="n">
        <v>0</v>
      </c>
      <c r="V271" s="6" t="n">
        <v>33</v>
      </c>
      <c r="W271" s="6" t="n">
        <v>63.2455</v>
      </c>
      <c r="X271" s="6" t="n">
        <v>6.2946</v>
      </c>
      <c r="Y271" s="6" t="inlineStr">
        <is>
          <t>Performance</t>
        </is>
      </c>
      <c r="Z271" s="6" t="inlineStr">
        <is>
          <t>Frozen-weight composite; strongest contribution: Performance.</t>
        </is>
      </c>
      <c r="AA271" s="6" t="inlineStr">
        <is>
          <t>None explicitly named in this RTM</t>
        </is>
      </c>
      <c r="AB271" s="6" t="inlineStr">
        <is>
          <t>SCK CEN/90508872 §4.2.4; no named external code</t>
        </is>
      </c>
      <c r="AC271" s="6" t="inlineStr">
        <is>
          <t>Calculation/model plus calibrated measurement or recorded trend</t>
        </is>
      </c>
      <c r="AD271" s="6" t="inlineStr">
        <is>
          <t>No separate deliverable explicitly named</t>
        </is>
      </c>
      <c r="AE271" s="6" t="inlineStr">
        <is>
          <t>L1 Conceptual Design; L2 Detailed Design</t>
        </is>
      </c>
      <c r="AF271" s="6" t="inlineStr">
        <is>
          <t>Section/contract-derived reference; derived evidence route</t>
        </is>
      </c>
      <c r="AG271" s="58" t="inlineStr">
        <is>
          <t>OFFER-07 (Direct)</t>
        </is>
      </c>
    </row>
    <row r="272" ht="34" customHeight="1">
      <c r="A272" s="6" t="n">
        <v>267</v>
      </c>
      <c r="B272" s="6" t="inlineStr">
        <is>
          <t>RTM-252</t>
        </is>
      </c>
      <c r="C272" s="6" t="inlineStr">
        <is>
          <t>No</t>
        </is>
      </c>
      <c r="D272" s="6" t="inlineStr">
        <is>
          <t>T2 Secondary</t>
        </is>
      </c>
      <c r="E272" s="6" t="inlineStr">
        <is>
          <t>Subsystems</t>
        </is>
      </c>
      <c r="F272" s="82" t="inlineStr">
        <is>
          <t>SYSTEM</t>
        </is>
      </c>
      <c r="G272" s="83" t="inlineStr">
        <is>
          <t>Performance</t>
        </is>
      </c>
      <c r="H272" s="59" t="inlineStr">
        <is>
          <t>—</t>
        </is>
      </c>
      <c r="I272" s="58" t="inlineStr">
        <is>
          <t>C7 (+) — Quality, Testing &amp; Risk + others</t>
        </is>
      </c>
      <c r="J272" s="6" t="n">
        <v>62</v>
      </c>
      <c r="K272" s="6" t="inlineStr">
        <is>
          <t>4.4.7</t>
        </is>
      </c>
      <c r="L272" s="6" t="inlineStr">
        <is>
          <t>Helium Inventory Management</t>
        </is>
      </c>
      <c r="M272" s="6" t="inlineStr">
        <is>
          <t>The QPS shall minimize helium loss under all operating conditions, including failure modes.</t>
        </is>
      </c>
      <c r="N272" s="6" t="inlineStr">
        <is>
          <t>The QPS shall minimize helium loss under all operating conditions, including failure modes.</t>
        </is>
      </c>
      <c r="O272" s="6" t="n">
        <v>0</v>
      </c>
      <c r="P272" s="6" t="n">
        <v>3</v>
      </c>
      <c r="Q272" s="6" t="n">
        <v>0</v>
      </c>
      <c r="R272" s="6" t="n">
        <v>2</v>
      </c>
      <c r="S272" s="6" t="n">
        <v>0</v>
      </c>
      <c r="T272" s="6" t="n">
        <v>0</v>
      </c>
      <c r="U272" s="6" t="n">
        <v>0</v>
      </c>
      <c r="V272" s="6" t="n">
        <v>32.666667</v>
      </c>
      <c r="W272" s="6" t="n">
        <v>62.2746</v>
      </c>
      <c r="X272" s="6" t="n">
        <v>5.9566</v>
      </c>
      <c r="Y272" s="6" t="inlineStr">
        <is>
          <t>Reliability</t>
        </is>
      </c>
      <c r="Z272" s="6" t="inlineStr">
        <is>
          <t>Frozen-weight composite; strongest contribution: Reliability.</t>
        </is>
      </c>
      <c r="AA272" s="6" t="inlineStr">
        <is>
          <t>None explicitly named in this RTM</t>
        </is>
      </c>
      <c r="AB272" s="6" t="inlineStr">
        <is>
          <t>Section-level: EN 13185:2001</t>
        </is>
      </c>
      <c r="AC272" s="6" t="inlineStr">
        <is>
          <t>RAM/maintenance substantiation and recovery/failure-response evidence</t>
        </is>
      </c>
      <c r="AD272" s="6" t="inlineStr">
        <is>
          <t>No separate deliverable explicitly named</t>
        </is>
      </c>
      <c r="AE272" s="6" t="inlineStr">
        <is>
          <t>L1 Conceptual Design; L2 Detailed Design</t>
        </is>
      </c>
      <c r="AF272" s="6" t="inlineStr">
        <is>
          <t>Section/contract-derived reference; derived evidence route</t>
        </is>
      </c>
      <c r="AG272" s="58" t="inlineStr">
        <is>
          <t>OFFER-13 (Broad/contextual — main component specification); OFFER-20 (Direct)</t>
        </is>
      </c>
    </row>
    <row r="273" ht="60" customHeight="1">
      <c r="A273" s="6" t="n">
        <v>268</v>
      </c>
      <c r="B273" s="6" t="inlineStr">
        <is>
          <t>RTM-253</t>
        </is>
      </c>
      <c r="C273" s="6" t="inlineStr">
        <is>
          <t>No</t>
        </is>
      </c>
      <c r="D273" s="6" t="inlineStr">
        <is>
          <t>T2 Secondary</t>
        </is>
      </c>
      <c r="E273" s="6" t="inlineStr">
        <is>
          <t>Subsystems</t>
        </is>
      </c>
      <c r="F273" s="82" t="inlineStr">
        <is>
          <t>SYSTEM</t>
        </is>
      </c>
      <c r="G273" s="83" t="inlineStr">
        <is>
          <t>Performance</t>
        </is>
      </c>
      <c r="H273" s="59" t="inlineStr">
        <is>
          <t>—</t>
        </is>
      </c>
      <c r="I273" s="58" t="inlineStr">
        <is>
          <t>C7 (+) — Quality, Testing &amp; Risk + others</t>
        </is>
      </c>
      <c r="J273" s="6" t="n">
        <v>62</v>
      </c>
      <c r="K273" s="6" t="inlineStr">
        <is>
          <t>4.4.7</t>
        </is>
      </c>
      <c r="L273" s="6" t="inlineStr">
        <is>
          <t>Helium Inventory Management</t>
        </is>
      </c>
      <c r="M273" s="6" t="inlineStr">
        <is>
          <t>In normal operation, the QPS shall lose no more than 1 Nm³ of helium per day.</t>
        </is>
      </c>
      <c r="N273" s="6" t="inlineStr">
        <is>
          <t>In normal operation, the QPS shall lose no more than 1 Nm³ of helium per day.
• The total instantaneous leak rate of the entire QPS shall be less than 1×10⁻⁵ mbar·L/s.</t>
        </is>
      </c>
      <c r="O273" s="6" t="n">
        <v>0</v>
      </c>
      <c r="P273" s="6" t="n">
        <v>3</v>
      </c>
      <c r="Q273" s="6" t="n">
        <v>0</v>
      </c>
      <c r="R273" s="6" t="n">
        <v>2</v>
      </c>
      <c r="S273" s="6" t="n">
        <v>0</v>
      </c>
      <c r="T273" s="6" t="n">
        <v>0</v>
      </c>
      <c r="U273" s="6" t="n">
        <v>0</v>
      </c>
      <c r="V273" s="6" t="n">
        <v>32.666667</v>
      </c>
      <c r="W273" s="6" t="n">
        <v>62.2746</v>
      </c>
      <c r="X273" s="6" t="n">
        <v>5.9566</v>
      </c>
      <c r="Y273" s="6" t="inlineStr">
        <is>
          <t>Reliability</t>
        </is>
      </c>
      <c r="Z273" s="6" t="inlineStr">
        <is>
          <t>Frozen-weight composite; strongest contribution: Reliability.</t>
        </is>
      </c>
      <c r="AA273" s="6" t="inlineStr">
        <is>
          <t>None explicitly named in this RTM</t>
        </is>
      </c>
      <c r="AB273" s="6" t="inlineStr">
        <is>
          <t>Section-level: EN 13185:2001</t>
        </is>
      </c>
      <c r="AC273" s="6" t="inlineStr">
        <is>
          <t>RAM/maintenance substantiation and recovery/failure-response evidence</t>
        </is>
      </c>
      <c r="AD273" s="6" t="inlineStr">
        <is>
          <t>No separate deliverable explicitly named</t>
        </is>
      </c>
      <c r="AE273" s="6" t="inlineStr">
        <is>
          <t>L1 Conceptual Design; L2 Detailed Design</t>
        </is>
      </c>
      <c r="AF273" s="6" t="inlineStr">
        <is>
          <t>Section/contract-derived reference; derived evidence route</t>
        </is>
      </c>
      <c r="AG273" s="58" t="inlineStr">
        <is>
          <t>OFFER-13 (Broad/contextual — main component specification); OFFER-20 (Direct)</t>
        </is>
      </c>
    </row>
    <row r="274" ht="60" customHeight="1">
      <c r="A274" s="6" t="n">
        <v>269</v>
      </c>
      <c r="B274" s="6" t="inlineStr">
        <is>
          <t>RTM-254</t>
        </is>
      </c>
      <c r="C274" s="6" t="inlineStr">
        <is>
          <t>No</t>
        </is>
      </c>
      <c r="D274" s="6" t="inlineStr">
        <is>
          <t>T2 Secondary</t>
        </is>
      </c>
      <c r="E274" s="6" t="inlineStr">
        <is>
          <t>Subsystems</t>
        </is>
      </c>
      <c r="F274" s="82" t="inlineStr">
        <is>
          <t>SYSTEM</t>
        </is>
      </c>
      <c r="G274" s="83" t="inlineStr">
        <is>
          <t>Performance</t>
        </is>
      </c>
      <c r="H274" s="59" t="inlineStr">
        <is>
          <t>—</t>
        </is>
      </c>
      <c r="I274" s="58" t="inlineStr">
        <is>
          <t>C7 (+) — Quality, Testing &amp; Risk + others</t>
        </is>
      </c>
      <c r="J274" s="6" t="n">
        <v>62</v>
      </c>
      <c r="K274" s="6" t="inlineStr">
        <is>
          <t>4.4.7</t>
        </is>
      </c>
      <c r="L274" s="6" t="inlineStr">
        <is>
          <t>Helium Inventory Management</t>
        </is>
      </c>
      <c r="M274" s="6" t="inlineStr">
        <is>
          <t>The Contractor shall implement a helium leak-detection and monitoring system in accordance with EN 13185:2001, Clause 6.2, or an equivalent methodology.</t>
        </is>
      </c>
      <c r="N274" s="6" t="inlineStr">
        <is>
          <t>The Contractor shall implement a helium leak-detection and monitoring system in accordance with EN 13185:2001, Clause 6.2, or an equivalent methodology.
• This shall include leak testing, leak monitoring, and automated isolation mechanisms where required.</t>
        </is>
      </c>
      <c r="O274" s="6" t="n">
        <v>0</v>
      </c>
      <c r="P274" s="6" t="n">
        <v>3</v>
      </c>
      <c r="Q274" s="6" t="n">
        <v>0</v>
      </c>
      <c r="R274" s="6" t="n">
        <v>2</v>
      </c>
      <c r="S274" s="6" t="n">
        <v>0</v>
      </c>
      <c r="T274" s="6" t="n">
        <v>0</v>
      </c>
      <c r="U274" s="6" t="n">
        <v>0</v>
      </c>
      <c r="V274" s="6" t="n">
        <v>32.666667</v>
      </c>
      <c r="W274" s="6" t="n">
        <v>62.2746</v>
      </c>
      <c r="X274" s="6" t="n">
        <v>5.9566</v>
      </c>
      <c r="Y274" s="6" t="inlineStr">
        <is>
          <t>Reliability</t>
        </is>
      </c>
      <c r="Z274" s="6" t="inlineStr">
        <is>
          <t>Frozen-weight composite; strongest contribution: Reliability.</t>
        </is>
      </c>
      <c r="AA274" s="6" t="inlineStr">
        <is>
          <t>EN 13185:2001</t>
        </is>
      </c>
      <c r="AB274" s="6" t="inlineStr">
        <is>
          <t>EN 13185:2001</t>
        </is>
      </c>
      <c r="AC274" s="6" t="inlineStr">
        <is>
          <t>Witnessed FAT/SAT/commissioning test against stated acceptance criteria; RAM/maintenance substantiation and recovery/failure-response evidence</t>
        </is>
      </c>
      <c r="AD274" s="6" t="inlineStr">
        <is>
          <t>No separate deliverable explicitly named</t>
        </is>
      </c>
      <c r="AE274" s="6" t="inlineStr">
        <is>
          <t>L1 Conceptual Design; L2 Detailed Design</t>
        </is>
      </c>
      <c r="AF274" s="6" t="inlineStr">
        <is>
          <t>Explicit/table-grounded standard; explicit deliverable/test wording</t>
        </is>
      </c>
      <c r="AG274" s="58" t="inlineStr">
        <is>
          <t>OFFER-13 (Broad/contextual — main component specification); OFFER-20 (Direct)</t>
        </is>
      </c>
    </row>
    <row r="275" ht="73" customHeight="1">
      <c r="A275" s="6" t="n">
        <v>270</v>
      </c>
      <c r="B275" s="6" t="inlineStr">
        <is>
          <t>RTM-255</t>
        </is>
      </c>
      <c r="C275" s="6" t="inlineStr">
        <is>
          <t>No</t>
        </is>
      </c>
      <c r="D275" s="6" t="inlineStr">
        <is>
          <t>T2 Secondary</t>
        </is>
      </c>
      <c r="E275" s="6" t="inlineStr">
        <is>
          <t>Subsystems</t>
        </is>
      </c>
      <c r="F275" s="82" t="inlineStr">
        <is>
          <t>SYSTEM</t>
        </is>
      </c>
      <c r="G275" s="83" t="inlineStr">
        <is>
          <t>Constraint</t>
        </is>
      </c>
      <c r="H275" s="59" t="inlineStr">
        <is>
          <t>—</t>
        </is>
      </c>
      <c r="I275" s="58" t="inlineStr">
        <is>
          <t>C7 (+) — Quality, Testing &amp; Risk + others</t>
        </is>
      </c>
      <c r="J275" s="6" t="n">
        <v>62</v>
      </c>
      <c r="K275" s="6" t="inlineStr">
        <is>
          <t>4.4.7</t>
        </is>
      </c>
      <c r="L275" s="6" t="inlineStr">
        <is>
          <t>Helium Inventory Management</t>
        </is>
      </c>
      <c r="M275" s="6" t="inlineStr">
        <is>
          <t>The Contractor shall qualify the QPS for leak-tightness under operational and standby conditions.</t>
        </is>
      </c>
      <c r="N275" s="6" t="inlineStr">
        <is>
          <t>The Contractor shall qualify the QPS for leak-tightness under operational and standby conditions.
• The leak rates shall not exceed the values defined in Table 16. The values shall include all interconnecting piping, joints, and components operating at operating pressure and ambient temperature.</t>
        </is>
      </c>
      <c r="O275" s="6" t="n">
        <v>0</v>
      </c>
      <c r="P275" s="6" t="n">
        <v>3</v>
      </c>
      <c r="Q275" s="6" t="n">
        <v>0</v>
      </c>
      <c r="R275" s="6" t="n">
        <v>2</v>
      </c>
      <c r="S275" s="6" t="n">
        <v>0</v>
      </c>
      <c r="T275" s="6" t="n">
        <v>0</v>
      </c>
      <c r="U275" s="6" t="n">
        <v>0</v>
      </c>
      <c r="V275" s="6" t="n">
        <v>32.666667</v>
      </c>
      <c r="W275" s="6" t="n">
        <v>62.2746</v>
      </c>
      <c r="X275" s="6" t="n">
        <v>5.9566</v>
      </c>
      <c r="Y275" s="6" t="inlineStr">
        <is>
          <t>Reliability</t>
        </is>
      </c>
      <c r="Z275" s="6" t="inlineStr">
        <is>
          <t>Frozen-weight composite; strongest contribution: Reliability.</t>
        </is>
      </c>
      <c r="AA275" s="6" t="inlineStr">
        <is>
          <t>None explicitly named in this RTM</t>
        </is>
      </c>
      <c r="AB275" s="6" t="inlineStr">
        <is>
          <t>Section-level: EN 13185:2001</t>
        </is>
      </c>
      <c r="AC275" s="6" t="inlineStr">
        <is>
          <t>Functional design/configuration review and sequence/interface demonstration; RAM/maintenance substantiation and recovery/failure-response evidence</t>
        </is>
      </c>
      <c r="AD275" s="6" t="inlineStr">
        <is>
          <t>No separate deliverable explicitly named</t>
        </is>
      </c>
      <c r="AE275" s="6" t="inlineStr">
        <is>
          <t>L1 Conceptual Design; L2 Detailed Design</t>
        </is>
      </c>
      <c r="AF275" s="6" t="inlineStr">
        <is>
          <t>Section/contract-derived reference; derived evidence route</t>
        </is>
      </c>
      <c r="AG275" s="58" t="inlineStr">
        <is>
          <t>OFFER-13 (Broad/contextual — main component specification); OFFER-20 (Direct)</t>
        </is>
      </c>
    </row>
    <row r="276" ht="34" customHeight="1">
      <c r="A276" s="6" t="n">
        <v>271</v>
      </c>
      <c r="B276" s="6" t="inlineStr">
        <is>
          <t>RTM-257</t>
        </is>
      </c>
      <c r="C276" s="6" t="inlineStr">
        <is>
          <t>No</t>
        </is>
      </c>
      <c r="D276" s="6" t="inlineStr">
        <is>
          <t>T2 Secondary</t>
        </is>
      </c>
      <c r="E276" s="6" t="inlineStr">
        <is>
          <t>Subsystems</t>
        </is>
      </c>
      <c r="F276" s="82" t="inlineStr">
        <is>
          <t>SYSTEM</t>
        </is>
      </c>
      <c r="G276" s="83" t="inlineStr">
        <is>
          <t>Performance</t>
        </is>
      </c>
      <c r="H276" s="59" t="inlineStr">
        <is>
          <t>—</t>
        </is>
      </c>
      <c r="I276" s="58" t="inlineStr">
        <is>
          <t>C7 (+) — Quality, Testing &amp; Risk + others</t>
        </is>
      </c>
      <c r="J276" s="6" t="n">
        <v>62</v>
      </c>
      <c r="K276" s="6" t="inlineStr">
        <is>
          <t>4.4.7</t>
        </is>
      </c>
      <c r="L276" s="6" t="inlineStr">
        <is>
          <t>Helium Inventory Management</t>
        </is>
      </c>
      <c r="M276" s="6" t="inlineStr">
        <is>
          <t>Table 17.</t>
        </is>
      </c>
      <c r="N276" s="6" t="inlineStr">
        <is>
          <t>Table 17.</t>
        </is>
      </c>
      <c r="O276" s="6" t="n">
        <v>0</v>
      </c>
      <c r="P276" s="6" t="n">
        <v>3</v>
      </c>
      <c r="Q276" s="6" t="n">
        <v>0</v>
      </c>
      <c r="R276" s="6" t="n">
        <v>2</v>
      </c>
      <c r="S276" s="6" t="n">
        <v>0</v>
      </c>
      <c r="T276" s="6" t="n">
        <v>0</v>
      </c>
      <c r="U276" s="6" t="n">
        <v>0</v>
      </c>
      <c r="V276" s="6" t="n">
        <v>32.666667</v>
      </c>
      <c r="W276" s="6" t="n">
        <v>62.2746</v>
      </c>
      <c r="X276" s="6" t="n">
        <v>5.9566</v>
      </c>
      <c r="Y276" s="6" t="inlineStr">
        <is>
          <t>Reliability</t>
        </is>
      </c>
      <c r="Z276" s="6" t="inlineStr">
        <is>
          <t>Frozen-weight composite; strongest contribution: Reliability.</t>
        </is>
      </c>
      <c r="AA276" s="6" t="inlineStr">
        <is>
          <t>None explicitly named in this RTM</t>
        </is>
      </c>
      <c r="AB276" s="6" t="inlineStr">
        <is>
          <t>Section-level: EN 13185:2001</t>
        </is>
      </c>
      <c r="AC276" s="6" t="inlineStr">
        <is>
          <t>RAM/maintenance substantiation and recovery/failure-response evidence</t>
        </is>
      </c>
      <c r="AD276" s="6" t="inlineStr">
        <is>
          <t>No separate deliverable explicitly named</t>
        </is>
      </c>
      <c r="AE276" s="6" t="inlineStr">
        <is>
          <t>L1 Conceptual Design; L2 Detailed Design</t>
        </is>
      </c>
      <c r="AF276" s="6" t="inlineStr">
        <is>
          <t>Section/contract-derived reference; derived evidence route</t>
        </is>
      </c>
      <c r="AG276" s="58" t="inlineStr">
        <is>
          <t>OFFER-13 (Broad/contextual — main component specification); OFFER-20 (Direct)</t>
        </is>
      </c>
    </row>
    <row r="277" ht="60" customHeight="1">
      <c r="A277" s="6" t="n">
        <v>272</v>
      </c>
      <c r="B277" s="6" t="inlineStr">
        <is>
          <t>RTM-258</t>
        </is>
      </c>
      <c r="C277" s="6" t="inlineStr">
        <is>
          <t>No</t>
        </is>
      </c>
      <c r="D277" s="6" t="inlineStr">
        <is>
          <t>T2 Secondary</t>
        </is>
      </c>
      <c r="E277" s="6" t="inlineStr">
        <is>
          <t>Subsystems</t>
        </is>
      </c>
      <c r="F277" s="82" t="inlineStr">
        <is>
          <t>SYSTEM</t>
        </is>
      </c>
      <c r="G277" s="83" t="inlineStr">
        <is>
          <t>Performance</t>
        </is>
      </c>
      <c r="H277" s="59" t="inlineStr">
        <is>
          <t>—</t>
        </is>
      </c>
      <c r="I277" s="58" t="inlineStr">
        <is>
          <t>C2 (+) — Process Design + others</t>
        </is>
      </c>
      <c r="J277" s="6" t="n">
        <v>63</v>
      </c>
      <c r="K277" s="6" t="inlineStr">
        <is>
          <t>4.4.7.1</t>
        </is>
      </c>
      <c r="L277" s="6" t="inlineStr">
        <is>
          <t>LOOP</t>
        </is>
      </c>
      <c r="M277" s="6" t="inlineStr">
        <is>
          <t>In case of LOOP, the QPS shall use the limited services (as defined in the respective sections) to avoid helium inventory loss while maintaining the safety of the installation.</t>
        </is>
      </c>
      <c r="N277" s="6" t="inlineStr">
        <is>
          <t>In case of LOOP, the QPS shall use the limited services (as defined in the respective sections) to avoid helium inventory loss while maintaining the safety of the installation.</t>
        </is>
      </c>
      <c r="O277" s="6" t="n">
        <v>0</v>
      </c>
      <c r="P277" s="6" t="n">
        <v>3</v>
      </c>
      <c r="Q277" s="6" t="n">
        <v>0</v>
      </c>
      <c r="R277" s="6" t="n">
        <v>2</v>
      </c>
      <c r="S277" s="6" t="n">
        <v>0</v>
      </c>
      <c r="T277" s="6" t="n">
        <v>0</v>
      </c>
      <c r="U277" s="6" t="n">
        <v>0</v>
      </c>
      <c r="V277" s="6" t="n">
        <v>32.666667</v>
      </c>
      <c r="W277" s="6" t="n">
        <v>62.2746</v>
      </c>
      <c r="X277" s="6" t="n">
        <v>5.9566</v>
      </c>
      <c r="Y277" s="6" t="inlineStr">
        <is>
          <t>Reliability</t>
        </is>
      </c>
      <c r="Z277" s="6" t="inlineStr">
        <is>
          <t>Frozen-weight composite; strongest contribution: Reliability.</t>
        </is>
      </c>
      <c r="AA277" s="6" t="inlineStr">
        <is>
          <t>None explicitly named in this RTM</t>
        </is>
      </c>
      <c r="AB277" s="6" t="inlineStr">
        <is>
          <t>SCK CEN/90508872 §4.4.7.1; no named external code</t>
        </is>
      </c>
      <c r="AC277" s="6" t="inlineStr">
        <is>
          <t>RAM/maintenance substantiation and recovery/failure-response evidence</t>
        </is>
      </c>
      <c r="AD277" s="6" t="inlineStr">
        <is>
          <t>No separate deliverable explicitly named</t>
        </is>
      </c>
      <c r="AE277" s="6" t="inlineStr">
        <is>
          <t>L4 Installation; L1 Conceptual Design; L2 Detailed Design</t>
        </is>
      </c>
      <c r="AF277" s="6" t="inlineStr">
        <is>
          <t>Section/contract-derived reference; derived evidence route</t>
        </is>
      </c>
      <c r="AG277" s="58" t="inlineStr">
        <is>
          <t>OFFER-20 (Supporting); OFFER-21 (Direct)</t>
        </is>
      </c>
    </row>
    <row r="278" ht="34" customHeight="1">
      <c r="A278" s="6" t="n">
        <v>273</v>
      </c>
      <c r="B278" s="6" t="inlineStr">
        <is>
          <t>RTM-259</t>
        </is>
      </c>
      <c r="C278" s="6" t="inlineStr">
        <is>
          <t>No</t>
        </is>
      </c>
      <c r="D278" s="6" t="inlineStr">
        <is>
          <t>T2 Secondary</t>
        </is>
      </c>
      <c r="E278" s="6" t="inlineStr">
        <is>
          <t>Subsystems</t>
        </is>
      </c>
      <c r="F278" s="82" t="inlineStr">
        <is>
          <t>SYSTEM</t>
        </is>
      </c>
      <c r="G278" s="83" t="inlineStr">
        <is>
          <t>Performance</t>
        </is>
      </c>
      <c r="H278" s="59" t="inlineStr">
        <is>
          <t>—</t>
        </is>
      </c>
      <c r="I278" s="58" t="inlineStr">
        <is>
          <t>C7 — Quality, Testing &amp; Risk</t>
        </is>
      </c>
      <c r="J278" s="6" t="n">
        <v>63</v>
      </c>
      <c r="K278" s="6" t="inlineStr">
        <is>
          <t>4.4.7.2</t>
        </is>
      </c>
      <c r="L278" s="6" t="inlineStr">
        <is>
          <t>Purging</t>
        </is>
      </c>
      <c r="M278" s="6" t="inlineStr">
        <is>
          <t>The Contractor shall install all equipment and connections necessary to allow purging and conditioning of the QPS.</t>
        </is>
      </c>
      <c r="N278" s="6" t="inlineStr">
        <is>
          <t>The Contractor shall install all equipment and connections necessary to allow purging and conditioning of the QPS.</t>
        </is>
      </c>
      <c r="O278" s="6" t="n">
        <v>0</v>
      </c>
      <c r="P278" s="6" t="n">
        <v>3</v>
      </c>
      <c r="Q278" s="6" t="n">
        <v>0</v>
      </c>
      <c r="R278" s="6" t="n">
        <v>2</v>
      </c>
      <c r="S278" s="6" t="n">
        <v>0</v>
      </c>
      <c r="T278" s="6" t="n">
        <v>0</v>
      </c>
      <c r="U278" s="6" t="n">
        <v>0</v>
      </c>
      <c r="V278" s="6" t="n">
        <v>32.666667</v>
      </c>
      <c r="W278" s="6" t="n">
        <v>62.2746</v>
      </c>
      <c r="X278" s="6" t="n">
        <v>5.9566</v>
      </c>
      <c r="Y278" s="6" t="inlineStr">
        <is>
          <t>Reliability</t>
        </is>
      </c>
      <c r="Z278" s="6" t="inlineStr">
        <is>
          <t>Frozen-weight composite; strongest contribution: Reliability.</t>
        </is>
      </c>
      <c r="AA278" s="6" t="inlineStr">
        <is>
          <t>None explicitly named in this RTM</t>
        </is>
      </c>
      <c r="AB278" s="6" t="inlineStr">
        <is>
          <t>SCK CEN/90508872 §4.4.7.2; no named external code</t>
        </is>
      </c>
      <c r="AC278" s="6" t="inlineStr">
        <is>
          <t>RAM/maintenance substantiation and recovery/failure-response evidence</t>
        </is>
      </c>
      <c r="AD278" s="6" t="inlineStr">
        <is>
          <t>No separate deliverable explicitly named</t>
        </is>
      </c>
      <c r="AE278" s="6" t="inlineStr">
        <is>
          <t>L1 Conceptual Design; L2 Detailed Design</t>
        </is>
      </c>
      <c r="AF278" s="6" t="inlineStr">
        <is>
          <t>Section/contract-derived reference; derived evidence route</t>
        </is>
      </c>
      <c r="AG278" s="58" t="inlineStr">
        <is>
          <t>OFFER-20 (Supporting)</t>
        </is>
      </c>
    </row>
    <row r="279" ht="138" customHeight="1">
      <c r="A279" s="6" t="n">
        <v>274</v>
      </c>
      <c r="B279" s="6" t="inlineStr">
        <is>
          <t>RTM-260</t>
        </is>
      </c>
      <c r="C279" s="6" t="inlineStr">
        <is>
          <t>No</t>
        </is>
      </c>
      <c r="D279" s="6" t="inlineStr">
        <is>
          <t>T2 Secondary</t>
        </is>
      </c>
      <c r="E279" s="6" t="inlineStr">
        <is>
          <t>Subsystems</t>
        </is>
      </c>
      <c r="F279" s="82" t="inlineStr">
        <is>
          <t>SAFETY</t>
        </is>
      </c>
      <c r="G279" s="83" t="inlineStr">
        <is>
          <t>Interlock &amp; Control Safety</t>
        </is>
      </c>
      <c r="H279" s="59" t="inlineStr">
        <is>
          <t>—</t>
        </is>
      </c>
      <c r="I279" s="58" t="inlineStr">
        <is>
          <t>C2 (+) — Process Design + others</t>
        </is>
      </c>
      <c r="J279" s="6" t="n">
        <v>63</v>
      </c>
      <c r="K279" s="6" t="inlineStr">
        <is>
          <t>4.4.7.3</t>
        </is>
      </c>
      <c r="L279" s="6" t="inlineStr">
        <is>
          <t>Abnormal conditions</t>
        </is>
      </c>
      <c r="M279" s="6" t="inlineStr">
        <is>
          <t>In case of QPS internal abnormal events, including those leading to abnormal conditions for the Cryogenic Users, no more than 1 % of the total helium inventory shall be lost.</t>
        </is>
      </c>
      <c r="N279" s="6" t="inlineStr">
        <is>
          <t>In case of QPS internal abnormal events, including those leading to abnormal conditions for the Cryogenic Users, no more than 1 % of the total helium inventory shall be lost.
• The recovery concept shall cover all credible initiating events, including but not limited to LOOP, loss of vacuum, loss of instrument air, cooling-circuit trip, turbine trip, QRB trip, HP compressor trip, and PVPS trip.
• Venting operations via safety valves shall discharge into line S.
• Emergency transfer of inventory to WSH shall only be performed in accordance with approved safety procedures, with active monitoring and relief provisions in place.</t>
        </is>
      </c>
      <c r="O279" s="6" t="n">
        <v>0</v>
      </c>
      <c r="P279" s="6" t="n">
        <v>3</v>
      </c>
      <c r="Q279" s="6" t="n">
        <v>0</v>
      </c>
      <c r="R279" s="6" t="n">
        <v>2</v>
      </c>
      <c r="S279" s="6" t="n">
        <v>0</v>
      </c>
      <c r="T279" s="6" t="n">
        <v>0</v>
      </c>
      <c r="U279" s="6" t="n">
        <v>0</v>
      </c>
      <c r="V279" s="6" t="n">
        <v>32.666667</v>
      </c>
      <c r="W279" s="6" t="n">
        <v>62.2746</v>
      </c>
      <c r="X279" s="6" t="n">
        <v>5.9566</v>
      </c>
      <c r="Y279" s="6" t="inlineStr">
        <is>
          <t>Reliability</t>
        </is>
      </c>
      <c r="Z279" s="6" t="inlineStr">
        <is>
          <t>Frozen-weight composite; strongest contribution: Reliability.</t>
        </is>
      </c>
      <c r="AA279" s="6" t="inlineStr">
        <is>
          <t>None explicitly named in this RTM</t>
        </is>
      </c>
      <c r="AB279" s="6" t="inlineStr">
        <is>
          <t>SCK CEN/90508872 §4.4.7.3; no named external code</t>
        </is>
      </c>
      <c r="AC279" s="6" t="inlineStr">
        <is>
          <t>Submit and review the named deliverable with RTM traceability and approval status; Functional design/configuration review and sequence/interface demonstration; RAM/maintenance substantiation and recovery/failure-response evidence</t>
        </is>
      </c>
      <c r="AD279" s="6" t="inlineStr">
        <is>
          <t>Procedure / work instruction</t>
        </is>
      </c>
      <c r="AE279" s="6" t="inlineStr">
        <is>
          <t>L1 Conceptual Design; L2 Detailed Design</t>
        </is>
      </c>
      <c r="AF279" s="6" t="inlineStr">
        <is>
          <t>Section/contract-derived reference; explicit deliverable/test wording</t>
        </is>
      </c>
      <c r="AG279" s="58" t="inlineStr">
        <is>
          <t>OFFER-20 (Supporting); OFFER-22 (Direct)</t>
        </is>
      </c>
    </row>
    <row r="280" ht="60" customHeight="1">
      <c r="A280" s="6" t="n">
        <v>275</v>
      </c>
      <c r="B280" s="6" t="inlineStr">
        <is>
          <t>RTM-262</t>
        </is>
      </c>
      <c r="C280" s="6" t="inlineStr">
        <is>
          <t>No</t>
        </is>
      </c>
      <c r="D280" s="6" t="inlineStr">
        <is>
          <t>T2 Secondary</t>
        </is>
      </c>
      <c r="E280" s="6" t="inlineStr">
        <is>
          <t>Subsystems</t>
        </is>
      </c>
      <c r="F280" s="82" t="inlineStr">
        <is>
          <t>SYSTEM</t>
        </is>
      </c>
      <c r="G280" s="83" t="inlineStr">
        <is>
          <t>Performance</t>
        </is>
      </c>
      <c r="H280" s="59" t="inlineStr">
        <is>
          <t>—</t>
        </is>
      </c>
      <c r="I280" s="58" t="inlineStr">
        <is>
          <t>C2 (+) — Process Design + others</t>
        </is>
      </c>
      <c r="J280" s="6" t="n">
        <v>64</v>
      </c>
      <c r="K280" s="6" t="inlineStr">
        <is>
          <t>4.4.7.3</t>
        </is>
      </c>
      <c r="L280" s="6" t="inlineStr">
        <is>
          <t>Abnormal conditions</t>
        </is>
      </c>
      <c r="M280" s="6" t="inlineStr">
        <is>
          <t>The QPS shall have a procedure to recover normal helium circulation once the initiated abnormal event is resolved.</t>
        </is>
      </c>
      <c r="N280" s="6" t="inlineStr">
        <is>
          <t>The QPS shall have a procedure to recover normal helium circulation once the initiated abnormal event is resolved.</t>
        </is>
      </c>
      <c r="O280" s="6" t="n">
        <v>0</v>
      </c>
      <c r="P280" s="6" t="n">
        <v>3</v>
      </c>
      <c r="Q280" s="6" t="n">
        <v>0</v>
      </c>
      <c r="R280" s="6" t="n">
        <v>2</v>
      </c>
      <c r="S280" s="6" t="n">
        <v>0</v>
      </c>
      <c r="T280" s="6" t="n">
        <v>0</v>
      </c>
      <c r="U280" s="6" t="n">
        <v>0</v>
      </c>
      <c r="V280" s="6" t="n">
        <v>32.666667</v>
      </c>
      <c r="W280" s="6" t="n">
        <v>62.2746</v>
      </c>
      <c r="X280" s="6" t="n">
        <v>5.9566</v>
      </c>
      <c r="Y280" s="6" t="inlineStr">
        <is>
          <t>Reliability</t>
        </is>
      </c>
      <c r="Z280" s="6" t="inlineStr">
        <is>
          <t>Frozen-weight composite; strongest contribution: Reliability.</t>
        </is>
      </c>
      <c r="AA280" s="6" t="inlineStr">
        <is>
          <t>None explicitly named in this RTM</t>
        </is>
      </c>
      <c r="AB280" s="6" t="inlineStr">
        <is>
          <t>SCK CEN/90508872 §4.4.7.3; no named external code</t>
        </is>
      </c>
      <c r="AC280" s="6" t="inlineStr">
        <is>
          <t>Submit and review the named deliverable with RTM traceability and approval status; Functional design/configuration review and sequence/interface demonstration; RAM/maintenance substantiation and recovery/failure-response evidence</t>
        </is>
      </c>
      <c r="AD280" s="6" t="inlineStr">
        <is>
          <t>Procedure / work instruction</t>
        </is>
      </c>
      <c r="AE280" s="6" t="inlineStr">
        <is>
          <t>L1 Conceptual Design; L2 Detailed Design</t>
        </is>
      </c>
      <c r="AF280" s="6" t="inlineStr">
        <is>
          <t>Section/contract-derived reference; explicit deliverable/test wording</t>
        </is>
      </c>
      <c r="AG280" s="58" t="inlineStr">
        <is>
          <t>OFFER-20 (Supporting); OFFER-22 (Direct)</t>
        </is>
      </c>
    </row>
    <row r="281" ht="99" customHeight="1">
      <c r="A281" s="6" t="n">
        <v>276</v>
      </c>
      <c r="B281" s="6" t="inlineStr">
        <is>
          <t>RTM-263</t>
        </is>
      </c>
      <c r="C281" s="6" t="inlineStr">
        <is>
          <t>No</t>
        </is>
      </c>
      <c r="D281" s="6" t="inlineStr">
        <is>
          <t>T2 Secondary</t>
        </is>
      </c>
      <c r="E281" s="6" t="inlineStr">
        <is>
          <t>Subsystems</t>
        </is>
      </c>
      <c r="F281" s="82" t="inlineStr">
        <is>
          <t>SYSTEM</t>
        </is>
      </c>
      <c r="G281" s="83" t="inlineStr">
        <is>
          <t>Performance</t>
        </is>
      </c>
      <c r="H281" s="59" t="inlineStr">
        <is>
          <t>—</t>
        </is>
      </c>
      <c r="I281" s="58" t="inlineStr">
        <is>
          <t>C3 — Mechanical &amp; Equipment</t>
        </is>
      </c>
      <c r="J281" s="6" t="n">
        <v>64</v>
      </c>
      <c r="K281" s="6" t="inlineStr">
        <is>
          <t>4.4.8</t>
        </is>
      </c>
      <c r="L281" s="6" t="inlineStr">
        <is>
          <t>External Helium Withdrawal and Recovery</t>
        </is>
      </c>
      <c r="M281" s="6" t="inlineStr">
        <is>
          <t>The QPS design shall include a Dewar Filling Station that allows External Dewar Users to (sporadically) withdraw LHe via dewars and to return GHe via a dedicated warm return line. To this end, the QPS shall include</t>
        </is>
      </c>
      <c r="N281" s="6" t="inlineStr">
        <is>
          <t>The QPS design shall include a Dewar Filling Station that allows External Dewar Users to (sporadically) withdraw LHe via dewars and to return GHe via a dedicated warm return line. To this end, the QPS shall include
• All necessary infrastructure for the withdrawal of LHe to external dewars (the dewars themselves are not in scope of this Contract).
• All necessary equipment and interfaces for the recovery of GHe via the dedicated line “G20” coming from the external WGR-MAC system.</t>
        </is>
      </c>
      <c r="O281" s="6" t="n">
        <v>0</v>
      </c>
      <c r="P281" s="6" t="n">
        <v>3</v>
      </c>
      <c r="Q281" s="6" t="n">
        <v>0</v>
      </c>
      <c r="R281" s="6" t="n">
        <v>2</v>
      </c>
      <c r="S281" s="6" t="n">
        <v>0</v>
      </c>
      <c r="T281" s="6" t="n">
        <v>0</v>
      </c>
      <c r="U281" s="6" t="n">
        <v>0</v>
      </c>
      <c r="V281" s="6" t="n">
        <v>32.666667</v>
      </c>
      <c r="W281" s="6" t="n">
        <v>62.2746</v>
      </c>
      <c r="X281" s="6" t="n">
        <v>5.9566</v>
      </c>
      <c r="Y281" s="6" t="inlineStr">
        <is>
          <t>Reliability</t>
        </is>
      </c>
      <c r="Z281" s="6" t="inlineStr">
        <is>
          <t>Frozen-weight composite; strongest contribution: Reliability.</t>
        </is>
      </c>
      <c r="AA281" s="6" t="inlineStr">
        <is>
          <t>None explicitly named in this RTM</t>
        </is>
      </c>
      <c r="AB281" s="6" t="inlineStr">
        <is>
          <t>SCK CEN/90508872 §4.4.8; no named external code</t>
        </is>
      </c>
      <c r="AC281" s="6" t="inlineStr">
        <is>
          <t>Functional design/configuration review and sequence/interface demonstration; RAM/maintenance substantiation and recovery/failure-response evidence</t>
        </is>
      </c>
      <c r="AD281" s="6" t="inlineStr">
        <is>
          <t>No separate deliverable explicitly named</t>
        </is>
      </c>
      <c r="AE281" s="6" t="inlineStr">
        <is>
          <t>L1 Conceptual Design; L2 Detailed Design</t>
        </is>
      </c>
      <c r="AF281" s="6" t="inlineStr">
        <is>
          <t>Section/contract-derived reference; derived evidence route</t>
        </is>
      </c>
      <c r="AG281" s="58" t="inlineStr">
        <is>
          <t>OFFER-13 (Broad/contextual — main component specification)</t>
        </is>
      </c>
    </row>
    <row r="282" ht="60" customHeight="1">
      <c r="A282" s="6" t="n">
        <v>277</v>
      </c>
      <c r="B282" s="6" t="inlineStr">
        <is>
          <t>RTM-265</t>
        </is>
      </c>
      <c r="C282" s="6" t="inlineStr">
        <is>
          <t>No</t>
        </is>
      </c>
      <c r="D282" s="6" t="inlineStr">
        <is>
          <t>T2 Secondary</t>
        </is>
      </c>
      <c r="E282" s="6" t="inlineStr">
        <is>
          <t>Subsystems</t>
        </is>
      </c>
      <c r="F282" s="82" t="inlineStr">
        <is>
          <t>SYSTEM</t>
        </is>
      </c>
      <c r="G282" s="83" t="inlineStr">
        <is>
          <t>Performance</t>
        </is>
      </c>
      <c r="H282" s="59" t="inlineStr">
        <is>
          <t>—</t>
        </is>
      </c>
      <c r="I282" s="58" t="inlineStr">
        <is>
          <t>C3 — Mechanical &amp; Equipment</t>
        </is>
      </c>
      <c r="J282" s="6" t="n">
        <v>64</v>
      </c>
      <c r="K282" s="6" t="inlineStr">
        <is>
          <t>4.4.8</t>
        </is>
      </c>
      <c r="L282" s="6" t="inlineStr">
        <is>
          <t>External Helium Withdrawal and Recovery</t>
        </is>
      </c>
      <c r="M282" s="6" t="inlineStr">
        <is>
          <t>The QPS shall include all necessary equipment to protect its integrity, operational stability, and helium purity against disturbances originating from External LHe User systems.</t>
        </is>
      </c>
      <c r="N282" s="6" t="inlineStr">
        <is>
          <t>The QPS shall include all necessary equipment to protect its integrity, operational stability, and helium purity against disturbances originating from External LHe User systems.</t>
        </is>
      </c>
      <c r="O282" s="6" t="n">
        <v>0</v>
      </c>
      <c r="P282" s="6" t="n">
        <v>3</v>
      </c>
      <c r="Q282" s="6" t="n">
        <v>0</v>
      </c>
      <c r="R282" s="6" t="n">
        <v>2</v>
      </c>
      <c r="S282" s="6" t="n">
        <v>0</v>
      </c>
      <c r="T282" s="6" t="n">
        <v>0</v>
      </c>
      <c r="U282" s="6" t="n">
        <v>0</v>
      </c>
      <c r="V282" s="6" t="n">
        <v>32.666667</v>
      </c>
      <c r="W282" s="6" t="n">
        <v>62.2746</v>
      </c>
      <c r="X282" s="6" t="n">
        <v>5.9566</v>
      </c>
      <c r="Y282" s="6" t="inlineStr">
        <is>
          <t>Reliability</t>
        </is>
      </c>
      <c r="Z282" s="6" t="inlineStr">
        <is>
          <t>Frozen-weight composite; strongest contribution: Reliability.</t>
        </is>
      </c>
      <c r="AA282" s="6" t="inlineStr">
        <is>
          <t>None explicitly named in this RTM</t>
        </is>
      </c>
      <c r="AB282" s="6" t="inlineStr">
        <is>
          <t>SCK CEN/90508872 §4.4.8; no named external code</t>
        </is>
      </c>
      <c r="AC282" s="6" t="inlineStr">
        <is>
          <t>Functional design/configuration review and sequence/interface demonstration; RAM/maintenance substantiation and recovery/failure-response evidence</t>
        </is>
      </c>
      <c r="AD282" s="6" t="inlineStr">
        <is>
          <t>No separate deliverable explicitly named</t>
        </is>
      </c>
      <c r="AE282" s="6" t="inlineStr">
        <is>
          <t>L1 Conceptual Design; L2 Detailed Design</t>
        </is>
      </c>
      <c r="AF282" s="6" t="inlineStr">
        <is>
          <t>Section/contract-derived reference; derived evidence route</t>
        </is>
      </c>
      <c r="AG282" s="58" t="inlineStr">
        <is>
          <t>OFFER-13 (Broad/contextual — main component specification)</t>
        </is>
      </c>
    </row>
    <row r="283" ht="47" customHeight="1">
      <c r="A283" s="6" t="n">
        <v>278</v>
      </c>
      <c r="B283" s="6" t="inlineStr">
        <is>
          <t>RTM-266</t>
        </is>
      </c>
      <c r="C283" s="6" t="inlineStr">
        <is>
          <t>No</t>
        </is>
      </c>
      <c r="D283" s="6" t="inlineStr">
        <is>
          <t>T2 Secondary</t>
        </is>
      </c>
      <c r="E283" s="6" t="inlineStr">
        <is>
          <t>Subsystems</t>
        </is>
      </c>
      <c r="F283" s="82" t="inlineStr">
        <is>
          <t>SYSTEM</t>
        </is>
      </c>
      <c r="G283" s="83" t="inlineStr">
        <is>
          <t>Performance</t>
        </is>
      </c>
      <c r="H283" s="59" t="inlineStr">
        <is>
          <t>—</t>
        </is>
      </c>
      <c r="I283" s="58" t="inlineStr">
        <is>
          <t>C3 — Mechanical &amp; Equipment</t>
        </is>
      </c>
      <c r="J283" s="6" t="n">
        <v>64</v>
      </c>
      <c r="K283" s="6" t="inlineStr">
        <is>
          <t>4.4.8</t>
        </is>
      </c>
      <c r="L283" s="6" t="inlineStr">
        <is>
          <t>External Helium Withdrawal and Recovery</t>
        </is>
      </c>
      <c r="M283" s="6" t="inlineStr">
        <is>
          <t>The Dewar Filling Station and the interface to line G20 shall be located within the Coldbox Room.</t>
        </is>
      </c>
      <c r="N283" s="6" t="inlineStr">
        <is>
          <t>The Dewar Filling Station and the interface to line G20 shall be located within the Coldbox Room.</t>
        </is>
      </c>
      <c r="O283" s="6" t="n">
        <v>0</v>
      </c>
      <c r="P283" s="6" t="n">
        <v>3</v>
      </c>
      <c r="Q283" s="6" t="n">
        <v>0</v>
      </c>
      <c r="R283" s="6" t="n">
        <v>2</v>
      </c>
      <c r="S283" s="6" t="n">
        <v>0</v>
      </c>
      <c r="T283" s="6" t="n">
        <v>0</v>
      </c>
      <c r="U283" s="6" t="n">
        <v>0</v>
      </c>
      <c r="V283" s="6" t="n">
        <v>32.666667</v>
      </c>
      <c r="W283" s="6" t="n">
        <v>62.2746</v>
      </c>
      <c r="X283" s="6" t="n">
        <v>5.9566</v>
      </c>
      <c r="Y283" s="6" t="inlineStr">
        <is>
          <t>Reliability</t>
        </is>
      </c>
      <c r="Z283" s="6" t="inlineStr">
        <is>
          <t>Frozen-weight composite; strongest contribution: Reliability.</t>
        </is>
      </c>
      <c r="AA283" s="6" t="inlineStr">
        <is>
          <t>None explicitly named in this RTM</t>
        </is>
      </c>
      <c r="AB283" s="6" t="inlineStr">
        <is>
          <t>SCK CEN/90508872 §4.4.8; no named external code</t>
        </is>
      </c>
      <c r="AC283" s="6" t="inlineStr">
        <is>
          <t>Functional design/configuration review and sequence/interface demonstration; RAM/maintenance substantiation and recovery/failure-response evidence</t>
        </is>
      </c>
      <c r="AD283" s="6" t="inlineStr">
        <is>
          <t>No separate deliverable explicitly named</t>
        </is>
      </c>
      <c r="AE283" s="6" t="inlineStr">
        <is>
          <t>L1 Conceptual Design; L2 Detailed Design</t>
        </is>
      </c>
      <c r="AF283" s="6" t="inlineStr">
        <is>
          <t>Section/contract-derived reference; derived evidence route</t>
        </is>
      </c>
      <c r="AG283" s="58" t="inlineStr">
        <is>
          <t>OFFER-13 (Broad/contextual — main component specification)</t>
        </is>
      </c>
    </row>
    <row r="284" ht="47" customHeight="1">
      <c r="A284" s="6" t="n">
        <v>279</v>
      </c>
      <c r="B284" s="6" t="inlineStr">
        <is>
          <t>RTM-277</t>
        </is>
      </c>
      <c r="C284" s="6" t="inlineStr">
        <is>
          <t>No</t>
        </is>
      </c>
      <c r="D284" s="6" t="inlineStr">
        <is>
          <t>T2 Secondary</t>
        </is>
      </c>
      <c r="E284" s="6" t="inlineStr">
        <is>
          <t>Subsystems</t>
        </is>
      </c>
      <c r="F284" s="82" t="inlineStr">
        <is>
          <t>SYSTEM</t>
        </is>
      </c>
      <c r="G284" s="83" t="inlineStr">
        <is>
          <t>Performance</t>
        </is>
      </c>
      <c r="H284" s="59" t="inlineStr">
        <is>
          <t>—</t>
        </is>
      </c>
      <c r="I284" s="58" t="inlineStr">
        <is>
          <t>C2 — Process Design</t>
        </is>
      </c>
      <c r="J284" s="6" t="n">
        <v>66</v>
      </c>
      <c r="K284" s="6" t="inlineStr">
        <is>
          <t>4.4.8.2</t>
        </is>
      </c>
      <c r="L284" s="6" t="inlineStr">
        <is>
          <t>Warm GHe Recovery from WGR-MAC</t>
        </is>
      </c>
      <c r="M284" s="6" t="inlineStr">
        <is>
          <t>Upon rejection, the QPLANT shall vent the returning helium to the atmosphere via an outdoor discharge point, located outside the Coldbox room.</t>
        </is>
      </c>
      <c r="N284" s="6" t="inlineStr">
        <is>
          <t>Upon rejection, the QPLANT shall vent the returning helium to the atmosphere via an outdoor discharge point, located outside the Coldbox room.</t>
        </is>
      </c>
      <c r="O284" s="6" t="n">
        <v>0</v>
      </c>
      <c r="P284" s="6" t="n">
        <v>3</v>
      </c>
      <c r="Q284" s="6" t="n">
        <v>0</v>
      </c>
      <c r="R284" s="6" t="n">
        <v>2</v>
      </c>
      <c r="S284" s="6" t="n">
        <v>0</v>
      </c>
      <c r="T284" s="6" t="n">
        <v>0</v>
      </c>
      <c r="U284" s="6" t="n">
        <v>0</v>
      </c>
      <c r="V284" s="6" t="n">
        <v>32.666667</v>
      </c>
      <c r="W284" s="6" t="n">
        <v>62.2746</v>
      </c>
      <c r="X284" s="6" t="n">
        <v>5.9566</v>
      </c>
      <c r="Y284" s="6" t="inlineStr">
        <is>
          <t>Reliability</t>
        </is>
      </c>
      <c r="Z284" s="6" t="inlineStr">
        <is>
          <t>Frozen-weight composite; strongest contribution: Reliability.</t>
        </is>
      </c>
      <c r="AA284" s="6" t="inlineStr">
        <is>
          <t>None explicitly named in this RTM</t>
        </is>
      </c>
      <c r="AB284" s="6" t="inlineStr">
        <is>
          <t>SCK CEN/90508872 §4.4.8.2; no named external code</t>
        </is>
      </c>
      <c r="AC284" s="6" t="inlineStr">
        <is>
          <t>RAM/maintenance substantiation and recovery/failure-response evidence</t>
        </is>
      </c>
      <c r="AD284" s="6" t="inlineStr">
        <is>
          <t>No separate deliverable explicitly named</t>
        </is>
      </c>
      <c r="AE284" s="6" t="inlineStr">
        <is>
          <t>L1 Conceptual Design; L2 Detailed Design</t>
        </is>
      </c>
      <c r="AF284" s="6" t="inlineStr">
        <is>
          <t>Section/contract-derived reference; derived evidence route</t>
        </is>
      </c>
      <c r="AG284" s="58" t="inlineStr">
        <is>
          <t>OFFER-24 (Direct)</t>
        </is>
      </c>
    </row>
    <row r="285" ht="60" customHeight="1">
      <c r="A285" s="6" t="n">
        <v>280</v>
      </c>
      <c r="B285" s="6" t="inlineStr">
        <is>
          <t>RTM-707</t>
        </is>
      </c>
      <c r="C285" s="6" t="inlineStr">
        <is>
          <t>No</t>
        </is>
      </c>
      <c r="D285" s="6" t="inlineStr">
        <is>
          <t>T2 Secondary</t>
        </is>
      </c>
      <c r="E285" s="6" t="inlineStr">
        <is>
          <t>Acceptance &amp; Warranty</t>
        </is>
      </c>
      <c r="F285" s="82" t="inlineStr">
        <is>
          <t>PROJECT</t>
        </is>
      </c>
      <c r="G285" s="83" t="inlineStr">
        <is>
          <t>Governance &amp; Responsibility</t>
        </is>
      </c>
      <c r="H285" s="59" t="inlineStr">
        <is>
          <t>—</t>
        </is>
      </c>
      <c r="I285" s="81" t="inlineStr">
        <is>
          <t>Inferred: C6 — Reliability &amp; Maintenance (high conf.)</t>
        </is>
      </c>
      <c r="J285" s="6" t="n">
        <v>130</v>
      </c>
      <c r="K285" s="6" t="inlineStr">
        <is>
          <t>10.1</t>
        </is>
      </c>
      <c r="L285" s="6" t="inlineStr">
        <is>
          <t>Provisional Acceptance</t>
        </is>
      </c>
      <c r="M285" s="6" t="inlineStr">
        <is>
          <t>The provisional acceptance shall be subject to:</t>
        </is>
      </c>
      <c r="N285" s="6" t="inlineStr">
        <is>
          <t>The provisional acceptance shall be subject to:
• the successful completion of the SAT and
• all identified Non-Conformities (e.g., missing, or incomplete documentation) having been duly corrected by the Contractor.</t>
        </is>
      </c>
      <c r="O285" s="6" t="n">
        <v>2</v>
      </c>
      <c r="P285" s="6" t="n">
        <v>0</v>
      </c>
      <c r="Q285" s="6" t="n">
        <v>0</v>
      </c>
      <c r="R285" s="6" t="n">
        <v>0</v>
      </c>
      <c r="S285" s="6" t="n">
        <v>3</v>
      </c>
      <c r="T285" s="6" t="n">
        <v>3</v>
      </c>
      <c r="U285" s="6" t="n">
        <v>0</v>
      </c>
      <c r="V285" s="6" t="n">
        <v>32.333333</v>
      </c>
      <c r="W285" s="6" t="n">
        <v>61.2344</v>
      </c>
      <c r="X285" s="6" t="n">
        <v>5.6161</v>
      </c>
      <c r="Y285" s="6" t="inlineStr">
        <is>
          <t>Safety / Legal</t>
        </is>
      </c>
      <c r="Z285" s="6" t="inlineStr">
        <is>
          <t>Frozen-weight composite; strongest contribution: Safety / Legal.</t>
        </is>
      </c>
      <c r="AA285" s="6" t="inlineStr">
        <is>
          <t>None explicitly named in this RTM</t>
        </is>
      </c>
      <c r="AB285" s="6" t="inlineStr">
        <is>
          <t>SCK CEN/90508872 §10.1; no named external code</t>
        </is>
      </c>
      <c r="AC285" s="6" t="inlineStr">
        <is>
          <t>Witnessed FAT/SAT/commissioning test against stated acceptance criteria</t>
        </is>
      </c>
      <c r="AD285" s="6" t="inlineStr">
        <is>
          <t>No separate deliverable explicitly named</t>
        </is>
      </c>
      <c r="AE285" s="6" t="inlineStr">
        <is>
          <t>L6 Site Acceptance Testing; PAC / Handover; Warranty; FAC</t>
        </is>
      </c>
      <c r="AF285" s="6" t="inlineStr">
        <is>
          <t>Section/contract-derived reference; derived evidence route</t>
        </is>
      </c>
      <c r="AG285" s="58" t="inlineStr">
        <is>
          <t>Not linked to an OFFER item</t>
        </is>
      </c>
    </row>
    <row r="286" ht="112" customHeight="1">
      <c r="A286" s="6" t="n">
        <v>281</v>
      </c>
      <c r="B286" s="6" t="inlineStr">
        <is>
          <t>RTM-719</t>
        </is>
      </c>
      <c r="C286" s="6" t="inlineStr">
        <is>
          <t>No</t>
        </is>
      </c>
      <c r="D286" s="6" t="inlineStr">
        <is>
          <t>T2 Secondary</t>
        </is>
      </c>
      <c r="E286" s="6" t="inlineStr">
        <is>
          <t>Acceptance &amp; Warranty</t>
        </is>
      </c>
      <c r="F286" s="82" t="inlineStr">
        <is>
          <t>PROJECT</t>
        </is>
      </c>
      <c r="G286" s="83" t="inlineStr">
        <is>
          <t>Documentation &amp; Compliance</t>
        </is>
      </c>
      <c r="H286" s="59" t="inlineStr">
        <is>
          <t>—</t>
        </is>
      </c>
      <c r="I286" s="81" t="inlineStr">
        <is>
          <t>Inferred: C6 — Reliability &amp; Maintenance (high conf.)</t>
        </is>
      </c>
      <c r="J286" s="6" t="n">
        <v>131</v>
      </c>
      <c r="K286" s="6" t="inlineStr">
        <is>
          <t>10.3</t>
        </is>
      </c>
      <c r="L286" s="6" t="inlineStr">
        <is>
          <t>Warranty Conditions</t>
        </is>
      </c>
      <c r="M286" s="6" t="inlineStr">
        <is>
          <t>The Contractor shall keep a register of all interventions that the Contractor performs during the warranty period which can be always consulted by SCK CEN. If SCK CEN can demonstrate a trend of failure occurring during the warranty period, which is not attributable to any inappropriate use of the equipment, this will be considered as a deficiency, and the Contractor shall be liable to replace at his own risk and expense the affected item</t>
        </is>
      </c>
      <c r="N286" s="6" t="inlineStr">
        <is>
          <t>The Contractor shall keep a register of all interventions that the Contractor performs during the warranty period which can be always consulted by SCK CEN. If SCK CEN can demonstrate a trend of failure occurring during the warranty period, which is not attributable to any inappropriate use of the equipment, this will be considered as a deficiency, and the Contractor shall be liable to replace at his own risk and expense the affected item</t>
        </is>
      </c>
      <c r="O286" s="6" t="n">
        <v>2</v>
      </c>
      <c r="P286" s="6" t="n">
        <v>0</v>
      </c>
      <c r="Q286" s="6" t="n">
        <v>0</v>
      </c>
      <c r="R286" s="6" t="n">
        <v>0</v>
      </c>
      <c r="S286" s="6" t="n">
        <v>3</v>
      </c>
      <c r="T286" s="6" t="n">
        <v>3</v>
      </c>
      <c r="U286" s="6" t="n">
        <v>0</v>
      </c>
      <c r="V286" s="6" t="n">
        <v>32.333333</v>
      </c>
      <c r="W286" s="6" t="n">
        <v>61.2344</v>
      </c>
      <c r="X286" s="6" t="n">
        <v>5.6161</v>
      </c>
      <c r="Y286" s="6" t="inlineStr">
        <is>
          <t>Safety / Legal</t>
        </is>
      </c>
      <c r="Z286" s="6" t="inlineStr">
        <is>
          <t>Frozen-weight composite; strongest contribution: Safety / Legal.</t>
        </is>
      </c>
      <c r="AA286" s="6" t="inlineStr">
        <is>
          <t>None explicitly named in this RTM</t>
        </is>
      </c>
      <c r="AB286" s="6" t="inlineStr">
        <is>
          <t>SCK CEN/90508872 §10.3; no named external code</t>
        </is>
      </c>
      <c r="AC286" s="6" t="inlineStr">
        <is>
          <t>Submit and review the named deliverable with RTM traceability and approval status; Witnessed FAT/SAT/commissioning test against stated acceptance criteria; Document review, inspection, certification, audit or traceable QC record</t>
        </is>
      </c>
      <c r="AD286" s="6" t="inlineStr">
        <is>
          <t>List / register / matrix</t>
        </is>
      </c>
      <c r="AE286" s="6" t="inlineStr">
        <is>
          <t>Warranty; PAC / Handover; FAC</t>
        </is>
      </c>
      <c r="AF286" s="6" t="inlineStr">
        <is>
          <t>Section/contract-derived reference; explicit deliverable/test wording</t>
        </is>
      </c>
      <c r="AG286" s="58" t="inlineStr">
        <is>
          <t>Not linked to an OFFER item</t>
        </is>
      </c>
    </row>
    <row r="287" ht="99" customHeight="1">
      <c r="A287" s="6" t="n">
        <v>282</v>
      </c>
      <c r="B287" s="6" t="inlineStr">
        <is>
          <t>RTM-007</t>
        </is>
      </c>
      <c r="C287" s="6" t="inlineStr">
        <is>
          <t>No</t>
        </is>
      </c>
      <c r="D287" s="6" t="inlineStr">
        <is>
          <t>T2 Secondary</t>
        </is>
      </c>
      <c r="E287" s="6" t="inlineStr">
        <is>
          <t>Process &amp; Functional</t>
        </is>
      </c>
      <c r="F287" s="82" t="inlineStr">
        <is>
          <t>SYSTEM</t>
        </is>
      </c>
      <c r="G287" s="83" t="inlineStr">
        <is>
          <t>Performance</t>
        </is>
      </c>
      <c r="H287" s="59" t="inlineStr">
        <is>
          <t>—</t>
        </is>
      </c>
      <c r="I287" s="81" t="inlineStr">
        <is>
          <t>Inferred: C2 — Process Design (low conf.)</t>
        </is>
      </c>
      <c r="J287" s="6" t="n">
        <v>26</v>
      </c>
      <c r="K287" s="6" t="inlineStr">
        <is>
          <t>4.2.1</t>
        </is>
      </c>
      <c r="L287" s="6" t="inlineStr">
        <is>
          <t>Design and Operational Conditions</t>
        </is>
      </c>
      <c r="M287" s="6" t="inlineStr">
        <is>
          <t>For the QPS design, the Contractor shall:</t>
        </is>
      </c>
      <c r="N287" s="6" t="inlineStr">
        <is>
          <t>For the QPS design, the Contractor shall:
• Apply all Design and Operational Conditions, as specified hereafter.
• For each sizing, verification, and/or engineering calculation, clearly indicate the type of condition used (Design or Operational). Any assumptions or engineering conditions, which the Contractor has adopted for the design in addition to the Design and Operational Conditions specified by SCK CEN, shall also be clearly put forward.</t>
        </is>
      </c>
      <c r="O287" s="6" t="n">
        <v>0</v>
      </c>
      <c r="P287" s="6" t="n">
        <v>0</v>
      </c>
      <c r="Q287" s="6" t="n">
        <v>3</v>
      </c>
      <c r="R287" s="6" t="n">
        <v>0</v>
      </c>
      <c r="S287" s="6" t="n">
        <v>3</v>
      </c>
      <c r="T287" s="6" t="n">
        <v>0</v>
      </c>
      <c r="U287" s="6" t="n">
        <v>0</v>
      </c>
      <c r="V287" s="6" t="n">
        <v>32</v>
      </c>
      <c r="W287" s="6" t="n">
        <v>60.8183</v>
      </c>
      <c r="X287" s="6" t="n">
        <v>5.4859</v>
      </c>
      <c r="Y287" s="6" t="inlineStr">
        <is>
          <t>Performance</t>
        </is>
      </c>
      <c r="Z287" s="6" t="inlineStr">
        <is>
          <t>Frozen-weight composite; strongest contribution: Performance.</t>
        </is>
      </c>
      <c r="AA287" s="6" t="inlineStr">
        <is>
          <t>None explicitly named in this RTM</t>
        </is>
      </c>
      <c r="AB287" s="6" t="inlineStr">
        <is>
          <t>SCK CEN/90508872 §4.2.1; no named external code</t>
        </is>
      </c>
      <c r="AC287" s="6" t="inlineStr">
        <is>
          <t>Submit and review the named deliverable with RTM traceability and approval status; Calculation/model plus calibrated measurement or recorded trend; Document review, inspection, certification, audit or traceable QC record</t>
        </is>
      </c>
      <c r="AD287" s="6" t="inlineStr">
        <is>
          <t>Design / calculation package</t>
        </is>
      </c>
      <c r="AE287" s="6" t="inlineStr">
        <is>
          <t>L1 Conceptual Design; L2 Detailed Design</t>
        </is>
      </c>
      <c r="AF287" s="6" t="inlineStr">
        <is>
          <t>Section/contract-derived reference; explicit deliverable/test wording</t>
        </is>
      </c>
      <c r="AG287" s="58" t="inlineStr">
        <is>
          <t>Not linked to an OFFER item</t>
        </is>
      </c>
    </row>
    <row r="288" ht="177" customHeight="1">
      <c r="A288" s="6" t="n">
        <v>283</v>
      </c>
      <c r="B288" s="6" t="inlineStr">
        <is>
          <t>RTM-035</t>
        </is>
      </c>
      <c r="C288" s="6" t="inlineStr">
        <is>
          <t>No</t>
        </is>
      </c>
      <c r="D288" s="6" t="inlineStr">
        <is>
          <t>T2 Secondary</t>
        </is>
      </c>
      <c r="E288" s="6" t="inlineStr">
        <is>
          <t>Process &amp; Functional</t>
        </is>
      </c>
      <c r="F288" s="82" t="inlineStr">
        <is>
          <t>SYSTEM</t>
        </is>
      </c>
      <c r="G288" s="83" t="inlineStr">
        <is>
          <t>Performance</t>
        </is>
      </c>
      <c r="H288" s="59" t="inlineStr">
        <is>
          <t>—</t>
        </is>
      </c>
      <c r="I288" s="81" t="inlineStr">
        <is>
          <t>Inferred: C2 — Process Design (low conf.)</t>
        </is>
      </c>
      <c r="J288" s="6" t="n">
        <v>32</v>
      </c>
      <c r="K288" s="6" t="inlineStr">
        <is>
          <t>4.2.3</t>
        </is>
      </c>
      <c r="L288" s="6" t="inlineStr">
        <is>
          <t>Operational Condition Ranges</t>
        </is>
      </c>
      <c r="M288" s="6" t="inlineStr">
        <is>
          <t>For headers D and E, the Contractor shall treat the provided pressure and temperature values as indicative nominal values.</t>
        </is>
      </c>
      <c r="N288" s="6" t="inlineStr">
        <is>
          <t>For headers D and E, the Contractor shall treat the provided pressure and temperature values as indicative nominal values.
• The Contractor shall refine and document the final design values as part of its design optimisation.
• The final design values shall comply with the following constraints:
• Design pressure
• The pressure at header D shall be within 12-17 bar.
• The pressure difference between headers D and E shall be ≥ 1 bar.
• Design temperature
• The temperature at header D shall be within 30-50 K.
• The temperature difference between headers D and E shall be within 20-30 K.
• The temperature at header E shall be ≤70 K.</t>
        </is>
      </c>
      <c r="O288" s="6" t="n">
        <v>0</v>
      </c>
      <c r="P288" s="6" t="n">
        <v>0</v>
      </c>
      <c r="Q288" s="6" t="n">
        <v>3</v>
      </c>
      <c r="R288" s="6" t="n">
        <v>0</v>
      </c>
      <c r="S288" s="6" t="n">
        <v>3</v>
      </c>
      <c r="T288" s="6" t="n">
        <v>0</v>
      </c>
      <c r="U288" s="6" t="n">
        <v>0</v>
      </c>
      <c r="V288" s="6" t="n">
        <v>32</v>
      </c>
      <c r="W288" s="6" t="n">
        <v>60.8183</v>
      </c>
      <c r="X288" s="6" t="n">
        <v>5.4859</v>
      </c>
      <c r="Y288" s="6" t="inlineStr">
        <is>
          <t>Performance</t>
        </is>
      </c>
      <c r="Z288" s="6" t="inlineStr">
        <is>
          <t>Frozen-weight composite; strongest contribution: Performance.</t>
        </is>
      </c>
      <c r="AA288" s="6" t="inlineStr">
        <is>
          <t>None explicitly named in this RTM</t>
        </is>
      </c>
      <c r="AB288" s="6" t="inlineStr">
        <is>
          <t>SCK CEN/90508872 §4.2.3; no named external code</t>
        </is>
      </c>
      <c r="AC288" s="6" t="inlineStr">
        <is>
          <t>Witnessed FAT/SAT/commissioning test against stated acceptance criteria; Calculation/model plus calibrated measurement or recorded trend</t>
        </is>
      </c>
      <c r="AD288" s="6" t="inlineStr">
        <is>
          <t>No separate deliverable explicitly named</t>
        </is>
      </c>
      <c r="AE288" s="6" t="inlineStr">
        <is>
          <t>L6 Site Acceptance Testing; L1 Conceptual Design; L2 Detailed Design</t>
        </is>
      </c>
      <c r="AF288" s="6" t="inlineStr">
        <is>
          <t>Section/contract-derived reference; derived evidence route</t>
        </is>
      </c>
      <c r="AG288" s="58" t="inlineStr">
        <is>
          <t>Not linked to an OFFER item</t>
        </is>
      </c>
    </row>
    <row r="289" ht="125" customHeight="1">
      <c r="A289" s="6" t="n">
        <v>284</v>
      </c>
      <c r="B289" s="6" t="inlineStr">
        <is>
          <t>RTM-071</t>
        </is>
      </c>
      <c r="C289" s="6" t="inlineStr">
        <is>
          <t>No</t>
        </is>
      </c>
      <c r="D289" s="6" t="inlineStr">
        <is>
          <t>T2 Secondary</t>
        </is>
      </c>
      <c r="E289" s="6" t="inlineStr">
        <is>
          <t>Global Design Criteria</t>
        </is>
      </c>
      <c r="F289" s="82" t="inlineStr">
        <is>
          <t>SYSTEM</t>
        </is>
      </c>
      <c r="G289" s="83" t="inlineStr">
        <is>
          <t>Performance</t>
        </is>
      </c>
      <c r="H289" s="59" t="inlineStr">
        <is>
          <t>—</t>
        </is>
      </c>
      <c r="I289" s="58" t="inlineStr">
        <is>
          <t>C1 — Performance</t>
        </is>
      </c>
      <c r="J289" s="6" t="n">
        <v>40</v>
      </c>
      <c r="K289" s="6" t="inlineStr">
        <is>
          <t>4.3.4</t>
        </is>
      </c>
      <c r="L289" s="6" t="inlineStr">
        <is>
          <t>Energy-efficiency</t>
        </is>
      </c>
      <c r="M289" s="6" t="inlineStr">
        <is>
          <t>The invCOP_contract shall comply with:</t>
        </is>
      </c>
      <c r="N289" s="6" t="inlineStr">
        <is>
          <t>The invCOP_contract shall comply with:
invCOP_contract ≥ invCOP_SAT + U_invCOP_SAT
• Where:
• invCOP_SAT is the value of invCOP, as defined in §4.3.4.1, determined during the SAT, in accordance with §4.13.3.
• U_invCOP_SAT is the reported expanded uncertainty associated with invCOP_SAT, in accordance with RTM-077.
• The terms invCOP_SAT and U_invCOP_SAT shall be expressed as absolute values in the same units as invCOP_contract.</t>
        </is>
      </c>
      <c r="O289" s="6" t="n">
        <v>0</v>
      </c>
      <c r="P289" s="6" t="n">
        <v>0</v>
      </c>
      <c r="Q289" s="6" t="n">
        <v>3</v>
      </c>
      <c r="R289" s="6" t="n">
        <v>0</v>
      </c>
      <c r="S289" s="6" t="n">
        <v>3</v>
      </c>
      <c r="T289" s="6" t="n">
        <v>0</v>
      </c>
      <c r="U289" s="6" t="n">
        <v>0</v>
      </c>
      <c r="V289" s="6" t="n">
        <v>32</v>
      </c>
      <c r="W289" s="6" t="n">
        <v>60.8183</v>
      </c>
      <c r="X289" s="6" t="n">
        <v>5.4859</v>
      </c>
      <c r="Y289" s="6" t="inlineStr">
        <is>
          <t>Performance</t>
        </is>
      </c>
      <c r="Z289" s="6" t="inlineStr">
        <is>
          <t>Frozen-weight composite; strongest contribution: Performance.</t>
        </is>
      </c>
      <c r="AA289" s="6" t="inlineStr">
        <is>
          <t>None explicitly named in this RTM</t>
        </is>
      </c>
      <c r="AB289" s="6" t="inlineStr">
        <is>
          <t>SCK CEN/90508872 §4.3.4; no named external code</t>
        </is>
      </c>
      <c r="AC289" s="6" t="inlineStr">
        <is>
          <t>Witnessed FAT/SAT/commissioning test against stated acceptance criteria; Calculation/model plus calibrated measurement or recorded trend</t>
        </is>
      </c>
      <c r="AD289" s="6" t="inlineStr">
        <is>
          <t>No separate deliverable explicitly named</t>
        </is>
      </c>
      <c r="AE289" s="6" t="inlineStr">
        <is>
          <t>L6 Site Acceptance Testing; L1 Conceptual Design; L2 Detailed Design</t>
        </is>
      </c>
      <c r="AF289" s="6" t="inlineStr">
        <is>
          <t>Section/contract-derived reference; derived evidence route</t>
        </is>
      </c>
      <c r="AG289" s="58" t="inlineStr">
        <is>
          <t>OFFER-12 (Direct)</t>
        </is>
      </c>
    </row>
    <row r="290" ht="47" customHeight="1">
      <c r="A290" s="6" t="n">
        <v>285</v>
      </c>
      <c r="B290" s="6" t="inlineStr">
        <is>
          <t>RTM-650</t>
        </is>
      </c>
      <c r="C290" s="6" t="inlineStr">
        <is>
          <t>No</t>
        </is>
      </c>
      <c r="D290" s="6" t="inlineStr">
        <is>
          <t>T2 Secondary</t>
        </is>
      </c>
      <c r="E290" s="6" t="inlineStr">
        <is>
          <t>Quality Assurance &amp; Control</t>
        </is>
      </c>
      <c r="F290" s="82" t="inlineStr">
        <is>
          <t>PROJECT</t>
        </is>
      </c>
      <c r="G290" s="83" t="inlineStr">
        <is>
          <t>Documentation &amp; Compliance</t>
        </is>
      </c>
      <c r="H290" s="59" t="inlineStr">
        <is>
          <t>—</t>
        </is>
      </c>
      <c r="I290" s="58" t="inlineStr">
        <is>
          <t>C7 — Quality, Testing &amp; Risk</t>
        </is>
      </c>
      <c r="J290" s="6" t="n">
        <v>122</v>
      </c>
      <c r="K290" s="6" t="inlineStr">
        <is>
          <t>8.1.3.1</t>
        </is>
      </c>
      <c r="L290" s="6" t="inlineStr">
        <is>
          <t>Quality Assurance Plan (QAP)</t>
        </is>
      </c>
      <c r="M290" s="6" t="inlineStr">
        <is>
          <t>Prior to beginning its work, the Contractor shall submit a QAP for review and approval by SCK CEN demonstrating compliance with the requirements set out in the Contract. It shall cover at minimum the following topics:</t>
        </is>
      </c>
      <c r="N290" s="6" t="inlineStr">
        <is>
          <t>Prior to beginning its work, the Contractor shall submit a QAP for review and approval by SCK CEN demonstrating compliance with the requirements set out in the Contract. It shall cover at minimum the following topics:
• Requirement traceability Matrix.
• Test Plans &amp; Reports.
• Functional safety lifecycle management.
• Certificate management.
• Change and non-conformance management.
• Document management.</t>
        </is>
      </c>
      <c r="O290" s="6" t="n">
        <v>3</v>
      </c>
      <c r="P290" s="6" t="n">
        <v>0</v>
      </c>
      <c r="Q290" s="6" t="n">
        <v>0</v>
      </c>
      <c r="R290" s="6" t="n">
        <v>0</v>
      </c>
      <c r="S290" s="6" t="n">
        <v>3</v>
      </c>
      <c r="T290" s="6" t="n">
        <v>0</v>
      </c>
      <c r="U290" s="6" t="n">
        <v>0</v>
      </c>
      <c r="V290" s="6" t="n">
        <v>32</v>
      </c>
      <c r="W290" s="6" t="n">
        <v>60.8183</v>
      </c>
      <c r="X290" s="6" t="n">
        <v>5.4859</v>
      </c>
      <c r="Y290" s="6" t="inlineStr">
        <is>
          <t>Safety / Legal</t>
        </is>
      </c>
      <c r="Z290" s="6" t="inlineStr">
        <is>
          <t>Frozen-weight composite; strongest contribution: Safety / Legal.</t>
        </is>
      </c>
      <c r="AA290" s="6" t="inlineStr">
        <is>
          <t>None explicitly named in this RTM</t>
        </is>
      </c>
      <c r="AB290" s="6" t="inlineStr">
        <is>
          <t>SCK CEN/90508872 §8.1.3.1; no named external code</t>
        </is>
      </c>
      <c r="AC290" s="6" t="inlineStr">
        <is>
          <t>Submit and review the named deliverable with RTM traceability and approval status; Witnessed FAT/SAT/commissioning test against stated acceptance criteria; Conformity/safety assessment, certification and approved safety evidence</t>
        </is>
      </c>
      <c r="AD290" s="6" t="inlineStr">
        <is>
          <t>Quality Assurance Plan (QAP); Certificate / calibration evidence; List / register / matrix</t>
        </is>
      </c>
      <c r="AE290" s="6" t="inlineStr">
        <is>
          <t>L0 Tender / Offer; L1 Conceptual Design; L2 Detailed Design; L3 Procurement &amp; Manufacturing / FAT; L4 Installation; L5 Standalone Commissioning; L6 Site Acceptance Testing</t>
        </is>
      </c>
      <c r="AF290" s="6" t="inlineStr">
        <is>
          <t>Section/contract-derived reference; explicit deliverable/test wording</t>
        </is>
      </c>
      <c r="AG290" s="58" t="inlineStr">
        <is>
          <t>OFFER-47 (Supporting); OFFER-48 (Direct)</t>
        </is>
      </c>
    </row>
    <row r="291" ht="86" customHeight="1">
      <c r="A291" s="6" t="n">
        <v>286</v>
      </c>
      <c r="B291" s="6" t="inlineStr">
        <is>
          <t>RTM-518</t>
        </is>
      </c>
      <c r="C291" s="6" t="inlineStr">
        <is>
          <t>No</t>
        </is>
      </c>
      <c r="D291" s="6" t="inlineStr">
        <is>
          <t>T2 Secondary</t>
        </is>
      </c>
      <c r="E291" s="6" t="inlineStr">
        <is>
          <t>Acceptance Testing</t>
        </is>
      </c>
      <c r="F291" s="82" t="inlineStr">
        <is>
          <t>PROJECT</t>
        </is>
      </c>
      <c r="G291" s="83" t="inlineStr">
        <is>
          <t>Governance &amp; Responsibility</t>
        </is>
      </c>
      <c r="H291" s="59" t="inlineStr">
        <is>
          <t>—</t>
        </is>
      </c>
      <c r="I291" s="58" t="inlineStr">
        <is>
          <t>C7 — Quality, Testing &amp; Risk</t>
        </is>
      </c>
      <c r="J291" s="6" t="n">
        <v>100</v>
      </c>
      <c r="K291" s="6" t="inlineStr">
        <is>
          <t>4.13.3.3</t>
        </is>
      </c>
      <c r="L291" s="6" t="inlineStr">
        <is>
          <t>Demonstration of performance and capacity</t>
        </is>
      </c>
      <c r="M291" s="6" t="inlineStr">
        <is>
          <t>The Contractor shall demonstrate the performance and capacity of the QPS during the SAT.</t>
        </is>
      </c>
      <c r="N291" s="6" t="inlineStr">
        <is>
          <t>The Contractor shall demonstrate the performance and capacity of the QPS during the SAT.</t>
        </is>
      </c>
      <c r="O291" s="6" t="n">
        <v>1</v>
      </c>
      <c r="P291" s="6" t="n">
        <v>0</v>
      </c>
      <c r="Q291" s="6" t="n">
        <v>2</v>
      </c>
      <c r="R291" s="6" t="n">
        <v>0</v>
      </c>
      <c r="S291" s="6" t="n">
        <v>3</v>
      </c>
      <c r="T291" s="6" t="n">
        <v>0</v>
      </c>
      <c r="U291" s="6" t="n">
        <v>0</v>
      </c>
      <c r="V291" s="6" t="n">
        <v>32</v>
      </c>
      <c r="W291" s="6" t="n">
        <v>59.7087</v>
      </c>
      <c r="X291" s="6" t="n">
        <v>5.154</v>
      </c>
      <c r="Y291" s="6" t="inlineStr">
        <is>
          <t>Performance</t>
        </is>
      </c>
      <c r="Z291" s="6" t="inlineStr">
        <is>
          <t>Frozen-weight composite; strongest contribution: Performance.</t>
        </is>
      </c>
      <c r="AA291" s="6" t="inlineStr">
        <is>
          <t>None explicitly named in this RTM</t>
        </is>
      </c>
      <c r="AB291" s="6" t="inlineStr">
        <is>
          <t>SCK CEN/90508872 §4.13.3.3; no named external code</t>
        </is>
      </c>
      <c r="AC291" s="6" t="inlineStr">
        <is>
          <t>Witnessed FAT/SAT/commissioning test against stated acceptance criteria; Calculation/model plus calibrated measurement or recorded trend</t>
        </is>
      </c>
      <c r="AD291" s="6" t="inlineStr">
        <is>
          <t>No separate deliverable explicitly named</t>
        </is>
      </c>
      <c r="AE291" s="6" t="inlineStr">
        <is>
          <t>L6 Site Acceptance Testing; L1 Conceptual Design; L2 Detailed Design</t>
        </is>
      </c>
      <c r="AF291" s="6" t="inlineStr">
        <is>
          <t>Section/contract-derived reference; explicit deliverable/test wording</t>
        </is>
      </c>
      <c r="AG291" s="58" t="inlineStr">
        <is>
          <t>OFFER-39 (Supporting)</t>
        </is>
      </c>
    </row>
    <row r="292" ht="242" customHeight="1">
      <c r="A292" s="6" t="n">
        <v>287</v>
      </c>
      <c r="B292" s="6" t="inlineStr">
        <is>
          <t>RTM-519</t>
        </is>
      </c>
      <c r="C292" s="6" t="inlineStr">
        <is>
          <t>No</t>
        </is>
      </c>
      <c r="D292" s="6" t="inlineStr">
        <is>
          <t>T2 Secondary</t>
        </is>
      </c>
      <c r="E292" s="6" t="inlineStr">
        <is>
          <t>Acceptance Testing</t>
        </is>
      </c>
      <c r="F292" s="82" t="inlineStr">
        <is>
          <t>PROJECT</t>
        </is>
      </c>
      <c r="G292" s="83" t="inlineStr">
        <is>
          <t>Governance &amp; Responsibility</t>
        </is>
      </c>
      <c r="H292" s="59" t="inlineStr">
        <is>
          <t>—</t>
        </is>
      </c>
      <c r="I292" s="58" t="inlineStr">
        <is>
          <t>C7 — Quality, Testing &amp; Risk</t>
        </is>
      </c>
      <c r="J292" s="6" t="n">
        <v>100</v>
      </c>
      <c r="K292" s="6" t="inlineStr">
        <is>
          <t>4.13.3.3</t>
        </is>
      </c>
      <c r="L292" s="6" t="inlineStr">
        <is>
          <t>Demonstration of performance and capacity</t>
        </is>
      </c>
      <c r="M292" s="6" t="inlineStr">
        <is>
          <t>The Contractor shall perform sustained runs where required by the applicable SAT demonstration</t>
        </is>
      </c>
      <c r="N292" s="6" t="inlineStr">
        <is>
          <t>The Contractor shall perform sustained runs where required by the applicable SAT demonstration
• The sustained runs shall be of sufficient duration to demonstrate stable operation and performance under site conditions.
• The minimum duration of each sustained run and the corresponding stability criteria shall be defined in the SAT Programme.</t>
        </is>
      </c>
      <c r="O292" s="6" t="n">
        <v>1</v>
      </c>
      <c r="P292" s="6" t="n">
        <v>0</v>
      </c>
      <c r="Q292" s="6" t="n">
        <v>2</v>
      </c>
      <c r="R292" s="6" t="n">
        <v>0</v>
      </c>
      <c r="S292" s="6" t="n">
        <v>3</v>
      </c>
      <c r="T292" s="6" t="n">
        <v>0</v>
      </c>
      <c r="U292" s="6" t="n">
        <v>0</v>
      </c>
      <c r="V292" s="6" t="n">
        <v>32</v>
      </c>
      <c r="W292" s="6" t="n">
        <v>59.7087</v>
      </c>
      <c r="X292" s="6" t="n">
        <v>5.154</v>
      </c>
      <c r="Y292" s="6" t="inlineStr">
        <is>
          <t>Performance</t>
        </is>
      </c>
      <c r="Z292" s="6" t="inlineStr">
        <is>
          <t>Frozen-weight composite; strongest contribution: Performance.</t>
        </is>
      </c>
      <c r="AA292" s="6" t="inlineStr">
        <is>
          <t>None explicitly named in this RTM</t>
        </is>
      </c>
      <c r="AB292" s="6" t="inlineStr">
        <is>
          <t>SCK CEN/90508872 §4.13.3.3; no named external code</t>
        </is>
      </c>
      <c r="AC292" s="6" t="inlineStr">
        <is>
          <t>Witnessed FAT/SAT/commissioning test against stated acceptance criteria; Calculation/model plus calibrated measurement or recorded trend</t>
        </is>
      </c>
      <c r="AD292" s="6" t="inlineStr">
        <is>
          <t>No separate deliverable explicitly named</t>
        </is>
      </c>
      <c r="AE292" s="6" t="inlineStr">
        <is>
          <t>L6 Site Acceptance Testing; L1 Conceptual Design; L2 Detailed Design</t>
        </is>
      </c>
      <c r="AF292" s="6" t="inlineStr">
        <is>
          <t>Section/contract-derived reference; explicit deliverable/test wording</t>
        </is>
      </c>
      <c r="AG292" s="58" t="inlineStr">
        <is>
          <t>OFFER-39 (Supporting)</t>
        </is>
      </c>
    </row>
    <row r="293" ht="125" customHeight="1">
      <c r="A293" s="6" t="n">
        <v>288</v>
      </c>
      <c r="B293" s="6" t="inlineStr">
        <is>
          <t>RTM-521</t>
        </is>
      </c>
      <c r="C293" s="6" t="inlineStr">
        <is>
          <t>No</t>
        </is>
      </c>
      <c r="D293" s="6" t="inlineStr">
        <is>
          <t>T2 Secondary</t>
        </is>
      </c>
      <c r="E293" s="6" t="inlineStr">
        <is>
          <t>Acceptance Testing</t>
        </is>
      </c>
      <c r="F293" s="82" t="inlineStr">
        <is>
          <t>PROJECT</t>
        </is>
      </c>
      <c r="G293" s="83" t="inlineStr">
        <is>
          <t>Documentation &amp; Compliance</t>
        </is>
      </c>
      <c r="H293" s="59" t="inlineStr">
        <is>
          <t>—</t>
        </is>
      </c>
      <c r="I293" s="58" t="inlineStr">
        <is>
          <t>C7 — Quality, Testing &amp; Risk</t>
        </is>
      </c>
      <c r="J293" s="6" t="n">
        <v>100</v>
      </c>
      <c r="K293" s="6" t="inlineStr">
        <is>
          <t>4.13.3.3</t>
        </is>
      </c>
      <c r="L293" s="6" t="inlineStr">
        <is>
          <t>Demonstration of performance and capacity</t>
        </is>
      </c>
      <c r="M293" s="6" t="inlineStr">
        <is>
          <t>The Contractor shall, at minimum, continuously monitor and record the following quantities during the relevant SAT demonstrations, where applicable:</t>
        </is>
      </c>
      <c r="N293" s="6" t="inlineStr">
        <is>
          <t>The Contractor shall, at minimum, continuously monitor and record the following quantities during the relevant SAT demonstrations, where applicable:
• General
• Individual electrical motor currents and voltages.
• Heat power of the electrical heaters.
• Cooling-water temperatures and mass-flow rates.
• Mass-flow rates.
• Pressures and pressure drops.
• Temperatures.
• For the QRB:
• The flow conditions at headers A, B, D, E, and W.
• The liquid levels of the LHe thermal baths.
• For the WCS:
• The flow conditions at headers VLP, LP, and HP.
• For the WSH and, if applicable, the QSN:
• The pressures in the storage tanks.
• The mass-flow rates.
• The liquid levels of LN2 in the QSN.</t>
        </is>
      </c>
      <c r="O293" s="6" t="n">
        <v>1</v>
      </c>
      <c r="P293" s="6" t="n">
        <v>0</v>
      </c>
      <c r="Q293" s="6" t="n">
        <v>2</v>
      </c>
      <c r="R293" s="6" t="n">
        <v>0</v>
      </c>
      <c r="S293" s="6" t="n">
        <v>3</v>
      </c>
      <c r="T293" s="6" t="n">
        <v>0</v>
      </c>
      <c r="U293" s="6" t="n">
        <v>0</v>
      </c>
      <c r="V293" s="6" t="n">
        <v>32</v>
      </c>
      <c r="W293" s="6" t="n">
        <v>59.7087</v>
      </c>
      <c r="X293" s="6" t="n">
        <v>5.154</v>
      </c>
      <c r="Y293" s="6" t="inlineStr">
        <is>
          <t>Performance</t>
        </is>
      </c>
      <c r="Z293" s="6" t="inlineStr">
        <is>
          <t>Frozen-weight composite; strongest contribution: Performance.</t>
        </is>
      </c>
      <c r="AA293" s="6" t="inlineStr">
        <is>
          <t>None explicitly named in this RTM</t>
        </is>
      </c>
      <c r="AB293" s="6" t="inlineStr">
        <is>
          <t>SCK CEN/90508872 §4.13.3.3; no named external code</t>
        </is>
      </c>
      <c r="AC293" s="6" t="inlineStr">
        <is>
          <t>Witnessed FAT/SAT/commissioning test against stated acceptance criteria; Calculation/model plus calibrated measurement or recorded trend</t>
        </is>
      </c>
      <c r="AD293" s="6" t="inlineStr">
        <is>
          <t>No separate deliverable explicitly named</t>
        </is>
      </c>
      <c r="AE293" s="6" t="inlineStr">
        <is>
          <t>L6 Site Acceptance Testing; L1 Conceptual Design; L2 Detailed Design</t>
        </is>
      </c>
      <c r="AF293" s="6" t="inlineStr">
        <is>
          <t>Section/contract-derived reference; derived evidence route</t>
        </is>
      </c>
      <c r="AG293" s="58" t="inlineStr">
        <is>
          <t>OFFER-39 (Supporting)</t>
        </is>
      </c>
    </row>
    <row r="294" ht="99" customHeight="1">
      <c r="A294" s="6" t="n">
        <v>289</v>
      </c>
      <c r="B294" s="6" t="inlineStr">
        <is>
          <t>RTM-100</t>
        </is>
      </c>
      <c r="C294" s="6" t="inlineStr">
        <is>
          <t>No</t>
        </is>
      </c>
      <c r="D294" s="6" t="inlineStr">
        <is>
          <t>T2 Secondary</t>
        </is>
      </c>
      <c r="E294" s="6" t="inlineStr">
        <is>
          <t>Subsystems</t>
        </is>
      </c>
      <c r="F294" s="82" t="inlineStr">
        <is>
          <t>PROJECT</t>
        </is>
      </c>
      <c r="G294" s="83" t="inlineStr">
        <is>
          <t>Documentation &amp; Compliance</t>
        </is>
      </c>
      <c r="H294" s="59" t="inlineStr">
        <is>
          <t>—</t>
        </is>
      </c>
      <c r="I294" s="81" t="inlineStr">
        <is>
          <t>Inferred: C3 — Mechanical &amp; Equipment (medium conf.)</t>
        </is>
      </c>
      <c r="J294" s="6" t="n">
        <v>44</v>
      </c>
      <c r="K294" s="6" t="inlineStr">
        <is>
          <t>4.4.2.1</t>
        </is>
      </c>
      <c r="L294" s="6" t="inlineStr">
        <is>
          <t>Valves</t>
        </is>
      </c>
      <c r="M294" s="6" t="inlineStr">
        <is>
          <t>Manual isolation valves that are safety-relevant or operationally critical shall be equipped with end-switches confirming their mechanical position (open/closed) during operation.</t>
        </is>
      </c>
      <c r="N294" s="6" t="inlineStr">
        <is>
          <t>Manual isolation valves that are safety-relevant or operationally critical shall be equipped with end-switches confirming their mechanical position (open/closed) during operation.
• Two independent end-switches shall be provided per end position (open and closed).
• The Contractor shall submit the list of such valves for SCK CEN approval during the Detailed Design phase.</t>
        </is>
      </c>
      <c r="O294" s="6" t="n">
        <v>0</v>
      </c>
      <c r="P294" s="6" t="n">
        <v>0</v>
      </c>
      <c r="Q294" s="6" t="n">
        <v>2</v>
      </c>
      <c r="R294" s="6" t="n">
        <v>2</v>
      </c>
      <c r="S294" s="6" t="n">
        <v>2</v>
      </c>
      <c r="T294" s="6" t="n">
        <v>0</v>
      </c>
      <c r="U294" s="6" t="n">
        <v>0</v>
      </c>
      <c r="V294" s="6" t="n">
        <v>32</v>
      </c>
      <c r="W294" s="6" t="n">
        <v>59.7087</v>
      </c>
      <c r="X294" s="6" t="n">
        <v>5.154</v>
      </c>
      <c r="Y294" s="6" t="inlineStr">
        <is>
          <t>Performance</t>
        </is>
      </c>
      <c r="Z294" s="6" t="inlineStr">
        <is>
          <t>Frozen-weight composite; strongest contribution: Performance.</t>
        </is>
      </c>
      <c r="AA294" s="6" t="inlineStr">
        <is>
          <t>None explicitly named in this RTM</t>
        </is>
      </c>
      <c r="AB294" s="6" t="inlineStr">
        <is>
          <t>SCK CEN/90508872 §4.4.2.1; no named external code</t>
        </is>
      </c>
      <c r="AC294" s="6" t="inlineStr">
        <is>
          <t>Submit and review the named deliverable with RTM traceability and approval status; Calculation/model plus calibrated measurement or recorded trend; Functional design/configuration review and sequence/interface demonstration</t>
        </is>
      </c>
      <c r="AD294" s="6" t="inlineStr">
        <is>
          <t>List / register / matrix</t>
        </is>
      </c>
      <c r="AE294" s="6" t="inlineStr">
        <is>
          <t>L2 Detailed Design; L1 Conceptual Design</t>
        </is>
      </c>
      <c r="AF294" s="6" t="inlineStr">
        <is>
          <t>Section/contract-derived reference; explicit deliverable/test wording</t>
        </is>
      </c>
      <c r="AG294" s="58" t="inlineStr">
        <is>
          <t>Not linked to an OFFER item</t>
        </is>
      </c>
    </row>
    <row r="295" ht="73" customHeight="1">
      <c r="A295" s="6" t="n">
        <v>290</v>
      </c>
      <c r="B295" s="6" t="inlineStr">
        <is>
          <t>RTM-110</t>
        </is>
      </c>
      <c r="C295" s="6" t="inlineStr">
        <is>
          <t>No</t>
        </is>
      </c>
      <c r="D295" s="6" t="inlineStr">
        <is>
          <t>T2 Secondary</t>
        </is>
      </c>
      <c r="E295" s="6" t="inlineStr">
        <is>
          <t>Subsystems</t>
        </is>
      </c>
      <c r="F295" s="82" t="inlineStr">
        <is>
          <t>SYSTEM</t>
        </is>
      </c>
      <c r="G295" s="83" t="inlineStr">
        <is>
          <t>Performance</t>
        </is>
      </c>
      <c r="H295" s="59" t="inlineStr">
        <is>
          <t>—</t>
        </is>
      </c>
      <c r="I295" s="81" t="inlineStr">
        <is>
          <t>Inferred: C2 — Process Design (low conf.)</t>
        </is>
      </c>
      <c r="J295" s="6" t="n">
        <v>45</v>
      </c>
      <c r="K295" s="6" t="inlineStr">
        <is>
          <t>4.4.2.2</t>
        </is>
      </c>
      <c r="L295" s="6" t="inlineStr">
        <is>
          <t>Electrical Heaters</t>
        </is>
      </c>
      <c r="M295" s="6" t="inlineStr">
        <is>
          <t>Each heater circuit shall include at least one independent protection strategy to prevent overheating of the heated component and adjacent equipment under all operating modes and credible faults.</t>
        </is>
      </c>
      <c r="N295" s="6" t="inlineStr">
        <is>
          <t>Each heater circuit shall include at least one independent protection strategy to prevent overheating of the heated component and adjacent equipment under all operating modes and credible faults.
• The protection strategy may be based on temperature, liquid level, or other monitored process conditions and shall be documented.</t>
        </is>
      </c>
      <c r="O295" s="6" t="n">
        <v>0</v>
      </c>
      <c r="P295" s="6" t="n">
        <v>0</v>
      </c>
      <c r="Q295" s="6" t="n">
        <v>2</v>
      </c>
      <c r="R295" s="6" t="n">
        <v>2</v>
      </c>
      <c r="S295" s="6" t="n">
        <v>2</v>
      </c>
      <c r="T295" s="6" t="n">
        <v>0</v>
      </c>
      <c r="U295" s="6" t="n">
        <v>0</v>
      </c>
      <c r="V295" s="6" t="n">
        <v>32</v>
      </c>
      <c r="W295" s="6" t="n">
        <v>59.7087</v>
      </c>
      <c r="X295" s="6" t="n">
        <v>5.154</v>
      </c>
      <c r="Y295" s="6" t="inlineStr">
        <is>
          <t>Performance</t>
        </is>
      </c>
      <c r="Z295" s="6" t="inlineStr">
        <is>
          <t>Frozen-weight composite; strongest contribution: Performance.</t>
        </is>
      </c>
      <c r="AA295" s="6" t="inlineStr">
        <is>
          <t>None explicitly named in this RTM</t>
        </is>
      </c>
      <c r="AB295" s="6" t="inlineStr">
        <is>
          <t>SCK CEN/90508872 §4.4.2.2; no named external code</t>
        </is>
      </c>
      <c r="AC295" s="6" t="inlineStr">
        <is>
          <t>Calculation/model plus calibrated measurement or recorded trend; Document review, inspection, certification, audit or traceable QC record</t>
        </is>
      </c>
      <c r="AD295" s="6" t="inlineStr">
        <is>
          <t>No separate deliverable explicitly named</t>
        </is>
      </c>
      <c r="AE295" s="6" t="inlineStr">
        <is>
          <t>L1 Conceptual Design; L2 Detailed Design</t>
        </is>
      </c>
      <c r="AF295" s="6" t="inlineStr">
        <is>
          <t>Section/contract-derived reference; derived evidence route</t>
        </is>
      </c>
      <c r="AG295" s="58" t="inlineStr">
        <is>
          <t>Not linked to an OFFER item</t>
        </is>
      </c>
    </row>
    <row r="296" ht="47" customHeight="1">
      <c r="A296" s="6" t="n">
        <v>291</v>
      </c>
      <c r="B296" s="6" t="inlineStr">
        <is>
          <t>RTM-116</t>
        </is>
      </c>
      <c r="C296" s="6" t="inlineStr">
        <is>
          <t>No</t>
        </is>
      </c>
      <c r="D296" s="6" t="inlineStr">
        <is>
          <t>T2 Secondary</t>
        </is>
      </c>
      <c r="E296" s="6" t="inlineStr">
        <is>
          <t>Subsystems</t>
        </is>
      </c>
      <c r="F296" s="82" t="inlineStr">
        <is>
          <t>SYSTEM</t>
        </is>
      </c>
      <c r="G296" s="83" t="inlineStr">
        <is>
          <t>Performance</t>
        </is>
      </c>
      <c r="H296" s="59" t="inlineStr">
        <is>
          <t>—</t>
        </is>
      </c>
      <c r="I296" s="81" t="inlineStr">
        <is>
          <t>Inferred: C2 — Process Design (low conf.)</t>
        </is>
      </c>
      <c r="J296" s="6" t="n">
        <v>46</v>
      </c>
      <c r="K296" s="6" t="inlineStr">
        <is>
          <t>4.4.2.3</t>
        </is>
      </c>
      <c r="L296" s="6" t="inlineStr">
        <is>
          <t>Temperature sensors</t>
        </is>
      </c>
      <c r="M296" s="6" t="inlineStr">
        <is>
          <t>For temperature sensors below 30 K, the Contractor shall record their mounted location to ±1 mm accuracy in the QC report.</t>
        </is>
      </c>
      <c r="N296" s="6" t="inlineStr">
        <is>
          <t>For temperature sensors below 30 K, the Contractor shall record their mounted location to ±1 mm accuracy in the QC report.</t>
        </is>
      </c>
      <c r="O296" s="6" t="n">
        <v>0</v>
      </c>
      <c r="P296" s="6" t="n">
        <v>0</v>
      </c>
      <c r="Q296" s="6" t="n">
        <v>2</v>
      </c>
      <c r="R296" s="6" t="n">
        <v>2</v>
      </c>
      <c r="S296" s="6" t="n">
        <v>2</v>
      </c>
      <c r="T296" s="6" t="n">
        <v>0</v>
      </c>
      <c r="U296" s="6" t="n">
        <v>0</v>
      </c>
      <c r="V296" s="6" t="n">
        <v>32</v>
      </c>
      <c r="W296" s="6" t="n">
        <v>59.7087</v>
      </c>
      <c r="X296" s="6" t="n">
        <v>5.154</v>
      </c>
      <c r="Y296" s="6" t="inlineStr">
        <is>
          <t>Performance</t>
        </is>
      </c>
      <c r="Z296" s="6" t="inlineStr">
        <is>
          <t>Frozen-weight composite; strongest contribution: Performance.</t>
        </is>
      </c>
      <c r="AA296" s="6" t="inlineStr">
        <is>
          <t>None explicitly named in this RTM</t>
        </is>
      </c>
      <c r="AB296" s="6" t="inlineStr">
        <is>
          <t>Section-level: IEC 60751; IEC 60359; ISA RP12.6</t>
        </is>
      </c>
      <c r="AC296" s="6" t="inlineStr">
        <is>
          <t>Calculation/model plus calibrated measurement or recorded trend; Document review, inspection, certification, audit or traceable QC record</t>
        </is>
      </c>
      <c r="AD296" s="6" t="inlineStr">
        <is>
          <t>No separate deliverable explicitly named</t>
        </is>
      </c>
      <c r="AE296" s="6" t="inlineStr">
        <is>
          <t>L1 Conceptual Design; L2 Detailed Design</t>
        </is>
      </c>
      <c r="AF296" s="6" t="inlineStr">
        <is>
          <t>Section/contract-derived reference; derived evidence route</t>
        </is>
      </c>
      <c r="AG296" s="58" t="inlineStr">
        <is>
          <t>Not linked to an OFFER item</t>
        </is>
      </c>
    </row>
    <row r="297" ht="73" customHeight="1">
      <c r="A297" s="6" t="n">
        <v>292</v>
      </c>
      <c r="B297" s="6" t="inlineStr">
        <is>
          <t>RTM-135</t>
        </is>
      </c>
      <c r="C297" s="6" t="inlineStr">
        <is>
          <t>No</t>
        </is>
      </c>
      <c r="D297" s="6" t="inlineStr">
        <is>
          <t>T2 Secondary</t>
        </is>
      </c>
      <c r="E297" s="6" t="inlineStr">
        <is>
          <t>Subsystems</t>
        </is>
      </c>
      <c r="F297" s="82" t="inlineStr">
        <is>
          <t>SYSTEM</t>
        </is>
      </c>
      <c r="G297" s="83" t="inlineStr">
        <is>
          <t>Control</t>
        </is>
      </c>
      <c r="H297" s="59" t="inlineStr">
        <is>
          <t>—</t>
        </is>
      </c>
      <c r="I297" s="81" t="inlineStr">
        <is>
          <t>Inferred: C3 — Mechanical &amp; Equipment (medium conf.)</t>
        </is>
      </c>
      <c r="J297" s="6" t="n">
        <v>48</v>
      </c>
      <c r="K297" s="6" t="inlineStr">
        <is>
          <t>4.4.2.7</t>
        </is>
      </c>
      <c r="L297" s="6" t="inlineStr">
        <is>
          <t>Helium Impurity sensors</t>
        </is>
      </c>
      <c r="M297" s="6" t="inlineStr">
        <is>
          <t>Each sampling line shall have at minimum:</t>
        </is>
      </c>
      <c r="N297" s="6" t="inlineStr">
        <is>
          <t>Each sampling line shall have at minimum:
• a pressure regulator
• removable filter elements
• a manual process isolation valve
• a flow restriction or flow control device</t>
        </is>
      </c>
      <c r="O297" s="6" t="n">
        <v>0</v>
      </c>
      <c r="P297" s="6" t="n">
        <v>0</v>
      </c>
      <c r="Q297" s="6" t="n">
        <v>2</v>
      </c>
      <c r="R297" s="6" t="n">
        <v>2</v>
      </c>
      <c r="S297" s="6" t="n">
        <v>2</v>
      </c>
      <c r="T297" s="6" t="n">
        <v>0</v>
      </c>
      <c r="U297" s="6" t="n">
        <v>0</v>
      </c>
      <c r="V297" s="6" t="n">
        <v>32</v>
      </c>
      <c r="W297" s="6" t="n">
        <v>59.7087</v>
      </c>
      <c r="X297" s="6" t="n">
        <v>5.154</v>
      </c>
      <c r="Y297" s="6" t="inlineStr">
        <is>
          <t>Performance</t>
        </is>
      </c>
      <c r="Z297" s="6" t="inlineStr">
        <is>
          <t>Frozen-weight composite; strongest contribution: Performance.</t>
        </is>
      </c>
      <c r="AA297" s="6" t="inlineStr">
        <is>
          <t>None explicitly named in this RTM</t>
        </is>
      </c>
      <c r="AB297" s="6" t="inlineStr">
        <is>
          <t>SCK CEN/90508872 §4.4.2.7; no named external code</t>
        </is>
      </c>
      <c r="AC297" s="6" t="inlineStr">
        <is>
          <t>Calculation/model plus calibrated measurement or recorded trend; Functional design/configuration review and sequence/interface demonstration; Document review, inspection, certification, audit or traceable QC record</t>
        </is>
      </c>
      <c r="AD297" s="6" t="inlineStr">
        <is>
          <t>No separate deliverable explicitly named</t>
        </is>
      </c>
      <c r="AE297" s="6" t="inlineStr">
        <is>
          <t>L1 Conceptual Design; L2 Detailed Design</t>
        </is>
      </c>
      <c r="AF297" s="6" t="inlineStr">
        <is>
          <t>Section/contract-derived reference; derived evidence route</t>
        </is>
      </c>
      <c r="AG297" s="58" t="inlineStr">
        <is>
          <t>Not linked to an OFFER item</t>
        </is>
      </c>
    </row>
    <row r="298" ht="47" customHeight="1">
      <c r="A298" s="6" t="n">
        <v>293</v>
      </c>
      <c r="B298" s="6" t="inlineStr">
        <is>
          <t>RTM-137</t>
        </is>
      </c>
      <c r="C298" s="6" t="inlineStr">
        <is>
          <t>No</t>
        </is>
      </c>
      <c r="D298" s="6" t="inlineStr">
        <is>
          <t>T2 Secondary</t>
        </is>
      </c>
      <c r="E298" s="6" t="inlineStr">
        <is>
          <t>Subsystems</t>
        </is>
      </c>
      <c r="F298" s="82" t="inlineStr">
        <is>
          <t>SYSTEM</t>
        </is>
      </c>
      <c r="G298" s="83" t="inlineStr">
        <is>
          <t>Performance</t>
        </is>
      </c>
      <c r="H298" s="59" t="inlineStr">
        <is>
          <t>—</t>
        </is>
      </c>
      <c r="I298" s="81" t="inlineStr">
        <is>
          <t>Inferred: C3 — Mechanical &amp; Equipment (medium conf.)</t>
        </is>
      </c>
      <c r="J298" s="6" t="n">
        <v>48</v>
      </c>
      <c r="K298" s="6" t="inlineStr">
        <is>
          <t>4.4.2.7</t>
        </is>
      </c>
      <c r="L298" s="6" t="inlineStr">
        <is>
          <t>Helium Impurity sensors</t>
        </is>
      </c>
      <c r="M298" s="6" t="inlineStr">
        <is>
          <t>Where manual sampling points are provided (for ad hoc user sampling), the system shall be equipped with at least a manual process isolation valve and a plug.</t>
        </is>
      </c>
      <c r="N298" s="6" t="inlineStr">
        <is>
          <t>Where manual sampling points are provided (for ad hoc user sampling), the system shall be equipped with at least a manual process isolation valve and a plug.</t>
        </is>
      </c>
      <c r="O298" s="6" t="n">
        <v>0</v>
      </c>
      <c r="P298" s="6" t="n">
        <v>0</v>
      </c>
      <c r="Q298" s="6" t="n">
        <v>2</v>
      </c>
      <c r="R298" s="6" t="n">
        <v>2</v>
      </c>
      <c r="S298" s="6" t="n">
        <v>2</v>
      </c>
      <c r="T298" s="6" t="n">
        <v>0</v>
      </c>
      <c r="U298" s="6" t="n">
        <v>0</v>
      </c>
      <c r="V298" s="6" t="n">
        <v>32</v>
      </c>
      <c r="W298" s="6" t="n">
        <v>59.7087</v>
      </c>
      <c r="X298" s="6" t="n">
        <v>5.154</v>
      </c>
      <c r="Y298" s="6" t="inlineStr">
        <is>
          <t>Performance</t>
        </is>
      </c>
      <c r="Z298" s="6" t="inlineStr">
        <is>
          <t>Frozen-weight composite; strongest contribution: Performance.</t>
        </is>
      </c>
      <c r="AA298" s="6" t="inlineStr">
        <is>
          <t>None explicitly named in this RTM</t>
        </is>
      </c>
      <c r="AB298" s="6" t="inlineStr">
        <is>
          <t>SCK CEN/90508872 §4.4.2.7; no named external code</t>
        </is>
      </c>
      <c r="AC298" s="6" t="inlineStr">
        <is>
          <t>Calculation/model plus calibrated measurement or recorded trend; Document review, inspection, certification, audit or traceable QC record</t>
        </is>
      </c>
      <c r="AD298" s="6" t="inlineStr">
        <is>
          <t>No separate deliverable explicitly named</t>
        </is>
      </c>
      <c r="AE298" s="6" t="inlineStr">
        <is>
          <t>L1 Conceptual Design; L2 Detailed Design</t>
        </is>
      </c>
      <c r="AF298" s="6" t="inlineStr">
        <is>
          <t>Section/contract-derived reference; derived evidence route</t>
        </is>
      </c>
      <c r="AG298" s="58" t="inlineStr">
        <is>
          <t>Not linked to an OFFER item</t>
        </is>
      </c>
    </row>
    <row r="299" ht="86" customHeight="1">
      <c r="A299" s="6" t="n">
        <v>294</v>
      </c>
      <c r="B299" s="6" t="inlineStr">
        <is>
          <t>RTM-158</t>
        </is>
      </c>
      <c r="C299" s="6" t="inlineStr">
        <is>
          <t>No</t>
        </is>
      </c>
      <c r="D299" s="6" t="inlineStr">
        <is>
          <t>T2 Secondary</t>
        </is>
      </c>
      <c r="E299" s="6" t="inlineStr">
        <is>
          <t>Subsystems</t>
        </is>
      </c>
      <c r="F299" s="82" t="inlineStr">
        <is>
          <t>SYSTEM</t>
        </is>
      </c>
      <c r="G299" s="83" t="inlineStr">
        <is>
          <t>Control</t>
        </is>
      </c>
      <c r="H299" s="59" t="inlineStr">
        <is>
          <t>—</t>
        </is>
      </c>
      <c r="I299" s="81" t="inlineStr">
        <is>
          <t>Inferred: C3 — Mechanical &amp; Equipment (medium conf.)</t>
        </is>
      </c>
      <c r="J299" s="6" t="n">
        <v>50</v>
      </c>
      <c r="K299" s="6" t="inlineStr">
        <is>
          <t>4.4.3.4</t>
        </is>
      </c>
      <c r="L299" s="6" t="inlineStr">
        <is>
          <t>Coolers</t>
        </is>
      </c>
      <c r="M299" s="6" t="inlineStr">
        <is>
          <t>Each cooler shall include on the water circuit:</t>
        </is>
      </c>
      <c r="N299" s="6" t="inlineStr">
        <is>
          <t>Each cooler shall include on the water circuit:
• Purge and drain valves for draining the water circuits and purging air from them.
• A control valve at the outlet for regulation of the cooling-water flow. The valve may be manual or thermostatic.
• A manual water shut-off valve at the inlet.</t>
        </is>
      </c>
      <c r="O299" s="6" t="n">
        <v>0</v>
      </c>
      <c r="P299" s="6" t="n">
        <v>0</v>
      </c>
      <c r="Q299" s="6" t="n">
        <v>2</v>
      </c>
      <c r="R299" s="6" t="n">
        <v>2</v>
      </c>
      <c r="S299" s="6" t="n">
        <v>2</v>
      </c>
      <c r="T299" s="6" t="n">
        <v>0</v>
      </c>
      <c r="U299" s="6" t="n">
        <v>0</v>
      </c>
      <c r="V299" s="6" t="n">
        <v>32</v>
      </c>
      <c r="W299" s="6" t="n">
        <v>59.7087</v>
      </c>
      <c r="X299" s="6" t="n">
        <v>5.154</v>
      </c>
      <c r="Y299" s="6" t="inlineStr">
        <is>
          <t>Performance</t>
        </is>
      </c>
      <c r="Z299" s="6" t="inlineStr">
        <is>
          <t>Frozen-weight composite; strongest contribution: Performance.</t>
        </is>
      </c>
      <c r="AA299" s="6" t="inlineStr">
        <is>
          <t>None explicitly named in this RTM</t>
        </is>
      </c>
      <c r="AB299" s="6" t="inlineStr">
        <is>
          <t>SCK CEN/90508872 §4.4.3.4; no named external code</t>
        </is>
      </c>
      <c r="AC299" s="6" t="inlineStr">
        <is>
          <t>Calculation/model plus calibrated measurement or recorded trend; Functional design/configuration review and sequence/interface demonstration; Document review, inspection, certification, audit or traceable QC record</t>
        </is>
      </c>
      <c r="AD299" s="6" t="inlineStr">
        <is>
          <t>No separate deliverable explicitly named</t>
        </is>
      </c>
      <c r="AE299" s="6" t="inlineStr">
        <is>
          <t>L1 Conceptual Design; L2 Detailed Design</t>
        </is>
      </c>
      <c r="AF299" s="6" t="inlineStr">
        <is>
          <t>Section/contract-derived reference; derived evidence route</t>
        </is>
      </c>
      <c r="AG299" s="58" t="inlineStr">
        <is>
          <t>Not linked to an OFFER item</t>
        </is>
      </c>
    </row>
    <row r="300" ht="151" customHeight="1">
      <c r="A300" s="6" t="n">
        <v>295</v>
      </c>
      <c r="B300" s="6" t="inlineStr">
        <is>
          <t>RTM-294</t>
        </is>
      </c>
      <c r="C300" s="6" t="inlineStr">
        <is>
          <t>No</t>
        </is>
      </c>
      <c r="D300" s="6" t="inlineStr">
        <is>
          <t>T2 Secondary</t>
        </is>
      </c>
      <c r="E300" s="6" t="inlineStr">
        <is>
          <t>Cryogenic Interfaces</t>
        </is>
      </c>
      <c r="F300" s="82" t="inlineStr">
        <is>
          <t>SAFETY</t>
        </is>
      </c>
      <c r="G300" s="83" t="inlineStr">
        <is>
          <t>Equipment Protection</t>
        </is>
      </c>
      <c r="H300" s="59" t="inlineStr">
        <is>
          <t>—</t>
        </is>
      </c>
      <c r="I300" s="58" t="inlineStr">
        <is>
          <t>Not linked to an OFFER item</t>
        </is>
      </c>
      <c r="J300" s="6" t="n">
        <v>68</v>
      </c>
      <c r="K300" s="6" t="inlineStr">
        <is>
          <t>4.5.2.2</t>
        </is>
      </c>
      <c r="L300" s="6" t="inlineStr">
        <is>
          <t>Specificities for Line S interface</t>
        </is>
      </c>
      <c r="M300" s="6" t="inlineStr">
        <is>
          <t>The QRB.S shall include, at minimum:</t>
        </is>
      </c>
      <c r="N300" s="6" t="inlineStr">
        <is>
          <t>The QRB.S shall include, at minimum:
• A remotely controlled shut-off valve, equipped with a limit switch to signal the closed position to the QPS:CIS
• A regulation valve to control the intake of return helium
• A pressure sensor located upstream of the regulation valve
• A temperature sensor located upstream of the regulation valve
• Pressure protection devices sized and set to protect the QPS equipment against overpressure originating from the Cryogenic Users. User-side overpressure protection is outside the QPS scope.
• Provisions to protect the QPS equipment against cold helium originating from the Cryogenic Users. The QPS may reject the flow intake.</t>
        </is>
      </c>
      <c r="O300" s="6" t="n">
        <v>0</v>
      </c>
      <c r="P300" s="6" t="n">
        <v>2</v>
      </c>
      <c r="Q300" s="6" t="n">
        <v>1</v>
      </c>
      <c r="R300" s="6" t="n">
        <v>2</v>
      </c>
      <c r="S300" s="6" t="n">
        <v>0</v>
      </c>
      <c r="T300" s="6" t="n">
        <v>0</v>
      </c>
      <c r="U300" s="6" t="n">
        <v>0</v>
      </c>
      <c r="V300" s="6" t="n">
        <v>32</v>
      </c>
      <c r="W300" s="6" t="n">
        <v>59.7087</v>
      </c>
      <c r="X300" s="6" t="n">
        <v>5.154</v>
      </c>
      <c r="Y300" s="6" t="inlineStr">
        <is>
          <t>Reliability</t>
        </is>
      </c>
      <c r="Z300" s="6" t="inlineStr">
        <is>
          <t>Frozen-weight composite; strongest contribution: Reliability.</t>
        </is>
      </c>
      <c r="AA300" s="6" t="inlineStr">
        <is>
          <t>None explicitly named in this RTM</t>
        </is>
      </c>
      <c r="AB300" s="6" t="inlineStr">
        <is>
          <t>SCK CEN/90508872 §4.5.2.2; no named external code</t>
        </is>
      </c>
      <c r="AC300" s="6" t="inlineStr">
        <is>
          <t>Functional design/configuration review and sequence/interface demonstration; RAM/maintenance substantiation and recovery/failure-response evidence</t>
        </is>
      </c>
      <c r="AD300" s="6" t="inlineStr">
        <is>
          <t>No separate deliverable explicitly named</t>
        </is>
      </c>
      <c r="AE300" s="6" t="inlineStr">
        <is>
          <t>L1 Conceptual Design; L2 Detailed Design</t>
        </is>
      </c>
      <c r="AF300" s="6" t="inlineStr">
        <is>
          <t>Section/contract-derived reference; derived evidence route</t>
        </is>
      </c>
      <c r="AG300" s="58" t="inlineStr">
        <is>
          <t>Not linked to an OFFER item</t>
        </is>
      </c>
    </row>
    <row r="301" ht="112" customHeight="1">
      <c r="A301" s="6" t="n">
        <v>296</v>
      </c>
      <c r="B301" s="6" t="inlineStr">
        <is>
          <t>RTM-297</t>
        </is>
      </c>
      <c r="C301" s="6" t="inlineStr">
        <is>
          <t>No</t>
        </is>
      </c>
      <c r="D301" s="6" t="inlineStr">
        <is>
          <t>T2 Secondary</t>
        </is>
      </c>
      <c r="E301" s="6" t="inlineStr">
        <is>
          <t>Cryogenic Interfaces</t>
        </is>
      </c>
      <c r="F301" s="82" t="inlineStr">
        <is>
          <t>SAFETY</t>
        </is>
      </c>
      <c r="G301" s="83" t="inlineStr">
        <is>
          <t>Equipment Protection</t>
        </is>
      </c>
      <c r="H301" s="59" t="inlineStr">
        <is>
          <t>—</t>
        </is>
      </c>
      <c r="I301" s="58" t="inlineStr">
        <is>
          <t>Not linked to an OFFER item</t>
        </is>
      </c>
      <c r="J301" s="6" t="n">
        <v>69</v>
      </c>
      <c r="K301" s="6" t="inlineStr">
        <is>
          <t>4.5.2.3</t>
        </is>
      </c>
      <c r="L301" s="6" t="inlineStr">
        <is>
          <t>Specificities for Line W interface</t>
        </is>
      </c>
      <c r="M301" s="6" t="inlineStr">
        <is>
          <t>The QRB.W shall include, at minimum:</t>
        </is>
      </c>
      <c r="N301" s="6" t="inlineStr">
        <is>
          <t>The QRB.W shall include, at minimum:
• A remotely controlled shut-off valve, equipped with a limit switch to signal the closed position to the QPS:CIS
• A regulation valve to control the intake of return helium
• A pressure sensor located upstream of the shut-off valve
• Pressure protection devices sized and set to protect the QPS equipment against overpressure originating from the Cryogenic Users. User-side overpressure protection is outside the QPS scope.</t>
        </is>
      </c>
      <c r="O301" s="6" t="n">
        <v>0</v>
      </c>
      <c r="P301" s="6" t="n">
        <v>2</v>
      </c>
      <c r="Q301" s="6" t="n">
        <v>1</v>
      </c>
      <c r="R301" s="6" t="n">
        <v>2</v>
      </c>
      <c r="S301" s="6" t="n">
        <v>0</v>
      </c>
      <c r="T301" s="6" t="n">
        <v>0</v>
      </c>
      <c r="U301" s="6" t="n">
        <v>0</v>
      </c>
      <c r="V301" s="6" t="n">
        <v>32</v>
      </c>
      <c r="W301" s="6" t="n">
        <v>59.7087</v>
      </c>
      <c r="X301" s="6" t="n">
        <v>5.154</v>
      </c>
      <c r="Y301" s="6" t="inlineStr">
        <is>
          <t>Reliability</t>
        </is>
      </c>
      <c r="Z301" s="6" t="inlineStr">
        <is>
          <t>Frozen-weight composite; strongest contribution: Reliability.</t>
        </is>
      </c>
      <c r="AA301" s="6" t="inlineStr">
        <is>
          <t>None explicitly named in this RTM</t>
        </is>
      </c>
      <c r="AB301" s="6" t="inlineStr">
        <is>
          <t>SCK CEN/90508872 §4.5.2.3; no named external code</t>
        </is>
      </c>
      <c r="AC301" s="6" t="inlineStr">
        <is>
          <t>Functional design/configuration review and sequence/interface demonstration; RAM/maintenance substantiation and recovery/failure-response evidence</t>
        </is>
      </c>
      <c r="AD301" s="6" t="inlineStr">
        <is>
          <t>No separate deliverable explicitly named</t>
        </is>
      </c>
      <c r="AE301" s="6" t="inlineStr">
        <is>
          <t>L1 Conceptual Design; L2 Detailed Design</t>
        </is>
      </c>
      <c r="AF301" s="6" t="inlineStr">
        <is>
          <t>Section/contract-derived reference; derived evidence route</t>
        </is>
      </c>
      <c r="AG301" s="58" t="inlineStr">
        <is>
          <t>Not linked to an OFFER item</t>
        </is>
      </c>
    </row>
    <row r="302" ht="47" customHeight="1">
      <c r="A302" s="6" t="n">
        <v>297</v>
      </c>
      <c r="B302" s="6" t="inlineStr">
        <is>
          <t>RTM-407</t>
        </is>
      </c>
      <c r="C302" s="6" t="inlineStr">
        <is>
          <t>No</t>
        </is>
      </c>
      <c r="D302" s="6" t="inlineStr">
        <is>
          <t>T2 Secondary</t>
        </is>
      </c>
      <c r="E302" s="6" t="inlineStr">
        <is>
          <t>Buildings &amp; Utilities</t>
        </is>
      </c>
      <c r="F302" s="82" t="inlineStr">
        <is>
          <t>SYSTEM</t>
        </is>
      </c>
      <c r="G302" s="83" t="inlineStr">
        <is>
          <t>Performance</t>
        </is>
      </c>
      <c r="H302" s="59" t="inlineStr">
        <is>
          <t>—</t>
        </is>
      </c>
      <c r="I302" s="81" t="inlineStr">
        <is>
          <t>Inferred: C5 — Infrastructure &amp; Integration (high conf.)</t>
        </is>
      </c>
      <c r="J302" s="6" t="n">
        <v>82</v>
      </c>
      <c r="K302" s="6" t="inlineStr">
        <is>
          <t>4.7.4.1</t>
        </is>
      </c>
      <c r="L302" s="6" t="inlineStr">
        <is>
          <t>General cooling water interfaces</t>
        </is>
      </c>
      <c r="M302" s="6" t="inlineStr">
        <is>
          <t>All internal distribution headers shall include manual vent and drain valves at all high and low points.</t>
        </is>
      </c>
      <c r="N302" s="6" t="inlineStr">
        <is>
          <t>All internal distribution headers shall include manual vent and drain valves at all high and low points.
• These shall be specifically routed to the provided drain infrastructure.</t>
        </is>
      </c>
      <c r="O302" s="6" t="n">
        <v>0</v>
      </c>
      <c r="P302" s="6" t="n">
        <v>0</v>
      </c>
      <c r="Q302" s="6" t="n">
        <v>2</v>
      </c>
      <c r="R302" s="6" t="n">
        <v>2</v>
      </c>
      <c r="S302" s="6" t="n">
        <v>2</v>
      </c>
      <c r="T302" s="6" t="n">
        <v>0</v>
      </c>
      <c r="U302" s="6" t="n">
        <v>0</v>
      </c>
      <c r="V302" s="6" t="n">
        <v>32</v>
      </c>
      <c r="W302" s="6" t="n">
        <v>59.7087</v>
      </c>
      <c r="X302" s="6" t="n">
        <v>5.154</v>
      </c>
      <c r="Y302" s="6" t="inlineStr">
        <is>
          <t>Performance</t>
        </is>
      </c>
      <c r="Z302" s="6" t="inlineStr">
        <is>
          <t>Frozen-weight composite; strongest contribution: Performance.</t>
        </is>
      </c>
      <c r="AA302" s="6" t="inlineStr">
        <is>
          <t>None explicitly named in this RTM</t>
        </is>
      </c>
      <c r="AB302" s="6" t="inlineStr">
        <is>
          <t>Section-level: ISO 10628</t>
        </is>
      </c>
      <c r="AC302" s="6" t="inlineStr">
        <is>
          <t>Calculation/model plus calibrated measurement or recorded trend; Document review, inspection, certification, audit or traceable QC record</t>
        </is>
      </c>
      <c r="AD302" s="6" t="inlineStr">
        <is>
          <t>No separate deliverable explicitly named</t>
        </is>
      </c>
      <c r="AE302" s="6" t="inlineStr">
        <is>
          <t>L1 Conceptual Design; L2 Detailed Design</t>
        </is>
      </c>
      <c r="AF302" s="6" t="inlineStr">
        <is>
          <t>Section/contract-derived reference; derived evidence route</t>
        </is>
      </c>
      <c r="AG302" s="58" t="inlineStr">
        <is>
          <t>Not linked to an OFFER item</t>
        </is>
      </c>
    </row>
    <row r="303" ht="60" customHeight="1">
      <c r="A303" s="6" t="n">
        <v>298</v>
      </c>
      <c r="B303" s="6" t="inlineStr">
        <is>
          <t>RTM-620</t>
        </is>
      </c>
      <c r="C303" s="6" t="inlineStr">
        <is>
          <t>No</t>
        </is>
      </c>
      <c r="D303" s="6" t="inlineStr">
        <is>
          <t>T2 Secondary</t>
        </is>
      </c>
      <c r="E303" s="6" t="inlineStr">
        <is>
          <t>Schedule</t>
        </is>
      </c>
      <c r="F303" s="82" t="inlineStr">
        <is>
          <t>PROJECT</t>
        </is>
      </c>
      <c r="G303" s="83" t="inlineStr">
        <is>
          <t>Governance &amp; Responsibility</t>
        </is>
      </c>
      <c r="H303" s="59" t="inlineStr">
        <is>
          <t>—</t>
        </is>
      </c>
      <c r="I303" s="58" t="inlineStr">
        <is>
          <t>C8 — Commercial &amp; Execution</t>
        </is>
      </c>
      <c r="J303" s="6" t="n">
        <v>117</v>
      </c>
      <c r="K303" s="6" t="inlineStr">
        <is>
          <t>6.1.6</t>
        </is>
      </c>
      <c r="L303" s="6" t="inlineStr">
        <is>
          <t>Site Acceptance testing (L6)</t>
        </is>
      </c>
      <c r="M303" s="6" t="inlineStr">
        <is>
          <t>In this phase, the Contractor shall, at least, perform the following activities:</t>
        </is>
      </c>
      <c r="N303" s="6" t="inlineStr">
        <is>
          <t>In this phase, the Contractor shall, at least, perform the following activities:
• Execute the SAT</t>
        </is>
      </c>
      <c r="O303" s="6" t="n">
        <v>2</v>
      </c>
      <c r="P303" s="6" t="n">
        <v>0</v>
      </c>
      <c r="Q303" s="6" t="n">
        <v>0</v>
      </c>
      <c r="R303" s="6" t="n">
        <v>1</v>
      </c>
      <c r="S303" s="6" t="n">
        <v>3</v>
      </c>
      <c r="T303" s="6" t="n">
        <v>0</v>
      </c>
      <c r="U303" s="6" t="n">
        <v>1</v>
      </c>
      <c r="V303" s="6" t="n">
        <v>31.666667</v>
      </c>
      <c r="W303" s="6" t="n">
        <v>58.8072</v>
      </c>
      <c r="X303" s="6" t="n">
        <v>4.9002</v>
      </c>
      <c r="Y303" s="6" t="inlineStr">
        <is>
          <t>Safety / Legal</t>
        </is>
      </c>
      <c r="Z303" s="6" t="inlineStr">
        <is>
          <t>Frozen-weight composite; strongest contribution: Safety / Legal.</t>
        </is>
      </c>
      <c r="AA303" s="6" t="inlineStr">
        <is>
          <t>None explicitly named in this RTM</t>
        </is>
      </c>
      <c r="AB303" s="6" t="inlineStr">
        <is>
          <t>SCK CEN/90508872 §6.1.6; no named external code</t>
        </is>
      </c>
      <c r="AC303" s="6" t="inlineStr">
        <is>
          <t>Witnessed FAT/SAT/commissioning test against stated acceptance criteria</t>
        </is>
      </c>
      <c r="AD303" s="6" t="inlineStr">
        <is>
          <t>No separate deliverable explicitly named</t>
        </is>
      </c>
      <c r="AE303" s="6" t="inlineStr">
        <is>
          <t>L6 Site Acceptance Testing; L0 Tender / Offer; L1 Conceptual Design; L2 Detailed Design; L3 Procurement &amp; Manufacturing / FAT; L4 Installation; L5 Standalone Commissioning</t>
        </is>
      </c>
      <c r="AF303" s="6" t="inlineStr">
        <is>
          <t>Section/contract-derived reference; derived evidence route</t>
        </is>
      </c>
      <c r="AG303" s="58" t="inlineStr">
        <is>
          <t>OFFER-44 (Supporting)</t>
        </is>
      </c>
    </row>
    <row r="304" ht="47" customHeight="1">
      <c r="A304" s="6" t="n">
        <v>299</v>
      </c>
      <c r="B304" s="6" t="inlineStr">
        <is>
          <t>RTM-104</t>
        </is>
      </c>
      <c r="C304" s="6" t="inlineStr">
        <is>
          <t>No</t>
        </is>
      </c>
      <c r="D304" s="6" t="inlineStr">
        <is>
          <t>T2 Secondary</t>
        </is>
      </c>
      <c r="E304" s="6" t="inlineStr">
        <is>
          <t>Subsystems</t>
        </is>
      </c>
      <c r="F304" s="82" t="inlineStr">
        <is>
          <t>SYSTEM</t>
        </is>
      </c>
      <c r="G304" s="83" t="inlineStr">
        <is>
          <t>Performance</t>
        </is>
      </c>
      <c r="H304" s="59" t="inlineStr">
        <is>
          <t>—</t>
        </is>
      </c>
      <c r="I304" s="81" t="inlineStr">
        <is>
          <t>Inferred: C2 — Process Design (low conf.)</t>
        </is>
      </c>
      <c r="J304" s="6" t="n">
        <v>45</v>
      </c>
      <c r="K304" s="6" t="inlineStr">
        <is>
          <t>4.4.2.2</t>
        </is>
      </c>
      <c r="L304" s="6" t="inlineStr">
        <is>
          <t>Electrical Heaters</t>
        </is>
      </c>
      <c r="M304" s="6" t="inlineStr">
        <is>
          <t>Real-time heater electrical power measurements (voltage and current, or derived power) shall be available to the QPS:CIS for monitoring, trending, and alarming.</t>
        </is>
      </c>
      <c r="N304" s="6" t="inlineStr">
        <is>
          <t>Real-time heater electrical power measurements (voltage and current, or derived power) shall be available to the QPS:CIS for monitoring, trending, and alarming.</t>
        </is>
      </c>
      <c r="O304" s="6" t="n">
        <v>0</v>
      </c>
      <c r="P304" s="6" t="n">
        <v>1</v>
      </c>
      <c r="Q304" s="6" t="n">
        <v>2</v>
      </c>
      <c r="R304" s="6" t="n">
        <v>2</v>
      </c>
      <c r="S304" s="6" t="n">
        <v>0</v>
      </c>
      <c r="T304" s="6" t="n">
        <v>0</v>
      </c>
      <c r="U304" s="6" t="n">
        <v>0</v>
      </c>
      <c r="V304" s="6" t="n">
        <v>31.333333</v>
      </c>
      <c r="W304" s="6" t="n">
        <v>57.6976</v>
      </c>
      <c r="X304" s="6" t="n">
        <v>4.6058</v>
      </c>
      <c r="Y304" s="6" t="inlineStr">
        <is>
          <t>Performance</t>
        </is>
      </c>
      <c r="Z304" s="6" t="inlineStr">
        <is>
          <t>Frozen-weight composite; strongest contribution: Performance.</t>
        </is>
      </c>
      <c r="AA304" s="6" t="inlineStr">
        <is>
          <t>None explicitly named in this RTM</t>
        </is>
      </c>
      <c r="AB304" s="6" t="inlineStr">
        <is>
          <t>SCK CEN/90508872 §4.4.2.2; no named external code</t>
        </is>
      </c>
      <c r="AC304" s="6" t="inlineStr">
        <is>
          <t>Calculation/model plus calibrated measurement or recorded trend</t>
        </is>
      </c>
      <c r="AD304" s="6" t="inlineStr">
        <is>
          <t>No separate deliverable explicitly named</t>
        </is>
      </c>
      <c r="AE304" s="6" t="inlineStr">
        <is>
          <t>L1 Conceptual Design; L2 Detailed Design</t>
        </is>
      </c>
      <c r="AF304" s="6" t="inlineStr">
        <is>
          <t>Section/contract-derived reference; derived evidence route</t>
        </is>
      </c>
      <c r="AG304" s="58" t="inlineStr">
        <is>
          <t>Not linked to an OFFER item</t>
        </is>
      </c>
    </row>
    <row r="305" ht="73" customHeight="1">
      <c r="A305" s="6" t="n">
        <v>300</v>
      </c>
      <c r="B305" s="6" t="inlineStr">
        <is>
          <t>RTM-105</t>
        </is>
      </c>
      <c r="C305" s="6" t="inlineStr">
        <is>
          <t>No</t>
        </is>
      </c>
      <c r="D305" s="6" t="inlineStr">
        <is>
          <t>T2 Secondary</t>
        </is>
      </c>
      <c r="E305" s="6" t="inlineStr">
        <is>
          <t>Subsystems</t>
        </is>
      </c>
      <c r="F305" s="82" t="inlineStr">
        <is>
          <t>SYSTEM</t>
        </is>
      </c>
      <c r="G305" s="83" t="inlineStr">
        <is>
          <t>Control</t>
        </is>
      </c>
      <c r="H305" s="59" t="inlineStr">
        <is>
          <t>—</t>
        </is>
      </c>
      <c r="I305" s="81" t="inlineStr">
        <is>
          <t>Inferred: C2 — Process Design (low conf.)</t>
        </is>
      </c>
      <c r="J305" s="6" t="n">
        <v>45</v>
      </c>
      <c r="K305" s="6" t="inlineStr">
        <is>
          <t>4.4.2.2</t>
        </is>
      </c>
      <c r="L305" s="6" t="inlineStr">
        <is>
          <t>Electrical Heaters</t>
        </is>
      </c>
      <c r="M305" s="6" t="inlineStr">
        <is>
          <t>Each heater (or heater zone) shall be monitored by at least one dedicated temperature sensor located to provide representative protection of the heated surface. The sensor signal shall be available to the QPS:CIS for monitoring and alarming.</t>
        </is>
      </c>
      <c r="N305" s="6" t="inlineStr">
        <is>
          <t>Each heater (or heater zone) shall be monitored by at least one dedicated temperature sensor located to provide representative protection of the heated surface. The sensor signal shall be available to the QPS:CIS for monitoring and alarming.</t>
        </is>
      </c>
      <c r="O305" s="6" t="n">
        <v>0</v>
      </c>
      <c r="P305" s="6" t="n">
        <v>1</v>
      </c>
      <c r="Q305" s="6" t="n">
        <v>2</v>
      </c>
      <c r="R305" s="6" t="n">
        <v>2</v>
      </c>
      <c r="S305" s="6" t="n">
        <v>0</v>
      </c>
      <c r="T305" s="6" t="n">
        <v>0</v>
      </c>
      <c r="U305" s="6" t="n">
        <v>0</v>
      </c>
      <c r="V305" s="6" t="n">
        <v>31.333333</v>
      </c>
      <c r="W305" s="6" t="n">
        <v>57.6976</v>
      </c>
      <c r="X305" s="6" t="n">
        <v>4.6058</v>
      </c>
      <c r="Y305" s="6" t="inlineStr">
        <is>
          <t>Performance</t>
        </is>
      </c>
      <c r="Z305" s="6" t="inlineStr">
        <is>
          <t>Frozen-weight composite; strongest contribution: Performance.</t>
        </is>
      </c>
      <c r="AA305" s="6" t="inlineStr">
        <is>
          <t>None explicitly named in this RTM</t>
        </is>
      </c>
      <c r="AB305" s="6" t="inlineStr">
        <is>
          <t>SCK CEN/90508872 §4.4.2.2; no named external code</t>
        </is>
      </c>
      <c r="AC305" s="6" t="inlineStr">
        <is>
          <t>Calculation/model plus calibrated measurement or recorded trend</t>
        </is>
      </c>
      <c r="AD305" s="6" t="inlineStr">
        <is>
          <t>No separate deliverable explicitly named</t>
        </is>
      </c>
      <c r="AE305" s="6" t="inlineStr">
        <is>
          <t>L1 Conceptual Design; L2 Detailed Design</t>
        </is>
      </c>
      <c r="AF305" s="6" t="inlineStr">
        <is>
          <t>Section/contract-derived reference; derived evidence route</t>
        </is>
      </c>
      <c r="AG305" s="58" t="inlineStr">
        <is>
          <t>Not linked to an OFFER item</t>
        </is>
      </c>
    </row>
    <row r="306" ht="73" customHeight="1">
      <c r="A306" s="6" t="n">
        <v>301</v>
      </c>
      <c r="B306" s="6" t="inlineStr">
        <is>
          <t>RTM-119</t>
        </is>
      </c>
      <c r="C306" s="6" t="inlineStr">
        <is>
          <t>No</t>
        </is>
      </c>
      <c r="D306" s="6" t="inlineStr">
        <is>
          <t>T2 Secondary</t>
        </is>
      </c>
      <c r="E306" s="6" t="inlineStr">
        <is>
          <t>Subsystems</t>
        </is>
      </c>
      <c r="F306" s="82" t="inlineStr">
        <is>
          <t>SYSTEM</t>
        </is>
      </c>
      <c r="G306" s="83" t="inlineStr">
        <is>
          <t>Performance</t>
        </is>
      </c>
      <c r="H306" s="59" t="inlineStr">
        <is>
          <t>—</t>
        </is>
      </c>
      <c r="I306" s="81" t="inlineStr">
        <is>
          <t>Inferred: C3 — Mechanical &amp; Equipment (medium conf.)</t>
        </is>
      </c>
      <c r="J306" s="6" t="n">
        <v>46</v>
      </c>
      <c r="K306" s="6" t="inlineStr">
        <is>
          <t>4.4.2.3</t>
        </is>
      </c>
      <c r="L306" s="6" t="inlineStr">
        <is>
          <t>Temperature sensors</t>
        </is>
      </c>
      <c r="M306" s="6" t="inlineStr">
        <is>
          <t>Each pressure transmitter shall be installed with at least:</t>
        </is>
      </c>
      <c r="N306" s="6" t="inlineStr">
        <is>
          <t>Each pressure transmitter shall be installed with at least:
• one isolation valve to allow safe removal, calibration, or replacement without depressurizing the connected volume or interrupting vacuum operation
• one dedicated connection for calibration or venting, also fitted with an isolation valve.</t>
        </is>
      </c>
      <c r="O306" s="6" t="n">
        <v>0</v>
      </c>
      <c r="P306" s="6" t="n">
        <v>1</v>
      </c>
      <c r="Q306" s="6" t="n">
        <v>2</v>
      </c>
      <c r="R306" s="6" t="n">
        <v>2</v>
      </c>
      <c r="S306" s="6" t="n">
        <v>0</v>
      </c>
      <c r="T306" s="6" t="n">
        <v>0</v>
      </c>
      <c r="U306" s="6" t="n">
        <v>0</v>
      </c>
      <c r="V306" s="6" t="n">
        <v>31.333333</v>
      </c>
      <c r="W306" s="6" t="n">
        <v>57.6976</v>
      </c>
      <c r="X306" s="6" t="n">
        <v>4.6058</v>
      </c>
      <c r="Y306" s="6" t="inlineStr">
        <is>
          <t>Performance</t>
        </is>
      </c>
      <c r="Z306" s="6" t="inlineStr">
        <is>
          <t>Frozen-weight composite; strongest contribution: Performance.</t>
        </is>
      </c>
      <c r="AA306" s="6" t="inlineStr">
        <is>
          <t>None explicitly named in this RTM</t>
        </is>
      </c>
      <c r="AB306" s="6" t="inlineStr">
        <is>
          <t>Section-level: IEC 60751; IEC 60359; ISA RP12.6</t>
        </is>
      </c>
      <c r="AC306" s="6" t="inlineStr">
        <is>
          <t>Calculation/model plus calibrated measurement or recorded trend</t>
        </is>
      </c>
      <c r="AD306" s="6" t="inlineStr">
        <is>
          <t>No separate deliverable explicitly named</t>
        </is>
      </c>
      <c r="AE306" s="6" t="inlineStr">
        <is>
          <t>L1 Conceptual Design; L2 Detailed Design</t>
        </is>
      </c>
      <c r="AF306" s="6" t="inlineStr">
        <is>
          <t>Section/contract-derived reference; derived evidence route</t>
        </is>
      </c>
      <c r="AG306" s="58" t="inlineStr">
        <is>
          <t>Not linked to an OFFER item</t>
        </is>
      </c>
    </row>
    <row r="307" ht="34" customHeight="1">
      <c r="A307" s="6" t="n">
        <v>302</v>
      </c>
      <c r="B307" s="6" t="inlineStr">
        <is>
          <t>RTM-120</t>
        </is>
      </c>
      <c r="C307" s="6" t="inlineStr">
        <is>
          <t>No</t>
        </is>
      </c>
      <c r="D307" s="6" t="inlineStr">
        <is>
          <t>T2 Secondary</t>
        </is>
      </c>
      <c r="E307" s="6" t="inlineStr">
        <is>
          <t>Subsystems</t>
        </is>
      </c>
      <c r="F307" s="82" t="inlineStr">
        <is>
          <t>SYSTEM</t>
        </is>
      </c>
      <c r="G307" s="83" t="inlineStr">
        <is>
          <t>Performance</t>
        </is>
      </c>
      <c r="H307" s="59" t="inlineStr">
        <is>
          <t>—</t>
        </is>
      </c>
      <c r="I307" s="81" t="inlineStr">
        <is>
          <t>Inferred: C3 — Mechanical &amp; Equipment (medium conf.)</t>
        </is>
      </c>
      <c r="J307" s="6" t="n">
        <v>46</v>
      </c>
      <c r="K307" s="6" t="inlineStr">
        <is>
          <t>4.4.2.3</t>
        </is>
      </c>
      <c r="L307" s="6" t="inlineStr">
        <is>
          <t>Temperature sensors</t>
        </is>
      </c>
      <c r="M307" s="6" t="inlineStr">
        <is>
          <t>Each differential pressure transmitter shall additionally be equipped with a bypass valve and calibration valve.</t>
        </is>
      </c>
      <c r="N307" s="6" t="inlineStr">
        <is>
          <t>Each differential pressure transmitter shall additionally be equipped with a bypass valve and calibration valve.</t>
        </is>
      </c>
      <c r="O307" s="6" t="n">
        <v>0</v>
      </c>
      <c r="P307" s="6" t="n">
        <v>1</v>
      </c>
      <c r="Q307" s="6" t="n">
        <v>2</v>
      </c>
      <c r="R307" s="6" t="n">
        <v>2</v>
      </c>
      <c r="S307" s="6" t="n">
        <v>0</v>
      </c>
      <c r="T307" s="6" t="n">
        <v>0</v>
      </c>
      <c r="U307" s="6" t="n">
        <v>0</v>
      </c>
      <c r="V307" s="6" t="n">
        <v>31.333333</v>
      </c>
      <c r="W307" s="6" t="n">
        <v>57.6976</v>
      </c>
      <c r="X307" s="6" t="n">
        <v>4.6058</v>
      </c>
      <c r="Y307" s="6" t="inlineStr">
        <is>
          <t>Performance</t>
        </is>
      </c>
      <c r="Z307" s="6" t="inlineStr">
        <is>
          <t>Frozen-weight composite; strongest contribution: Performance.</t>
        </is>
      </c>
      <c r="AA307" s="6" t="inlineStr">
        <is>
          <t>None explicitly named in this RTM</t>
        </is>
      </c>
      <c r="AB307" s="6" t="inlineStr">
        <is>
          <t>Section-level: IEC 60751; IEC 60359; ISA RP12.6</t>
        </is>
      </c>
      <c r="AC307" s="6" t="inlineStr">
        <is>
          <t>Calculation/model plus calibrated measurement or recorded trend</t>
        </is>
      </c>
      <c r="AD307" s="6" t="inlineStr">
        <is>
          <t>No separate deliverable explicitly named</t>
        </is>
      </c>
      <c r="AE307" s="6" t="inlineStr">
        <is>
          <t>L1 Conceptual Design; L2 Detailed Design</t>
        </is>
      </c>
      <c r="AF307" s="6" t="inlineStr">
        <is>
          <t>Section/contract-derived reference; derived evidence route</t>
        </is>
      </c>
      <c r="AG307" s="58" t="inlineStr">
        <is>
          <t>Not linked to an OFFER item</t>
        </is>
      </c>
    </row>
    <row r="308" ht="60" customHeight="1">
      <c r="A308" s="6" t="n">
        <v>303</v>
      </c>
      <c r="B308" s="6" t="inlineStr">
        <is>
          <t>RTM-123</t>
        </is>
      </c>
      <c r="C308" s="6" t="inlineStr">
        <is>
          <t>No</t>
        </is>
      </c>
      <c r="D308" s="6" t="inlineStr">
        <is>
          <t>T2 Secondary</t>
        </is>
      </c>
      <c r="E308" s="6" t="inlineStr">
        <is>
          <t>Subsystems</t>
        </is>
      </c>
      <c r="F308" s="82" t="inlineStr">
        <is>
          <t>SYSTEM</t>
        </is>
      </c>
      <c r="G308" s="83" t="inlineStr">
        <is>
          <t>Performance</t>
        </is>
      </c>
      <c r="H308" s="59" t="inlineStr">
        <is>
          <t>—</t>
        </is>
      </c>
      <c r="I308" s="81" t="inlineStr">
        <is>
          <t>Inferred: C3 — Mechanical &amp; Equipment (medium conf.)</t>
        </is>
      </c>
      <c r="J308" s="6" t="n">
        <v>46</v>
      </c>
      <c r="K308" s="6" t="inlineStr">
        <is>
          <t>4.4.2.3</t>
        </is>
      </c>
      <c r="L308" s="6" t="inlineStr">
        <is>
          <t>Temperature sensors</t>
        </is>
      </c>
      <c r="M308" s="6" t="inlineStr">
        <is>
          <t>All pressure transmitters shall withstand, without de-calibration or damage, any pressure from vacuum up to the Operating Pressure defined by the relevant safety valve setting.</t>
        </is>
      </c>
      <c r="N308" s="6" t="inlineStr">
        <is>
          <t>All pressure transmitters shall withstand, without de-calibration or damage, any pressure from vacuum up to the Operating Pressure defined by the relevant safety valve setting.</t>
        </is>
      </c>
      <c r="O308" s="6" t="n">
        <v>0</v>
      </c>
      <c r="P308" s="6" t="n">
        <v>1</v>
      </c>
      <c r="Q308" s="6" t="n">
        <v>2</v>
      </c>
      <c r="R308" s="6" t="n">
        <v>2</v>
      </c>
      <c r="S308" s="6" t="n">
        <v>0</v>
      </c>
      <c r="T308" s="6" t="n">
        <v>0</v>
      </c>
      <c r="U308" s="6" t="n">
        <v>0</v>
      </c>
      <c r="V308" s="6" t="n">
        <v>31.333333</v>
      </c>
      <c r="W308" s="6" t="n">
        <v>57.6976</v>
      </c>
      <c r="X308" s="6" t="n">
        <v>4.6058</v>
      </c>
      <c r="Y308" s="6" t="inlineStr">
        <is>
          <t>Performance</t>
        </is>
      </c>
      <c r="Z308" s="6" t="inlineStr">
        <is>
          <t>Frozen-weight composite; strongest contribution: Performance.</t>
        </is>
      </c>
      <c r="AA308" s="6" t="inlineStr">
        <is>
          <t>None explicitly named in this RTM</t>
        </is>
      </c>
      <c r="AB308" s="6" t="inlineStr">
        <is>
          <t>Section-level: IEC 60751; IEC 60359; ISA RP12.6</t>
        </is>
      </c>
      <c r="AC308" s="6" t="inlineStr">
        <is>
          <t>Calculation/model plus calibrated measurement or recorded trend</t>
        </is>
      </c>
      <c r="AD308" s="6" t="inlineStr">
        <is>
          <t>No separate deliverable explicitly named</t>
        </is>
      </c>
      <c r="AE308" s="6" t="inlineStr">
        <is>
          <t>L1 Conceptual Design; L2 Detailed Design</t>
        </is>
      </c>
      <c r="AF308" s="6" t="inlineStr">
        <is>
          <t>Section/contract-derived reference; derived evidence route</t>
        </is>
      </c>
      <c r="AG308" s="58" t="inlineStr">
        <is>
          <t>Not linked to an OFFER item</t>
        </is>
      </c>
    </row>
    <row r="309" ht="34" customHeight="1">
      <c r="A309" s="6" t="n">
        <v>304</v>
      </c>
      <c r="B309" s="6" t="inlineStr">
        <is>
          <t>RTM-124</t>
        </is>
      </c>
      <c r="C309" s="6" t="inlineStr">
        <is>
          <t>No</t>
        </is>
      </c>
      <c r="D309" s="6" t="inlineStr">
        <is>
          <t>T2 Secondary</t>
        </is>
      </c>
      <c r="E309" s="6" t="inlineStr">
        <is>
          <t>Subsystems</t>
        </is>
      </c>
      <c r="F309" s="82" t="inlineStr">
        <is>
          <t>SYSTEM</t>
        </is>
      </c>
      <c r="G309" s="83" t="inlineStr">
        <is>
          <t>Performance</t>
        </is>
      </c>
      <c r="H309" s="59" t="inlineStr">
        <is>
          <t>—</t>
        </is>
      </c>
      <c r="I309" s="81" t="inlineStr">
        <is>
          <t>Inferred: C3 — Mechanical &amp; Equipment (medium conf.)</t>
        </is>
      </c>
      <c r="J309" s="6" t="n">
        <v>46</v>
      </c>
      <c r="K309" s="6" t="inlineStr">
        <is>
          <t>4.4.2.3</t>
        </is>
      </c>
      <c r="L309" s="6" t="inlineStr">
        <is>
          <t>Temperature sensors</t>
        </is>
      </c>
      <c r="M309" s="6" t="inlineStr">
        <is>
          <t>Vacuum gauges shall be capable of withstanding gas inrush without loss of calibration or mechanical damage.</t>
        </is>
      </c>
      <c r="N309" s="6" t="inlineStr">
        <is>
          <t>Vacuum gauges shall be capable of withstanding gas inrush without loss of calibration or mechanical damage.</t>
        </is>
      </c>
      <c r="O309" s="6" t="n">
        <v>0</v>
      </c>
      <c r="P309" s="6" t="n">
        <v>1</v>
      </c>
      <c r="Q309" s="6" t="n">
        <v>2</v>
      </c>
      <c r="R309" s="6" t="n">
        <v>2</v>
      </c>
      <c r="S309" s="6" t="n">
        <v>0</v>
      </c>
      <c r="T309" s="6" t="n">
        <v>0</v>
      </c>
      <c r="U309" s="6" t="n">
        <v>0</v>
      </c>
      <c r="V309" s="6" t="n">
        <v>31.333333</v>
      </c>
      <c r="W309" s="6" t="n">
        <v>57.6976</v>
      </c>
      <c r="X309" s="6" t="n">
        <v>4.6058</v>
      </c>
      <c r="Y309" s="6" t="inlineStr">
        <is>
          <t>Performance</t>
        </is>
      </c>
      <c r="Z309" s="6" t="inlineStr">
        <is>
          <t>Frozen-weight composite; strongest contribution: Performance.</t>
        </is>
      </c>
      <c r="AA309" s="6" t="inlineStr">
        <is>
          <t>None explicitly named in this RTM</t>
        </is>
      </c>
      <c r="AB309" s="6" t="inlineStr">
        <is>
          <t>Section-level: IEC 60751; IEC 60359; ISA RP12.6</t>
        </is>
      </c>
      <c r="AC309" s="6" t="inlineStr">
        <is>
          <t>Calculation/model plus calibrated measurement or recorded trend</t>
        </is>
      </c>
      <c r="AD309" s="6" t="inlineStr">
        <is>
          <t>No separate deliverable explicitly named</t>
        </is>
      </c>
      <c r="AE309" s="6" t="inlineStr">
        <is>
          <t>L1 Conceptual Design; L2 Detailed Design</t>
        </is>
      </c>
      <c r="AF309" s="6" t="inlineStr">
        <is>
          <t>Section/contract-derived reference; derived evidence route</t>
        </is>
      </c>
      <c r="AG309" s="58" t="inlineStr">
        <is>
          <t>Not linked to an OFFER item</t>
        </is>
      </c>
    </row>
    <row r="310" ht="112" customHeight="1">
      <c r="A310" s="6" t="n">
        <v>305</v>
      </c>
      <c r="B310" s="6" t="inlineStr">
        <is>
          <t>RTM-127</t>
        </is>
      </c>
      <c r="C310" s="6" t="inlineStr">
        <is>
          <t>No</t>
        </is>
      </c>
      <c r="D310" s="6" t="inlineStr">
        <is>
          <t>T2 Secondary</t>
        </is>
      </c>
      <c r="E310" s="6" t="inlineStr">
        <is>
          <t>Subsystems</t>
        </is>
      </c>
      <c r="F310" s="82" t="inlineStr">
        <is>
          <t>SYSTEM</t>
        </is>
      </c>
      <c r="G310" s="83" t="inlineStr">
        <is>
          <t>Performance</t>
        </is>
      </c>
      <c r="H310" s="59" t="inlineStr">
        <is>
          <t>—</t>
        </is>
      </c>
      <c r="I310" s="81" t="inlineStr">
        <is>
          <t>Inferred: C2 — Process Design (low conf.)</t>
        </is>
      </c>
      <c r="J310" s="6" t="n">
        <v>47</v>
      </c>
      <c r="K310" s="6" t="inlineStr">
        <is>
          <t>4.4.2.5</t>
        </is>
      </c>
      <c r="L310" s="6" t="inlineStr">
        <is>
          <t>Liquid level sensors</t>
        </is>
      </c>
      <c r="M310" s="6" t="inlineStr">
        <is>
          <t>Liquid-level measurements shall comply with the following requirements:</t>
        </is>
      </c>
      <c r="N310" s="6" t="inlineStr">
        <is>
          <t>Liquid-level measurements shall comply with the following requirements:
• The level readings shall be displayed to operators as a percentage of the nominal working volume.
• The indicated value (including repeatability, hysteresis, and calibration drift) shall be accurate to:
• ± 0.5 percentage points of full scale for liquid helium; and
• ± 2 percentage points of full scale for all other cryogenic fluids (where applicable).</t>
        </is>
      </c>
      <c r="O310" s="6" t="n">
        <v>0</v>
      </c>
      <c r="P310" s="6" t="n">
        <v>1</v>
      </c>
      <c r="Q310" s="6" t="n">
        <v>2</v>
      </c>
      <c r="R310" s="6" t="n">
        <v>2</v>
      </c>
      <c r="S310" s="6" t="n">
        <v>0</v>
      </c>
      <c r="T310" s="6" t="n">
        <v>0</v>
      </c>
      <c r="U310" s="6" t="n">
        <v>0</v>
      </c>
      <c r="V310" s="6" t="n">
        <v>31.333333</v>
      </c>
      <c r="W310" s="6" t="n">
        <v>57.6976</v>
      </c>
      <c r="X310" s="6" t="n">
        <v>4.6058</v>
      </c>
      <c r="Y310" s="6" t="inlineStr">
        <is>
          <t>Performance</t>
        </is>
      </c>
      <c r="Z310" s="6" t="inlineStr">
        <is>
          <t>Frozen-weight composite; strongest contribution: Performance.</t>
        </is>
      </c>
      <c r="AA310" s="6" t="inlineStr">
        <is>
          <t>None explicitly named in this RTM</t>
        </is>
      </c>
      <c r="AB310" s="6" t="inlineStr">
        <is>
          <t>SCK CEN/90508872 §4.4.2.5; no named external code</t>
        </is>
      </c>
      <c r="AC310" s="6" t="inlineStr">
        <is>
          <t>Calculation/model plus calibrated measurement or recorded trend</t>
        </is>
      </c>
      <c r="AD310" s="6" t="inlineStr">
        <is>
          <t>No separate deliverable explicitly named</t>
        </is>
      </c>
      <c r="AE310" s="6" t="inlineStr">
        <is>
          <t>L1 Conceptual Design; L2 Detailed Design</t>
        </is>
      </c>
      <c r="AF310" s="6" t="inlineStr">
        <is>
          <t>Section/contract-derived reference; derived evidence route</t>
        </is>
      </c>
      <c r="AG310" s="58" t="inlineStr">
        <is>
          <t>Not linked to an OFFER item</t>
        </is>
      </c>
    </row>
    <row r="311" ht="99" customHeight="1">
      <c r="A311" s="6" t="n">
        <v>306</v>
      </c>
      <c r="B311" s="6" t="inlineStr">
        <is>
          <t>RTM-133</t>
        </is>
      </c>
      <c r="C311" s="6" t="inlineStr">
        <is>
          <t>No</t>
        </is>
      </c>
      <c r="D311" s="6" t="inlineStr">
        <is>
          <t>T2 Secondary</t>
        </is>
      </c>
      <c r="E311" s="6" t="inlineStr">
        <is>
          <t>Subsystems</t>
        </is>
      </c>
      <c r="F311" s="82" t="inlineStr">
        <is>
          <t>SYSTEM</t>
        </is>
      </c>
      <c r="G311" s="83" t="inlineStr">
        <is>
          <t>Performance</t>
        </is>
      </c>
      <c r="H311" s="59" t="inlineStr">
        <is>
          <t>—</t>
        </is>
      </c>
      <c r="I311" s="81" t="inlineStr">
        <is>
          <t>Inferred: C2 — Process Design (low conf.)</t>
        </is>
      </c>
      <c r="J311" s="6" t="n">
        <v>47</v>
      </c>
      <c r="K311" s="6" t="inlineStr">
        <is>
          <t>4.4.2.7</t>
        </is>
      </c>
      <c r="L311" s="6" t="inlineStr">
        <is>
          <t>Helium Impurity sensors</t>
        </is>
      </c>
      <c r="M311" s="6" t="inlineStr">
        <is>
          <t>Each gas analyser shall:</t>
        </is>
      </c>
      <c r="N311" s="6" t="inlineStr">
        <is>
          <t>Each gas analyser shall:
• be equipped with a dedicated calibration line
• be equipped with a purge or bypass capability for flushing the sampling lines
• provide continuous measurement of impurities
• trigger alarms on the QPS:CIS when measured concentrations exceed defined thresholds.</t>
        </is>
      </c>
      <c r="O311" s="6" t="n">
        <v>0</v>
      </c>
      <c r="P311" s="6" t="n">
        <v>1</v>
      </c>
      <c r="Q311" s="6" t="n">
        <v>2</v>
      </c>
      <c r="R311" s="6" t="n">
        <v>2</v>
      </c>
      <c r="S311" s="6" t="n">
        <v>0</v>
      </c>
      <c r="T311" s="6" t="n">
        <v>0</v>
      </c>
      <c r="U311" s="6" t="n">
        <v>0</v>
      </c>
      <c r="V311" s="6" t="n">
        <v>31.333333</v>
      </c>
      <c r="W311" s="6" t="n">
        <v>57.6976</v>
      </c>
      <c r="X311" s="6" t="n">
        <v>4.6058</v>
      </c>
      <c r="Y311" s="6" t="inlineStr">
        <is>
          <t>Performance</t>
        </is>
      </c>
      <c r="Z311" s="6" t="inlineStr">
        <is>
          <t>Frozen-weight composite; strongest contribution: Performance.</t>
        </is>
      </c>
      <c r="AA311" s="6" t="inlineStr">
        <is>
          <t>None explicitly named in this RTM</t>
        </is>
      </c>
      <c r="AB311" s="6" t="inlineStr">
        <is>
          <t>SCK CEN/90508872 §4.4.2.7; no named external code</t>
        </is>
      </c>
      <c r="AC311" s="6" t="inlineStr">
        <is>
          <t>Calculation/model plus calibrated measurement or recorded trend</t>
        </is>
      </c>
      <c r="AD311" s="6" t="inlineStr">
        <is>
          <t>No separate deliverable explicitly named</t>
        </is>
      </c>
      <c r="AE311" s="6" t="inlineStr">
        <is>
          <t>L1 Conceptual Design; L2 Detailed Design</t>
        </is>
      </c>
      <c r="AF311" s="6" t="inlineStr">
        <is>
          <t>Section/contract-derived reference; derived evidence route</t>
        </is>
      </c>
      <c r="AG311" s="58" t="inlineStr">
        <is>
          <t>Not linked to an OFFER item</t>
        </is>
      </c>
    </row>
    <row r="312" ht="47" customHeight="1">
      <c r="A312" s="6" t="n">
        <v>307</v>
      </c>
      <c r="B312" s="6" t="inlineStr">
        <is>
          <t>RTM-164</t>
        </is>
      </c>
      <c r="C312" s="6" t="inlineStr">
        <is>
          <t>No</t>
        </is>
      </c>
      <c r="D312" s="6" t="inlineStr">
        <is>
          <t>T2 Secondary</t>
        </is>
      </c>
      <c r="E312" s="6" t="inlineStr">
        <is>
          <t>Subsystems</t>
        </is>
      </c>
      <c r="F312" s="82" t="inlineStr">
        <is>
          <t>SYSTEM</t>
        </is>
      </c>
      <c r="G312" s="83" t="inlineStr">
        <is>
          <t>Performance</t>
        </is>
      </c>
      <c r="H312" s="59" t="inlineStr">
        <is>
          <t>—</t>
        </is>
      </c>
      <c r="I312" s="81" t="inlineStr">
        <is>
          <t>Inferred: C2 — Process Design (low conf.)</t>
        </is>
      </c>
      <c r="J312" s="6" t="n">
        <v>51</v>
      </c>
      <c r="K312" s="6" t="inlineStr">
        <is>
          <t>4.4.3.5.2</t>
        </is>
      </c>
      <c r="L312" s="6" t="inlineStr">
        <is>
          <t>Bulk Oil Separators and Oil Retention</t>
        </is>
      </c>
      <c r="M312" s="6" t="inlineStr">
        <is>
          <t>Each bulk oil separator shall include a differential-pressure indicator across the internal separation element(s) to allow monitoring of fouling and separator performance.</t>
        </is>
      </c>
      <c r="N312" s="6" t="inlineStr">
        <is>
          <t>Each bulk oil separator shall include a differential-pressure indicator across the internal separation element(s) to allow monitoring of fouling and separator performance.</t>
        </is>
      </c>
      <c r="O312" s="6" t="n">
        <v>0</v>
      </c>
      <c r="P312" s="6" t="n">
        <v>1</v>
      </c>
      <c r="Q312" s="6" t="n">
        <v>2</v>
      </c>
      <c r="R312" s="6" t="n">
        <v>2</v>
      </c>
      <c r="S312" s="6" t="n">
        <v>0</v>
      </c>
      <c r="T312" s="6" t="n">
        <v>0</v>
      </c>
      <c r="U312" s="6" t="n">
        <v>0</v>
      </c>
      <c r="V312" s="6" t="n">
        <v>31.333333</v>
      </c>
      <c r="W312" s="6" t="n">
        <v>57.6976</v>
      </c>
      <c r="X312" s="6" t="n">
        <v>4.6058</v>
      </c>
      <c r="Y312" s="6" t="inlineStr">
        <is>
          <t>Performance</t>
        </is>
      </c>
      <c r="Z312" s="6" t="inlineStr">
        <is>
          <t>Frozen-weight composite; strongest contribution: Performance.</t>
        </is>
      </c>
      <c r="AA312" s="6" t="inlineStr">
        <is>
          <t>None explicitly named in this RTM</t>
        </is>
      </c>
      <c r="AB312" s="6" t="inlineStr">
        <is>
          <t>SCK CEN/90508872 §4.4.3.5.2; no named external code</t>
        </is>
      </c>
      <c r="AC312" s="6" t="inlineStr">
        <is>
          <t>Calculation/model plus calibrated measurement or recorded trend</t>
        </is>
      </c>
      <c r="AD312" s="6" t="inlineStr">
        <is>
          <t>No separate deliverable explicitly named</t>
        </is>
      </c>
      <c r="AE312" s="6" t="inlineStr">
        <is>
          <t>L1 Conceptual Design; L2 Detailed Design</t>
        </is>
      </c>
      <c r="AF312" s="6" t="inlineStr">
        <is>
          <t>Section/contract-derived reference; derived evidence route</t>
        </is>
      </c>
      <c r="AG312" s="58" t="inlineStr">
        <is>
          <t>Not linked to an OFFER item</t>
        </is>
      </c>
    </row>
    <row r="313" ht="73" customHeight="1">
      <c r="A313" s="6" t="n">
        <v>308</v>
      </c>
      <c r="B313" s="6" t="inlineStr">
        <is>
          <t>RTM-173</t>
        </is>
      </c>
      <c r="C313" s="6" t="inlineStr">
        <is>
          <t>No</t>
        </is>
      </c>
      <c r="D313" s="6" t="inlineStr">
        <is>
          <t>T2 Secondary</t>
        </is>
      </c>
      <c r="E313" s="6" t="inlineStr">
        <is>
          <t>Subsystems</t>
        </is>
      </c>
      <c r="F313" s="82" t="inlineStr">
        <is>
          <t>SYSTEM</t>
        </is>
      </c>
      <c r="G313" s="83" t="inlineStr">
        <is>
          <t>Control</t>
        </is>
      </c>
      <c r="H313" s="59" t="inlineStr">
        <is>
          <t>—</t>
        </is>
      </c>
      <c r="I313" s="81" t="inlineStr">
        <is>
          <t>Inferred: C2 — Process Design (low conf.)</t>
        </is>
      </c>
      <c r="J313" s="6" t="n">
        <v>52</v>
      </c>
      <c r="K313" s="6" t="inlineStr">
        <is>
          <t>4.4.3.6</t>
        </is>
      </c>
      <c r="L313" s="6" t="inlineStr">
        <is>
          <t>Oil Removal and Helium Purification System (ORS/GMP)</t>
        </is>
      </c>
      <c r="M313" s="6" t="inlineStr">
        <is>
          <t>The ORS/GMP shall comprise, at minimum</t>
        </is>
      </c>
      <c r="N313" s="6" t="inlineStr">
        <is>
          <t>The ORS/GMP shall comprise, at minimum
• A coalescer system with multiple coalescing stages
• A charcoal adsorber system
• The instrumentation and diagnostics required to monitor and verify the oil-removal performance.</t>
        </is>
      </c>
      <c r="O313" s="6" t="n">
        <v>0</v>
      </c>
      <c r="P313" s="6" t="n">
        <v>1</v>
      </c>
      <c r="Q313" s="6" t="n">
        <v>2</v>
      </c>
      <c r="R313" s="6" t="n">
        <v>2</v>
      </c>
      <c r="S313" s="6" t="n">
        <v>0</v>
      </c>
      <c r="T313" s="6" t="n">
        <v>0</v>
      </c>
      <c r="U313" s="6" t="n">
        <v>0</v>
      </c>
      <c r="V313" s="6" t="n">
        <v>31.333333</v>
      </c>
      <c r="W313" s="6" t="n">
        <v>57.6976</v>
      </c>
      <c r="X313" s="6" t="n">
        <v>4.6058</v>
      </c>
      <c r="Y313" s="6" t="inlineStr">
        <is>
          <t>Performance</t>
        </is>
      </c>
      <c r="Z313" s="6" t="inlineStr">
        <is>
          <t>Frozen-weight composite; strongest contribution: Performance.</t>
        </is>
      </c>
      <c r="AA313" s="6" t="inlineStr">
        <is>
          <t>None explicitly named in this RTM</t>
        </is>
      </c>
      <c r="AB313" s="6" t="inlineStr">
        <is>
          <t>SCK CEN/90508872 §4.4.3.6; no named external code</t>
        </is>
      </c>
      <c r="AC313" s="6" t="inlineStr">
        <is>
          <t>Calculation/model plus calibrated measurement or recorded trend</t>
        </is>
      </c>
      <c r="AD313" s="6" t="inlineStr">
        <is>
          <t>No separate deliverable explicitly named</t>
        </is>
      </c>
      <c r="AE313" s="6" t="inlineStr">
        <is>
          <t>L1 Conceptual Design; L2 Detailed Design</t>
        </is>
      </c>
      <c r="AF313" s="6" t="inlineStr">
        <is>
          <t>Section/contract-derived reference; explicit deliverable/test wording</t>
        </is>
      </c>
      <c r="AG313" s="58" t="inlineStr">
        <is>
          <t>Not linked to an OFFER item</t>
        </is>
      </c>
    </row>
    <row r="314" ht="47" customHeight="1">
      <c r="A314" s="6" t="n">
        <v>309</v>
      </c>
      <c r="B314" s="6" t="inlineStr">
        <is>
          <t>RTM-178</t>
        </is>
      </c>
      <c r="C314" s="6" t="inlineStr">
        <is>
          <t>No</t>
        </is>
      </c>
      <c r="D314" s="6" t="inlineStr">
        <is>
          <t>T2 Secondary</t>
        </is>
      </c>
      <c r="E314" s="6" t="inlineStr">
        <is>
          <t>Subsystems</t>
        </is>
      </c>
      <c r="F314" s="82" t="inlineStr">
        <is>
          <t>SYSTEM</t>
        </is>
      </c>
      <c r="G314" s="83" t="inlineStr">
        <is>
          <t>Performance</t>
        </is>
      </c>
      <c r="H314" s="59" t="inlineStr">
        <is>
          <t>—</t>
        </is>
      </c>
      <c r="I314" s="81" t="inlineStr">
        <is>
          <t>Inferred: C2 — Process Design (low conf.)</t>
        </is>
      </c>
      <c r="J314" s="6" t="n">
        <v>52</v>
      </c>
      <c r="K314" s="6" t="inlineStr">
        <is>
          <t>4.4.3.6.1</t>
        </is>
      </c>
      <c r="L314" s="6" t="inlineStr">
        <is>
          <t>Coalescer system</t>
        </is>
      </c>
      <c r="M314" s="6" t="inlineStr">
        <is>
          <t>Each coalescing stage shall be equipped with a standpipe and level measurement suitable for local and remote monitoring.</t>
        </is>
      </c>
      <c r="N314" s="6" t="inlineStr">
        <is>
          <t>Each coalescing stage shall be equipped with a standpipe and level measurement suitable for local and remote monitoring.</t>
        </is>
      </c>
      <c r="O314" s="6" t="n">
        <v>0</v>
      </c>
      <c r="P314" s="6" t="n">
        <v>1</v>
      </c>
      <c r="Q314" s="6" t="n">
        <v>2</v>
      </c>
      <c r="R314" s="6" t="n">
        <v>2</v>
      </c>
      <c r="S314" s="6" t="n">
        <v>0</v>
      </c>
      <c r="T314" s="6" t="n">
        <v>0</v>
      </c>
      <c r="U314" s="6" t="n">
        <v>0</v>
      </c>
      <c r="V314" s="6" t="n">
        <v>31.333333</v>
      </c>
      <c r="W314" s="6" t="n">
        <v>57.6976</v>
      </c>
      <c r="X314" s="6" t="n">
        <v>4.6058</v>
      </c>
      <c r="Y314" s="6" t="inlineStr">
        <is>
          <t>Performance</t>
        </is>
      </c>
      <c r="Z314" s="6" t="inlineStr">
        <is>
          <t>Frozen-weight composite; strongest contribution: Performance.</t>
        </is>
      </c>
      <c r="AA314" s="6" t="inlineStr">
        <is>
          <t>None explicitly named in this RTM</t>
        </is>
      </c>
      <c r="AB314" s="6" t="inlineStr">
        <is>
          <t>SCK CEN/90508872 §4.4.3.6.1; no named external code</t>
        </is>
      </c>
      <c r="AC314" s="6" t="inlineStr">
        <is>
          <t>Calculation/model plus calibrated measurement or recorded trend</t>
        </is>
      </c>
      <c r="AD314" s="6" t="inlineStr">
        <is>
          <t>No separate deliverable explicitly named</t>
        </is>
      </c>
      <c r="AE314" s="6" t="inlineStr">
        <is>
          <t>L1 Conceptual Design; L2 Detailed Design</t>
        </is>
      </c>
      <c r="AF314" s="6" t="inlineStr">
        <is>
          <t>Section/contract-derived reference; derived evidence route</t>
        </is>
      </c>
      <c r="AG314" s="58" t="inlineStr">
        <is>
          <t>Not linked to an OFFER item</t>
        </is>
      </c>
    </row>
    <row r="315" ht="47" customHeight="1">
      <c r="A315" s="6" t="n">
        <v>310</v>
      </c>
      <c r="B315" s="6" t="inlineStr">
        <is>
          <t>RTM-211</t>
        </is>
      </c>
      <c r="C315" s="6" t="inlineStr">
        <is>
          <t>No</t>
        </is>
      </c>
      <c r="D315" s="6" t="inlineStr">
        <is>
          <t>T2 Secondary</t>
        </is>
      </c>
      <c r="E315" s="6" t="inlineStr">
        <is>
          <t>Subsystems</t>
        </is>
      </c>
      <c r="F315" s="82" t="inlineStr">
        <is>
          <t>SYSTEM</t>
        </is>
      </c>
      <c r="G315" s="83" t="inlineStr">
        <is>
          <t>Performance</t>
        </is>
      </c>
      <c r="H315" s="59" t="inlineStr">
        <is>
          <t>—</t>
        </is>
      </c>
      <c r="I315" s="81" t="inlineStr">
        <is>
          <t>Inferred: C3 — Mechanical &amp; Equipment (medium conf.)</t>
        </is>
      </c>
      <c r="J315" s="6" t="n">
        <v>57</v>
      </c>
      <c r="K315" s="6" t="inlineStr">
        <is>
          <t>4.4.4.2.3</t>
        </is>
      </c>
      <c r="L315" s="6" t="inlineStr">
        <is>
          <t>Turbines</t>
        </is>
      </c>
      <c r="M315" s="6" t="inlineStr">
        <is>
          <t>Each turbine shall be equipped with a continuous rotational speed measurement and an overspeed protection system.</t>
        </is>
      </c>
      <c r="N315" s="6" t="inlineStr">
        <is>
          <t>Each turbine shall be equipped with a continuous rotational speed measurement and an overspeed protection system.
• The overspeed protection shall include alarm and automatic stop levels.</t>
        </is>
      </c>
      <c r="O315" s="6" t="n">
        <v>0</v>
      </c>
      <c r="P315" s="6" t="n">
        <v>1</v>
      </c>
      <c r="Q315" s="6" t="n">
        <v>2</v>
      </c>
      <c r="R315" s="6" t="n">
        <v>2</v>
      </c>
      <c r="S315" s="6" t="n">
        <v>0</v>
      </c>
      <c r="T315" s="6" t="n">
        <v>0</v>
      </c>
      <c r="U315" s="6" t="n">
        <v>0</v>
      </c>
      <c r="V315" s="6" t="n">
        <v>31.333333</v>
      </c>
      <c r="W315" s="6" t="n">
        <v>57.6976</v>
      </c>
      <c r="X315" s="6" t="n">
        <v>4.6058</v>
      </c>
      <c r="Y315" s="6" t="inlineStr">
        <is>
          <t>Performance</t>
        </is>
      </c>
      <c r="Z315" s="6" t="inlineStr">
        <is>
          <t>Frozen-weight composite; strongest contribution: Performance.</t>
        </is>
      </c>
      <c r="AA315" s="6" t="inlineStr">
        <is>
          <t>None explicitly named in this RTM</t>
        </is>
      </c>
      <c r="AB315" s="6" t="inlineStr">
        <is>
          <t>SCK CEN/90508872 §4.4.4.2.3; no named external code</t>
        </is>
      </c>
      <c r="AC315" s="6" t="inlineStr">
        <is>
          <t>Calculation/model plus calibrated measurement or recorded trend</t>
        </is>
      </c>
      <c r="AD315" s="6" t="inlineStr">
        <is>
          <t>No separate deliverable explicitly named</t>
        </is>
      </c>
      <c r="AE315" s="6" t="inlineStr">
        <is>
          <t>L1 Conceptual Design; L2 Detailed Design</t>
        </is>
      </c>
      <c r="AF315" s="6" t="inlineStr">
        <is>
          <t>Section/contract-derived reference; derived evidence route</t>
        </is>
      </c>
      <c r="AG315" s="58" t="inlineStr">
        <is>
          <t>Not linked to an OFFER item</t>
        </is>
      </c>
    </row>
    <row r="316" ht="47" customHeight="1">
      <c r="A316" s="6" t="n">
        <v>311</v>
      </c>
      <c r="B316" s="6" t="inlineStr">
        <is>
          <t>RTM-308</t>
        </is>
      </c>
      <c r="C316" s="6" t="inlineStr">
        <is>
          <t>No</t>
        </is>
      </c>
      <c r="D316" s="6" t="inlineStr">
        <is>
          <t>T2 Secondary</t>
        </is>
      </c>
      <c r="E316" s="6" t="inlineStr">
        <is>
          <t>Control &amp; Interlock</t>
        </is>
      </c>
      <c r="F316" s="82" t="inlineStr">
        <is>
          <t>SYSTEM</t>
        </is>
      </c>
      <c r="G316" s="83" t="inlineStr">
        <is>
          <t>Performance</t>
        </is>
      </c>
      <c r="H316" s="59" t="inlineStr">
        <is>
          <t>—</t>
        </is>
      </c>
      <c r="I316" s="81" t="inlineStr">
        <is>
          <t>Inferred: C4 — Software &amp; Control (high conf.)</t>
        </is>
      </c>
      <c r="J316" s="6" t="n">
        <v>71</v>
      </c>
      <c r="K316" s="6" t="inlineStr">
        <is>
          <t>4.6.3</t>
        </is>
      </c>
      <c r="L316" s="6" t="inlineStr">
        <is>
          <t>General requirements</t>
        </is>
      </c>
      <c r="M316" s="6" t="inlineStr">
        <is>
          <t>The QPS:CIS shall store historical records of all measured values, valve positions, operator actions, alarms, etc. and make it available for users via the SCADA.</t>
        </is>
      </c>
      <c r="N316" s="6" t="inlineStr">
        <is>
          <t>The QPS:CIS shall store historical records of all measured values, valve positions, operator actions, alarms, etc. and make it available for users via the SCADA.</t>
        </is>
      </c>
      <c r="O316" s="6" t="n">
        <v>0</v>
      </c>
      <c r="P316" s="6" t="n">
        <v>1</v>
      </c>
      <c r="Q316" s="6" t="n">
        <v>0</v>
      </c>
      <c r="R316" s="6" t="n">
        <v>3</v>
      </c>
      <c r="S316" s="6" t="n">
        <v>2</v>
      </c>
      <c r="T316" s="6" t="n">
        <v>0</v>
      </c>
      <c r="U316" s="6" t="n">
        <v>0</v>
      </c>
      <c r="V316" s="6" t="n">
        <v>31.333333</v>
      </c>
      <c r="W316" s="6" t="n">
        <v>57.6976</v>
      </c>
      <c r="X316" s="6" t="n">
        <v>4.6058</v>
      </c>
      <c r="Y316" s="6" t="inlineStr">
        <is>
          <t>Functional</t>
        </is>
      </c>
      <c r="Z316" s="6" t="inlineStr">
        <is>
          <t>Frozen-weight composite; strongest contribution: Functional.</t>
        </is>
      </c>
      <c r="AA316" s="6" t="inlineStr">
        <is>
          <t>None explicitly named in this RTM</t>
        </is>
      </c>
      <c r="AB316" s="6" t="inlineStr">
        <is>
          <t>SCK CEN/90508872 §4.6.3; no named external code</t>
        </is>
      </c>
      <c r="AC316" s="6" t="inlineStr">
        <is>
          <t>Document review, inspection, certification, audit or traceable QC record</t>
        </is>
      </c>
      <c r="AD316" s="6" t="inlineStr">
        <is>
          <t>No separate deliverable explicitly named</t>
        </is>
      </c>
      <c r="AE316" s="6" t="inlineStr">
        <is>
          <t>L1 Conceptual Design; L2 Detailed Design</t>
        </is>
      </c>
      <c r="AF316" s="6" t="inlineStr">
        <is>
          <t>Section/contract-derived reference; derived evidence route</t>
        </is>
      </c>
      <c r="AG316" s="58" t="inlineStr">
        <is>
          <t>Not linked to an OFFER item</t>
        </is>
      </c>
    </row>
    <row r="317" ht="86" customHeight="1">
      <c r="A317" s="6" t="n">
        <v>312</v>
      </c>
      <c r="B317" s="6" t="inlineStr">
        <is>
          <t>RTM-338</t>
        </is>
      </c>
      <c r="C317" s="6" t="inlineStr">
        <is>
          <t>No</t>
        </is>
      </c>
      <c r="D317" s="6" t="inlineStr">
        <is>
          <t>T2 Secondary</t>
        </is>
      </c>
      <c r="E317" s="6" t="inlineStr">
        <is>
          <t>Control &amp; Interlock</t>
        </is>
      </c>
      <c r="F317" s="82" t="inlineStr">
        <is>
          <t>SYSTEM</t>
        </is>
      </c>
      <c r="G317" s="83" t="inlineStr">
        <is>
          <t>Performance</t>
        </is>
      </c>
      <c r="H317" s="59" t="inlineStr">
        <is>
          <t>—</t>
        </is>
      </c>
      <c r="I317" s="58" t="inlineStr">
        <is>
          <t>C4 — Software &amp; Control</t>
        </is>
      </c>
      <c r="J317" s="6" t="n">
        <v>75</v>
      </c>
      <c r="K317" s="6" t="inlineStr">
        <is>
          <t>4.6.7</t>
        </is>
      </c>
      <c r="L317" s="6" t="inlineStr">
        <is>
          <t>Software development</t>
        </is>
      </c>
      <c r="M317" s="6" t="inlineStr">
        <is>
          <t>Excluded components shall not prevent operation, monitoring, integration, or modification of the overall QPS:CIS and may be delivered in compiled or parameterized form only if their interfaces, configuration options, and integration points are fully documented and remain usable and configurable by SCK CEN within the QPLANT:CIS</t>
        </is>
      </c>
      <c r="N317" s="6" t="inlineStr">
        <is>
          <t>Excluded components shall not prevent operation, monitoring, integration, or modification of the overall QPS:CIS and may be delivered in compiled or parameterized form only if their interfaces, configuration options, and integration points are fully documented and remain usable and configurable by SCK CEN within the QPLANT:CIS</t>
        </is>
      </c>
      <c r="O317" s="6" t="n">
        <v>0</v>
      </c>
      <c r="P317" s="6" t="n">
        <v>1</v>
      </c>
      <c r="Q317" s="6" t="n">
        <v>0</v>
      </c>
      <c r="R317" s="6" t="n">
        <v>3</v>
      </c>
      <c r="S317" s="6" t="n">
        <v>2</v>
      </c>
      <c r="T317" s="6" t="n">
        <v>0</v>
      </c>
      <c r="U317" s="6" t="n">
        <v>0</v>
      </c>
      <c r="V317" s="6" t="n">
        <v>31.333333</v>
      </c>
      <c r="W317" s="6" t="n">
        <v>57.6976</v>
      </c>
      <c r="X317" s="6" t="n">
        <v>4.6058</v>
      </c>
      <c r="Y317" s="6" t="inlineStr">
        <is>
          <t>Functional</t>
        </is>
      </c>
      <c r="Z317" s="6" t="inlineStr">
        <is>
          <t>Frozen-weight composite; strongest contribution: Functional.</t>
        </is>
      </c>
      <c r="AA317" s="6" t="inlineStr">
        <is>
          <t>None explicitly named in this RTM</t>
        </is>
      </c>
      <c r="AB317" s="6" t="inlineStr">
        <is>
          <t>Section-level: IEC 61131-3</t>
        </is>
      </c>
      <c r="AC317" s="6" t="inlineStr">
        <is>
          <t>Functional design/configuration review and sequence/interface demonstration; Document review, inspection, certification, audit or traceable QC record</t>
        </is>
      </c>
      <c r="AD317" s="6" t="inlineStr">
        <is>
          <t>No separate deliverable explicitly named</t>
        </is>
      </c>
      <c r="AE317" s="6" t="inlineStr">
        <is>
          <t>L1 Conceptual Design; L2 Detailed Design</t>
        </is>
      </c>
      <c r="AF317" s="6" t="inlineStr">
        <is>
          <t>Section/contract-derived reference; derived evidence route</t>
        </is>
      </c>
      <c r="AG317" s="58" t="inlineStr">
        <is>
          <t>OFFER-26 (Direct); OFFER-27 (Supporting); OFFER-28 (Supporting)</t>
        </is>
      </c>
    </row>
    <row r="318" ht="99" customHeight="1">
      <c r="A318" s="6" t="n">
        <v>313</v>
      </c>
      <c r="B318" s="6" t="inlineStr">
        <is>
          <t>RTM-343</t>
        </is>
      </c>
      <c r="C318" s="6" t="inlineStr">
        <is>
          <t>No</t>
        </is>
      </c>
      <c r="D318" s="6" t="inlineStr">
        <is>
          <t>T2 Secondary</t>
        </is>
      </c>
      <c r="E318" s="6" t="inlineStr">
        <is>
          <t>Control &amp; Interlock</t>
        </is>
      </c>
      <c r="F318" s="82" t="inlineStr">
        <is>
          <t>SYSTEM</t>
        </is>
      </c>
      <c r="G318" s="83" t="inlineStr">
        <is>
          <t>Control</t>
        </is>
      </c>
      <c r="H318" s="59" t="inlineStr">
        <is>
          <t>—</t>
        </is>
      </c>
      <c r="I318" s="58" t="inlineStr">
        <is>
          <t>C4 — Software &amp; Control</t>
        </is>
      </c>
      <c r="J318" s="6" t="n">
        <v>76</v>
      </c>
      <c r="K318" s="6" t="inlineStr">
        <is>
          <t>4.6.7</t>
        </is>
      </c>
      <c r="L318" s="6" t="inlineStr">
        <is>
          <t>Software development</t>
        </is>
      </c>
      <c r="M318" s="6" t="inlineStr">
        <is>
          <t>Each Software Component and Hardware Node shall include a unique version identifier that uniquely represents the build date and unique version identifier, automatically generated during the build process to ensure traceability; this identifier shall be retrievable in a consistent and read-only manner through the MCS control and monitoring interface.</t>
        </is>
      </c>
      <c r="N318" s="6" t="inlineStr">
        <is>
          <t>Each Software Component and Hardware Node shall include a unique version identifier that uniquely represents the build date and unique version identifier, automatically generated during the build process to ensure traceability; this identifier shall be retrievable in a consistent and read-only manner through the MCS control and monitoring interface.</t>
        </is>
      </c>
      <c r="O318" s="6" t="n">
        <v>0</v>
      </c>
      <c r="P318" s="6" t="n">
        <v>1</v>
      </c>
      <c r="Q318" s="6" t="n">
        <v>0</v>
      </c>
      <c r="R318" s="6" t="n">
        <v>3</v>
      </c>
      <c r="S318" s="6" t="n">
        <v>2</v>
      </c>
      <c r="T318" s="6" t="n">
        <v>0</v>
      </c>
      <c r="U318" s="6" t="n">
        <v>0</v>
      </c>
      <c r="V318" s="6" t="n">
        <v>31.333333</v>
      </c>
      <c r="W318" s="6" t="n">
        <v>57.6976</v>
      </c>
      <c r="X318" s="6" t="n">
        <v>4.6058</v>
      </c>
      <c r="Y318" s="6" t="inlineStr">
        <is>
          <t>Functional</t>
        </is>
      </c>
      <c r="Z318" s="6" t="inlineStr">
        <is>
          <t>Frozen-weight composite; strongest contribution: Functional.</t>
        </is>
      </c>
      <c r="AA318" s="6" t="inlineStr">
        <is>
          <t>None explicitly named in this RTM</t>
        </is>
      </c>
      <c r="AB318" s="6" t="inlineStr">
        <is>
          <t>Section-level: IEC 61131-3</t>
        </is>
      </c>
      <c r="AC318" s="6" t="inlineStr">
        <is>
          <t>Functional design/configuration review and sequence/interface demonstration; Document review, inspection, certification, audit or traceable QC record</t>
        </is>
      </c>
      <c r="AD318" s="6" t="inlineStr">
        <is>
          <t>No separate deliverable explicitly named</t>
        </is>
      </c>
      <c r="AE318" s="6" t="inlineStr">
        <is>
          <t>L1 Conceptual Design; L2 Detailed Design</t>
        </is>
      </c>
      <c r="AF318" s="6" t="inlineStr">
        <is>
          <t>Section/contract-derived reference; derived evidence route</t>
        </is>
      </c>
      <c r="AG318" s="58" t="inlineStr">
        <is>
          <t>OFFER-26 (Supporting); OFFER-27 (Direct); OFFER-28 (Supporting)</t>
        </is>
      </c>
    </row>
    <row r="319" ht="60" customHeight="1">
      <c r="A319" s="6" t="n">
        <v>314</v>
      </c>
      <c r="B319" s="6" t="inlineStr">
        <is>
          <t>RTM-056</t>
        </is>
      </c>
      <c r="C319" s="6" t="inlineStr">
        <is>
          <t>No</t>
        </is>
      </c>
      <c r="D319" s="6" t="inlineStr">
        <is>
          <t>T2 Secondary</t>
        </is>
      </c>
      <c r="E319" s="6" t="inlineStr">
        <is>
          <t>Global Design Criteria</t>
        </is>
      </c>
      <c r="F319" s="82" t="inlineStr">
        <is>
          <t>SYSTEM</t>
        </is>
      </c>
      <c r="G319" s="83" t="inlineStr">
        <is>
          <t>Performance</t>
        </is>
      </c>
      <c r="H319" s="59" t="inlineStr">
        <is>
          <t>—</t>
        </is>
      </c>
      <c r="I319" s="81" t="inlineStr">
        <is>
          <t>Inferred: C1 — Performance (medium conf.)</t>
        </is>
      </c>
      <c r="J319" s="6" t="n">
        <v>37</v>
      </c>
      <c r="K319" s="6" t="inlineStr">
        <is>
          <t>4.3.1</t>
        </is>
      </c>
      <c r="L319" s="6" t="inlineStr">
        <is>
          <t>Lifetime</t>
        </is>
      </c>
      <c r="M319" s="6" t="inlineStr">
        <is>
          <t>The QPS shall be capable of withstanding at least 50 complete warm-up and cool-down cycles during its service life.</t>
        </is>
      </c>
      <c r="N319" s="6" t="inlineStr">
        <is>
          <t>The QPS shall be capable of withstanding at least 50 complete warm-up and cool-down cycles during its service life.
• A complete warm-up and cool-down cycle shall mean a temperature transition from 2 K to ambient temperature and back to 2 K.</t>
        </is>
      </c>
      <c r="O319" s="6" t="n">
        <v>0</v>
      </c>
      <c r="P319" s="6" t="n">
        <v>0</v>
      </c>
      <c r="Q319" s="6" t="n">
        <v>3</v>
      </c>
      <c r="R319" s="6" t="n">
        <v>0</v>
      </c>
      <c r="S319" s="6" t="n">
        <v>1</v>
      </c>
      <c r="T319" s="6" t="n">
        <v>3</v>
      </c>
      <c r="U319" s="6" t="n">
        <v>0</v>
      </c>
      <c r="V319" s="6" t="n">
        <v>31</v>
      </c>
      <c r="W319" s="6" t="n">
        <v>56.5881</v>
      </c>
      <c r="X319" s="6" t="n">
        <v>4.3299</v>
      </c>
      <c r="Y319" s="6" t="inlineStr">
        <is>
          <t>Performance</t>
        </is>
      </c>
      <c r="Z319" s="6" t="inlineStr">
        <is>
          <t>Frozen-weight composite; strongest contribution: Performance.</t>
        </is>
      </c>
      <c r="AA319" s="6" t="inlineStr">
        <is>
          <t>None explicitly named in this RTM</t>
        </is>
      </c>
      <c r="AB319" s="6" t="inlineStr">
        <is>
          <t>SCK CEN/90508872 §4.3.1; no named external code</t>
        </is>
      </c>
      <c r="AC319" s="6" t="inlineStr">
        <is>
          <t>Calculation/model plus calibrated measurement or recorded trend</t>
        </is>
      </c>
      <c r="AD319" s="6" t="inlineStr">
        <is>
          <t>No separate deliverable explicitly named</t>
        </is>
      </c>
      <c r="AE319" s="6" t="inlineStr">
        <is>
          <t>L1 Conceptual Design; L2 Detailed Design</t>
        </is>
      </c>
      <c r="AF319" s="6" t="inlineStr">
        <is>
          <t>Section/contract-derived reference; derived evidence route</t>
        </is>
      </c>
      <c r="AG319" s="58" t="inlineStr">
        <is>
          <t>Not linked to an OFFER item</t>
        </is>
      </c>
    </row>
    <row r="320" ht="47" customHeight="1">
      <c r="A320" s="6" t="n">
        <v>315</v>
      </c>
      <c r="B320" s="6" t="inlineStr">
        <is>
          <t>RTM-102</t>
        </is>
      </c>
      <c r="C320" s="6" t="inlineStr">
        <is>
          <t>No</t>
        </is>
      </c>
      <c r="D320" s="6" t="inlineStr">
        <is>
          <t>T2 Secondary</t>
        </is>
      </c>
      <c r="E320" s="6" t="inlineStr">
        <is>
          <t>Subsystems</t>
        </is>
      </c>
      <c r="F320" s="82" t="inlineStr">
        <is>
          <t>SYSTEM</t>
        </is>
      </c>
      <c r="G320" s="83" t="inlineStr">
        <is>
          <t>Control</t>
        </is>
      </c>
      <c r="H320" s="59" t="inlineStr">
        <is>
          <t>—</t>
        </is>
      </c>
      <c r="I320" s="81" t="inlineStr">
        <is>
          <t>Inferred: C2 — Process Design (low conf.)</t>
        </is>
      </c>
      <c r="J320" s="6" t="n">
        <v>44</v>
      </c>
      <c r="K320" s="6" t="inlineStr">
        <is>
          <t>4.4.2.2</t>
        </is>
      </c>
      <c r="L320" s="6" t="inlineStr">
        <is>
          <t>Electrical Heaters</t>
        </is>
      </c>
      <c r="M320" s="6" t="inlineStr">
        <is>
          <t>The installed heater capacity and control shall permit a controlled warm-up of the QRB circuits from cold to ambient temperature within 24 h.</t>
        </is>
      </c>
      <c r="N320" s="6" t="inlineStr">
        <is>
          <t>The installed heater capacity and control shall permit a controlled warm-up of the QRB circuits from cold to ambient temperature within 24 h.
• The Contractor shall substantiate the warm-up capability by calculation.</t>
        </is>
      </c>
      <c r="O320" s="6" t="n">
        <v>0</v>
      </c>
      <c r="P320" s="6" t="n">
        <v>0</v>
      </c>
      <c r="Q320" s="6" t="n">
        <v>3</v>
      </c>
      <c r="R320" s="6" t="n">
        <v>2</v>
      </c>
      <c r="S320" s="6" t="n">
        <v>0</v>
      </c>
      <c r="T320" s="6" t="n">
        <v>0</v>
      </c>
      <c r="U320" s="6" t="n">
        <v>0</v>
      </c>
      <c r="V320" s="6" t="n">
        <v>30.666667</v>
      </c>
      <c r="W320" s="6" t="n">
        <v>56.1026</v>
      </c>
      <c r="X320" s="6" t="n">
        <v>4.2147</v>
      </c>
      <c r="Y320" s="6" t="inlineStr">
        <is>
          <t>Performance</t>
        </is>
      </c>
      <c r="Z320" s="6" t="inlineStr">
        <is>
          <t>Frozen-weight composite; strongest contribution: Performance.</t>
        </is>
      </c>
      <c r="AA320" s="6" t="inlineStr">
        <is>
          <t>None explicitly named in this RTM</t>
        </is>
      </c>
      <c r="AB320" s="6" t="inlineStr">
        <is>
          <t>SCK CEN/90508872 §4.4.2.2; no named external code</t>
        </is>
      </c>
      <c r="AC320" s="6" t="inlineStr">
        <is>
          <t>Calculation/model plus calibrated measurement or recorded trend; Functional design/configuration review and sequence/interface demonstration</t>
        </is>
      </c>
      <c r="AD320" s="6" t="inlineStr">
        <is>
          <t>No separate deliverable explicitly named</t>
        </is>
      </c>
      <c r="AE320" s="6" t="inlineStr">
        <is>
          <t>L1 Conceptual Design; L2 Detailed Design</t>
        </is>
      </c>
      <c r="AF320" s="6" t="inlineStr">
        <is>
          <t>Section/contract-derived reference; derived evidence route</t>
        </is>
      </c>
      <c r="AG320" s="58" t="inlineStr">
        <is>
          <t>Not linked to an OFFER item</t>
        </is>
      </c>
    </row>
    <row r="321" ht="86" customHeight="1">
      <c r="A321" s="6" t="n">
        <v>316</v>
      </c>
      <c r="B321" s="6" t="inlineStr">
        <is>
          <t>RTM-203</t>
        </is>
      </c>
      <c r="C321" s="6" t="inlineStr">
        <is>
          <t>No</t>
        </is>
      </c>
      <c r="D321" s="6" t="inlineStr">
        <is>
          <t>T2 Secondary</t>
        </is>
      </c>
      <c r="E321" s="6" t="inlineStr">
        <is>
          <t>Subsystems</t>
        </is>
      </c>
      <c r="F321" s="82" t="inlineStr">
        <is>
          <t>SYSTEM</t>
        </is>
      </c>
      <c r="G321" s="83" t="inlineStr">
        <is>
          <t>Performance</t>
        </is>
      </c>
      <c r="H321" s="59" t="inlineStr">
        <is>
          <t>—</t>
        </is>
      </c>
      <c r="I321" s="58" t="inlineStr">
        <is>
          <t>C2 — Process Design</t>
        </is>
      </c>
      <c r="J321" s="6" t="n">
        <v>56</v>
      </c>
      <c r="K321" s="6" t="inlineStr">
        <is>
          <t>4.4.4.2.2</t>
        </is>
      </c>
      <c r="L321" s="6" t="inlineStr">
        <is>
          <t>Main Process Heat Exchangers (MPHX)</t>
        </is>
      </c>
      <c r="M321" s="6" t="inlineStr">
        <is>
          <t>The selected MPHXs shall ensure suitability for cryogenic helium service, including at minimum:</t>
        </is>
      </c>
      <c r="N321" s="6" t="inlineStr">
        <is>
          <t>The selected MPHXs shall ensure suitability for cryogenic helium service, including at minimum:
• Pressure containment under all design flow conditions.
• Resistance to thermal stresses during cool-down and warm-up.
• Helium leak-tightness between process streams and towards the insulation vacuum.</t>
        </is>
      </c>
      <c r="O321" s="6" t="n">
        <v>0</v>
      </c>
      <c r="P321" s="6" t="n">
        <v>0</v>
      </c>
      <c r="Q321" s="6" t="n">
        <v>3</v>
      </c>
      <c r="R321" s="6" t="n">
        <v>2</v>
      </c>
      <c r="S321" s="6" t="n">
        <v>0</v>
      </c>
      <c r="T321" s="6" t="n">
        <v>0</v>
      </c>
      <c r="U321" s="6" t="n">
        <v>0</v>
      </c>
      <c r="V321" s="6" t="n">
        <v>30.666667</v>
      </c>
      <c r="W321" s="6" t="n">
        <v>56.1026</v>
      </c>
      <c r="X321" s="6" t="n">
        <v>4.2147</v>
      </c>
      <c r="Y321" s="6" t="inlineStr">
        <is>
          <t>Performance</t>
        </is>
      </c>
      <c r="Z321" s="6" t="inlineStr">
        <is>
          <t>Frozen-weight composite; strongest contribution: Performance.</t>
        </is>
      </c>
      <c r="AA321" s="6" t="inlineStr">
        <is>
          <t>None explicitly named in this RTM</t>
        </is>
      </c>
      <c r="AB321" s="6" t="inlineStr">
        <is>
          <t>SCK CEN/90508872 §4.4.4.2.2; no named external code</t>
        </is>
      </c>
      <c r="AC321" s="6" t="inlineStr">
        <is>
          <t>Calculation/model plus calibrated measurement or recorded trend</t>
        </is>
      </c>
      <c r="AD321" s="6" t="inlineStr">
        <is>
          <t>No separate deliverable explicitly named</t>
        </is>
      </c>
      <c r="AE321" s="6" t="inlineStr">
        <is>
          <t>L1 Conceptual Design; L2 Detailed Design</t>
        </is>
      </c>
      <c r="AF321" s="6" t="inlineStr">
        <is>
          <t>Section/contract-derived reference; derived evidence route</t>
        </is>
      </c>
      <c r="AG321" s="58" t="inlineStr">
        <is>
          <t>OFFER-18 (Direct)</t>
        </is>
      </c>
    </row>
    <row r="322" ht="47" customHeight="1">
      <c r="A322" s="6" t="n">
        <v>317</v>
      </c>
      <c r="B322" s="6" t="inlineStr">
        <is>
          <t>RTM-212</t>
        </is>
      </c>
      <c r="C322" s="6" t="inlineStr">
        <is>
          <t>No</t>
        </is>
      </c>
      <c r="D322" s="6" t="inlineStr">
        <is>
          <t>T2 Secondary</t>
        </is>
      </c>
      <c r="E322" s="6" t="inlineStr">
        <is>
          <t>Subsystems</t>
        </is>
      </c>
      <c r="F322" s="82" t="inlineStr">
        <is>
          <t>SYSTEM</t>
        </is>
      </c>
      <c r="G322" s="83" t="inlineStr">
        <is>
          <t>Control</t>
        </is>
      </c>
      <c r="H322" s="59" t="inlineStr">
        <is>
          <t>—</t>
        </is>
      </c>
      <c r="I322" s="81" t="inlineStr">
        <is>
          <t>Inferred: C3 — Mechanical &amp; Equipment (medium conf.)</t>
        </is>
      </c>
      <c r="J322" s="6" t="n">
        <v>57</v>
      </c>
      <c r="K322" s="6" t="inlineStr">
        <is>
          <t>4.4.4.2.3</t>
        </is>
      </c>
      <c r="L322" s="6" t="inlineStr">
        <is>
          <t>Turbines</t>
        </is>
      </c>
      <c r="M322" s="6" t="inlineStr">
        <is>
          <t>The turbine design shall include a brake system suitable to control the turbine rotational speed during cool-down and off-design operation.</t>
        </is>
      </c>
      <c r="N322" s="6" t="inlineStr">
        <is>
          <t>The turbine design shall include a brake system suitable to control the turbine rotational speed during cool-down and off-design operation.</t>
        </is>
      </c>
      <c r="O322" s="6" t="n">
        <v>0</v>
      </c>
      <c r="P322" s="6" t="n">
        <v>0</v>
      </c>
      <c r="Q322" s="6" t="n">
        <v>3</v>
      </c>
      <c r="R322" s="6" t="n">
        <v>2</v>
      </c>
      <c r="S322" s="6" t="n">
        <v>0</v>
      </c>
      <c r="T322" s="6" t="n">
        <v>0</v>
      </c>
      <c r="U322" s="6" t="n">
        <v>0</v>
      </c>
      <c r="V322" s="6" t="n">
        <v>30.666667</v>
      </c>
      <c r="W322" s="6" t="n">
        <v>56.1026</v>
      </c>
      <c r="X322" s="6" t="n">
        <v>4.2147</v>
      </c>
      <c r="Y322" s="6" t="inlineStr">
        <is>
          <t>Performance</t>
        </is>
      </c>
      <c r="Z322" s="6" t="inlineStr">
        <is>
          <t>Frozen-weight composite; strongest contribution: Performance.</t>
        </is>
      </c>
      <c r="AA322" s="6" t="inlineStr">
        <is>
          <t>None explicitly named in this RTM</t>
        </is>
      </c>
      <c r="AB322" s="6" t="inlineStr">
        <is>
          <t>SCK CEN/90508872 §4.4.4.2.3; no named external code</t>
        </is>
      </c>
      <c r="AC322" s="6" t="inlineStr">
        <is>
          <t>Calculation/model plus calibrated measurement or recorded trend; Functional design/configuration review and sequence/interface demonstration</t>
        </is>
      </c>
      <c r="AD322" s="6" t="inlineStr">
        <is>
          <t>No separate deliverable explicitly named</t>
        </is>
      </c>
      <c r="AE322" s="6" t="inlineStr">
        <is>
          <t>L1 Conceptual Design; L2 Detailed Design</t>
        </is>
      </c>
      <c r="AF322" s="6" t="inlineStr">
        <is>
          <t>Section/contract-derived reference; derived evidence route</t>
        </is>
      </c>
      <c r="AG322" s="58" t="inlineStr">
        <is>
          <t>Not linked to an OFFER item</t>
        </is>
      </c>
    </row>
    <row r="323" ht="73" customHeight="1">
      <c r="A323" s="6" t="n">
        <v>318</v>
      </c>
      <c r="B323" s="6" t="inlineStr">
        <is>
          <t>RTM-215</t>
        </is>
      </c>
      <c r="C323" s="6" t="inlineStr">
        <is>
          <t>No</t>
        </is>
      </c>
      <c r="D323" s="6" t="inlineStr">
        <is>
          <t>T2 Secondary</t>
        </is>
      </c>
      <c r="E323" s="6" t="inlineStr">
        <is>
          <t>Subsystems</t>
        </is>
      </c>
      <c r="F323" s="82" t="inlineStr">
        <is>
          <t>SYSTEM</t>
        </is>
      </c>
      <c r="G323" s="83" t="inlineStr">
        <is>
          <t>Performance</t>
        </is>
      </c>
      <c r="H323" s="59" t="inlineStr">
        <is>
          <t>—</t>
        </is>
      </c>
      <c r="I323" s="81" t="inlineStr">
        <is>
          <t>Inferred: C3 — Mechanical &amp; Equipment (medium conf.)</t>
        </is>
      </c>
      <c r="J323" s="6" t="n">
        <v>57</v>
      </c>
      <c r="K323" s="6" t="inlineStr">
        <is>
          <t>4.4.4.2.3</t>
        </is>
      </c>
      <c r="L323" s="6" t="inlineStr">
        <is>
          <t>Turbines</t>
        </is>
      </c>
      <c r="M323" s="6" t="inlineStr">
        <is>
          <t>The design shall allow in-situ replacement of each turbine cartridge without warming up the main heat exchanger blocks. To this end, the design shall include, at minimum:</t>
        </is>
      </c>
      <c r="N323" s="6" t="inlineStr">
        <is>
          <t>The design shall allow in-situ replacement of each turbine cartridge without warming up the main heat exchanger blocks. To this end, the design shall include, at minimum:
• Provisions to isolate, warm-up, purge, and coo-down the cartridge individually</t>
        </is>
      </c>
      <c r="O323" s="6" t="n">
        <v>0</v>
      </c>
      <c r="P323" s="6" t="n">
        <v>0</v>
      </c>
      <c r="Q323" s="6" t="n">
        <v>3</v>
      </c>
      <c r="R323" s="6" t="n">
        <v>2</v>
      </c>
      <c r="S323" s="6" t="n">
        <v>0</v>
      </c>
      <c r="T323" s="6" t="n">
        <v>0</v>
      </c>
      <c r="U323" s="6" t="n">
        <v>0</v>
      </c>
      <c r="V323" s="6" t="n">
        <v>30.666667</v>
      </c>
      <c r="W323" s="6" t="n">
        <v>56.1026</v>
      </c>
      <c r="X323" s="6" t="n">
        <v>4.2147</v>
      </c>
      <c r="Y323" s="6" t="inlineStr">
        <is>
          <t>Performance</t>
        </is>
      </c>
      <c r="Z323" s="6" t="inlineStr">
        <is>
          <t>Frozen-weight composite; strongest contribution: Performance.</t>
        </is>
      </c>
      <c r="AA323" s="6" t="inlineStr">
        <is>
          <t>None explicitly named in this RTM</t>
        </is>
      </c>
      <c r="AB323" s="6" t="inlineStr">
        <is>
          <t>SCK CEN/90508872 §4.4.4.2.3; no named external code</t>
        </is>
      </c>
      <c r="AC323" s="6" t="inlineStr">
        <is>
          <t>Calculation/model plus calibrated measurement or recorded trend</t>
        </is>
      </c>
      <c r="AD323" s="6" t="inlineStr">
        <is>
          <t>No separate deliverable explicitly named</t>
        </is>
      </c>
      <c r="AE323" s="6" t="inlineStr">
        <is>
          <t>L1 Conceptual Design; L2 Detailed Design</t>
        </is>
      </c>
      <c r="AF323" s="6" t="inlineStr">
        <is>
          <t>Section/contract-derived reference; derived evidence route</t>
        </is>
      </c>
      <c r="AG323" s="58" t="inlineStr">
        <is>
          <t>Not linked to an OFFER item</t>
        </is>
      </c>
    </row>
    <row r="324" ht="34" customHeight="1">
      <c r="A324" s="6" t="n">
        <v>319</v>
      </c>
      <c r="B324" s="6" t="inlineStr">
        <is>
          <t>RTM-219</t>
        </is>
      </c>
      <c r="C324" s="6" t="inlineStr">
        <is>
          <t>No</t>
        </is>
      </c>
      <c r="D324" s="6" t="inlineStr">
        <is>
          <t>T2 Secondary</t>
        </is>
      </c>
      <c r="E324" s="6" t="inlineStr">
        <is>
          <t>Subsystems</t>
        </is>
      </c>
      <c r="F324" s="82" t="inlineStr">
        <is>
          <t>SYSTEM</t>
        </is>
      </c>
      <c r="G324" s="83" t="inlineStr">
        <is>
          <t>Performance</t>
        </is>
      </c>
      <c r="H324" s="59" t="inlineStr">
        <is>
          <t>—</t>
        </is>
      </c>
      <c r="I324" s="81" t="inlineStr">
        <is>
          <t>Inferred: C2 — Process Design (low conf.)</t>
        </is>
      </c>
      <c r="J324" s="6" t="n">
        <v>57</v>
      </c>
      <c r="K324" s="6" t="inlineStr">
        <is>
          <t>4.4.4.2.4</t>
        </is>
      </c>
      <c r="L324" s="6" t="inlineStr">
        <is>
          <t>Cold Compressors</t>
        </is>
      </c>
      <c r="M324" s="6" t="inlineStr">
        <is>
          <t>The helium mass flow rate shall be adjustable by regulating the rotation speed via a Variable Frequency Drive.</t>
        </is>
      </c>
      <c r="N324" s="6" t="inlineStr">
        <is>
          <t>The helium mass flow rate shall be adjustable by regulating the rotation speed via a Variable Frequency Drive.</t>
        </is>
      </c>
      <c r="O324" s="6" t="n">
        <v>0</v>
      </c>
      <c r="P324" s="6" t="n">
        <v>0</v>
      </c>
      <c r="Q324" s="6" t="n">
        <v>3</v>
      </c>
      <c r="R324" s="6" t="n">
        <v>2</v>
      </c>
      <c r="S324" s="6" t="n">
        <v>0</v>
      </c>
      <c r="T324" s="6" t="n">
        <v>0</v>
      </c>
      <c r="U324" s="6" t="n">
        <v>0</v>
      </c>
      <c r="V324" s="6" t="n">
        <v>30.666667</v>
      </c>
      <c r="W324" s="6" t="n">
        <v>56.1026</v>
      </c>
      <c r="X324" s="6" t="n">
        <v>4.2147</v>
      </c>
      <c r="Y324" s="6" t="inlineStr">
        <is>
          <t>Performance</t>
        </is>
      </c>
      <c r="Z324" s="6" t="inlineStr">
        <is>
          <t>Frozen-weight composite; strongest contribution: Performance.</t>
        </is>
      </c>
      <c r="AA324" s="6" t="inlineStr">
        <is>
          <t>None explicitly named in this RTM</t>
        </is>
      </c>
      <c r="AB324" s="6" t="inlineStr">
        <is>
          <t>SCK CEN/90508872 §4.4.4.2.4; no named external code</t>
        </is>
      </c>
      <c r="AC324" s="6" t="inlineStr">
        <is>
          <t>Calculation/model plus calibrated measurement or recorded trend</t>
        </is>
      </c>
      <c r="AD324" s="6" t="inlineStr">
        <is>
          <t>No separate deliverable explicitly named</t>
        </is>
      </c>
      <c r="AE324" s="6" t="inlineStr">
        <is>
          <t>L1 Conceptual Design; L2 Detailed Design</t>
        </is>
      </c>
      <c r="AF324" s="6" t="inlineStr">
        <is>
          <t>Section/contract-derived reference; derived evidence route</t>
        </is>
      </c>
      <c r="AG324" s="58" t="inlineStr">
        <is>
          <t>Not linked to an OFFER item</t>
        </is>
      </c>
    </row>
    <row r="325" ht="73" customHeight="1">
      <c r="A325" s="6" t="n">
        <v>320</v>
      </c>
      <c r="B325" s="6" t="inlineStr">
        <is>
          <t>RTM-221</t>
        </is>
      </c>
      <c r="C325" s="6" t="inlineStr">
        <is>
          <t>No</t>
        </is>
      </c>
      <c r="D325" s="6" t="inlineStr">
        <is>
          <t>T2 Secondary</t>
        </is>
      </c>
      <c r="E325" s="6" t="inlineStr">
        <is>
          <t>Subsystems</t>
        </is>
      </c>
      <c r="F325" s="82" t="inlineStr">
        <is>
          <t>SYSTEM</t>
        </is>
      </c>
      <c r="G325" s="83" t="inlineStr">
        <is>
          <t>Performance</t>
        </is>
      </c>
      <c r="H325" s="59" t="inlineStr">
        <is>
          <t>—</t>
        </is>
      </c>
      <c r="I325" s="81" t="inlineStr">
        <is>
          <t>Inferred: C3 — Mechanical &amp; Equipment (medium conf.)</t>
        </is>
      </c>
      <c r="J325" s="6" t="n">
        <v>57</v>
      </c>
      <c r="K325" s="6" t="inlineStr">
        <is>
          <t>4.4.4.2.4</t>
        </is>
      </c>
      <c r="L325" s="6" t="inlineStr">
        <is>
          <t>Cold Compressors</t>
        </is>
      </c>
      <c r="M325" s="6" t="inlineStr">
        <is>
          <t>For each cold compressor, the Contractor shall provide:</t>
        </is>
      </c>
      <c r="N325" s="6" t="inlineStr">
        <is>
          <t>For each cold compressor, the Contractor shall provide:
• A detailed cool-down and start-up procedure.
• The compressor performance maps showing the pressure ratio as a function of the reduced flow for different reduced iso-speeds. The stall and choke limits shall be clearly indicated.</t>
        </is>
      </c>
      <c r="O325" s="6" t="n">
        <v>0</v>
      </c>
      <c r="P325" s="6" t="n">
        <v>0</v>
      </c>
      <c r="Q325" s="6" t="n">
        <v>3</v>
      </c>
      <c r="R325" s="6" t="n">
        <v>2</v>
      </c>
      <c r="S325" s="6" t="n">
        <v>0</v>
      </c>
      <c r="T325" s="6" t="n">
        <v>0</v>
      </c>
      <c r="U325" s="6" t="n">
        <v>0</v>
      </c>
      <c r="V325" s="6" t="n">
        <v>30.666667</v>
      </c>
      <c r="W325" s="6" t="n">
        <v>56.1026</v>
      </c>
      <c r="X325" s="6" t="n">
        <v>4.2147</v>
      </c>
      <c r="Y325" s="6" t="inlineStr">
        <is>
          <t>Performance</t>
        </is>
      </c>
      <c r="Z325" s="6" t="inlineStr">
        <is>
          <t>Frozen-weight composite; strongest contribution: Performance.</t>
        </is>
      </c>
      <c r="AA325" s="6" t="inlineStr">
        <is>
          <t>None explicitly named in this RTM</t>
        </is>
      </c>
      <c r="AB325" s="6" t="inlineStr">
        <is>
          <t>SCK CEN/90508872 §4.4.4.2.4; no named external code</t>
        </is>
      </c>
      <c r="AC325" s="6" t="inlineStr">
        <is>
          <t>Submit and review the named deliverable with RTM traceability and approval status; Calculation/model plus calibrated measurement or recorded trend; Functional design/configuration review and sequence/interface demonstration</t>
        </is>
      </c>
      <c r="AD325" s="6" t="inlineStr">
        <is>
          <t>Procedure / work instruction</t>
        </is>
      </c>
      <c r="AE325" s="6" t="inlineStr">
        <is>
          <t>L1 Conceptual Design; L2 Detailed Design</t>
        </is>
      </c>
      <c r="AF325" s="6" t="inlineStr">
        <is>
          <t>Section/contract-derived reference; explicit deliverable/test wording</t>
        </is>
      </c>
      <c r="AG325" s="58" t="inlineStr">
        <is>
          <t>Not linked to an OFFER item</t>
        </is>
      </c>
    </row>
    <row r="326" ht="47" customHeight="1">
      <c r="A326" s="6" t="n">
        <v>321</v>
      </c>
      <c r="B326" s="6" t="inlineStr">
        <is>
          <t>RTM-307</t>
        </is>
      </c>
      <c r="C326" s="6" t="inlineStr">
        <is>
          <t>No</t>
        </is>
      </c>
      <c r="D326" s="6" t="inlineStr">
        <is>
          <t>T2 Secondary</t>
        </is>
      </c>
      <c r="E326" s="6" t="inlineStr">
        <is>
          <t>Control &amp; Interlock</t>
        </is>
      </c>
      <c r="F326" s="82" t="inlineStr">
        <is>
          <t>SYSTEM</t>
        </is>
      </c>
      <c r="G326" s="83" t="inlineStr">
        <is>
          <t>Performance</t>
        </is>
      </c>
      <c r="H326" s="59" t="inlineStr">
        <is>
          <t>—</t>
        </is>
      </c>
      <c r="I326" s="81" t="inlineStr">
        <is>
          <t>Inferred: C4 — Software &amp; Control (high conf.)</t>
        </is>
      </c>
      <c r="J326" s="6" t="n">
        <v>71</v>
      </c>
      <c r="K326" s="6" t="inlineStr">
        <is>
          <t>4.6.3</t>
        </is>
      </c>
      <c r="L326" s="6" t="inlineStr">
        <is>
          <t>General requirements</t>
        </is>
      </c>
      <c r="M326" s="6" t="inlineStr">
        <is>
          <t>In maintenance mode, the QPS:CIS shall allow every sensor value to be set by the operator to be interpreted by the QPS:CIS as it is the real value coming from the sensor.</t>
        </is>
      </c>
      <c r="N326" s="6" t="inlineStr">
        <is>
          <t>In maintenance mode, the QPS:CIS shall allow every sensor value to be set by the operator to be interpreted by the QPS:CIS as it is the real value coming from the sensor.</t>
        </is>
      </c>
      <c r="O326" s="6" t="n">
        <v>0</v>
      </c>
      <c r="P326" s="6" t="n">
        <v>2</v>
      </c>
      <c r="Q326" s="6" t="n">
        <v>0</v>
      </c>
      <c r="R326" s="6" t="n">
        <v>3</v>
      </c>
      <c r="S326" s="6" t="n">
        <v>0</v>
      </c>
      <c r="T326" s="6" t="n">
        <v>0</v>
      </c>
      <c r="U326" s="6" t="n">
        <v>0</v>
      </c>
      <c r="V326" s="6" t="n">
        <v>30.666667</v>
      </c>
      <c r="W326" s="6" t="n">
        <v>55.4785</v>
      </c>
      <c r="X326" s="6" t="n">
        <v>4.0713</v>
      </c>
      <c r="Y326" s="6" t="inlineStr">
        <is>
          <t>Functional</t>
        </is>
      </c>
      <c r="Z326" s="6" t="inlineStr">
        <is>
          <t>Frozen-weight composite; strongest contribution: Functional.</t>
        </is>
      </c>
      <c r="AA326" s="6" t="inlineStr">
        <is>
          <t>None explicitly named in this RTM</t>
        </is>
      </c>
      <c r="AB326" s="6" t="inlineStr">
        <is>
          <t>SCK CEN/90508872 §4.6.3; no named external code</t>
        </is>
      </c>
      <c r="AC326" s="6" t="inlineStr">
        <is>
          <t>RAM/maintenance substantiation and recovery/failure-response evidence</t>
        </is>
      </c>
      <c r="AD326" s="6" t="inlineStr">
        <is>
          <t>No separate deliverable explicitly named</t>
        </is>
      </c>
      <c r="AE326" s="6" t="inlineStr">
        <is>
          <t>L1 Conceptual Design; L2 Detailed Design</t>
        </is>
      </c>
      <c r="AF326" s="6" t="inlineStr">
        <is>
          <t>Section/contract-derived reference; derived evidence route</t>
        </is>
      </c>
      <c r="AG326" s="58" t="inlineStr">
        <is>
          <t>Not linked to an OFFER item</t>
        </is>
      </c>
    </row>
    <row r="327" ht="60" customHeight="1">
      <c r="A327" s="6" t="n">
        <v>322</v>
      </c>
      <c r="B327" s="6" t="inlineStr">
        <is>
          <t>RTM-336</t>
        </is>
      </c>
      <c r="C327" s="6" t="inlineStr">
        <is>
          <t>No</t>
        </is>
      </c>
      <c r="D327" s="6" t="inlineStr">
        <is>
          <t>T2 Secondary</t>
        </is>
      </c>
      <c r="E327" s="6" t="inlineStr">
        <is>
          <t>Control &amp; Interlock</t>
        </is>
      </c>
      <c r="F327" s="82" t="inlineStr">
        <is>
          <t>SYSTEM</t>
        </is>
      </c>
      <c r="G327" s="83" t="inlineStr">
        <is>
          <t>Performance</t>
        </is>
      </c>
      <c r="H327" s="59" t="inlineStr">
        <is>
          <t>—</t>
        </is>
      </c>
      <c r="I327" s="58" t="inlineStr">
        <is>
          <t>C4 — Software &amp; Control</t>
        </is>
      </c>
      <c r="J327" s="6" t="n">
        <v>75</v>
      </c>
      <c r="K327" s="6" t="inlineStr">
        <is>
          <t>4.6.7</t>
        </is>
      </c>
      <c r="L327" s="6" t="inlineStr">
        <is>
          <t>Software development</t>
        </is>
      </c>
      <c r="M327" s="6" t="inlineStr">
        <is>
          <t>The Contractor shall not rely on undisclosed, inaccessible, or in-house proprietary tools that prevent reasonable modification, maintenance, or restoration of the delivered system.</t>
        </is>
      </c>
      <c r="N327" s="6" t="inlineStr">
        <is>
          <t>The Contractor shall not rely on undisclosed, inaccessible, or in-house proprietary tools that prevent reasonable modification, maintenance, or restoration of the delivered system.</t>
        </is>
      </c>
      <c r="O327" s="6" t="n">
        <v>0</v>
      </c>
      <c r="P327" s="6" t="n">
        <v>2</v>
      </c>
      <c r="Q327" s="6" t="n">
        <v>0</v>
      </c>
      <c r="R327" s="6" t="n">
        <v>3</v>
      </c>
      <c r="S327" s="6" t="n">
        <v>0</v>
      </c>
      <c r="T327" s="6" t="n">
        <v>0</v>
      </c>
      <c r="U327" s="6" t="n">
        <v>0</v>
      </c>
      <c r="V327" s="6" t="n">
        <v>30.666667</v>
      </c>
      <c r="W327" s="6" t="n">
        <v>55.4785</v>
      </c>
      <c r="X327" s="6" t="n">
        <v>4.0713</v>
      </c>
      <c r="Y327" s="6" t="inlineStr">
        <is>
          <t>Functional</t>
        </is>
      </c>
      <c r="Z327" s="6" t="inlineStr">
        <is>
          <t>Frozen-weight composite; strongest contribution: Functional.</t>
        </is>
      </c>
      <c r="AA327" s="6" t="inlineStr">
        <is>
          <t>None explicitly named in this RTM</t>
        </is>
      </c>
      <c r="AB327" s="6" t="inlineStr">
        <is>
          <t>Section-level: IEC 61131-3</t>
        </is>
      </c>
      <c r="AC327" s="6" t="inlineStr">
        <is>
          <t>RAM/maintenance substantiation and recovery/failure-response evidence</t>
        </is>
      </c>
      <c r="AD327" s="6" t="inlineStr">
        <is>
          <t>No separate deliverable explicitly named</t>
        </is>
      </c>
      <c r="AE327" s="6" t="inlineStr">
        <is>
          <t>L1 Conceptual Design; L2 Detailed Design</t>
        </is>
      </c>
      <c r="AF327" s="6" t="inlineStr">
        <is>
          <t>Section/contract-derived reference; derived evidence route</t>
        </is>
      </c>
      <c r="AG327" s="58" t="inlineStr">
        <is>
          <t>OFFER-26 (Direct); OFFER-27 (Supporting); OFFER-28 (Supporting)</t>
        </is>
      </c>
    </row>
    <row r="328" ht="125" customHeight="1">
      <c r="A328" s="6" t="n">
        <v>323</v>
      </c>
      <c r="B328" s="6" t="inlineStr">
        <is>
          <t>RTM-489</t>
        </is>
      </c>
      <c r="C328" s="6" t="inlineStr">
        <is>
          <t>No</t>
        </is>
      </c>
      <c r="D328" s="6" t="inlineStr">
        <is>
          <t>T2 Secondary</t>
        </is>
      </c>
      <c r="E328" s="6" t="inlineStr">
        <is>
          <t>Training</t>
        </is>
      </c>
      <c r="F328" s="82" t="inlineStr">
        <is>
          <t>PROJECT</t>
        </is>
      </c>
      <c r="G328" s="83" t="inlineStr">
        <is>
          <t>Governance &amp; Responsibility</t>
        </is>
      </c>
      <c r="H328" s="59" t="inlineStr">
        <is>
          <t>—</t>
        </is>
      </c>
      <c r="I328" s="58" t="inlineStr">
        <is>
          <t>C6 — Reliability &amp; Maintenance</t>
        </is>
      </c>
      <c r="J328" s="6" t="n">
        <v>94</v>
      </c>
      <c r="K328" s="6" t="inlineStr">
        <is>
          <t>4.12.1</t>
        </is>
      </c>
      <c r="L328" s="6" t="inlineStr">
        <is>
          <t>Training and Competence Transfer</t>
        </is>
      </c>
      <c r="M328" s="6" t="inlineStr">
        <is>
          <t>The instrumentation and electrical-measurement training shall include, at minimum:</t>
        </is>
      </c>
      <c r="N328" s="6" t="inlineStr">
        <is>
          <t>The instrumentation and electrical-measurement training shall include, at minimum:
• Sensor calibration, replacement, and signal verification.
• Methods for testing and measuring electrical consumption on the relevant high-power equipment, including the HP compressors and the PVPS vacuum pumping systems.
• Control-loop tuning of the relevant compressor pressure-regulation loops, including supervised tuning to achieve the required stability margins and response times.</t>
        </is>
      </c>
      <c r="O328" s="6" t="n">
        <v>1</v>
      </c>
      <c r="P328" s="6" t="n">
        <v>1</v>
      </c>
      <c r="Q328" s="6" t="n">
        <v>0</v>
      </c>
      <c r="R328" s="6" t="n">
        <v>0</v>
      </c>
      <c r="S328" s="6" t="n">
        <v>3</v>
      </c>
      <c r="T328" s="6" t="n">
        <v>2</v>
      </c>
      <c r="U328" s="6" t="n">
        <v>0</v>
      </c>
      <c r="V328" s="6" t="n">
        <v>30.666667</v>
      </c>
      <c r="W328" s="6" t="n">
        <v>55.4785</v>
      </c>
      <c r="X328" s="6" t="n">
        <v>4.0713</v>
      </c>
      <c r="Y328" s="6" t="inlineStr">
        <is>
          <t>Quality / Verifiability</t>
        </is>
      </c>
      <c r="Z328" s="6" t="inlineStr">
        <is>
          <t>Frozen-weight composite; strongest contribution: Quality / Verifiability.</t>
        </is>
      </c>
      <c r="AA328" s="6" t="inlineStr">
        <is>
          <t>None explicitly named in this RTM</t>
        </is>
      </c>
      <c r="AB328" s="6" t="inlineStr">
        <is>
          <t>SCK CEN/90508872 §4.12.1; no named external code</t>
        </is>
      </c>
      <c r="AC328" s="6" t="inlineStr">
        <is>
          <t>Witnessed FAT/SAT/commissioning test against stated acceptance criteria</t>
        </is>
      </c>
      <c r="AD328" s="6" t="inlineStr">
        <is>
          <t>No separate deliverable explicitly named</t>
        </is>
      </c>
      <c r="AE328" s="6" t="inlineStr">
        <is>
          <t>L1 Conceptual Design; L2 Detailed Design</t>
        </is>
      </c>
      <c r="AF328" s="6" t="inlineStr">
        <is>
          <t>Section/contract-derived reference; explicit deliverable/test wording</t>
        </is>
      </c>
      <c r="AG328" s="58" t="inlineStr">
        <is>
          <t>OFFER-38 (Direct)</t>
        </is>
      </c>
    </row>
    <row r="329" ht="151" customHeight="1">
      <c r="A329" s="6" t="n">
        <v>324</v>
      </c>
      <c r="B329" s="6" t="inlineStr">
        <is>
          <t>RTM-058</t>
        </is>
      </c>
      <c r="C329" s="6" t="inlineStr">
        <is>
          <t>No</t>
        </is>
      </c>
      <c r="D329" s="6" t="inlineStr">
        <is>
          <t>T2 Secondary</t>
        </is>
      </c>
      <c r="E329" s="6" t="inlineStr">
        <is>
          <t>Global Design Criteria</t>
        </is>
      </c>
      <c r="F329" s="82" t="inlineStr">
        <is>
          <t>SYSTEM</t>
        </is>
      </c>
      <c r="G329" s="83" t="inlineStr">
        <is>
          <t>Performance</t>
        </is>
      </c>
      <c r="H329" s="59" t="inlineStr">
        <is>
          <t>—</t>
        </is>
      </c>
      <c r="I329" s="58" t="inlineStr">
        <is>
          <t>C6 — Reliability &amp; Maintenance</t>
        </is>
      </c>
      <c r="J329" s="6" t="n">
        <v>37</v>
      </c>
      <c r="K329" s="6" t="inlineStr">
        <is>
          <t>4.3.2</t>
        </is>
      </c>
      <c r="L329" s="6" t="inlineStr">
        <is>
          <t>Availability &amp; Reliability</t>
        </is>
      </c>
      <c r="M329" s="6" t="inlineStr">
        <is>
          <t>The Contractor shall perform an Availability &amp; Reliability Assessment for the QPS. To this end, the Contractor shall:</t>
        </is>
      </c>
      <c r="N329" s="6" t="inlineStr">
        <is>
          <t>The Contractor shall perform an Availability &amp; Reliability Assessment for the QPS. To this end, the Contractor shall:
• Base the assessment on recognised RAM engineering practice and statistical modelling methods.
• Define and document a failure classification methodology.
• Identify all relevant failure modes at system and subsystem level.
• Map each failure mode to a failure class.
• Ensure that failure classification is based on operational consequences and recovery time.
• Determine and state the MTBF and MTTR assumptions for each failure mode.
• Document the complete assessment in the Engineering File.</t>
        </is>
      </c>
      <c r="O329" s="6" t="n">
        <v>0</v>
      </c>
      <c r="P329" s="6" t="n">
        <v>3</v>
      </c>
      <c r="Q329" s="6" t="n">
        <v>0</v>
      </c>
      <c r="R329" s="6" t="n">
        <v>0</v>
      </c>
      <c r="S329" s="6" t="n">
        <v>2</v>
      </c>
      <c r="T329" s="6" t="n">
        <v>0</v>
      </c>
      <c r="U329" s="6" t="n">
        <v>0</v>
      </c>
      <c r="V329" s="6" t="n">
        <v>30</v>
      </c>
      <c r="W329" s="6" t="n">
        <v>54.785</v>
      </c>
      <c r="X329" s="6" t="n">
        <v>3.9178</v>
      </c>
      <c r="Y329" s="6" t="inlineStr">
        <is>
          <t>Reliability</t>
        </is>
      </c>
      <c r="Z329" s="6" t="inlineStr">
        <is>
          <t>Frozen-weight composite; strongest contribution: Reliability.</t>
        </is>
      </c>
      <c r="AA329" s="6" t="inlineStr">
        <is>
          <t>None explicitly named in this RTM</t>
        </is>
      </c>
      <c r="AB329" s="6" t="inlineStr">
        <is>
          <t>SCK CEN/90508872 §4.3.2; no named external code</t>
        </is>
      </c>
      <c r="AC329" s="6" t="inlineStr">
        <is>
          <t>Submit and review the named deliverable with RTM traceability and approval status; RAM/maintenance substantiation and recovery/failure-response evidence; Document review, inspection, certification, audit or traceable QC record</t>
        </is>
      </c>
      <c r="AD329" s="6" t="inlineStr">
        <is>
          <t>Engineering File; Availability &amp; Reliability Assessment</t>
        </is>
      </c>
      <c r="AE329" s="6" t="inlineStr">
        <is>
          <t>L1 Conceptual Design; L2 Detailed Design</t>
        </is>
      </c>
      <c r="AF329" s="6" t="inlineStr">
        <is>
          <t>Section/contract-derived reference; explicit deliverable/test wording</t>
        </is>
      </c>
      <c r="AG329" s="58" t="inlineStr">
        <is>
          <t>OFFER-11 (Direct)</t>
        </is>
      </c>
    </row>
    <row r="330" ht="190" customHeight="1">
      <c r="A330" s="6" t="n">
        <v>325</v>
      </c>
      <c r="B330" s="6" t="inlineStr">
        <is>
          <t>RTM-060</t>
        </is>
      </c>
      <c r="C330" s="6" t="inlineStr">
        <is>
          <t>No</t>
        </is>
      </c>
      <c r="D330" s="6" t="inlineStr">
        <is>
          <t>T2 Secondary</t>
        </is>
      </c>
      <c r="E330" s="6" t="inlineStr">
        <is>
          <t>Global Design Criteria</t>
        </is>
      </c>
      <c r="F330" s="82" t="inlineStr">
        <is>
          <t>SYSTEM</t>
        </is>
      </c>
      <c r="G330" s="83" t="inlineStr">
        <is>
          <t>Performance</t>
        </is>
      </c>
      <c r="H330" s="59" t="inlineStr">
        <is>
          <t>—</t>
        </is>
      </c>
      <c r="I330" s="58" t="inlineStr">
        <is>
          <t>C6 — Reliability &amp; Maintenance</t>
        </is>
      </c>
      <c r="J330" s="6" t="n">
        <v>37</v>
      </c>
      <c r="K330" s="6" t="inlineStr">
        <is>
          <t>4.3.2</t>
        </is>
      </c>
      <c r="L330" s="6" t="inlineStr">
        <is>
          <t>Availability &amp; Reliability</t>
        </is>
      </c>
      <c r="M330" s="6" t="inlineStr">
        <is>
          <t>The Contractor shall maintain and update the Availability &amp; Reliability Assessment throughout the duration of the Contract. To This end, the Contractor shall:</t>
        </is>
      </c>
      <c r="N330" s="6" t="inlineStr">
        <is>
          <t>The Contractor shall maintain and update the Availability &amp; Reliability Assessment throughout the duration of the Contract. To This end, the Contractor shall:
• Update the assessment following any design modification that significantly impacts availability or reliability.
• Submit an updated assessment during at least at the end of the Conceptual Design and Detail Design phases.
• Substantiate the MTBF &amp; MTTR values using documented manufacturer data (OEM or COTS), validated field performance records, and/or recognized predictive reliability models.
• Clearly state all assumptions, operating conditions, and statistical distributions used in the assessment calculations.
• Identify components for which empirical data are not available and justify the modelling approach applied.</t>
        </is>
      </c>
      <c r="O330" s="6" t="n">
        <v>0</v>
      </c>
      <c r="P330" s="6" t="n">
        <v>3</v>
      </c>
      <c r="Q330" s="6" t="n">
        <v>0</v>
      </c>
      <c r="R330" s="6" t="n">
        <v>0</v>
      </c>
      <c r="S330" s="6" t="n">
        <v>2</v>
      </c>
      <c r="T330" s="6" t="n">
        <v>0</v>
      </c>
      <c r="U330" s="6" t="n">
        <v>0</v>
      </c>
      <c r="V330" s="6" t="n">
        <v>30</v>
      </c>
      <c r="W330" s="6" t="n">
        <v>54.785</v>
      </c>
      <c r="X330" s="6" t="n">
        <v>3.9178</v>
      </c>
      <c r="Y330" s="6" t="inlineStr">
        <is>
          <t>Reliability</t>
        </is>
      </c>
      <c r="Z330" s="6" t="inlineStr">
        <is>
          <t>Frozen-weight composite; strongest contribution: Reliability.</t>
        </is>
      </c>
      <c r="AA330" s="6" t="inlineStr">
        <is>
          <t>None explicitly named in this RTM</t>
        </is>
      </c>
      <c r="AB330" s="6" t="inlineStr">
        <is>
          <t>SCK CEN/90508872 §4.3.2; no named external code</t>
        </is>
      </c>
      <c r="AC330" s="6" t="inlineStr">
        <is>
          <t>Submit and review the named deliverable with RTM traceability and approval status; RAM/maintenance substantiation and recovery/failure-response evidence; Document review, inspection, certification, audit or traceable QC record</t>
        </is>
      </c>
      <c r="AD330" s="6" t="inlineStr">
        <is>
          <t>Availability &amp; Reliability Assessment</t>
        </is>
      </c>
      <c r="AE330" s="6" t="inlineStr">
        <is>
          <t>L1 Conceptual Design; L2 Detailed Design</t>
        </is>
      </c>
      <c r="AF330" s="6" t="inlineStr">
        <is>
          <t>Section/contract-derived reference; explicit deliverable/test wording</t>
        </is>
      </c>
      <c r="AG330" s="58" t="inlineStr">
        <is>
          <t>OFFER-11 (Direct)</t>
        </is>
      </c>
    </row>
    <row r="331" ht="73" customHeight="1">
      <c r="A331" s="6" t="n">
        <v>326</v>
      </c>
      <c r="B331" s="6" t="inlineStr">
        <is>
          <t>RTM-575</t>
        </is>
      </c>
      <c r="C331" s="6" t="inlineStr">
        <is>
          <t>No</t>
        </is>
      </c>
      <c r="D331" s="6" t="inlineStr">
        <is>
          <t>T2 Secondary</t>
        </is>
      </c>
      <c r="E331" s="6" t="inlineStr">
        <is>
          <t>Technical Documentation</t>
        </is>
      </c>
      <c r="F331" s="82" t="inlineStr">
        <is>
          <t>PROJECT</t>
        </is>
      </c>
      <c r="G331" s="83" t="inlineStr">
        <is>
          <t>Documentation &amp; Compliance</t>
        </is>
      </c>
      <c r="H331" s="59" t="inlineStr">
        <is>
          <t>—</t>
        </is>
      </c>
      <c r="I331" s="58" t="inlineStr">
        <is>
          <t>Not linked to an OFFER item</t>
        </is>
      </c>
      <c r="J331" s="6" t="n">
        <v>110</v>
      </c>
      <c r="K331" s="6" t="inlineStr">
        <is>
          <t>4.16.2</t>
        </is>
      </c>
      <c r="L331" s="6" t="inlineStr">
        <is>
          <t>Manufacturing File</t>
        </is>
      </c>
      <c r="M331" s="6" t="inlineStr">
        <is>
          <t>The Contractor shall produce a Manufacturing File.</t>
        </is>
      </c>
      <c r="N331" s="6" t="inlineStr">
        <is>
          <t>The Contractor shall produce a Manufacturing File.
• The Manufacturing File shall include all documents describing the processes, procedures, plans, drawings, and technical data applicable to the manufacturing, assembly, testing, handling, packaging, and transportation of the QPS.</t>
        </is>
      </c>
      <c r="O331" s="6" t="n">
        <v>1</v>
      </c>
      <c r="P331" s="6" t="n">
        <v>0</v>
      </c>
      <c r="Q331" s="6" t="n">
        <v>0</v>
      </c>
      <c r="R331" s="6" t="n">
        <v>2</v>
      </c>
      <c r="S331" s="6" t="n">
        <v>2</v>
      </c>
      <c r="T331" s="6" t="n">
        <v>2</v>
      </c>
      <c r="U331" s="6" t="n">
        <v>0</v>
      </c>
      <c r="V331" s="6" t="n">
        <v>30</v>
      </c>
      <c r="W331" s="6" t="n">
        <v>54.785</v>
      </c>
      <c r="X331" s="6" t="n">
        <v>3.9178</v>
      </c>
      <c r="Y331" s="6" t="inlineStr">
        <is>
          <t>Functional</t>
        </is>
      </c>
      <c r="Z331" s="6" t="inlineStr">
        <is>
          <t>Frozen-weight composite; strongest contribution: Functional.</t>
        </is>
      </c>
      <c r="AA331" s="6" t="inlineStr">
        <is>
          <t>None explicitly named in this RTM</t>
        </is>
      </c>
      <c r="AB331" s="6" t="inlineStr">
        <is>
          <t>Section-level: IEC 60812:2018</t>
        </is>
      </c>
      <c r="AC331" s="6" t="inlineStr">
        <is>
          <t>Submit and review the named deliverable with RTM traceability and approval status; Witnessed FAT/SAT/commissioning test against stated acceptance criteria; Functional design/configuration review and sequence/interface demonstration</t>
        </is>
      </c>
      <c r="AD331" s="6" t="inlineStr">
        <is>
          <t>Manufacturing File; Procedure / work instruction; Drawing / diagram</t>
        </is>
      </c>
      <c r="AE331" s="6" t="inlineStr">
        <is>
          <t>L3 Procurement &amp; Manufacturing / FAT; L1 Conceptual Design; L2 Detailed Design</t>
        </is>
      </c>
      <c r="AF331" s="6" t="inlineStr">
        <is>
          <t>Section/contract-derived reference; explicit deliverable/test wording</t>
        </is>
      </c>
      <c r="AG331" s="58" t="inlineStr">
        <is>
          <t>Not linked to an OFFER item</t>
        </is>
      </c>
    </row>
    <row r="332" ht="60" customHeight="1">
      <c r="A332" s="6" t="n">
        <v>327</v>
      </c>
      <c r="B332" s="6" t="inlineStr">
        <is>
          <t>RTM-649</t>
        </is>
      </c>
      <c r="C332" s="6" t="inlineStr">
        <is>
          <t>No</t>
        </is>
      </c>
      <c r="D332" s="6" t="inlineStr">
        <is>
          <t>T2 Secondary</t>
        </is>
      </c>
      <c r="E332" s="6" t="inlineStr">
        <is>
          <t>Quality Assurance &amp; Control</t>
        </is>
      </c>
      <c r="F332" s="82" t="inlineStr">
        <is>
          <t>PROJECT</t>
        </is>
      </c>
      <c r="G332" s="83" t="inlineStr">
        <is>
          <t>Quality Assurance</t>
        </is>
      </c>
      <c r="H332" s="59" t="inlineStr">
        <is>
          <t>—</t>
        </is>
      </c>
      <c r="I332" s="58" t="inlineStr">
        <is>
          <t>C7 — Quality, Testing &amp; Risk</t>
        </is>
      </c>
      <c r="J332" s="6" t="n">
        <v>122</v>
      </c>
      <c r="K332" s="6" t="inlineStr">
        <is>
          <t>8.1.3</t>
        </is>
      </c>
      <c r="L332" s="6" t="inlineStr">
        <is>
          <t>Quality Assurance Program</t>
        </is>
      </c>
      <c r="M332" s="6" t="inlineStr">
        <is>
          <t>The Quality Assurance Program (QAP) shall include User Training and Competence Transfer as controlled activities, with defined inputs, outputs, responsibilities, and records.</t>
        </is>
      </c>
      <c r="N332" s="6" t="inlineStr">
        <is>
          <t>The Quality Assurance Program (QAP) shall include User Training and Competence Transfer as controlled activities, with defined inputs, outputs, responsibilities, and records.</t>
        </is>
      </c>
      <c r="O332" s="6" t="n">
        <v>2</v>
      </c>
      <c r="P332" s="6" t="n">
        <v>0</v>
      </c>
      <c r="Q332" s="6" t="n">
        <v>0</v>
      </c>
      <c r="R332" s="6" t="n">
        <v>0</v>
      </c>
      <c r="S332" s="6" t="n">
        <v>3</v>
      </c>
      <c r="T332" s="6" t="n">
        <v>2</v>
      </c>
      <c r="U332" s="6" t="n">
        <v>0</v>
      </c>
      <c r="V332" s="6" t="n">
        <v>30</v>
      </c>
      <c r="W332" s="6" t="n">
        <v>54.785</v>
      </c>
      <c r="X332" s="6" t="n">
        <v>3.9178</v>
      </c>
      <c r="Y332" s="6" t="inlineStr">
        <is>
          <t>Safety / Legal</t>
        </is>
      </c>
      <c r="Z332" s="6" t="inlineStr">
        <is>
          <t>Frozen-weight composite; strongest contribution: Safety / Legal.</t>
        </is>
      </c>
      <c r="AA332" s="6" t="inlineStr">
        <is>
          <t>None explicitly named in this RTM</t>
        </is>
      </c>
      <c r="AB332" s="6" t="inlineStr">
        <is>
          <t>SCK CEN/90508872 §8.1.3; no named external code</t>
        </is>
      </c>
      <c r="AC332" s="6" t="inlineStr">
        <is>
          <t>Submit and review the named deliverable with RTM traceability and approval status; Document review, inspection, certification, audit or traceable QC record</t>
        </is>
      </c>
      <c r="AD332" s="6" t="inlineStr">
        <is>
          <t>Quality Assurance Plan (QAP)</t>
        </is>
      </c>
      <c r="AE332" s="6" t="inlineStr">
        <is>
          <t>L0 Tender / Offer; L1 Conceptual Design; L2 Detailed Design; L3 Procurement &amp; Manufacturing / FAT; L4 Installation; L5 Standalone Commissioning; L6 Site Acceptance Testing</t>
        </is>
      </c>
      <c r="AF332" s="6" t="inlineStr">
        <is>
          <t>Section/contract-derived reference; explicit deliverable/test wording</t>
        </is>
      </c>
      <c r="AG332" s="58" t="inlineStr">
        <is>
          <t>OFFER-47 (Supporting)</t>
        </is>
      </c>
    </row>
    <row r="333" ht="99" customHeight="1">
      <c r="A333" s="6" t="n">
        <v>328</v>
      </c>
      <c r="B333" s="6" t="inlineStr">
        <is>
          <t>RTM-653</t>
        </is>
      </c>
      <c r="C333" s="6" t="inlineStr">
        <is>
          <t>No</t>
        </is>
      </c>
      <c r="D333" s="6" t="inlineStr">
        <is>
          <t>T2 Secondary</t>
        </is>
      </c>
      <c r="E333" s="6" t="inlineStr">
        <is>
          <t>Quality Assurance &amp; Control</t>
        </is>
      </c>
      <c r="F333" s="82" t="inlineStr">
        <is>
          <t>PROJECT</t>
        </is>
      </c>
      <c r="G333" s="83" t="inlineStr">
        <is>
          <t>Quality Assurance</t>
        </is>
      </c>
      <c r="H333" s="59" t="inlineStr">
        <is>
          <t>—</t>
        </is>
      </c>
      <c r="I333" s="81" t="inlineStr">
        <is>
          <t>Inferred: C7 — Quality, Testing &amp; Risk (high conf.)</t>
        </is>
      </c>
      <c r="J333" s="6" t="n">
        <v>123</v>
      </c>
      <c r="K333" s="6" t="inlineStr">
        <is>
          <t>8.1.4</t>
        </is>
      </c>
      <c r="L333" s="6" t="inlineStr">
        <is>
          <t>Qualification of personnel</t>
        </is>
      </c>
      <c r="M333" s="6" t="inlineStr">
        <is>
          <t>The Contractor shall ensure that all personnel involved in the performance of the Contract is qualified and trained to the required competencies to deliver results complying with SCK CEN requirements and specifications. Special training and qualifications are specifically required for personnel responsible for welding and any on site rigging activities.</t>
        </is>
      </c>
      <c r="N333" s="6" t="inlineStr">
        <is>
          <t>The Contractor shall ensure that all personnel involved in the performance of the Contract is qualified and trained to the required competencies to deliver results complying with SCK CEN requirements and specifications. Special training and qualifications are specifically required for personnel responsible for welding and any on site rigging activities.</t>
        </is>
      </c>
      <c r="O333" s="6" t="n">
        <v>2</v>
      </c>
      <c r="P333" s="6" t="n">
        <v>0</v>
      </c>
      <c r="Q333" s="6" t="n">
        <v>0</v>
      </c>
      <c r="R333" s="6" t="n">
        <v>0</v>
      </c>
      <c r="S333" s="6" t="n">
        <v>3</v>
      </c>
      <c r="T333" s="6" t="n">
        <v>2</v>
      </c>
      <c r="U333" s="6" t="n">
        <v>0</v>
      </c>
      <c r="V333" s="6" t="n">
        <v>30</v>
      </c>
      <c r="W333" s="6" t="n">
        <v>54.785</v>
      </c>
      <c r="X333" s="6" t="n">
        <v>3.9178</v>
      </c>
      <c r="Y333" s="6" t="inlineStr">
        <is>
          <t>Safety / Legal</t>
        </is>
      </c>
      <c r="Z333" s="6" t="inlineStr">
        <is>
          <t>Frozen-weight composite; strongest contribution: Safety / Legal.</t>
        </is>
      </c>
      <c r="AA333" s="6" t="inlineStr">
        <is>
          <t>None explicitly named in this RTM</t>
        </is>
      </c>
      <c r="AB333" s="6" t="inlineStr">
        <is>
          <t>SCK CEN/90508872 §8.1.4; no named external code</t>
        </is>
      </c>
      <c r="AC333" s="6" t="inlineStr">
        <is>
          <t>Document review, inspection, certification, audit or traceable QC record</t>
        </is>
      </c>
      <c r="AD333" s="6" t="inlineStr">
        <is>
          <t>No separate deliverable explicitly named</t>
        </is>
      </c>
      <c r="AE333" s="6" t="inlineStr">
        <is>
          <t>L0 Tender / Offer; L1 Conceptual Design; L2 Detailed Design; L3 Procurement &amp; Manufacturing / FAT; L4 Installation; L5 Standalone Commissioning; L6 Site Acceptance Testing</t>
        </is>
      </c>
      <c r="AF333" s="6" t="inlineStr">
        <is>
          <t>Section/contract-derived reference; derived evidence route</t>
        </is>
      </c>
      <c r="AG333" s="58" t="inlineStr">
        <is>
          <t>Not linked to an OFFER item</t>
        </is>
      </c>
    </row>
    <row r="334" ht="86" customHeight="1">
      <c r="A334" s="6" t="n">
        <v>329</v>
      </c>
      <c r="B334" s="6" t="inlineStr">
        <is>
          <t>RTM-657</t>
        </is>
      </c>
      <c r="C334" s="6" t="inlineStr">
        <is>
          <t>No</t>
        </is>
      </c>
      <c r="D334" s="6" t="inlineStr">
        <is>
          <t>T2 Secondary</t>
        </is>
      </c>
      <c r="E334" s="6" t="inlineStr">
        <is>
          <t>Quality Assurance &amp; Control</t>
        </is>
      </c>
      <c r="F334" s="82" t="inlineStr">
        <is>
          <t>PROJECT</t>
        </is>
      </c>
      <c r="G334" s="83" t="inlineStr">
        <is>
          <t>Quality Assurance</t>
        </is>
      </c>
      <c r="H334" s="59" t="inlineStr">
        <is>
          <t>—</t>
        </is>
      </c>
      <c r="I334" s="81" t="inlineStr">
        <is>
          <t>Inferred: C7 — Quality, Testing &amp; Risk (high conf.)</t>
        </is>
      </c>
      <c r="J334" s="6" t="n">
        <v>123</v>
      </c>
      <c r="K334" s="6" t="inlineStr">
        <is>
          <t>8.1.4</t>
        </is>
      </c>
      <c r="L334" s="6" t="inlineStr">
        <is>
          <t>Qualification of personnel</t>
        </is>
      </c>
      <c r="M334" s="6" t="inlineStr">
        <is>
          <t>While §7.1.4 mandates qualification of Contractor staff, the Contractor shall also define the competency matrix required for SCK CEN staff. The Contractor shall issue Certificates of Competence to SCK CEN personnel upon successful completion of the training modules, validating their ability to take over operations.</t>
        </is>
      </c>
      <c r="N334" s="6" t="inlineStr">
        <is>
          <t>While §7.1.4 mandates qualification of Contractor staff, the Contractor shall also define the competency matrix required for SCK CEN staff. The Contractor shall issue Certificates of Competence to SCK CEN personnel upon successful completion of the training modules, validating their ability to take over operations.</t>
        </is>
      </c>
      <c r="O334" s="6" t="n">
        <v>2</v>
      </c>
      <c r="P334" s="6" t="n">
        <v>0</v>
      </c>
      <c r="Q334" s="6" t="n">
        <v>0</v>
      </c>
      <c r="R334" s="6" t="n">
        <v>0</v>
      </c>
      <c r="S334" s="6" t="n">
        <v>3</v>
      </c>
      <c r="T334" s="6" t="n">
        <v>2</v>
      </c>
      <c r="U334" s="6" t="n">
        <v>0</v>
      </c>
      <c r="V334" s="6" t="n">
        <v>30</v>
      </c>
      <c r="W334" s="6" t="n">
        <v>54.785</v>
      </c>
      <c r="X334" s="6" t="n">
        <v>3.9178</v>
      </c>
      <c r="Y334" s="6" t="inlineStr">
        <is>
          <t>Safety / Legal</t>
        </is>
      </c>
      <c r="Z334" s="6" t="inlineStr">
        <is>
          <t>Frozen-weight composite; strongest contribution: Safety / Legal.</t>
        </is>
      </c>
      <c r="AA334" s="6" t="inlineStr">
        <is>
          <t>None explicitly named in this RTM</t>
        </is>
      </c>
      <c r="AB334" s="6" t="inlineStr">
        <is>
          <t>SCK CEN/90508872 §8.1.4; no named external code</t>
        </is>
      </c>
      <c r="AC334" s="6" t="inlineStr">
        <is>
          <t>Submit and review the named deliverable with RTM traceability and approval status; Document review, inspection, certification, audit or traceable QC record</t>
        </is>
      </c>
      <c r="AD334" s="6" t="inlineStr">
        <is>
          <t>Certificate / calibration evidence; List / register / matrix</t>
        </is>
      </c>
      <c r="AE334" s="6" t="inlineStr">
        <is>
          <t>L0 Tender / Offer; L1 Conceptual Design; L2 Detailed Design; L3 Procurement &amp; Manufacturing / FAT; L4 Installation; L5 Standalone Commissioning; L6 Site Acceptance Testing</t>
        </is>
      </c>
      <c r="AF334" s="6" t="inlineStr">
        <is>
          <t>Section/contract-derived reference; explicit deliverable/test wording</t>
        </is>
      </c>
      <c r="AG334" s="58" t="inlineStr">
        <is>
          <t>Not linked to an OFFER item</t>
        </is>
      </c>
    </row>
    <row r="335" ht="73" customHeight="1">
      <c r="A335" s="6" t="n">
        <v>330</v>
      </c>
      <c r="B335" s="6" t="inlineStr">
        <is>
          <t>RTM-658</t>
        </is>
      </c>
      <c r="C335" s="6" t="inlineStr">
        <is>
          <t>No</t>
        </is>
      </c>
      <c r="D335" s="6" t="inlineStr">
        <is>
          <t>T2 Secondary</t>
        </is>
      </c>
      <c r="E335" s="6" t="inlineStr">
        <is>
          <t>Quality Assurance &amp; Control</t>
        </is>
      </c>
      <c r="F335" s="82" t="inlineStr">
        <is>
          <t>PROJECT</t>
        </is>
      </c>
      <c r="G335" s="83" t="inlineStr">
        <is>
          <t>Quality Assurance</t>
        </is>
      </c>
      <c r="H335" s="59" t="inlineStr">
        <is>
          <t>—</t>
        </is>
      </c>
      <c r="I335" s="81" t="inlineStr">
        <is>
          <t>Inferred: C7 — Quality, Testing &amp; Risk (high conf.)</t>
        </is>
      </c>
      <c r="J335" s="6" t="n">
        <v>123</v>
      </c>
      <c r="K335" s="6" t="inlineStr">
        <is>
          <t>8.1.4</t>
        </is>
      </c>
      <c r="L335" s="6" t="inlineStr">
        <is>
          <t>Qualification of personnel</t>
        </is>
      </c>
      <c r="M335" s="6" t="inlineStr">
        <is>
          <t>All User Training, competence transfer, and operational handover activities shall be implemented in alignment with the Quality Assurance framework.</t>
        </is>
      </c>
      <c r="N335" s="6" t="inlineStr">
        <is>
          <t>All User Training, competence transfer, and operational handover activities shall be implemented in alignment with the Quality Assurance framework.</t>
        </is>
      </c>
      <c r="O335" s="6" t="n">
        <v>2</v>
      </c>
      <c r="P335" s="6" t="n">
        <v>0</v>
      </c>
      <c r="Q335" s="6" t="n">
        <v>0</v>
      </c>
      <c r="R335" s="6" t="n">
        <v>0</v>
      </c>
      <c r="S335" s="6" t="n">
        <v>3</v>
      </c>
      <c r="T335" s="6" t="n">
        <v>2</v>
      </c>
      <c r="U335" s="6" t="n">
        <v>0</v>
      </c>
      <c r="V335" s="6" t="n">
        <v>30</v>
      </c>
      <c r="W335" s="6" t="n">
        <v>54.785</v>
      </c>
      <c r="X335" s="6" t="n">
        <v>3.9178</v>
      </c>
      <c r="Y335" s="6" t="inlineStr">
        <is>
          <t>Safety / Legal</t>
        </is>
      </c>
      <c r="Z335" s="6" t="inlineStr">
        <is>
          <t>Frozen-weight composite; strongest contribution: Safety / Legal.</t>
        </is>
      </c>
      <c r="AA335" s="6" t="inlineStr">
        <is>
          <t>None explicitly named in this RTM</t>
        </is>
      </c>
      <c r="AB335" s="6" t="inlineStr">
        <is>
          <t>SCK CEN/90508872 §8.1.4; no named external code</t>
        </is>
      </c>
      <c r="AC335" s="6" t="inlineStr">
        <is>
          <t>Document review, inspection, certification, audit or traceable QC record</t>
        </is>
      </c>
      <c r="AD335" s="6" t="inlineStr">
        <is>
          <t>No separate deliverable explicitly named</t>
        </is>
      </c>
      <c r="AE335" s="6" t="inlineStr">
        <is>
          <t>PAC / Handover; L0 Tender / Offer; L1 Conceptual Design; L2 Detailed Design; L3 Procurement &amp; Manufacturing / FAT; L4 Installation; L5 Standalone Commissioning; L6 Site Acceptance Testing</t>
        </is>
      </c>
      <c r="AF335" s="6" t="inlineStr">
        <is>
          <t>Section/contract-derived reference; derived evidence route</t>
        </is>
      </c>
      <c r="AG335" s="58" t="inlineStr">
        <is>
          <t>Not linked to an OFFER item</t>
        </is>
      </c>
    </row>
    <row r="336" ht="60" customHeight="1">
      <c r="A336" s="6" t="n">
        <v>331</v>
      </c>
      <c r="B336" s="6" t="inlineStr">
        <is>
          <t>RTM-220</t>
        </is>
      </c>
      <c r="C336" s="6" t="inlineStr">
        <is>
          <t>No</t>
        </is>
      </c>
      <c r="D336" s="6" t="inlineStr">
        <is>
          <t>T2 Secondary</t>
        </is>
      </c>
      <c r="E336" s="6" t="inlineStr">
        <is>
          <t>Subsystems</t>
        </is>
      </c>
      <c r="F336" s="82" t="inlineStr">
        <is>
          <t>SYSTEM</t>
        </is>
      </c>
      <c r="G336" s="83" t="inlineStr">
        <is>
          <t>Performance</t>
        </is>
      </c>
      <c r="H336" s="59" t="inlineStr">
        <is>
          <t>—</t>
        </is>
      </c>
      <c r="I336" s="81" t="inlineStr">
        <is>
          <t>Inferred: C3 — Mechanical &amp; Equipment (medium conf.)</t>
        </is>
      </c>
      <c r="J336" s="6" t="n">
        <v>57</v>
      </c>
      <c r="K336" s="6" t="inlineStr">
        <is>
          <t>4.4.4.2.4</t>
        </is>
      </c>
      <c r="L336" s="6" t="inlineStr">
        <is>
          <t>Cold Compressors</t>
        </is>
      </c>
      <c r="M336" s="6" t="inlineStr">
        <is>
          <t>For each cold compressor, the maximum allowable rotational speed shall include at least a 10% margin with respect to the highest speed required under all operational scenarios.</t>
        </is>
      </c>
      <c r="N336" s="6" t="inlineStr">
        <is>
          <t>For each cold compressor, the maximum allowable rotational speed shall include at least a 10% margin with respect to the highest speed required under all operational scenarios.</t>
        </is>
      </c>
      <c r="O336" s="6" t="n">
        <v>0</v>
      </c>
      <c r="P336" s="6" t="n">
        <v>0</v>
      </c>
      <c r="Q336" s="6" t="n">
        <v>2</v>
      </c>
      <c r="R336" s="6" t="n">
        <v>3</v>
      </c>
      <c r="S336" s="6" t="n">
        <v>0</v>
      </c>
      <c r="T336" s="6" t="n">
        <v>0</v>
      </c>
      <c r="U336" s="6" t="n">
        <v>0</v>
      </c>
      <c r="V336" s="6" t="n">
        <v>29.333333</v>
      </c>
      <c r="W336" s="6" t="n">
        <v>53.4674</v>
      </c>
      <c r="X336" s="6" t="n">
        <v>3.6425</v>
      </c>
      <c r="Y336" s="6" t="inlineStr">
        <is>
          <t>Functional</t>
        </is>
      </c>
      <c r="Z336" s="6" t="inlineStr">
        <is>
          <t>Frozen-weight composite; strongest contribution: Functional.</t>
        </is>
      </c>
      <c r="AA336" s="6" t="inlineStr">
        <is>
          <t>None explicitly named in this RTM</t>
        </is>
      </c>
      <c r="AB336" s="6" t="inlineStr">
        <is>
          <t>SCK CEN/90508872 §4.4.4.2.4; no named external code</t>
        </is>
      </c>
      <c r="AC336" s="6" t="inlineStr">
        <is>
          <t>Calculation/model plus calibrated measurement or recorded trend; Functional design/configuration review and sequence/interface demonstration</t>
        </is>
      </c>
      <c r="AD336" s="6" t="inlineStr">
        <is>
          <t>No separate deliverable explicitly named</t>
        </is>
      </c>
      <c r="AE336" s="6" t="inlineStr">
        <is>
          <t>L1 Conceptual Design; L2 Detailed Design</t>
        </is>
      </c>
      <c r="AF336" s="6" t="inlineStr">
        <is>
          <t>Section/contract-derived reference; derived evidence route</t>
        </is>
      </c>
      <c r="AG336" s="58" t="inlineStr">
        <is>
          <t>Not linked to an OFFER item</t>
        </is>
      </c>
    </row>
    <row r="337" ht="216" customHeight="1">
      <c r="A337" s="6" t="n">
        <v>332</v>
      </c>
      <c r="B337" s="6" t="inlineStr">
        <is>
          <t>RTM-237</t>
        </is>
      </c>
      <c r="C337" s="6" t="inlineStr">
        <is>
          <t>No</t>
        </is>
      </c>
      <c r="D337" s="6" t="inlineStr">
        <is>
          <t>T2 Secondary</t>
        </is>
      </c>
      <c r="E337" s="6" t="inlineStr">
        <is>
          <t>Subsystems</t>
        </is>
      </c>
      <c r="F337" s="82" t="inlineStr">
        <is>
          <t>SYSTEM</t>
        </is>
      </c>
      <c r="G337" s="83" t="inlineStr">
        <is>
          <t>Control</t>
        </is>
      </c>
      <c r="H337" s="59" t="inlineStr">
        <is>
          <t>—</t>
        </is>
      </c>
      <c r="I337" s="58" t="inlineStr">
        <is>
          <t>C3 — Mechanical &amp; Equipment</t>
        </is>
      </c>
      <c r="J337" s="6" t="n">
        <v>60</v>
      </c>
      <c r="K337" s="6" t="inlineStr">
        <is>
          <t>4.4.5.1</t>
        </is>
      </c>
      <c r="L337" s="6" t="inlineStr">
        <is>
          <t>WSH Configuration</t>
        </is>
      </c>
      <c r="M337" s="6" t="inlineStr">
        <is>
          <t>The configuration WSH_FixedScope shall be extendable to WSH_FullScope by means of adding Helium gas storage vessels only.</t>
        </is>
      </c>
      <c r="N337" s="6" t="inlineStr">
        <is>
          <t>The configuration WSH_FixedScope shall be extendable to WSH_FullScope by means of adding Helium gas storage vessels only.
• To this end, the WSH_FixedScope shall already include,
• All predefined and physically implemented mechanical interfaces required for connection of the helium storage vessels
• All predefined and physically implemented piping stubs, valves, and isolation provisions
• All predefined and implemented electrical, control, and safety interfaces
• All required space allocation and structural allowances for installation of the helium storage vessels
• All implemented control and safety logic required for operation of the WSH_FullScope configuration
• The transition from WSH_FixedScope to WSH_FullScope shall not require modification, rework, or interruption of already installed piping, equipment, structures, or control systems beyond planned installation and commissioning activities.</t>
        </is>
      </c>
      <c r="O337" s="6" t="n">
        <v>0</v>
      </c>
      <c r="P337" s="6" t="n">
        <v>0</v>
      </c>
      <c r="Q337" s="6" t="n">
        <v>2</v>
      </c>
      <c r="R337" s="6" t="n">
        <v>3</v>
      </c>
      <c r="S337" s="6" t="n">
        <v>0</v>
      </c>
      <c r="T337" s="6" t="n">
        <v>0</v>
      </c>
      <c r="U337" s="6" t="n">
        <v>0</v>
      </c>
      <c r="V337" s="6" t="n">
        <v>29.333333</v>
      </c>
      <c r="W337" s="6" t="n">
        <v>53.4674</v>
      </c>
      <c r="X337" s="6" t="n">
        <v>3.6425</v>
      </c>
      <c r="Y337" s="6" t="inlineStr">
        <is>
          <t>Functional</t>
        </is>
      </c>
      <c r="Z337" s="6" t="inlineStr">
        <is>
          <t>Frozen-weight composite; strongest contribution: Functional.</t>
        </is>
      </c>
      <c r="AA337" s="6" t="inlineStr">
        <is>
          <t>None explicitly named in this RTM</t>
        </is>
      </c>
      <c r="AB337" s="6" t="inlineStr">
        <is>
          <t>SCK CEN/90508872 §4.4.5.1; no named external code</t>
        </is>
      </c>
      <c r="AC337" s="6" t="inlineStr">
        <is>
          <t>Witnessed FAT/SAT/commissioning test against stated acceptance criteria; Calculation/model plus calibrated measurement or recorded trend; Functional design/configuration review and sequence/interface demonstration</t>
        </is>
      </c>
      <c r="AD337" s="6" t="inlineStr">
        <is>
          <t>No separate deliverable explicitly named</t>
        </is>
      </c>
      <c r="AE337" s="6" t="inlineStr">
        <is>
          <t>L4 Installation; L1 Conceptual Design; L2 Detailed Design</t>
        </is>
      </c>
      <c r="AF337" s="6" t="inlineStr">
        <is>
          <t>Section/contract-derived reference; derived evidence route</t>
        </is>
      </c>
      <c r="AG337" s="58" t="inlineStr">
        <is>
          <t>OFFER-13 (Broad/contextual — main component specification)</t>
        </is>
      </c>
    </row>
    <row r="338" ht="99" customHeight="1">
      <c r="A338" s="6" t="n">
        <v>333</v>
      </c>
      <c r="B338" s="6" t="inlineStr">
        <is>
          <t>RTM-283</t>
        </is>
      </c>
      <c r="C338" s="6" t="inlineStr">
        <is>
          <t>No</t>
        </is>
      </c>
      <c r="D338" s="6" t="inlineStr">
        <is>
          <t>T2 Secondary</t>
        </is>
      </c>
      <c r="E338" s="6" t="inlineStr">
        <is>
          <t>Cryogenic Interfaces</t>
        </is>
      </c>
      <c r="F338" s="82" t="inlineStr">
        <is>
          <t>SYSTEM</t>
        </is>
      </c>
      <c r="G338" s="83" t="inlineStr">
        <is>
          <t>Constraint</t>
        </is>
      </c>
      <c r="H338" s="59" t="inlineStr">
        <is>
          <t>—</t>
        </is>
      </c>
      <c r="I338" s="58" t="inlineStr">
        <is>
          <t>Not linked to an OFFER item</t>
        </is>
      </c>
      <c r="J338" s="6" t="n">
        <v>66</v>
      </c>
      <c r="K338" s="6" t="inlineStr">
        <is>
          <t>4.5.1</t>
        </is>
      </c>
      <c r="L338" s="6" t="inlineStr">
        <is>
          <t>Cryogenic Distribution Backbone (QDB)</t>
        </is>
      </c>
      <c r="M338" s="6" t="inlineStr">
        <is>
          <t>The QRB shall include a removable test cap on the QDB interface to allow operation of the QPS prior to the QDB connection (incl SAT). For the test cap, the Contractor shall:</t>
        </is>
      </c>
      <c r="N338" s="6" t="inlineStr">
        <is>
          <t>The QRB shall include a removable test cap on the QDB interface to allow operation of the QPS prior to the QDB connection (incl SAT). For the test cap, the Contractor shall:
• Account for the spatial constraints introduced by the test cap in the QRB interface design, including envelope, access, and handling.
• Design the test cap to be fully compatible with its later removal and with the final connection of the QLM Spool.</t>
        </is>
      </c>
      <c r="O338" s="6" t="n">
        <v>0</v>
      </c>
      <c r="P338" s="6" t="n">
        <v>0</v>
      </c>
      <c r="Q338" s="6" t="n">
        <v>1</v>
      </c>
      <c r="R338" s="6" t="n">
        <v>2</v>
      </c>
      <c r="S338" s="6" t="n">
        <v>3</v>
      </c>
      <c r="T338" s="6" t="n">
        <v>0</v>
      </c>
      <c r="U338" s="6" t="n">
        <v>0</v>
      </c>
      <c r="V338" s="6" t="n">
        <v>29.333333</v>
      </c>
      <c r="W338" s="6" t="n">
        <v>53.4674</v>
      </c>
      <c r="X338" s="6" t="n">
        <v>3.6425</v>
      </c>
      <c r="Y338" s="6" t="inlineStr">
        <is>
          <t>Quality / Verifiability</t>
        </is>
      </c>
      <c r="Z338" s="6" t="inlineStr">
        <is>
          <t>Frozen-weight composite; strongest contribution: Quality / Verifiability.</t>
        </is>
      </c>
      <c r="AA338" s="6" t="inlineStr">
        <is>
          <t>None explicitly named in this RTM</t>
        </is>
      </c>
      <c r="AB338" s="6" t="inlineStr">
        <is>
          <t>SCK CEN/90508872 §4.5.1; no named external code</t>
        </is>
      </c>
      <c r="AC338" s="6" t="inlineStr">
        <is>
          <t>Witnessed FAT/SAT/commissioning test against stated acceptance criteria; Functional design/configuration review and sequence/interface demonstration</t>
        </is>
      </c>
      <c r="AD338" s="6" t="inlineStr">
        <is>
          <t>No separate deliverable explicitly named</t>
        </is>
      </c>
      <c r="AE338" s="6" t="inlineStr">
        <is>
          <t>L6 Site Acceptance Testing; L1 Conceptual Design; L2 Detailed Design</t>
        </is>
      </c>
      <c r="AF338" s="6" t="inlineStr">
        <is>
          <t>Section/contract-derived reference; explicit deliverable/test wording</t>
        </is>
      </c>
      <c r="AG338" s="58" t="inlineStr">
        <is>
          <t>Not linked to an OFFER item</t>
        </is>
      </c>
    </row>
    <row r="339" ht="112" customHeight="1">
      <c r="A339" s="6" t="n">
        <v>334</v>
      </c>
      <c r="B339" s="6" t="inlineStr">
        <is>
          <t>RTM-317</t>
        </is>
      </c>
      <c r="C339" s="6" t="inlineStr">
        <is>
          <t>No</t>
        </is>
      </c>
      <c r="D339" s="6" t="inlineStr">
        <is>
          <t>T2 Secondary</t>
        </is>
      </c>
      <c r="E339" s="6" t="inlineStr">
        <is>
          <t>Control &amp; Interlock</t>
        </is>
      </c>
      <c r="F339" s="82" t="inlineStr">
        <is>
          <t>SYSTEM</t>
        </is>
      </c>
      <c r="G339" s="83" t="inlineStr">
        <is>
          <t>Performance</t>
        </is>
      </c>
      <c r="H339" s="59" t="inlineStr">
        <is>
          <t>—</t>
        </is>
      </c>
      <c r="I339" s="81" t="inlineStr">
        <is>
          <t>Inferred: C4 — Software &amp; Control (high conf.)</t>
        </is>
      </c>
      <c r="J339" s="6" t="n">
        <v>73</v>
      </c>
      <c r="K339" s="6" t="inlineStr">
        <is>
          <t>4.6.4.3</t>
        </is>
      </c>
      <c r="L339" s="6" t="inlineStr">
        <is>
          <t>MIT Services Integration</t>
        </is>
      </c>
      <c r="M339" s="6" t="inlineStr">
        <is>
          <t>The Contractor shall implement a mechanism for automatic IP address assignment based on MAC addresses whenever possible, utilizing DHCP services to ensure efficient and consistent configuration. In scenarios where DHCP is not feasible, the Contractor shall configure static IP addresses in accordance with MIT's assigned IP ranges. All configurations shall align with MIT's network architecture standards to ensure seamless integration and avoid IP conflicts.</t>
        </is>
      </c>
      <c r="N339" s="6" t="inlineStr">
        <is>
          <t>The Contractor shall implement a mechanism for automatic IP address assignment based on MAC addresses whenever possible, utilizing DHCP services to ensure efficient and consistent configuration. In scenarios where DHCP is not feasible, the Contractor shall configure static IP addresses in accordance with MIT's assigned IP ranges. All configurations shall align with MIT's network architecture standards to ensure seamless integration and avoid IP conflicts.</t>
        </is>
      </c>
      <c r="O339" s="6" t="n">
        <v>2</v>
      </c>
      <c r="P339" s="6" t="n">
        <v>0</v>
      </c>
      <c r="Q339" s="6" t="n">
        <v>0</v>
      </c>
      <c r="R339" s="6" t="n">
        <v>3</v>
      </c>
      <c r="S339" s="6" t="n">
        <v>0</v>
      </c>
      <c r="T339" s="6" t="n">
        <v>0</v>
      </c>
      <c r="U339" s="6" t="n">
        <v>0</v>
      </c>
      <c r="V339" s="6" t="n">
        <v>29.333333</v>
      </c>
      <c r="W339" s="6" t="n">
        <v>53.4674</v>
      </c>
      <c r="X339" s="6" t="n">
        <v>3.6425</v>
      </c>
      <c r="Y339" s="6" t="inlineStr">
        <is>
          <t>Functional</t>
        </is>
      </c>
      <c r="Z339" s="6" t="inlineStr">
        <is>
          <t>Frozen-weight composite; strongest contribution: Functional.</t>
        </is>
      </c>
      <c r="AA339" s="6" t="inlineStr">
        <is>
          <t>None explicitly named in this RTM</t>
        </is>
      </c>
      <c r="AB339" s="6" t="inlineStr">
        <is>
          <t>SCK CEN/90508872 §4.6.4.3; no named external code</t>
        </is>
      </c>
      <c r="AC339" s="6" t="inlineStr">
        <is>
          <t>Design review plus final inspection/acceptance evidence</t>
        </is>
      </c>
      <c r="AD339" s="6" t="inlineStr">
        <is>
          <t>No separate deliverable explicitly named</t>
        </is>
      </c>
      <c r="AE339" s="6" t="inlineStr">
        <is>
          <t>L1 Conceptual Design; L2 Detailed Design</t>
        </is>
      </c>
      <c r="AF339" s="6" t="inlineStr">
        <is>
          <t>Section/contract-derived reference; derived evidence route</t>
        </is>
      </c>
      <c r="AG339" s="58" t="inlineStr">
        <is>
          <t>Not linked to an OFFER item</t>
        </is>
      </c>
    </row>
    <row r="340" ht="99" customHeight="1">
      <c r="A340" s="6" t="n">
        <v>335</v>
      </c>
      <c r="B340" s="6" t="inlineStr">
        <is>
          <t>RTM-319</t>
        </is>
      </c>
      <c r="C340" s="6" t="inlineStr">
        <is>
          <t>No</t>
        </is>
      </c>
      <c r="D340" s="6" t="inlineStr">
        <is>
          <t>T2 Secondary</t>
        </is>
      </c>
      <c r="E340" s="6" t="inlineStr">
        <is>
          <t>Control &amp; Interlock</t>
        </is>
      </c>
      <c r="F340" s="82" t="inlineStr">
        <is>
          <t>SYSTEM</t>
        </is>
      </c>
      <c r="G340" s="83" t="inlineStr">
        <is>
          <t>Performance</t>
        </is>
      </c>
      <c r="H340" s="59" t="inlineStr">
        <is>
          <t>—</t>
        </is>
      </c>
      <c r="I340" s="81" t="inlineStr">
        <is>
          <t>Inferred: C4 — Software &amp; Control (high conf.)</t>
        </is>
      </c>
      <c r="J340" s="6" t="n">
        <v>73</v>
      </c>
      <c r="K340" s="6" t="inlineStr">
        <is>
          <t>4.6.4.3</t>
        </is>
      </c>
      <c r="L340" s="6" t="inlineStr">
        <is>
          <t>MIT Services Integration</t>
        </is>
      </c>
      <c r="M340" s="6" t="inlineStr">
        <is>
          <t>If a device is DHCP-capable but not configured for DHCP, the Contractor shall provide a detailed procedure for enabling and configuring DHCP on the device. The procedure shall include all necessary steps for ensuring proper DHCP functionality, such as network settings, IP lease time configuration, and alignment with MIT’s DHCP service and network standards.</t>
        </is>
      </c>
      <c r="N340" s="6" t="inlineStr">
        <is>
          <t>If a device is DHCP-capable but not configured for DHCP, the Contractor shall provide a detailed procedure for enabling and configuring DHCP on the device. The procedure shall include all necessary steps for ensuring proper DHCP functionality, such as network settings, IP lease time configuration, and alignment with MIT’s DHCP service and network standards.</t>
        </is>
      </c>
      <c r="O340" s="6" t="n">
        <v>2</v>
      </c>
      <c r="P340" s="6" t="n">
        <v>0</v>
      </c>
      <c r="Q340" s="6" t="n">
        <v>0</v>
      </c>
      <c r="R340" s="6" t="n">
        <v>3</v>
      </c>
      <c r="S340" s="6" t="n">
        <v>0</v>
      </c>
      <c r="T340" s="6" t="n">
        <v>0</v>
      </c>
      <c r="U340" s="6" t="n">
        <v>0</v>
      </c>
      <c r="V340" s="6" t="n">
        <v>29.333333</v>
      </c>
      <c r="W340" s="6" t="n">
        <v>53.4674</v>
      </c>
      <c r="X340" s="6" t="n">
        <v>3.6425</v>
      </c>
      <c r="Y340" s="6" t="inlineStr">
        <is>
          <t>Functional</t>
        </is>
      </c>
      <c r="Z340" s="6" t="inlineStr">
        <is>
          <t>Frozen-weight composite; strongest contribution: Functional.</t>
        </is>
      </c>
      <c r="AA340" s="6" t="inlineStr">
        <is>
          <t>None explicitly named in this RTM</t>
        </is>
      </c>
      <c r="AB340" s="6" t="inlineStr">
        <is>
          <t>SCK CEN/90508872 §4.6.4.3; no named external code</t>
        </is>
      </c>
      <c r="AC340" s="6" t="inlineStr">
        <is>
          <t>Submit and review the named deliverable with RTM traceability and approval status; Functional design/configuration review and sequence/interface demonstration</t>
        </is>
      </c>
      <c r="AD340" s="6" t="inlineStr">
        <is>
          <t>Procedure / work instruction</t>
        </is>
      </c>
      <c r="AE340" s="6" t="inlineStr">
        <is>
          <t>L1 Conceptual Design; L2 Detailed Design</t>
        </is>
      </c>
      <c r="AF340" s="6" t="inlineStr">
        <is>
          <t>Section/contract-derived reference; explicit deliverable/test wording</t>
        </is>
      </c>
      <c r="AG340" s="58" t="inlineStr">
        <is>
          <t>Not linked to an OFFER item</t>
        </is>
      </c>
    </row>
    <row r="341" ht="112" customHeight="1">
      <c r="A341" s="6" t="n">
        <v>336</v>
      </c>
      <c r="B341" s="6" t="inlineStr">
        <is>
          <t>RTM-326</t>
        </is>
      </c>
      <c r="C341" s="6" t="inlineStr">
        <is>
          <t>No</t>
        </is>
      </c>
      <c r="D341" s="6" t="inlineStr">
        <is>
          <t>T2 Secondary</t>
        </is>
      </c>
      <c r="E341" s="6" t="inlineStr">
        <is>
          <t>Control &amp; Interlock</t>
        </is>
      </c>
      <c r="F341" s="82" t="inlineStr">
        <is>
          <t>SYSTEM</t>
        </is>
      </c>
      <c r="G341" s="83" t="inlineStr">
        <is>
          <t>Performance</t>
        </is>
      </c>
      <c r="H341" s="59" t="inlineStr">
        <is>
          <t>—</t>
        </is>
      </c>
      <c r="I341" s="58" t="inlineStr">
        <is>
          <t>C8 — Commercial &amp; Execution</t>
        </is>
      </c>
      <c r="J341" s="6" t="n">
        <v>74</v>
      </c>
      <c r="K341" s="6" t="inlineStr">
        <is>
          <t>4.6.4.5</t>
        </is>
      </c>
      <c r="L341" s="6" t="inlineStr">
        <is>
          <t>Security</t>
        </is>
      </c>
      <c r="M341" s="6" t="inlineStr">
        <is>
          <t>If the Contractor requires remote access to the plant, they shall utilize the standard solution provided by SCK CEN. Access will be granted with restricted permissions to ensure that only necessary functions are available, safeguarding the integrity and security of the plant's systems. The Applicant is responsible for adhering to the defined access protocols and ensuring compliance with SCK CEN’s security policies.</t>
        </is>
      </c>
      <c r="N341" s="6" t="inlineStr">
        <is>
          <t>If the Contractor requires remote access to the plant, they shall utilize the standard solution provided by SCK CEN. Access will be granted with restricted permissions to ensure that only necessary functions are available, safeguarding the integrity and security of the plant's systems. The Applicant is responsible for adhering to the defined access protocols and ensuring compliance with SCK CEN’s security policies.</t>
        </is>
      </c>
      <c r="O341" s="6" t="n">
        <v>2</v>
      </c>
      <c r="P341" s="6" t="n">
        <v>0</v>
      </c>
      <c r="Q341" s="6" t="n">
        <v>0</v>
      </c>
      <c r="R341" s="6" t="n">
        <v>3</v>
      </c>
      <c r="S341" s="6" t="n">
        <v>0</v>
      </c>
      <c r="T341" s="6" t="n">
        <v>0</v>
      </c>
      <c r="U341" s="6" t="n">
        <v>0</v>
      </c>
      <c r="V341" s="6" t="n">
        <v>29.333333</v>
      </c>
      <c r="W341" s="6" t="n">
        <v>53.4674</v>
      </c>
      <c r="X341" s="6" t="n">
        <v>3.6425</v>
      </c>
      <c r="Y341" s="6" t="inlineStr">
        <is>
          <t>Functional</t>
        </is>
      </c>
      <c r="Z341" s="6" t="inlineStr">
        <is>
          <t>Frozen-weight composite; strongest contribution: Functional.</t>
        </is>
      </c>
      <c r="AA341" s="6" t="inlineStr">
        <is>
          <t>None explicitly named in this RTM</t>
        </is>
      </c>
      <c r="AB341" s="6" t="inlineStr">
        <is>
          <t>Section-level: ISO 27001; IEC 62443-3-3; EU Cyber Resilience Act (CRA); CE marking</t>
        </is>
      </c>
      <c r="AC341" s="6" t="inlineStr">
        <is>
          <t>Design review plus final inspection/acceptance evidence</t>
        </is>
      </c>
      <c r="AD341" s="6" t="inlineStr">
        <is>
          <t>No separate deliverable explicitly named</t>
        </is>
      </c>
      <c r="AE341" s="6" t="inlineStr">
        <is>
          <t>L1 Conceptual Design; L2 Detailed Design</t>
        </is>
      </c>
      <c r="AF341" s="6" t="inlineStr">
        <is>
          <t>Section/contract-derived reference; derived evidence route</t>
        </is>
      </c>
      <c r="AG341" s="58" t="inlineStr">
        <is>
          <t>OFFER-25 (Direct)</t>
        </is>
      </c>
    </row>
    <row r="342" ht="60" customHeight="1">
      <c r="A342" s="6" t="n">
        <v>337</v>
      </c>
      <c r="B342" s="6" t="inlineStr">
        <is>
          <t>RTM-334</t>
        </is>
      </c>
      <c r="C342" s="6" t="inlineStr">
        <is>
          <t>No</t>
        </is>
      </c>
      <c r="D342" s="6" t="inlineStr">
        <is>
          <t>T2 Secondary</t>
        </is>
      </c>
      <c r="E342" s="6" t="inlineStr">
        <is>
          <t>Control &amp; Interlock</t>
        </is>
      </c>
      <c r="F342" s="82" t="inlineStr">
        <is>
          <t>SYSTEM</t>
        </is>
      </c>
      <c r="G342" s="83" t="inlineStr">
        <is>
          <t>Control</t>
        </is>
      </c>
      <c r="H342" s="59" t="inlineStr">
        <is>
          <t>—</t>
        </is>
      </c>
      <c r="I342" s="58" t="inlineStr">
        <is>
          <t>C4 — Software &amp; Control</t>
        </is>
      </c>
      <c r="J342" s="6" t="n">
        <v>75</v>
      </c>
      <c r="K342" s="6" t="inlineStr">
        <is>
          <t>4.6.7</t>
        </is>
      </c>
      <c r="L342" s="6" t="inlineStr">
        <is>
          <t>Software development</t>
        </is>
      </c>
      <c r="M342" s="6" t="inlineStr">
        <is>
          <t>The Contractor shall provide a list of all development tools, environments, and version compatibility requirements necessary to edit, build, deploy, and restore the delivered control software at the time of Plant Acceptance.</t>
        </is>
      </c>
      <c r="N342" s="6" t="inlineStr">
        <is>
          <t>The Contractor shall provide a list of all development tools, environments, and version compatibility requirements necessary to edit, build, deploy, and restore the delivered control software at the time of Plant Acceptance.</t>
        </is>
      </c>
      <c r="O342" s="6" t="n">
        <v>2</v>
      </c>
      <c r="P342" s="6" t="n">
        <v>0</v>
      </c>
      <c r="Q342" s="6" t="n">
        <v>0</v>
      </c>
      <c r="R342" s="6" t="n">
        <v>3</v>
      </c>
      <c r="S342" s="6" t="n">
        <v>0</v>
      </c>
      <c r="T342" s="6" t="n">
        <v>0</v>
      </c>
      <c r="U342" s="6" t="n">
        <v>0</v>
      </c>
      <c r="V342" s="6" t="n">
        <v>29.333333</v>
      </c>
      <c r="W342" s="6" t="n">
        <v>53.4674</v>
      </c>
      <c r="X342" s="6" t="n">
        <v>3.6425</v>
      </c>
      <c r="Y342" s="6" t="inlineStr">
        <is>
          <t>Functional</t>
        </is>
      </c>
      <c r="Z342" s="6" t="inlineStr">
        <is>
          <t>Frozen-weight composite; strongest contribution: Functional.</t>
        </is>
      </c>
      <c r="AA342" s="6" t="inlineStr">
        <is>
          <t>None explicitly named in this RTM</t>
        </is>
      </c>
      <c r="AB342" s="6" t="inlineStr">
        <is>
          <t>Section-level: IEC 61131-3</t>
        </is>
      </c>
      <c r="AC342" s="6" t="inlineStr">
        <is>
          <t>Submit and review the named deliverable with RTM traceability and approval status; Functional design/configuration review and sequence/interface demonstration</t>
        </is>
      </c>
      <c r="AD342" s="6" t="inlineStr">
        <is>
          <t>List / register / matrix</t>
        </is>
      </c>
      <c r="AE342" s="6" t="inlineStr">
        <is>
          <t>L1 Conceptual Design; L2 Detailed Design</t>
        </is>
      </c>
      <c r="AF342" s="6" t="inlineStr">
        <is>
          <t>Section/contract-derived reference; explicit deliverable/test wording</t>
        </is>
      </c>
      <c r="AG342" s="58" t="inlineStr">
        <is>
          <t>OFFER-26 (Direct); OFFER-27 (Supporting); OFFER-28 (Supporting)</t>
        </is>
      </c>
    </row>
    <row r="343" ht="73" customHeight="1">
      <c r="A343" s="6" t="n">
        <v>338</v>
      </c>
      <c r="B343" s="6" t="inlineStr">
        <is>
          <t>RTM-361</t>
        </is>
      </c>
      <c r="C343" s="6" t="inlineStr">
        <is>
          <t>No</t>
        </is>
      </c>
      <c r="D343" s="6" t="inlineStr">
        <is>
          <t>T2 Secondary</t>
        </is>
      </c>
      <c r="E343" s="6" t="inlineStr">
        <is>
          <t>Control &amp; Interlock</t>
        </is>
      </c>
      <c r="F343" s="82" t="inlineStr">
        <is>
          <t>SYSTEM</t>
        </is>
      </c>
      <c r="G343" s="83" t="inlineStr">
        <is>
          <t>Performance</t>
        </is>
      </c>
      <c r="H343" s="59" t="inlineStr">
        <is>
          <t>—</t>
        </is>
      </c>
      <c r="I343" s="58" t="inlineStr">
        <is>
          <t>C4 — Software &amp; Control</t>
        </is>
      </c>
      <c r="J343" s="6" t="n">
        <v>77</v>
      </c>
      <c r="K343" s="6" t="inlineStr">
        <is>
          <t>4.6.8</t>
        </is>
      </c>
      <c r="L343" s="6" t="inlineStr">
        <is>
          <t>SCADA, HMI, and Data Historian Infrastructure</t>
        </is>
      </c>
      <c r="M343" s="6" t="inlineStr">
        <is>
          <t>The Contractor shall develop graphical process views in a participatory design approach with SCK CEN, incorporating user feedback to promote consistency, usability, and standardization across operator interfaces as part of CIS Dossier</t>
        </is>
      </c>
      <c r="N343" s="6" t="inlineStr">
        <is>
          <t>The Contractor shall develop graphical process views in a participatory design approach with SCK CEN, incorporating user feedback to promote consistency, usability, and standardization across operator interfaces as part of CIS Dossier</t>
        </is>
      </c>
      <c r="O343" s="6" t="n">
        <v>2</v>
      </c>
      <c r="P343" s="6" t="n">
        <v>0</v>
      </c>
      <c r="Q343" s="6" t="n">
        <v>0</v>
      </c>
      <c r="R343" s="6" t="n">
        <v>3</v>
      </c>
      <c r="S343" s="6" t="n">
        <v>0</v>
      </c>
      <c r="T343" s="6" t="n">
        <v>0</v>
      </c>
      <c r="U343" s="6" t="n">
        <v>0</v>
      </c>
      <c r="V343" s="6" t="n">
        <v>29.333333</v>
      </c>
      <c r="W343" s="6" t="n">
        <v>53.4674</v>
      </c>
      <c r="X343" s="6" t="n">
        <v>3.6425</v>
      </c>
      <c r="Y343" s="6" t="inlineStr">
        <is>
          <t>Functional</t>
        </is>
      </c>
      <c r="Z343" s="6" t="inlineStr">
        <is>
          <t>Frozen-weight composite; strongest contribution: Functional.</t>
        </is>
      </c>
      <c r="AA343" s="6" t="inlineStr">
        <is>
          <t>None explicitly named in this RTM</t>
        </is>
      </c>
      <c r="AB343" s="6" t="inlineStr">
        <is>
          <t>SCK CEN/90508872 §4.6.8; no named external code</t>
        </is>
      </c>
      <c r="AC343" s="6" t="inlineStr">
        <is>
          <t>Functional design/configuration review and sequence/interface demonstration</t>
        </is>
      </c>
      <c r="AD343" s="6" t="inlineStr">
        <is>
          <t>No separate deliverable explicitly named</t>
        </is>
      </c>
      <c r="AE343" s="6" t="inlineStr">
        <is>
          <t>L1 Conceptual Design; L2 Detailed Design</t>
        </is>
      </c>
      <c r="AF343" s="6" t="inlineStr">
        <is>
          <t>Section/contract-derived reference; derived evidence route</t>
        </is>
      </c>
      <c r="AG343" s="58" t="inlineStr">
        <is>
          <t>OFFER-29 (Direct)</t>
        </is>
      </c>
    </row>
    <row r="344" ht="60" customHeight="1">
      <c r="A344" s="6" t="n">
        <v>339</v>
      </c>
      <c r="B344" s="6" t="inlineStr">
        <is>
          <t>RTM-413</t>
        </is>
      </c>
      <c r="C344" s="6" t="inlineStr">
        <is>
          <t>No</t>
        </is>
      </c>
      <c r="D344" s="6" t="inlineStr">
        <is>
          <t>T2 Secondary</t>
        </is>
      </c>
      <c r="E344" s="6" t="inlineStr">
        <is>
          <t>Buildings &amp; Utilities</t>
        </is>
      </c>
      <c r="F344" s="82" t="inlineStr">
        <is>
          <t>SYSTEM</t>
        </is>
      </c>
      <c r="G344" s="83" t="inlineStr">
        <is>
          <t>Control</t>
        </is>
      </c>
      <c r="H344" s="59" t="inlineStr">
        <is>
          <t>—</t>
        </is>
      </c>
      <c r="I344" s="81" t="inlineStr">
        <is>
          <t>Inferred: C5 — Infrastructure &amp; Integration (high conf.)</t>
        </is>
      </c>
      <c r="J344" s="6" t="n">
        <v>83</v>
      </c>
      <c r="K344" s="6" t="inlineStr">
        <is>
          <t>4.7.4.2</t>
        </is>
      </c>
      <c r="L344" s="6" t="inlineStr">
        <is>
          <t>Process cooling water general</t>
        </is>
      </c>
      <c r="M344" s="6" t="inlineStr">
        <is>
          <t>The QPS shall implement specific turndown logic exclusively for the water-cooling consumption of the HP Compressors based on the active operational scenario and LINAC configuration.</t>
        </is>
      </c>
      <c r="N344" s="6" t="inlineStr">
        <is>
          <t>The QPS shall implement specific turndown logic exclusively for the water-cooling consumption of the HP Compressors based on the active operational scenario and LINAC configuration.</t>
        </is>
      </c>
      <c r="O344" s="6" t="n">
        <v>0</v>
      </c>
      <c r="P344" s="6" t="n">
        <v>0</v>
      </c>
      <c r="Q344" s="6" t="n">
        <v>2</v>
      </c>
      <c r="R344" s="6" t="n">
        <v>3</v>
      </c>
      <c r="S344" s="6" t="n">
        <v>0</v>
      </c>
      <c r="T344" s="6" t="n">
        <v>0</v>
      </c>
      <c r="U344" s="6" t="n">
        <v>0</v>
      </c>
      <c r="V344" s="6" t="n">
        <v>29.333333</v>
      </c>
      <c r="W344" s="6" t="n">
        <v>53.4674</v>
      </c>
      <c r="X344" s="6" t="n">
        <v>3.6425</v>
      </c>
      <c r="Y344" s="6" t="inlineStr">
        <is>
          <t>Functional</t>
        </is>
      </c>
      <c r="Z344" s="6" t="inlineStr">
        <is>
          <t>Frozen-weight composite; strongest contribution: Functional.</t>
        </is>
      </c>
      <c r="AA344" s="6" t="inlineStr">
        <is>
          <t>None explicitly named in this RTM</t>
        </is>
      </c>
      <c r="AB344" s="6" t="inlineStr">
        <is>
          <t>SCK CEN/90508872 §4.7.4.2; no named external code</t>
        </is>
      </c>
      <c r="AC344" s="6" t="inlineStr">
        <is>
          <t>Calculation/model plus calibrated measurement or recorded trend; Functional design/configuration review and sequence/interface demonstration</t>
        </is>
      </c>
      <c r="AD344" s="6" t="inlineStr">
        <is>
          <t>No separate deliverable explicitly named</t>
        </is>
      </c>
      <c r="AE344" s="6" t="inlineStr">
        <is>
          <t>L1 Conceptual Design; L2 Detailed Design</t>
        </is>
      </c>
      <c r="AF344" s="6" t="inlineStr">
        <is>
          <t>Section/contract-derived reference; derived evidence route</t>
        </is>
      </c>
      <c r="AG344" s="58" t="inlineStr">
        <is>
          <t>Not linked to an OFFER item</t>
        </is>
      </c>
    </row>
    <row r="345" ht="216" customHeight="1">
      <c r="A345" s="6" t="n">
        <v>340</v>
      </c>
      <c r="B345" s="6" t="inlineStr">
        <is>
          <t>RTM-443</t>
        </is>
      </c>
      <c r="C345" s="6" t="inlineStr">
        <is>
          <t>No</t>
        </is>
      </c>
      <c r="D345" s="6" t="inlineStr">
        <is>
          <t>T2 Secondary</t>
        </is>
      </c>
      <c r="E345" s="6" t="inlineStr">
        <is>
          <t>Design &amp; Fabrication</t>
        </is>
      </c>
      <c r="F345" s="82" t="inlineStr">
        <is>
          <t>SYSTEM</t>
        </is>
      </c>
      <c r="G345" s="83" t="inlineStr">
        <is>
          <t>Constraint</t>
        </is>
      </c>
      <c r="H345" s="59" t="inlineStr">
        <is>
          <t>—</t>
        </is>
      </c>
      <c r="I345" s="81" t="inlineStr">
        <is>
          <t>Inferred: C5 — Infrastructure &amp; Integration (medium conf.)</t>
        </is>
      </c>
      <c r="J345" s="6" t="n">
        <v>87</v>
      </c>
      <c r="K345" s="6" t="inlineStr">
        <is>
          <t>4.8.1.1</t>
        </is>
      </c>
      <c r="L345" s="6" t="inlineStr">
        <is>
          <t>Level of Representation of 3D Models</t>
        </is>
      </c>
      <c r="M345" s="6" t="inlineStr">
        <is>
          <t>The following LoR levels shall be provided:</t>
        </is>
      </c>
      <c r="N345" s="6" t="inlineStr">
        <is>
          <t>The following LoR levels shall be provided:
• LoR 10 - Reference Lines:
• Representation limited to basic reference geometry such as datum points, axes, and sketches.
• LoR 20 – Envelope:
• Simplified bounding boxes or envelopes representing the overall geometry and space claim of the Element or Instance.
• LoR 30 - Space-Claim / Keep-Out Zones:
• Envelopes including hard and soft keep-out volumes and functional boundaries required for integration and clash detection.
• LoR 40 - Minimal Structural Representation:
• Representation including the principal structural Parts and the relevant interfaces.
• LoR 99 - Full-Detail Representation:
• The complete and detailed model used for integration, reviews, documentation, and final verification.</t>
        </is>
      </c>
      <c r="O345" s="6" t="n">
        <v>0</v>
      </c>
      <c r="P345" s="6" t="n">
        <v>0</v>
      </c>
      <c r="Q345" s="6" t="n">
        <v>1</v>
      </c>
      <c r="R345" s="6" t="n">
        <v>2</v>
      </c>
      <c r="S345" s="6" t="n">
        <v>3</v>
      </c>
      <c r="T345" s="6" t="n">
        <v>0</v>
      </c>
      <c r="U345" s="6" t="n">
        <v>0</v>
      </c>
      <c r="V345" s="6" t="n">
        <v>29.333333</v>
      </c>
      <c r="W345" s="6" t="n">
        <v>53.4674</v>
      </c>
      <c r="X345" s="6" t="n">
        <v>3.6425</v>
      </c>
      <c r="Y345" s="6" t="inlineStr">
        <is>
          <t>Quality / Verifiability</t>
        </is>
      </c>
      <c r="Z345" s="6" t="inlineStr">
        <is>
          <t>Frozen-weight composite; strongest contribution: Quality / Verifiability.</t>
        </is>
      </c>
      <c r="AA345" s="6" t="inlineStr">
        <is>
          <t>None explicitly named in this RTM</t>
        </is>
      </c>
      <c r="AB345" s="6" t="inlineStr">
        <is>
          <t>SCK CEN/90508872 §4.8.1.1; no named external code</t>
        </is>
      </c>
      <c r="AC345" s="6" t="inlineStr">
        <is>
          <t>Functional design/configuration review and sequence/interface demonstration; Document review, inspection, certification, audit or traceable QC record</t>
        </is>
      </c>
      <c r="AD345" s="6" t="inlineStr">
        <is>
          <t>No separate deliverable explicitly named</t>
        </is>
      </c>
      <c r="AE345" s="6" t="inlineStr">
        <is>
          <t>L1 Conceptual Design; L2 Detailed Design</t>
        </is>
      </c>
      <c r="AF345" s="6" t="inlineStr">
        <is>
          <t>Section/contract-derived reference; derived evidence route</t>
        </is>
      </c>
      <c r="AG345" s="58" t="inlineStr">
        <is>
          <t>Not linked to an OFFER item</t>
        </is>
      </c>
    </row>
    <row r="346" ht="138" customHeight="1">
      <c r="A346" s="6" t="n">
        <v>341</v>
      </c>
      <c r="B346" s="6" t="inlineStr">
        <is>
          <t>RTM-536</t>
        </is>
      </c>
      <c r="C346" s="6" t="inlineStr">
        <is>
          <t>No</t>
        </is>
      </c>
      <c r="D346" s="6" t="inlineStr">
        <is>
          <t>T2 Secondary</t>
        </is>
      </c>
      <c r="E346" s="6" t="inlineStr">
        <is>
          <t>Acceptance Testing</t>
        </is>
      </c>
      <c r="F346" s="82" t="inlineStr">
        <is>
          <t>PROJECT</t>
        </is>
      </c>
      <c r="G346" s="83" t="inlineStr">
        <is>
          <t>Governance &amp; Responsibility</t>
        </is>
      </c>
      <c r="H346" s="59" t="inlineStr">
        <is>
          <t>—</t>
        </is>
      </c>
      <c r="I346" s="58" t="inlineStr">
        <is>
          <t>C7 — Quality, Testing &amp; Risk</t>
        </is>
      </c>
      <c r="J346" s="6" t="n">
        <v>104</v>
      </c>
      <c r="K346" s="6" t="inlineStr">
        <is>
          <t>4.13.3.3.5</t>
        </is>
      </c>
      <c r="L346" s="6" t="inlineStr">
        <is>
          <t>Demonstration of rotating and compression equipment</t>
        </is>
      </c>
      <c r="M346" s="6" t="inlineStr">
        <is>
          <t>For each warm compressor system, the Contractor shall demonstrate the relevant auxiliary-process performance during the SAT. This shall include, at minimum:</t>
        </is>
      </c>
      <c r="N346" s="6" t="inlineStr">
        <is>
          <t>For each warm compressor system, the Contractor shall demonstrate the relevant auxiliary-process performance during the SAT. This shall include, at minimum:
• The oil-removal efficiency.
• The dryer performance.
• The verification of the relevant impurity-removal performance of the auxiliary-process systems.
• The verification of the relevant downstream oil concentration limits.
• The verification of the regeneration procedure, regeneration duration, and regeneration-gas consumption.</t>
        </is>
      </c>
      <c r="O346" s="6" t="n">
        <v>1</v>
      </c>
      <c r="P346" s="6" t="n">
        <v>0</v>
      </c>
      <c r="Q346" s="6" t="n">
        <v>0</v>
      </c>
      <c r="R346" s="6" t="n">
        <v>2</v>
      </c>
      <c r="S346" s="6" t="n">
        <v>3</v>
      </c>
      <c r="T346" s="6" t="n">
        <v>0</v>
      </c>
      <c r="U346" s="6" t="n">
        <v>0</v>
      </c>
      <c r="V346" s="6" t="n">
        <v>29.333333</v>
      </c>
      <c r="W346" s="6" t="n">
        <v>53.4674</v>
      </c>
      <c r="X346" s="6" t="n">
        <v>3.6425</v>
      </c>
      <c r="Y346" s="6" t="inlineStr">
        <is>
          <t>Quality / Verifiability</t>
        </is>
      </c>
      <c r="Z346" s="6" t="inlineStr">
        <is>
          <t>Frozen-weight composite; strongest contribution: Quality / Verifiability.</t>
        </is>
      </c>
      <c r="AA346" s="6" t="inlineStr">
        <is>
          <t>None explicitly named in this RTM</t>
        </is>
      </c>
      <c r="AB346" s="6" t="inlineStr">
        <is>
          <t>SCK CEN/90508872 §4.13.3.3.5; no named external code</t>
        </is>
      </c>
      <c r="AC346" s="6" t="inlineStr">
        <is>
          <t>Submit and review the named deliverable with RTM traceability and approval status; Witnessed FAT/SAT/commissioning test against stated acceptance criteria; Functional design/configuration review and sequence/interface demonstration</t>
        </is>
      </c>
      <c r="AD346" s="6" t="inlineStr">
        <is>
          <t>Procedure / work instruction</t>
        </is>
      </c>
      <c r="AE346" s="6" t="inlineStr">
        <is>
          <t>L6 Site Acceptance Testing; L1 Conceptual Design; L2 Detailed Design</t>
        </is>
      </c>
      <c r="AF346" s="6" t="inlineStr">
        <is>
          <t>Section/contract-derived reference; explicit deliverable/test wording</t>
        </is>
      </c>
      <c r="AG346" s="58" t="inlineStr">
        <is>
          <t>OFFER-39 (Supporting)</t>
        </is>
      </c>
    </row>
    <row r="347" ht="73" customHeight="1">
      <c r="A347" s="6" t="n">
        <v>342</v>
      </c>
      <c r="B347" s="6" t="inlineStr">
        <is>
          <t>RTM-554</t>
        </is>
      </c>
      <c r="C347" s="6" t="inlineStr">
        <is>
          <t>No</t>
        </is>
      </c>
      <c r="D347" s="6" t="inlineStr">
        <is>
          <t>T2 Secondary</t>
        </is>
      </c>
      <c r="E347" s="6" t="inlineStr">
        <is>
          <t>Acceptance Testing</t>
        </is>
      </c>
      <c r="F347" s="82" t="inlineStr">
        <is>
          <t>PROJECT</t>
        </is>
      </c>
      <c r="G347" s="83" t="inlineStr">
        <is>
          <t>Governance &amp; Responsibility</t>
        </is>
      </c>
      <c r="H347" s="59" t="inlineStr">
        <is>
          <t>—</t>
        </is>
      </c>
      <c r="I347" s="58" t="inlineStr">
        <is>
          <t>C7 — Quality, Testing &amp; Risk</t>
        </is>
      </c>
      <c r="J347" s="6" t="n">
        <v>107</v>
      </c>
      <c r="K347" s="6" t="inlineStr">
        <is>
          <t>4.13.3.5</t>
        </is>
      </c>
      <c r="L347" s="6" t="inlineStr">
        <is>
          <t>Demonstration of control system behaviour</t>
        </is>
      </c>
      <c r="M347" s="6" t="inlineStr">
        <is>
          <t>The Contractor shall demonstrate the capability of the QPS:CIS to recover from a loss of power and to support black-start procedures.</t>
        </is>
      </c>
      <c r="N347" s="6" t="inlineStr">
        <is>
          <t>The Contractor shall demonstrate the capability of the QPS:CIS to recover from a loss of power and to support black-start procedures.
• This shall include the verification of the correct restoration of the relevant control-system functions, sequences, and operator functions following power restoration.</t>
        </is>
      </c>
      <c r="O347" s="6" t="n">
        <v>1</v>
      </c>
      <c r="P347" s="6" t="n">
        <v>0</v>
      </c>
      <c r="Q347" s="6" t="n">
        <v>0</v>
      </c>
      <c r="R347" s="6" t="n">
        <v>2</v>
      </c>
      <c r="S347" s="6" t="n">
        <v>3</v>
      </c>
      <c r="T347" s="6" t="n">
        <v>0</v>
      </c>
      <c r="U347" s="6" t="n">
        <v>0</v>
      </c>
      <c r="V347" s="6" t="n">
        <v>29.333333</v>
      </c>
      <c r="W347" s="6" t="n">
        <v>53.4674</v>
      </c>
      <c r="X347" s="6" t="n">
        <v>3.6425</v>
      </c>
      <c r="Y347" s="6" t="inlineStr">
        <is>
          <t>Quality / Verifiability</t>
        </is>
      </c>
      <c r="Z347" s="6" t="inlineStr">
        <is>
          <t>Frozen-weight composite; strongest contribution: Quality / Verifiability.</t>
        </is>
      </c>
      <c r="AA347" s="6" t="inlineStr">
        <is>
          <t>None explicitly named in this RTM</t>
        </is>
      </c>
      <c r="AB347" s="6" t="inlineStr">
        <is>
          <t>SCK CEN/90508872 §4.13.3.5; no named external code</t>
        </is>
      </c>
      <c r="AC347" s="6" t="inlineStr">
        <is>
          <t>Submit and review the named deliverable with RTM traceability and approval status; Witnessed FAT/SAT/commissioning test against stated acceptance criteria; Functional design/configuration review and sequence/interface demonstration</t>
        </is>
      </c>
      <c r="AD347" s="6" t="inlineStr">
        <is>
          <t>Procedure / work instruction</t>
        </is>
      </c>
      <c r="AE347" s="6" t="inlineStr">
        <is>
          <t>L1 Conceptual Design; L2 Detailed Design</t>
        </is>
      </c>
      <c r="AF347" s="6" t="inlineStr">
        <is>
          <t>Section/contract-derived reference; explicit deliverable/test wording</t>
        </is>
      </c>
      <c r="AG347" s="58" t="inlineStr">
        <is>
          <t>OFFER-39 (Supporting)</t>
        </is>
      </c>
    </row>
    <row r="348" ht="73" customHeight="1">
      <c r="A348" s="6" t="n">
        <v>343</v>
      </c>
      <c r="B348" s="6" t="inlineStr">
        <is>
          <t>RTM-064</t>
        </is>
      </c>
      <c r="C348" s="6" t="inlineStr">
        <is>
          <t>No</t>
        </is>
      </c>
      <c r="D348" s="6" t="inlineStr">
        <is>
          <t>T2 Secondary</t>
        </is>
      </c>
      <c r="E348" s="6" t="inlineStr">
        <is>
          <t>Global Design Criteria</t>
        </is>
      </c>
      <c r="F348" s="82" t="inlineStr">
        <is>
          <t>SYSTEM</t>
        </is>
      </c>
      <c r="G348" s="83" t="inlineStr">
        <is>
          <t>Performance</t>
        </is>
      </c>
      <c r="H348" s="59" t="inlineStr">
        <is>
          <t>—</t>
        </is>
      </c>
      <c r="I348" s="81" t="inlineStr">
        <is>
          <t>Inferred: C1 — Performance (medium conf.)</t>
        </is>
      </c>
      <c r="J348" s="6" t="n">
        <v>39</v>
      </c>
      <c r="K348" s="6" t="inlineStr">
        <is>
          <t>4.3.3</t>
        </is>
      </c>
      <c r="L348" s="6" t="inlineStr">
        <is>
          <t>Maintenance strategy</t>
        </is>
      </c>
      <c r="M348" s="6" t="inlineStr">
        <is>
          <t>The Contractor shall provide a Maintenance Plan for the QPS. The Maintenance Plan shall:</t>
        </is>
      </c>
      <c r="N348" s="6" t="inlineStr">
        <is>
          <t>The Contractor shall provide a Maintenance Plan for the QPS. The Maintenance Plan shall:
• Be based on a Reliability-Centred Maintenance analysis
• Be consistent with recognized asset management practices, including ISO 55000 and ISO 14224 where applicable</t>
        </is>
      </c>
      <c r="O348" s="6" t="n">
        <v>0</v>
      </c>
      <c r="P348" s="6" t="n">
        <v>3</v>
      </c>
      <c r="Q348" s="6" t="n">
        <v>0</v>
      </c>
      <c r="R348" s="6" t="n">
        <v>0</v>
      </c>
      <c r="S348" s="6" t="n">
        <v>0</v>
      </c>
      <c r="T348" s="6" t="n">
        <v>3</v>
      </c>
      <c r="U348" s="6" t="n">
        <v>0</v>
      </c>
      <c r="V348" s="6" t="n">
        <v>29</v>
      </c>
      <c r="W348" s="6" t="n">
        <v>52.5659</v>
      </c>
      <c r="X348" s="6" t="n">
        <v>3.4656</v>
      </c>
      <c r="Y348" s="6" t="inlineStr">
        <is>
          <t>Reliability</t>
        </is>
      </c>
      <c r="Z348" s="6" t="inlineStr">
        <is>
          <t>Frozen-weight composite; strongest contribution: Reliability.</t>
        </is>
      </c>
      <c r="AA348" s="6" t="inlineStr">
        <is>
          <t>ISO 55000; ISO 14224</t>
        </is>
      </c>
      <c r="AB348" s="6" t="inlineStr">
        <is>
          <t>ISO 55000; ISO 14224</t>
        </is>
      </c>
      <c r="AC348" s="6" t="inlineStr">
        <is>
          <t>Submit and review the named deliverable with RTM traceability and approval status; RAM/maintenance substantiation and recovery/failure-response evidence</t>
        </is>
      </c>
      <c r="AD348" s="6" t="inlineStr">
        <is>
          <t>Maintenance / RCM Plan</t>
        </is>
      </c>
      <c r="AE348" s="6" t="inlineStr">
        <is>
          <t>L1 Conceptual Design; L2 Detailed Design</t>
        </is>
      </c>
      <c r="AF348" s="6" t="inlineStr">
        <is>
          <t>Explicit/table-grounded standard; explicit deliverable/test wording</t>
        </is>
      </c>
      <c r="AG348" s="58" t="inlineStr">
        <is>
          <t>Not linked to an OFFER item</t>
        </is>
      </c>
    </row>
    <row r="349" ht="47" customHeight="1">
      <c r="A349" s="6" t="n">
        <v>344</v>
      </c>
      <c r="B349" s="6" t="inlineStr">
        <is>
          <t>RTM-560</t>
        </is>
      </c>
      <c r="C349" s="6" t="inlineStr">
        <is>
          <t>No</t>
        </is>
      </c>
      <c r="D349" s="6" t="inlineStr">
        <is>
          <t>T2 Secondary</t>
        </is>
      </c>
      <c r="E349" s="6" t="inlineStr">
        <is>
          <t>Other Deliverables</t>
        </is>
      </c>
      <c r="F349" s="82" t="inlineStr">
        <is>
          <t>PROJECT</t>
        </is>
      </c>
      <c r="G349" s="83" t="inlineStr">
        <is>
          <t>Governance &amp; Responsibility</t>
        </is>
      </c>
      <c r="H349" s="59" t="inlineStr">
        <is>
          <t>—</t>
        </is>
      </c>
      <c r="I349" s="58" t="inlineStr">
        <is>
          <t>C6 — Reliability &amp; Maintenance</t>
        </is>
      </c>
      <c r="J349" s="6" t="n">
        <v>108</v>
      </c>
      <c r="K349" s="6" t="inlineStr">
        <is>
          <t>4.14.3</t>
        </is>
      </c>
      <c r="L349" s="6" t="inlineStr">
        <is>
          <t>Spare Parts</t>
        </is>
      </c>
      <c r="M349" s="6" t="inlineStr">
        <is>
          <t>If Contingent Part 1 is activated, the Contractor shall supply strategic spare parts required to support the first five (5) years of operation.</t>
        </is>
      </c>
      <c r="N349" s="6" t="inlineStr">
        <is>
          <t>If Contingent Part 1 is activated, the Contractor shall supply strategic spare parts required to support the first five (5) years of operation.</t>
        </is>
      </c>
      <c r="O349" s="6" t="n">
        <v>1</v>
      </c>
      <c r="P349" s="6" t="n">
        <v>2</v>
      </c>
      <c r="Q349" s="6" t="n">
        <v>0</v>
      </c>
      <c r="R349" s="6" t="n">
        <v>0</v>
      </c>
      <c r="S349" s="6" t="n">
        <v>0</v>
      </c>
      <c r="T349" s="6" t="n">
        <v>3</v>
      </c>
      <c r="U349" s="6" t="n">
        <v>0</v>
      </c>
      <c r="V349" s="6" t="n">
        <v>28.333333</v>
      </c>
      <c r="W349" s="6" t="n">
        <v>52.2191</v>
      </c>
      <c r="X349" s="6" t="n">
        <v>3.4</v>
      </c>
      <c r="Y349" s="6" t="inlineStr">
        <is>
          <t>Reliability</t>
        </is>
      </c>
      <c r="Z349" s="6" t="inlineStr">
        <is>
          <t>Frozen-weight composite; strongest contribution: Reliability.</t>
        </is>
      </c>
      <c r="AA349" s="6" t="inlineStr">
        <is>
          <t>None explicitly named in this RTM</t>
        </is>
      </c>
      <c r="AB349" s="6" t="inlineStr">
        <is>
          <t>SCK CEN/90508872 §4.14.3; no named external code</t>
        </is>
      </c>
      <c r="AC349" s="6" t="inlineStr">
        <is>
          <t>RAM/maintenance substantiation and recovery/failure-response evidence</t>
        </is>
      </c>
      <c r="AD349" s="6" t="inlineStr">
        <is>
          <t>No separate deliverable explicitly named</t>
        </is>
      </c>
      <c r="AE349" s="6" t="inlineStr">
        <is>
          <t>L1 Conceptual Design; L2 Detailed Design</t>
        </is>
      </c>
      <c r="AF349" s="6" t="inlineStr">
        <is>
          <t>Section/contract-derived reference; derived evidence route</t>
        </is>
      </c>
      <c r="AG349" s="58" t="inlineStr">
        <is>
          <t>OFFER-41 (Direct)</t>
        </is>
      </c>
    </row>
    <row r="350" ht="86" customHeight="1">
      <c r="A350" s="6" t="n">
        <v>345</v>
      </c>
      <c r="B350" s="6" t="inlineStr">
        <is>
          <t>RTM-561</t>
        </is>
      </c>
      <c r="C350" s="6" t="inlineStr">
        <is>
          <t>No</t>
        </is>
      </c>
      <c r="D350" s="6" t="inlineStr">
        <is>
          <t>T2 Secondary</t>
        </is>
      </c>
      <c r="E350" s="6" t="inlineStr">
        <is>
          <t>Other Deliverables</t>
        </is>
      </c>
      <c r="F350" s="82" t="inlineStr">
        <is>
          <t>PROJECT</t>
        </is>
      </c>
      <c r="G350" s="83" t="inlineStr">
        <is>
          <t>Governance &amp; Responsibility</t>
        </is>
      </c>
      <c r="H350" s="59" t="inlineStr">
        <is>
          <t>—</t>
        </is>
      </c>
      <c r="I350" s="58" t="inlineStr">
        <is>
          <t>C6 — Reliability &amp; Maintenance</t>
        </is>
      </c>
      <c r="J350" s="6" t="n">
        <v>108</v>
      </c>
      <c r="K350" s="6" t="inlineStr">
        <is>
          <t>4.14.3</t>
        </is>
      </c>
      <c r="L350" s="6" t="inlineStr">
        <is>
          <t>Spare Parts</t>
        </is>
      </c>
      <c r="M350" s="6" t="inlineStr">
        <is>
          <t>The spare parts shall include, at minimum, spare parts for operationally critical components with long procurement lead times, including but not limited to:</t>
        </is>
      </c>
      <c r="N350" s="6" t="inlineStr">
        <is>
          <t>The spare parts shall include, at minimum, spare parts for operationally critical components with long procurement lead times, including but not limited to:
• Turbines
• Cold compressors
• Warm compressors</t>
        </is>
      </c>
      <c r="O350" s="6" t="n">
        <v>1</v>
      </c>
      <c r="P350" s="6" t="n">
        <v>2</v>
      </c>
      <c r="Q350" s="6" t="n">
        <v>0</v>
      </c>
      <c r="R350" s="6" t="n">
        <v>0</v>
      </c>
      <c r="S350" s="6" t="n">
        <v>0</v>
      </c>
      <c r="T350" s="6" t="n">
        <v>3</v>
      </c>
      <c r="U350" s="6" t="n">
        <v>0</v>
      </c>
      <c r="V350" s="6" t="n">
        <v>28.333333</v>
      </c>
      <c r="W350" s="6" t="n">
        <v>52.2191</v>
      </c>
      <c r="X350" s="6" t="n">
        <v>3.4</v>
      </c>
      <c r="Y350" s="6" t="inlineStr">
        <is>
          <t>Reliability</t>
        </is>
      </c>
      <c r="Z350" s="6" t="inlineStr">
        <is>
          <t>Frozen-weight composite; strongest contribution: Reliability.</t>
        </is>
      </c>
      <c r="AA350" s="6" t="inlineStr">
        <is>
          <t>None explicitly named in this RTM</t>
        </is>
      </c>
      <c r="AB350" s="6" t="inlineStr">
        <is>
          <t>SCK CEN/90508872 §4.14.3; no named external code</t>
        </is>
      </c>
      <c r="AC350" s="6" t="inlineStr">
        <is>
          <t>RAM/maintenance substantiation and recovery/failure-response evidence</t>
        </is>
      </c>
      <c r="AD350" s="6" t="inlineStr">
        <is>
          <t>No separate deliverable explicitly named</t>
        </is>
      </c>
      <c r="AE350" s="6" t="inlineStr">
        <is>
          <t>L1 Conceptual Design; L2 Detailed Design</t>
        </is>
      </c>
      <c r="AF350" s="6" t="inlineStr">
        <is>
          <t>Section/contract-derived reference; derived evidence route</t>
        </is>
      </c>
      <c r="AG350" s="58" t="inlineStr">
        <is>
          <t>OFFER-41 (Direct)</t>
        </is>
      </c>
    </row>
    <row r="351" ht="60" customHeight="1">
      <c r="A351" s="6" t="n">
        <v>346</v>
      </c>
      <c r="B351" s="6" t="inlineStr">
        <is>
          <t>RTM-562</t>
        </is>
      </c>
      <c r="C351" s="6" t="inlineStr">
        <is>
          <t>No</t>
        </is>
      </c>
      <c r="D351" s="6" t="inlineStr">
        <is>
          <t>T2 Secondary</t>
        </is>
      </c>
      <c r="E351" s="6" t="inlineStr">
        <is>
          <t>Other Deliverables</t>
        </is>
      </c>
      <c r="F351" s="82" t="inlineStr">
        <is>
          <t>PROJECT</t>
        </is>
      </c>
      <c r="G351" s="83" t="inlineStr">
        <is>
          <t>Governance &amp; Responsibility</t>
        </is>
      </c>
      <c r="H351" s="59" t="inlineStr">
        <is>
          <t>—</t>
        </is>
      </c>
      <c r="I351" s="58" t="inlineStr">
        <is>
          <t>C6 — Reliability &amp; Maintenance</t>
        </is>
      </c>
      <c r="J351" s="6" t="n">
        <v>108</v>
      </c>
      <c r="K351" s="6" t="inlineStr">
        <is>
          <t>4.14.3</t>
        </is>
      </c>
      <c r="L351" s="6" t="inlineStr">
        <is>
          <t>Spare Parts</t>
        </is>
      </c>
      <c r="M351" s="6" t="inlineStr">
        <is>
          <t>All spare parts shall</t>
        </is>
      </c>
      <c r="N351" s="6" t="inlineStr">
        <is>
          <t>All spare parts shall
• be fully traceable to qualified manufacturers
• be fully compatible with the original design, performance, and safety requirements of the QPS.</t>
        </is>
      </c>
      <c r="O351" s="6" t="n">
        <v>1</v>
      </c>
      <c r="P351" s="6" t="n">
        <v>2</v>
      </c>
      <c r="Q351" s="6" t="n">
        <v>0</v>
      </c>
      <c r="R351" s="6" t="n">
        <v>0</v>
      </c>
      <c r="S351" s="6" t="n">
        <v>0</v>
      </c>
      <c r="T351" s="6" t="n">
        <v>3</v>
      </c>
      <c r="U351" s="6" t="n">
        <v>0</v>
      </c>
      <c r="V351" s="6" t="n">
        <v>28.333333</v>
      </c>
      <c r="W351" s="6" t="n">
        <v>52.2191</v>
      </c>
      <c r="X351" s="6" t="n">
        <v>3.4</v>
      </c>
      <c r="Y351" s="6" t="inlineStr">
        <is>
          <t>Reliability</t>
        </is>
      </c>
      <c r="Z351" s="6" t="inlineStr">
        <is>
          <t>Frozen-weight composite; strongest contribution: Reliability.</t>
        </is>
      </c>
      <c r="AA351" s="6" t="inlineStr">
        <is>
          <t>None explicitly named in this RTM</t>
        </is>
      </c>
      <c r="AB351" s="6" t="inlineStr">
        <is>
          <t>SCK CEN/90508872 §4.14.3; no named external code</t>
        </is>
      </c>
      <c r="AC351" s="6" t="inlineStr">
        <is>
          <t>RAM/maintenance substantiation and recovery/failure-response evidence</t>
        </is>
      </c>
      <c r="AD351" s="6" t="inlineStr">
        <is>
          <t>No separate deliverable explicitly named</t>
        </is>
      </c>
      <c r="AE351" s="6" t="inlineStr">
        <is>
          <t>L1 Conceptual Design; L2 Detailed Design</t>
        </is>
      </c>
      <c r="AF351" s="6" t="inlineStr">
        <is>
          <t>Section/contract-derived reference; derived evidence route</t>
        </is>
      </c>
      <c r="AG351" s="58" t="inlineStr">
        <is>
          <t>OFFER-41 (Direct)</t>
        </is>
      </c>
    </row>
    <row r="352" ht="60" customHeight="1">
      <c r="A352" s="6" t="n">
        <v>347</v>
      </c>
      <c r="B352" s="6" t="inlineStr">
        <is>
          <t>RTM-708</t>
        </is>
      </c>
      <c r="C352" s="6" t="inlineStr">
        <is>
          <t>No</t>
        </is>
      </c>
      <c r="D352" s="6" t="inlineStr">
        <is>
          <t>T2 Secondary</t>
        </is>
      </c>
      <c r="E352" s="6" t="inlineStr">
        <is>
          <t>Acceptance &amp; Warranty</t>
        </is>
      </c>
      <c r="F352" s="82" t="inlineStr">
        <is>
          <t>PROJECT</t>
        </is>
      </c>
      <c r="G352" s="83" t="inlineStr">
        <is>
          <t>Documentation &amp; Compliance</t>
        </is>
      </c>
      <c r="H352" s="59" t="inlineStr">
        <is>
          <t>—</t>
        </is>
      </c>
      <c r="I352" s="58" t="inlineStr">
        <is>
          <t>C6 — Reliability &amp; Maintenance</t>
        </is>
      </c>
      <c r="J352" s="6" t="n">
        <v>130</v>
      </c>
      <c r="K352" s="6" t="inlineStr">
        <is>
          <t>10.2</t>
        </is>
      </c>
      <c r="L352" s="6" t="inlineStr">
        <is>
          <t>Warranty Period</t>
        </is>
      </c>
      <c r="M352" s="6" t="inlineStr">
        <is>
          <t>The warranty period (the “Warranty Period”) shall start on the date of issuance of the provisional acceptance report and shall end on the date of final acceptance. The Warranty Period shall be at least 3 years.</t>
        </is>
      </c>
      <c r="N352" s="6" t="inlineStr">
        <is>
          <t>The warranty period (the “Warranty Period”) shall start on the date of issuance of the provisional acceptance report and shall end on the date of final acceptance. The Warranty Period shall be at least 3 years.</t>
        </is>
      </c>
      <c r="O352" s="6" t="n">
        <v>2</v>
      </c>
      <c r="P352" s="6" t="n">
        <v>0</v>
      </c>
      <c r="Q352" s="6" t="n">
        <v>0</v>
      </c>
      <c r="R352" s="6" t="n">
        <v>0</v>
      </c>
      <c r="S352" s="6" t="n">
        <v>2</v>
      </c>
      <c r="T352" s="6" t="n">
        <v>3</v>
      </c>
      <c r="U352" s="6" t="n">
        <v>0</v>
      </c>
      <c r="V352" s="6" t="n">
        <v>28.333333</v>
      </c>
      <c r="W352" s="6" t="n">
        <v>52.2191</v>
      </c>
      <c r="X352" s="6" t="n">
        <v>3.4</v>
      </c>
      <c r="Y352" s="6" t="inlineStr">
        <is>
          <t>Safety / Legal</t>
        </is>
      </c>
      <c r="Z352" s="6" t="inlineStr">
        <is>
          <t>Frozen-weight composite; strongest contribution: Safety / Legal.</t>
        </is>
      </c>
      <c r="AA352" s="6" t="inlineStr">
        <is>
          <t>None explicitly named in this RTM</t>
        </is>
      </c>
      <c r="AB352" s="6" t="inlineStr">
        <is>
          <t>SCK CEN/90508872 §10.2; no named external code</t>
        </is>
      </c>
      <c r="AC352" s="6" t="inlineStr">
        <is>
          <t>Document review, inspection, certification, audit or traceable QC record</t>
        </is>
      </c>
      <c r="AD352" s="6" t="inlineStr">
        <is>
          <t>No separate deliverable explicitly named</t>
        </is>
      </c>
      <c r="AE352" s="6" t="inlineStr">
        <is>
          <t>PAC / Handover; Warranty; FAC</t>
        </is>
      </c>
      <c r="AF352" s="6" t="inlineStr">
        <is>
          <t>Section/contract-derived reference; derived evidence route</t>
        </is>
      </c>
      <c r="AG352" s="58" t="inlineStr">
        <is>
          <t>OFFER-50 (Direct)</t>
        </is>
      </c>
    </row>
    <row r="353" ht="112" customHeight="1">
      <c r="A353" s="6" t="n">
        <v>348</v>
      </c>
      <c r="B353" s="6" t="inlineStr">
        <is>
          <t>RTM-662</t>
        </is>
      </c>
      <c r="C353" s="6" t="inlineStr">
        <is>
          <t>No</t>
        </is>
      </c>
      <c r="D353" s="6" t="inlineStr">
        <is>
          <t>T2 Secondary</t>
        </is>
      </c>
      <c r="E353" s="6" t="inlineStr">
        <is>
          <t>Quality Assurance &amp; Control</t>
        </is>
      </c>
      <c r="F353" s="82" t="inlineStr">
        <is>
          <t>PROJECT</t>
        </is>
      </c>
      <c r="G353" s="83" t="inlineStr">
        <is>
          <t>Quality Assurance</t>
        </is>
      </c>
      <c r="H353" s="59" t="inlineStr">
        <is>
          <t>—</t>
        </is>
      </c>
      <c r="I353" s="81" t="inlineStr">
        <is>
          <t>Inferred: C7 — Quality, Testing &amp; Risk (high conf.)</t>
        </is>
      </c>
      <c r="J353" s="6" t="n">
        <v>124</v>
      </c>
      <c r="K353" s="6" t="inlineStr">
        <is>
          <t>8.1.6</t>
        </is>
      </c>
      <c r="L353" s="6" t="inlineStr">
        <is>
          <t>Change Management</t>
        </is>
      </c>
      <c r="M353" s="6" t="inlineStr">
        <is>
          <t>A Change Request shall at least contain following information:</t>
        </is>
      </c>
      <c r="N353" s="6" t="inlineStr">
        <is>
          <t>A Change Request shall at least contain following information:
• the initiator of the change
• the justification for the change
• the impact of the change (on product and/or (related) service(s),
• safety,
• risks,
• contract price and schedule),
• the description of the change and the plan of implementation.</t>
        </is>
      </c>
      <c r="O353" s="6" t="n">
        <v>2</v>
      </c>
      <c r="P353" s="6" t="n">
        <v>0</v>
      </c>
      <c r="Q353" s="6" t="n">
        <v>0</v>
      </c>
      <c r="R353" s="6" t="n">
        <v>0</v>
      </c>
      <c r="S353" s="6" t="n">
        <v>3</v>
      </c>
      <c r="T353" s="6" t="n">
        <v>0</v>
      </c>
      <c r="U353" s="6" t="n">
        <v>3</v>
      </c>
      <c r="V353" s="6" t="n">
        <v>28.333333</v>
      </c>
      <c r="W353" s="6" t="n">
        <v>51.8031</v>
      </c>
      <c r="X353" s="6" t="n">
        <v>3.3228</v>
      </c>
      <c r="Y353" s="6" t="inlineStr">
        <is>
          <t>Safety / Legal</t>
        </is>
      </c>
      <c r="Z353" s="6" t="inlineStr">
        <is>
          <t>Frozen-weight composite; strongest contribution: Safety / Legal.</t>
        </is>
      </c>
      <c r="AA353" s="6" t="inlineStr">
        <is>
          <t>None explicitly named in this RTM</t>
        </is>
      </c>
      <c r="AB353" s="6" t="inlineStr">
        <is>
          <t>SCK CEN/90508872 §8.1.6; no named external code</t>
        </is>
      </c>
      <c r="AC353" s="6" t="inlineStr">
        <is>
          <t>Document review, inspection, certification, audit or traceable QC record</t>
        </is>
      </c>
      <c r="AD353" s="6" t="inlineStr">
        <is>
          <t>No separate deliverable explicitly named</t>
        </is>
      </c>
      <c r="AE353" s="6" t="inlineStr">
        <is>
          <t>L0 Tender / Offer; L1 Conceptual Design; L2 Detailed Design; L3 Procurement &amp; Manufacturing / FAT; L4 Installation; L5 Standalone Commissioning; L6 Site Acceptance Testing</t>
        </is>
      </c>
      <c r="AF353" s="6" t="inlineStr">
        <is>
          <t>Section/contract-derived reference; derived evidence route</t>
        </is>
      </c>
      <c r="AG353" s="58" t="inlineStr">
        <is>
          <t>Not linked to an OFFER item</t>
        </is>
      </c>
    </row>
    <row r="354" ht="60" customHeight="1">
      <c r="A354" s="6" t="n">
        <v>349</v>
      </c>
      <c r="B354" s="6" t="inlineStr">
        <is>
          <t>RTM-677</t>
        </is>
      </c>
      <c r="C354" s="6" t="inlineStr">
        <is>
          <t>No</t>
        </is>
      </c>
      <c r="D354" s="6" t="inlineStr">
        <is>
          <t>T2 Secondary</t>
        </is>
      </c>
      <c r="E354" s="6" t="inlineStr">
        <is>
          <t>Quality Assurance &amp; Control</t>
        </is>
      </c>
      <c r="F354" s="82" t="inlineStr">
        <is>
          <t>PROJECT</t>
        </is>
      </c>
      <c r="G354" s="83" t="inlineStr">
        <is>
          <t>Quality Assurance</t>
        </is>
      </c>
      <c r="H354" s="59" t="inlineStr">
        <is>
          <t>—</t>
        </is>
      </c>
      <c r="I354" s="81" t="inlineStr">
        <is>
          <t>Inferred: C7 — Quality, Testing &amp; Risk (high conf.)</t>
        </is>
      </c>
      <c r="J354" s="6" t="n">
        <v>125</v>
      </c>
      <c r="K354" s="6" t="inlineStr">
        <is>
          <t>8.1.7</t>
        </is>
      </c>
      <c r="L354" s="6" t="inlineStr">
        <is>
          <t>Non-Conformity Management</t>
        </is>
      </c>
      <c r="M354" s="6" t="inlineStr">
        <is>
          <t>Performing the root cause analysis and implementing any preventive/corrective actions arising therefrom, shall not give rise to any additional compensation for the Contractor.</t>
        </is>
      </c>
      <c r="N354" s="6" t="inlineStr">
        <is>
          <t>Performing the root cause analysis and implementing any preventive/corrective actions arising therefrom, shall not give rise to any additional compensation for the Contractor.</t>
        </is>
      </c>
      <c r="O354" s="6" t="n">
        <v>2</v>
      </c>
      <c r="P354" s="6" t="n">
        <v>0</v>
      </c>
      <c r="Q354" s="6" t="n">
        <v>0</v>
      </c>
      <c r="R354" s="6" t="n">
        <v>0</v>
      </c>
      <c r="S354" s="6" t="n">
        <v>3</v>
      </c>
      <c r="T354" s="6" t="n">
        <v>0</v>
      </c>
      <c r="U354" s="6" t="n">
        <v>3</v>
      </c>
      <c r="V354" s="6" t="n">
        <v>28.333333</v>
      </c>
      <c r="W354" s="6" t="n">
        <v>51.8031</v>
      </c>
      <c r="X354" s="6" t="n">
        <v>3.3228</v>
      </c>
      <c r="Y354" s="6" t="inlineStr">
        <is>
          <t>Safety / Legal</t>
        </is>
      </c>
      <c r="Z354" s="6" t="inlineStr">
        <is>
          <t>Frozen-weight composite; strongest contribution: Safety / Legal.</t>
        </is>
      </c>
      <c r="AA354" s="6" t="inlineStr">
        <is>
          <t>None explicitly named in this RTM</t>
        </is>
      </c>
      <c r="AB354" s="6" t="inlineStr">
        <is>
          <t>SCK CEN/90508872 §8.1.7; no named external code</t>
        </is>
      </c>
      <c r="AC354" s="6" t="inlineStr">
        <is>
          <t>Witnessed FAT/SAT/commissioning test against stated acceptance criteria</t>
        </is>
      </c>
      <c r="AD354" s="6" t="inlineStr">
        <is>
          <t>No separate deliverable explicitly named</t>
        </is>
      </c>
      <c r="AE354" s="6" t="inlineStr">
        <is>
          <t>L6 Site Acceptance Testing; L0 Tender / Offer; L1 Conceptual Design; L2 Detailed Design; L3 Procurement &amp; Manufacturing / FAT; L4 Installation; L5 Standalone Commissioning</t>
        </is>
      </c>
      <c r="AF354" s="6" t="inlineStr">
        <is>
          <t>Section/contract-derived reference; derived evidence route</t>
        </is>
      </c>
      <c r="AG354" s="58" t="inlineStr">
        <is>
          <t>Not linked to an OFFER item</t>
        </is>
      </c>
    </row>
    <row r="355" ht="164" customHeight="1">
      <c r="A355" s="6" t="n">
        <v>350</v>
      </c>
      <c r="B355" s="6" t="inlineStr">
        <is>
          <t>RTM-010</t>
        </is>
      </c>
      <c r="C355" s="6" t="inlineStr">
        <is>
          <t>No</t>
        </is>
      </c>
      <c r="D355" s="6" t="inlineStr">
        <is>
          <t>T2 Secondary</t>
        </is>
      </c>
      <c r="E355" s="6" t="inlineStr">
        <is>
          <t>Process &amp; Functional</t>
        </is>
      </c>
      <c r="F355" s="82" t="inlineStr">
        <is>
          <t>SYSTEM</t>
        </is>
      </c>
      <c r="G355" s="83" t="inlineStr">
        <is>
          <t>Constraint</t>
        </is>
      </c>
      <c r="H355" s="59" t="inlineStr">
        <is>
          <t>—</t>
        </is>
      </c>
      <c r="I355" s="81" t="inlineStr">
        <is>
          <t>Inferred: C2 — Process Design (low conf.)</t>
        </is>
      </c>
      <c r="J355" s="6" t="n">
        <v>26</v>
      </c>
      <c r="K355" s="6" t="inlineStr">
        <is>
          <t>4.2.1.1</t>
        </is>
      </c>
      <c r="L355" s="6" t="inlineStr">
        <is>
          <t>Simplified User Models</t>
        </is>
      </c>
      <c r="M355" s="6" t="inlineStr">
        <is>
          <t>The QPS design shall assume the specified Cryogenic User Circuitry Model (Figure 6), which represents the steady-state behaviour of the user’s circuitry.</t>
        </is>
      </c>
      <c r="N355" s="6" t="inlineStr">
        <is>
          <t>The QPS design shall assume the specified Cryogenic User Circuitry Model (Figure 6), which represents the steady-state behaviour of the user’s circuitry.
• The CPLR Circuit has the liquefaction load defined by the mass flow consumption “m_CPLR.”
• The CAV Circuit has the heat loads “Q_CAV” at the cavities and “Q_B” at the return header.
• The TS Circuit has the heat load “Q_TS” at the Thermal Shield, including supply and return headers.
• The boundary conditions are specified in Appendix 11.1.
• The respective heat loads and mass flows are specified in §4.2.2 for Operational Conditions and §4.2.4 for Design Conditions.</t>
        </is>
      </c>
      <c r="O355" s="6" t="n">
        <v>0</v>
      </c>
      <c r="P355" s="6" t="n">
        <v>0</v>
      </c>
      <c r="Q355" s="6" t="n">
        <v>3</v>
      </c>
      <c r="R355" s="6" t="n">
        <v>0</v>
      </c>
      <c r="S355" s="6" t="n">
        <v>2</v>
      </c>
      <c r="T355" s="6" t="n">
        <v>0</v>
      </c>
      <c r="U355" s="6" t="n">
        <v>0</v>
      </c>
      <c r="V355" s="6" t="n">
        <v>28</v>
      </c>
      <c r="W355" s="6" t="n">
        <v>50.2774</v>
      </c>
      <c r="X355" s="6" t="n">
        <v>3.0548</v>
      </c>
      <c r="Y355" s="6" t="inlineStr">
        <is>
          <t>Performance</t>
        </is>
      </c>
      <c r="Z355" s="6" t="inlineStr">
        <is>
          <t>Frozen-weight composite; strongest contribution: Performance.</t>
        </is>
      </c>
      <c r="AA355" s="6" t="inlineStr">
        <is>
          <t>None explicitly named in this RTM</t>
        </is>
      </c>
      <c r="AB355" s="6" t="inlineStr">
        <is>
          <t>SCK CEN/90508872 §4.2.1.1; no named external code</t>
        </is>
      </c>
      <c r="AC355" s="6" t="inlineStr">
        <is>
          <t>Calculation/model plus calibrated measurement or recorded trend; Document review, inspection, certification, audit or traceable QC record</t>
        </is>
      </c>
      <c r="AD355" s="6" t="inlineStr">
        <is>
          <t>No separate deliverable explicitly named</t>
        </is>
      </c>
      <c r="AE355" s="6" t="inlineStr">
        <is>
          <t>L1 Conceptual Design; L2 Detailed Design</t>
        </is>
      </c>
      <c r="AF355" s="6" t="inlineStr">
        <is>
          <t>Section/contract-derived reference; derived evidence route</t>
        </is>
      </c>
      <c r="AG355" s="58" t="inlineStr">
        <is>
          <t>Not linked to an OFFER item</t>
        </is>
      </c>
    </row>
    <row r="356" ht="125" customHeight="1">
      <c r="A356" s="6" t="n">
        <v>351</v>
      </c>
      <c r="B356" s="6" t="inlineStr">
        <is>
          <t>RTM-011</t>
        </is>
      </c>
      <c r="C356" s="6" t="inlineStr">
        <is>
          <t>No</t>
        </is>
      </c>
      <c r="D356" s="6" t="inlineStr">
        <is>
          <t>T2 Secondary</t>
        </is>
      </c>
      <c r="E356" s="6" t="inlineStr">
        <is>
          <t>Process &amp; Functional</t>
        </is>
      </c>
      <c r="F356" s="82" t="inlineStr">
        <is>
          <t>SYSTEM</t>
        </is>
      </c>
      <c r="G356" s="83" t="inlineStr">
        <is>
          <t>Performance</t>
        </is>
      </c>
      <c r="H356" s="59" t="inlineStr">
        <is>
          <t>—</t>
        </is>
      </c>
      <c r="I356" s="81" t="inlineStr">
        <is>
          <t>Inferred: C2 — Process Design (low conf.)</t>
        </is>
      </c>
      <c r="J356" s="6" t="n">
        <v>26</v>
      </c>
      <c r="K356" s="6" t="inlineStr">
        <is>
          <t>4.2.1.1</t>
        </is>
      </c>
      <c r="L356" s="6" t="inlineStr">
        <is>
          <t>Simplified User Models</t>
        </is>
      </c>
      <c r="M356" s="6" t="inlineStr">
        <is>
          <t>The QPS design shall assume the specified Cryogenic User Transient Model (Figure 7), which represents the temperature-dependent transient behaviour of the user cold masses.</t>
        </is>
      </c>
      <c r="N356" s="6" t="inlineStr">
        <is>
          <t>The QPS design shall assume the specified Cryogenic User Transient Model (Figure 7), which represents the temperature-dependent transient behaviour of the user cold masses.
• The CAV mass is represented as a lumped thermal mass receiving heat loads from the Thermal Shield mass via radiation and conduction.
• The TS mass is represented as a lumped thermal mass receiving heat loads from ambient via radiation and conduction.
• The temperature-dependent properties of the masses and heat loads are specified in Appendix 11.2.</t>
        </is>
      </c>
      <c r="O356" s="6" t="n">
        <v>0</v>
      </c>
      <c r="P356" s="6" t="n">
        <v>0</v>
      </c>
      <c r="Q356" s="6" t="n">
        <v>3</v>
      </c>
      <c r="R356" s="6" t="n">
        <v>0</v>
      </c>
      <c r="S356" s="6" t="n">
        <v>2</v>
      </c>
      <c r="T356" s="6" t="n">
        <v>0</v>
      </c>
      <c r="U356" s="6" t="n">
        <v>0</v>
      </c>
      <c r="V356" s="6" t="n">
        <v>28</v>
      </c>
      <c r="W356" s="6" t="n">
        <v>50.2774</v>
      </c>
      <c r="X356" s="6" t="n">
        <v>3.0548</v>
      </c>
      <c r="Y356" s="6" t="inlineStr">
        <is>
          <t>Performance</t>
        </is>
      </c>
      <c r="Z356" s="6" t="inlineStr">
        <is>
          <t>Frozen-weight composite; strongest contribution: Performance.</t>
        </is>
      </c>
      <c r="AA356" s="6" t="inlineStr">
        <is>
          <t>None explicitly named in this RTM</t>
        </is>
      </c>
      <c r="AB356" s="6" t="inlineStr">
        <is>
          <t>SCK CEN/90508872 §4.2.1.1; no named external code</t>
        </is>
      </c>
      <c r="AC356" s="6" t="inlineStr">
        <is>
          <t>Calculation/model plus calibrated measurement or recorded trend; Document review, inspection, certification, audit or traceable QC record</t>
        </is>
      </c>
      <c r="AD356" s="6" t="inlineStr">
        <is>
          <t>No separate deliverable explicitly named</t>
        </is>
      </c>
      <c r="AE356" s="6" t="inlineStr">
        <is>
          <t>L1 Conceptual Design; L2 Detailed Design</t>
        </is>
      </c>
      <c r="AF356" s="6" t="inlineStr">
        <is>
          <t>Section/contract-derived reference; derived evidence route</t>
        </is>
      </c>
      <c r="AG356" s="58" t="inlineStr">
        <is>
          <t>Not linked to an OFFER item</t>
        </is>
      </c>
    </row>
    <row r="357" ht="86" customHeight="1">
      <c r="A357" s="6" t="n">
        <v>352</v>
      </c>
      <c r="B357" s="6" t="inlineStr">
        <is>
          <t>RTM-040</t>
        </is>
      </c>
      <c r="C357" s="6" t="inlineStr">
        <is>
          <t>No</t>
        </is>
      </c>
      <c r="D357" s="6" t="inlineStr">
        <is>
          <t>T2 Secondary</t>
        </is>
      </c>
      <c r="E357" s="6" t="inlineStr">
        <is>
          <t>Process &amp; Functional</t>
        </is>
      </c>
      <c r="F357" s="82" t="inlineStr">
        <is>
          <t>SYSTEM</t>
        </is>
      </c>
      <c r="G357" s="83" t="inlineStr">
        <is>
          <t>Performance</t>
        </is>
      </c>
      <c r="H357" s="59" t="inlineStr">
        <is>
          <t>—</t>
        </is>
      </c>
      <c r="I357" s="58" t="inlineStr">
        <is>
          <t>C2 — Process Design</t>
        </is>
      </c>
      <c r="J357" s="6" t="n">
        <v>33</v>
      </c>
      <c r="K357" s="6" t="inlineStr">
        <is>
          <t>4.2.4</t>
        </is>
      </c>
      <c r="L357" s="6" t="inlineStr">
        <is>
          <t>Cooling Capacity</t>
        </is>
      </c>
      <c r="M357" s="6" t="inlineStr">
        <is>
          <t>The QPS shall comply with the Design Cooling Capacity specified in Table 8 in accordance with the Cryogenic User Circuitry Model. To this end, the QPS shall:</t>
        </is>
      </c>
      <c r="N357" s="6" t="inlineStr">
        <is>
          <t>The QPS shall comply with the Design Cooling Capacity specified in Table 8 in accordance with the Cryogenic User Circuitry Model. To this end, the QPS shall:
• Provide sufficient installed cooling capacity to stably sustain the QPLANT Design Point.
• Be capable of stable operation at the QPLANT Standby Point.</t>
        </is>
      </c>
      <c r="O357" s="6" t="n">
        <v>0</v>
      </c>
      <c r="P357" s="6" t="n">
        <v>0</v>
      </c>
      <c r="Q357" s="6" t="n">
        <v>3</v>
      </c>
      <c r="R357" s="6" t="n">
        <v>0</v>
      </c>
      <c r="S357" s="6" t="n">
        <v>2</v>
      </c>
      <c r="T357" s="6" t="n">
        <v>0</v>
      </c>
      <c r="U357" s="6" t="n">
        <v>0</v>
      </c>
      <c r="V357" s="6" t="n">
        <v>28</v>
      </c>
      <c r="W357" s="6" t="n">
        <v>50.2774</v>
      </c>
      <c r="X357" s="6" t="n">
        <v>3.0548</v>
      </c>
      <c r="Y357" s="6" t="inlineStr">
        <is>
          <t>Performance</t>
        </is>
      </c>
      <c r="Z357" s="6" t="inlineStr">
        <is>
          <t>Frozen-weight composite; strongest contribution: Performance.</t>
        </is>
      </c>
      <c r="AA357" s="6" t="inlineStr">
        <is>
          <t>None explicitly named in this RTM</t>
        </is>
      </c>
      <c r="AB357" s="6" t="inlineStr">
        <is>
          <t>SCK CEN/90508872 §4.2.4; no named external code</t>
        </is>
      </c>
      <c r="AC357" s="6" t="inlineStr">
        <is>
          <t>Calculation/model plus calibrated measurement or recorded trend; Document review, inspection, certification, audit or traceable QC record</t>
        </is>
      </c>
      <c r="AD357" s="6" t="inlineStr">
        <is>
          <t>No separate deliverable explicitly named</t>
        </is>
      </c>
      <c r="AE357" s="6" t="inlineStr">
        <is>
          <t>L1 Conceptual Design; L2 Detailed Design</t>
        </is>
      </c>
      <c r="AF357" s="6" t="inlineStr">
        <is>
          <t>Section/contract-derived reference; derived evidence route</t>
        </is>
      </c>
      <c r="AG357" s="58" t="inlineStr">
        <is>
          <t>OFFER-07 (Direct)</t>
        </is>
      </c>
    </row>
    <row r="358" ht="86" customHeight="1">
      <c r="A358" s="6" t="n">
        <v>353</v>
      </c>
      <c r="B358" s="6" t="inlineStr">
        <is>
          <t>RTM-072</t>
        </is>
      </c>
      <c r="C358" s="6" t="inlineStr">
        <is>
          <t>No</t>
        </is>
      </c>
      <c r="D358" s="6" t="inlineStr">
        <is>
          <t>T2 Secondary</t>
        </is>
      </c>
      <c r="E358" s="6" t="inlineStr">
        <is>
          <t>Global Design Criteria</t>
        </is>
      </c>
      <c r="F358" s="82" t="inlineStr">
        <is>
          <t>PROJECT</t>
        </is>
      </c>
      <c r="G358" s="83" t="inlineStr">
        <is>
          <t>Documentation &amp; Compliance</t>
        </is>
      </c>
      <c r="H358" s="59" t="inlineStr">
        <is>
          <t>—</t>
        </is>
      </c>
      <c r="I358" s="58" t="inlineStr">
        <is>
          <t>C1 — Performance</t>
        </is>
      </c>
      <c r="J358" s="6" t="n">
        <v>40</v>
      </c>
      <c r="K358" s="6" t="inlineStr">
        <is>
          <t>4.3.4</t>
        </is>
      </c>
      <c r="L358" s="6" t="inlineStr">
        <is>
          <t>Energy-efficiency</t>
        </is>
      </c>
      <c r="M358" s="6" t="inlineStr">
        <is>
          <t>The Contractor shall evaluate the invCOP for all steady-state operating scenarios, as defined in §4.2.2.1.</t>
        </is>
      </c>
      <c r="N358" s="6" t="inlineStr">
        <is>
          <t>The Contractor shall evaluate the invCOP for all steady-state operating scenarios, as defined in §4.2.2.1.
• The Contractor shall report the evaluated invCOP at the end of each Contract Phase to reflect the evolving design.
• Additionally, the Contractor shall evaluate the invCOP at the QPLANT Design Point and shall report any projected deviation from invCOP_contract.</t>
        </is>
      </c>
      <c r="O358" s="6" t="n">
        <v>0</v>
      </c>
      <c r="P358" s="6" t="n">
        <v>0</v>
      </c>
      <c r="Q358" s="6" t="n">
        <v>3</v>
      </c>
      <c r="R358" s="6" t="n">
        <v>0</v>
      </c>
      <c r="S358" s="6" t="n">
        <v>2</v>
      </c>
      <c r="T358" s="6" t="n">
        <v>0</v>
      </c>
      <c r="U358" s="6" t="n">
        <v>0</v>
      </c>
      <c r="V358" s="6" t="n">
        <v>28</v>
      </c>
      <c r="W358" s="6" t="n">
        <v>50.2774</v>
      </c>
      <c r="X358" s="6" t="n">
        <v>3.0548</v>
      </c>
      <c r="Y358" s="6" t="inlineStr">
        <is>
          <t>Performance</t>
        </is>
      </c>
      <c r="Z358" s="6" t="inlineStr">
        <is>
          <t>Frozen-weight composite; strongest contribution: Performance.</t>
        </is>
      </c>
      <c r="AA358" s="6" t="inlineStr">
        <is>
          <t>None explicitly named in this RTM</t>
        </is>
      </c>
      <c r="AB358" s="6" t="inlineStr">
        <is>
          <t>SCK CEN/90508872 §4.3.4; no named external code</t>
        </is>
      </c>
      <c r="AC358" s="6" t="inlineStr">
        <is>
          <t>Calculation/model plus calibrated measurement or recorded trend; Document review, inspection, certification, audit or traceable QC record</t>
        </is>
      </c>
      <c r="AD358" s="6" t="inlineStr">
        <is>
          <t>No separate deliverable explicitly named</t>
        </is>
      </c>
      <c r="AE358" s="6" t="inlineStr">
        <is>
          <t>L1 Conceptual Design; L2 Detailed Design</t>
        </is>
      </c>
      <c r="AF358" s="6" t="inlineStr">
        <is>
          <t>Section/contract-derived reference; derived evidence route</t>
        </is>
      </c>
      <c r="AG358" s="58" t="inlineStr">
        <is>
          <t>OFFER-12 (Direct)</t>
        </is>
      </c>
    </row>
    <row r="359" ht="138" customHeight="1">
      <c r="A359" s="6" t="n">
        <v>354</v>
      </c>
      <c r="B359" s="6" t="inlineStr">
        <is>
          <t>RTM-076</t>
        </is>
      </c>
      <c r="C359" s="6" t="inlineStr">
        <is>
          <t>No</t>
        </is>
      </c>
      <c r="D359" s="6" t="inlineStr">
        <is>
          <t>T2 Secondary</t>
        </is>
      </c>
      <c r="E359" s="6" t="inlineStr">
        <is>
          <t>Global Design Criteria</t>
        </is>
      </c>
      <c r="F359" s="82" t="inlineStr">
        <is>
          <t>PROJECT</t>
        </is>
      </c>
      <c r="G359" s="83" t="inlineStr">
        <is>
          <t>Documentation &amp; Compliance</t>
        </is>
      </c>
      <c r="H359" s="59" t="inlineStr">
        <is>
          <t>—</t>
        </is>
      </c>
      <c r="I359" s="58" t="inlineStr">
        <is>
          <t>C1 — Performance</t>
        </is>
      </c>
      <c r="J359" s="6" t="n">
        <v>40</v>
      </c>
      <c r="K359" s="6" t="inlineStr">
        <is>
          <t>4.3.4.1</t>
        </is>
      </c>
      <c r="L359" s="6" t="inlineStr">
        <is>
          <t>Inverse Coefficient of Performance (invCOP)</t>
        </is>
      </c>
      <c r="M359" s="6" t="inlineStr">
        <is>
          <t>The equivalent isothermal refrigeration load at 4.5 K (Q_4.5K_eq) shall include the useful refrigeration and liquefaction delivered by the QPS to the Cryogenic Users.</t>
        </is>
      </c>
      <c r="N359" s="6" t="inlineStr">
        <is>
          <t>The equivalent isothermal refrigeration load at 4.5 K (Q_4.5K_eq) shall include the useful refrigeration and liquefaction delivered by the QPS to the Cryogenic Users.
• The Q_4.5K_eq shall include the contributions associated with headers A, B, D, E, and W at the QRB interface. The contribution of each individual header shall be reported.
• The Contractor shall report the conversion method, assumptions, reference conditions, and equations used to determine Q_4.5K_eq.
• The conversion method shall assume the reference state: temperature = 300 K; pressure = 1 bar.</t>
        </is>
      </c>
      <c r="O359" s="6" t="n">
        <v>0</v>
      </c>
      <c r="P359" s="6" t="n">
        <v>0</v>
      </c>
      <c r="Q359" s="6" t="n">
        <v>3</v>
      </c>
      <c r="R359" s="6" t="n">
        <v>0</v>
      </c>
      <c r="S359" s="6" t="n">
        <v>2</v>
      </c>
      <c r="T359" s="6" t="n">
        <v>0</v>
      </c>
      <c r="U359" s="6" t="n">
        <v>0</v>
      </c>
      <c r="V359" s="6" t="n">
        <v>28</v>
      </c>
      <c r="W359" s="6" t="n">
        <v>50.2774</v>
      </c>
      <c r="X359" s="6" t="n">
        <v>3.0548</v>
      </c>
      <c r="Y359" s="6" t="inlineStr">
        <is>
          <t>Performance</t>
        </is>
      </c>
      <c r="Z359" s="6" t="inlineStr">
        <is>
          <t>Frozen-weight composite; strongest contribution: Performance.</t>
        </is>
      </c>
      <c r="AA359" s="6" t="inlineStr">
        <is>
          <t>None explicitly named in this RTM</t>
        </is>
      </c>
      <c r="AB359" s="6" t="inlineStr">
        <is>
          <t>SCK CEN/90508872 §4.3.4.1; no named external code</t>
        </is>
      </c>
      <c r="AC359" s="6" t="inlineStr">
        <is>
          <t>Calculation/model plus calibrated measurement or recorded trend; Document review, inspection, certification, audit or traceable QC record</t>
        </is>
      </c>
      <c r="AD359" s="6" t="inlineStr">
        <is>
          <t>No separate deliverable explicitly named</t>
        </is>
      </c>
      <c r="AE359" s="6" t="inlineStr">
        <is>
          <t>L1 Conceptual Design; L2 Detailed Design</t>
        </is>
      </c>
      <c r="AF359" s="6" t="inlineStr">
        <is>
          <t>Section/contract-derived reference; derived evidence route</t>
        </is>
      </c>
      <c r="AG359" s="58" t="inlineStr">
        <is>
          <t>OFFER-12 (Supporting)</t>
        </is>
      </c>
    </row>
    <row r="360" ht="138" customHeight="1">
      <c r="A360" s="6" t="n">
        <v>355</v>
      </c>
      <c r="B360" s="6" t="inlineStr">
        <is>
          <t>RTM-077</t>
        </is>
      </c>
      <c r="C360" s="6" t="inlineStr">
        <is>
          <t>No</t>
        </is>
      </c>
      <c r="D360" s="6" t="inlineStr">
        <is>
          <t>T2 Secondary</t>
        </is>
      </c>
      <c r="E360" s="6" t="inlineStr">
        <is>
          <t>Global Design Criteria</t>
        </is>
      </c>
      <c r="F360" s="82" t="inlineStr">
        <is>
          <t>SYSTEM</t>
        </is>
      </c>
      <c r="G360" s="83" t="inlineStr">
        <is>
          <t>Performance</t>
        </is>
      </c>
      <c r="H360" s="59" t="inlineStr">
        <is>
          <t>—</t>
        </is>
      </c>
      <c r="I360" s="58" t="inlineStr">
        <is>
          <t>C1 — Performance</t>
        </is>
      </c>
      <c r="J360" s="6" t="n">
        <v>40</v>
      </c>
      <c r="K360" s="6" t="inlineStr">
        <is>
          <t>4.3.4.1</t>
        </is>
      </c>
      <c r="L360" s="6" t="inlineStr">
        <is>
          <t>Inverse Coefficient of Performance (invCOP)</t>
        </is>
      </c>
      <c r="M360" s="6" t="inlineStr">
        <is>
          <t>The invCOP value shall be reported with its associated expanded uncertainty (U_invCOP).</t>
        </is>
      </c>
      <c r="N360" s="6" t="inlineStr">
        <is>
          <t>The invCOP value shall be reported with its associated expanded uncertainty (U_invCOP).
• The expanded uncertainty shall be reported at a confidence level of 95 %
• The expanded uncertainty shall include all contributions associated with the determination method of the respective invCOP value, including but not limited to, any uncertainty arising from:
• calculation or measuring methods
• direct or indirect determination methods
• experimental or analytical simplification methods
• corrections, interpolations, or extrapolations</t>
        </is>
      </c>
      <c r="O360" s="6" t="n">
        <v>0</v>
      </c>
      <c r="P360" s="6" t="n">
        <v>0</v>
      </c>
      <c r="Q360" s="6" t="n">
        <v>3</v>
      </c>
      <c r="R360" s="6" t="n">
        <v>0</v>
      </c>
      <c r="S360" s="6" t="n">
        <v>2</v>
      </c>
      <c r="T360" s="6" t="n">
        <v>0</v>
      </c>
      <c r="U360" s="6" t="n">
        <v>0</v>
      </c>
      <c r="V360" s="6" t="n">
        <v>28</v>
      </c>
      <c r="W360" s="6" t="n">
        <v>50.2774</v>
      </c>
      <c r="X360" s="6" t="n">
        <v>3.0548</v>
      </c>
      <c r="Y360" s="6" t="inlineStr">
        <is>
          <t>Performance</t>
        </is>
      </c>
      <c r="Z360" s="6" t="inlineStr">
        <is>
          <t>Frozen-weight composite; strongest contribution: Performance.</t>
        </is>
      </c>
      <c r="AA360" s="6" t="inlineStr">
        <is>
          <t>None explicitly named in this RTM</t>
        </is>
      </c>
      <c r="AB360" s="6" t="inlineStr">
        <is>
          <t>SCK CEN/90508872 §4.3.4.1; no named external code</t>
        </is>
      </c>
      <c r="AC360" s="6" t="inlineStr">
        <is>
          <t>Calculation/model plus calibrated measurement or recorded trend; Document review, inspection, certification, audit or traceable QC record</t>
        </is>
      </c>
      <c r="AD360" s="6" t="inlineStr">
        <is>
          <t>No separate deliverable explicitly named</t>
        </is>
      </c>
      <c r="AE360" s="6" t="inlineStr">
        <is>
          <t>L1 Conceptual Design; L2 Detailed Design</t>
        </is>
      </c>
      <c r="AF360" s="6" t="inlineStr">
        <is>
          <t>Section/contract-derived reference; derived evidence route</t>
        </is>
      </c>
      <c r="AG360" s="58" t="inlineStr">
        <is>
          <t>OFFER-12 (Supporting)</t>
        </is>
      </c>
    </row>
    <row r="361" ht="47" customHeight="1">
      <c r="A361" s="6" t="n">
        <v>356</v>
      </c>
      <c r="B361" s="6" t="inlineStr">
        <is>
          <t>RTM-094</t>
        </is>
      </c>
      <c r="C361" s="6" t="inlineStr">
        <is>
          <t>No</t>
        </is>
      </c>
      <c r="D361" s="6" t="inlineStr">
        <is>
          <t>T2 Secondary</t>
        </is>
      </c>
      <c r="E361" s="6" t="inlineStr">
        <is>
          <t>Subsystems</t>
        </is>
      </c>
      <c r="F361" s="82" t="inlineStr">
        <is>
          <t>SYSTEM</t>
        </is>
      </c>
      <c r="G361" s="83" t="inlineStr">
        <is>
          <t>Performance</t>
        </is>
      </c>
      <c r="H361" s="59" t="inlineStr">
        <is>
          <t>—</t>
        </is>
      </c>
      <c r="I361" s="81" t="inlineStr">
        <is>
          <t>Inferred: C2 — Process Design (low conf.)</t>
        </is>
      </c>
      <c r="J361" s="6" t="n">
        <v>44</v>
      </c>
      <c r="K361" s="6" t="inlineStr">
        <is>
          <t>4.4.2</t>
        </is>
      </c>
      <c r="L361" s="6" t="inlineStr">
        <is>
          <t>Common Instrumentation Parts</t>
        </is>
      </c>
      <c r="M361" s="6" t="inlineStr">
        <is>
          <t>The QPS instrumentation shall comply with the following requirements:</t>
        </is>
      </c>
      <c r="N361" s="6" t="inlineStr">
        <is>
          <t>The QPS instrumentation shall comply with the following requirements:
• all measurements shall be continuously monitored
• all measurements shall be remotely read by the QPS:CIS at a rate ≥1 Hz.</t>
        </is>
      </c>
      <c r="O361" s="6" t="n">
        <v>0</v>
      </c>
      <c r="P361" s="6" t="n">
        <v>0</v>
      </c>
      <c r="Q361" s="6" t="n">
        <v>2</v>
      </c>
      <c r="R361" s="6" t="n">
        <v>2</v>
      </c>
      <c r="S361" s="6" t="n">
        <v>1</v>
      </c>
      <c r="T361" s="6" t="n">
        <v>0</v>
      </c>
      <c r="U361" s="6" t="n">
        <v>0</v>
      </c>
      <c r="V361" s="6" t="n">
        <v>28</v>
      </c>
      <c r="W361" s="6" t="n">
        <v>50.2774</v>
      </c>
      <c r="X361" s="6" t="n">
        <v>3.0548</v>
      </c>
      <c r="Y361" s="6" t="inlineStr">
        <is>
          <t>Performance</t>
        </is>
      </c>
      <c r="Z361" s="6" t="inlineStr">
        <is>
          <t>Frozen-weight composite; strongest contribution: Performance.</t>
        </is>
      </c>
      <c r="AA361" s="6" t="inlineStr">
        <is>
          <t>None explicitly named in this RTM</t>
        </is>
      </c>
      <c r="AB361" s="6" t="inlineStr">
        <is>
          <t>SCK CEN/90508872 §4.4.2; no named external code</t>
        </is>
      </c>
      <c r="AC361" s="6" t="inlineStr">
        <is>
          <t>Calculation/model plus calibrated measurement or recorded trend</t>
        </is>
      </c>
      <c r="AD361" s="6" t="inlineStr">
        <is>
          <t>No separate deliverable explicitly named</t>
        </is>
      </c>
      <c r="AE361" s="6" t="inlineStr">
        <is>
          <t>L1 Conceptual Design; L2 Detailed Design</t>
        </is>
      </c>
      <c r="AF361" s="6" t="inlineStr">
        <is>
          <t>Section/contract-derived reference; derived evidence route</t>
        </is>
      </c>
      <c r="AG361" s="58" t="inlineStr">
        <is>
          <t>Not linked to an OFFER item</t>
        </is>
      </c>
    </row>
    <row r="362" ht="34" customHeight="1">
      <c r="A362" s="6" t="n">
        <v>357</v>
      </c>
      <c r="B362" s="6" t="inlineStr">
        <is>
          <t>RTM-106</t>
        </is>
      </c>
      <c r="C362" s="6" t="inlineStr">
        <is>
          <t>No</t>
        </is>
      </c>
      <c r="D362" s="6" t="inlineStr">
        <is>
          <t>T2 Secondary</t>
        </is>
      </c>
      <c r="E362" s="6" t="inlineStr">
        <is>
          <t>Subsystems</t>
        </is>
      </c>
      <c r="F362" s="82" t="inlineStr">
        <is>
          <t>SYSTEM</t>
        </is>
      </c>
      <c r="G362" s="83" t="inlineStr">
        <is>
          <t>Performance</t>
        </is>
      </c>
      <c r="H362" s="59" t="inlineStr">
        <is>
          <t>—</t>
        </is>
      </c>
      <c r="I362" s="81" t="inlineStr">
        <is>
          <t>Inferred: C2 — Process Design (low conf.)</t>
        </is>
      </c>
      <c r="J362" s="6" t="n">
        <v>45</v>
      </c>
      <c r="K362" s="6" t="inlineStr">
        <is>
          <t>4.4.2.2</t>
        </is>
      </c>
      <c r="L362" s="6" t="inlineStr">
        <is>
          <t>Electrical Heaters</t>
        </is>
      </c>
      <c r="M362" s="6" t="inlineStr">
        <is>
          <t>The electrical power deposited by each heater shall have an accuracy of ≤ 5 %.</t>
        </is>
      </c>
      <c r="N362" s="6" t="inlineStr">
        <is>
          <t>The electrical power deposited by each heater shall have an accuracy of ≤ 5 %.</t>
        </is>
      </c>
      <c r="O362" s="6" t="n">
        <v>0</v>
      </c>
      <c r="P362" s="6" t="n">
        <v>0</v>
      </c>
      <c r="Q362" s="6" t="n">
        <v>2</v>
      </c>
      <c r="R362" s="6" t="n">
        <v>2</v>
      </c>
      <c r="S362" s="6" t="n">
        <v>1</v>
      </c>
      <c r="T362" s="6" t="n">
        <v>0</v>
      </c>
      <c r="U362" s="6" t="n">
        <v>0</v>
      </c>
      <c r="V362" s="6" t="n">
        <v>28</v>
      </c>
      <c r="W362" s="6" t="n">
        <v>50.2774</v>
      </c>
      <c r="X362" s="6" t="n">
        <v>3.0548</v>
      </c>
      <c r="Y362" s="6" t="inlineStr">
        <is>
          <t>Performance</t>
        </is>
      </c>
      <c r="Z362" s="6" t="inlineStr">
        <is>
          <t>Frozen-weight composite; strongest contribution: Performance.</t>
        </is>
      </c>
      <c r="AA362" s="6" t="inlineStr">
        <is>
          <t>None explicitly named in this RTM</t>
        </is>
      </c>
      <c r="AB362" s="6" t="inlineStr">
        <is>
          <t>SCK CEN/90508872 §4.4.2.2; no named external code</t>
        </is>
      </c>
      <c r="AC362" s="6" t="inlineStr">
        <is>
          <t>Calculation/model plus calibrated measurement or recorded trend</t>
        </is>
      </c>
      <c r="AD362" s="6" t="inlineStr">
        <is>
          <t>No separate deliverable explicitly named</t>
        </is>
      </c>
      <c r="AE362" s="6" t="inlineStr">
        <is>
          <t>L1 Conceptual Design; L2 Detailed Design</t>
        </is>
      </c>
      <c r="AF362" s="6" t="inlineStr">
        <is>
          <t>Section/contract-derived reference; derived evidence route</t>
        </is>
      </c>
      <c r="AG362" s="58" t="inlineStr">
        <is>
          <t>Not linked to an OFFER item</t>
        </is>
      </c>
    </row>
    <row r="363" ht="47" customHeight="1">
      <c r="A363" s="6" t="n">
        <v>358</v>
      </c>
      <c r="B363" s="6" t="inlineStr">
        <is>
          <t>RTM-115</t>
        </is>
      </c>
      <c r="C363" s="6" t="inlineStr">
        <is>
          <t>No</t>
        </is>
      </c>
      <c r="D363" s="6" t="inlineStr">
        <is>
          <t>T2 Secondary</t>
        </is>
      </c>
      <c r="E363" s="6" t="inlineStr">
        <is>
          <t>Subsystems</t>
        </is>
      </c>
      <c r="F363" s="82" t="inlineStr">
        <is>
          <t>SYSTEM</t>
        </is>
      </c>
      <c r="G363" s="83" t="inlineStr">
        <is>
          <t>Performance</t>
        </is>
      </c>
      <c r="H363" s="59" t="inlineStr">
        <is>
          <t>—</t>
        </is>
      </c>
      <c r="I363" s="81" t="inlineStr">
        <is>
          <t>Inferred: C2 — Process Design (low conf.)</t>
        </is>
      </c>
      <c r="J363" s="6" t="n">
        <v>46</v>
      </c>
      <c r="K363" s="6" t="inlineStr">
        <is>
          <t>4.4.2.3</t>
        </is>
      </c>
      <c r="L363" s="6" t="inlineStr">
        <is>
          <t>Temperature sensors</t>
        </is>
      </c>
      <c r="M363" s="6" t="inlineStr">
        <is>
          <t>For temperature sensors below 30 K, the temperature difference between the temperature sensor and the surface to be measured shall be below 0.05 K.</t>
        </is>
      </c>
      <c r="N363" s="6" t="inlineStr">
        <is>
          <t>For temperature sensors below 30 K, the temperature difference between the temperature sensor and the surface to be measured shall be below 0.05 K.</t>
        </is>
      </c>
      <c r="O363" s="6" t="n">
        <v>0</v>
      </c>
      <c r="P363" s="6" t="n">
        <v>0</v>
      </c>
      <c r="Q363" s="6" t="n">
        <v>2</v>
      </c>
      <c r="R363" s="6" t="n">
        <v>2</v>
      </c>
      <c r="S363" s="6" t="n">
        <v>1</v>
      </c>
      <c r="T363" s="6" t="n">
        <v>0</v>
      </c>
      <c r="U363" s="6" t="n">
        <v>0</v>
      </c>
      <c r="V363" s="6" t="n">
        <v>28</v>
      </c>
      <c r="W363" s="6" t="n">
        <v>50.2774</v>
      </c>
      <c r="X363" s="6" t="n">
        <v>3.0548</v>
      </c>
      <c r="Y363" s="6" t="inlineStr">
        <is>
          <t>Performance</t>
        </is>
      </c>
      <c r="Z363" s="6" t="inlineStr">
        <is>
          <t>Frozen-weight composite; strongest contribution: Performance.</t>
        </is>
      </c>
      <c r="AA363" s="6" t="inlineStr">
        <is>
          <t>None explicitly named in this RTM</t>
        </is>
      </c>
      <c r="AB363" s="6" t="inlineStr">
        <is>
          <t>Section-level: IEC 60751; IEC 60359; ISA RP12.6</t>
        </is>
      </c>
      <c r="AC363" s="6" t="inlineStr">
        <is>
          <t>Calculation/model plus calibrated measurement or recorded trend</t>
        </is>
      </c>
      <c r="AD363" s="6" t="inlineStr">
        <is>
          <t>No separate deliverable explicitly named</t>
        </is>
      </c>
      <c r="AE363" s="6" t="inlineStr">
        <is>
          <t>L1 Conceptual Design; L2 Detailed Design</t>
        </is>
      </c>
      <c r="AF363" s="6" t="inlineStr">
        <is>
          <t>Section/contract-derived reference; derived evidence route</t>
        </is>
      </c>
      <c r="AG363" s="58" t="inlineStr">
        <is>
          <t>Not linked to an OFFER item</t>
        </is>
      </c>
    </row>
    <row r="364" ht="86" customHeight="1">
      <c r="A364" s="6" t="n">
        <v>359</v>
      </c>
      <c r="B364" s="6" t="inlineStr">
        <is>
          <t>RTM-122</t>
        </is>
      </c>
      <c r="C364" s="6" t="inlineStr">
        <is>
          <t>No</t>
        </is>
      </c>
      <c r="D364" s="6" t="inlineStr">
        <is>
          <t>T2 Secondary</t>
        </is>
      </c>
      <c r="E364" s="6" t="inlineStr">
        <is>
          <t>Subsystems</t>
        </is>
      </c>
      <c r="F364" s="82" t="inlineStr">
        <is>
          <t>SYSTEM</t>
        </is>
      </c>
      <c r="G364" s="83" t="inlineStr">
        <is>
          <t>Performance</t>
        </is>
      </c>
      <c r="H364" s="59" t="inlineStr">
        <is>
          <t>—</t>
        </is>
      </c>
      <c r="I364" s="81" t="inlineStr">
        <is>
          <t>Inferred: C2 — Process Design (low conf.)</t>
        </is>
      </c>
      <c r="J364" s="6" t="n">
        <v>46</v>
      </c>
      <c r="K364" s="6" t="inlineStr">
        <is>
          <t>4.4.2.3</t>
        </is>
      </c>
      <c r="L364" s="6" t="inlineStr">
        <is>
          <t>Temperature sensors</t>
        </is>
      </c>
      <c r="M364" s="6" t="inlineStr">
        <is>
          <t>The accuracy of pressure measurements shall comply with the following requirements:</t>
        </is>
      </c>
      <c r="N364" s="6" t="inlineStr">
        <is>
          <t>The accuracy of pressure measurements shall comply with the following requirements:
• Absolute pressure accuracy: ±0.5% of the reading
• Differential pressure accuracy: ±0.5 % of the reading
• Long-term drift: smaller than ±0.5 % of the maximum span per year
• Vacuum gauges shall cover the range from 10³ to 10-7 mbar</t>
        </is>
      </c>
      <c r="O364" s="6" t="n">
        <v>0</v>
      </c>
      <c r="P364" s="6" t="n">
        <v>0</v>
      </c>
      <c r="Q364" s="6" t="n">
        <v>2</v>
      </c>
      <c r="R364" s="6" t="n">
        <v>2</v>
      </c>
      <c r="S364" s="6" t="n">
        <v>1</v>
      </c>
      <c r="T364" s="6" t="n">
        <v>0</v>
      </c>
      <c r="U364" s="6" t="n">
        <v>0</v>
      </c>
      <c r="V364" s="6" t="n">
        <v>28</v>
      </c>
      <c r="W364" s="6" t="n">
        <v>50.2774</v>
      </c>
      <c r="X364" s="6" t="n">
        <v>3.0548</v>
      </c>
      <c r="Y364" s="6" t="inlineStr">
        <is>
          <t>Performance</t>
        </is>
      </c>
      <c r="Z364" s="6" t="inlineStr">
        <is>
          <t>Frozen-weight composite; strongest contribution: Performance.</t>
        </is>
      </c>
      <c r="AA364" s="6" t="inlineStr">
        <is>
          <t>None explicitly named in this RTM</t>
        </is>
      </c>
      <c r="AB364" s="6" t="inlineStr">
        <is>
          <t>Section-level: IEC 60751; IEC 60359; ISA RP12.6</t>
        </is>
      </c>
      <c r="AC364" s="6" t="inlineStr">
        <is>
          <t>Calculation/model plus calibrated measurement or recorded trend</t>
        </is>
      </c>
      <c r="AD364" s="6" t="inlineStr">
        <is>
          <t>No separate deliverable explicitly named</t>
        </is>
      </c>
      <c r="AE364" s="6" t="inlineStr">
        <is>
          <t>L1 Conceptual Design; L2 Detailed Design</t>
        </is>
      </c>
      <c r="AF364" s="6" t="inlineStr">
        <is>
          <t>Section/contract-derived reference; derived evidence route</t>
        </is>
      </c>
      <c r="AG364" s="58" t="inlineStr">
        <is>
          <t>Not linked to an OFFER item</t>
        </is>
      </c>
    </row>
    <row r="365" ht="60" customHeight="1">
      <c r="A365" s="6" t="n">
        <v>360</v>
      </c>
      <c r="B365" s="6" t="inlineStr">
        <is>
          <t>RTM-134</t>
        </is>
      </c>
      <c r="C365" s="6" t="inlineStr">
        <is>
          <t>No</t>
        </is>
      </c>
      <c r="D365" s="6" t="inlineStr">
        <is>
          <t>T2 Secondary</t>
        </is>
      </c>
      <c r="E365" s="6" t="inlineStr">
        <is>
          <t>Subsystems</t>
        </is>
      </c>
      <c r="F365" s="82" t="inlineStr">
        <is>
          <t>SYSTEM</t>
        </is>
      </c>
      <c r="G365" s="83" t="inlineStr">
        <is>
          <t>Performance</t>
        </is>
      </c>
      <c r="H365" s="59" t="inlineStr">
        <is>
          <t>—</t>
        </is>
      </c>
      <c r="I365" s="81" t="inlineStr">
        <is>
          <t>Inferred: C2 — Process Design (low conf.)</t>
        </is>
      </c>
      <c r="J365" s="6" t="n">
        <v>47</v>
      </c>
      <c r="K365" s="6" t="inlineStr">
        <is>
          <t>4.4.2.7</t>
        </is>
      </c>
      <c r="L365" s="6" t="inlineStr">
        <is>
          <t>Helium Impurity sensors</t>
        </is>
      </c>
      <c r="M365" s="6" t="inlineStr">
        <is>
          <t>Each gas analyser shall have the following performance:</t>
        </is>
      </c>
      <c r="N365" s="6" t="inlineStr">
        <is>
          <t>Each gas analyser shall have the following performance:
• measurement range per impurity type: to be defined by the Contractor
• measurement accuracy: ≤±1 ppm by volume across the entire range.
• Long-term drift: ≤±1 ppm by volume per year.</t>
        </is>
      </c>
      <c r="O365" s="6" t="n">
        <v>0</v>
      </c>
      <c r="P365" s="6" t="n">
        <v>0</v>
      </c>
      <c r="Q365" s="6" t="n">
        <v>2</v>
      </c>
      <c r="R365" s="6" t="n">
        <v>2</v>
      </c>
      <c r="S365" s="6" t="n">
        <v>1</v>
      </c>
      <c r="T365" s="6" t="n">
        <v>0</v>
      </c>
      <c r="U365" s="6" t="n">
        <v>0</v>
      </c>
      <c r="V365" s="6" t="n">
        <v>28</v>
      </c>
      <c r="W365" s="6" t="n">
        <v>50.2774</v>
      </c>
      <c r="X365" s="6" t="n">
        <v>3.0548</v>
      </c>
      <c r="Y365" s="6" t="inlineStr">
        <is>
          <t>Performance</t>
        </is>
      </c>
      <c r="Z365" s="6" t="inlineStr">
        <is>
          <t>Frozen-weight composite; strongest contribution: Performance.</t>
        </is>
      </c>
      <c r="AA365" s="6" t="inlineStr">
        <is>
          <t>None explicitly named in this RTM</t>
        </is>
      </c>
      <c r="AB365" s="6" t="inlineStr">
        <is>
          <t>SCK CEN/90508872 §4.4.2.7; no named external code</t>
        </is>
      </c>
      <c r="AC365" s="6" t="inlineStr">
        <is>
          <t>Calculation/model plus calibrated measurement or recorded trend</t>
        </is>
      </c>
      <c r="AD365" s="6" t="inlineStr">
        <is>
          <t>No separate deliverable explicitly named</t>
        </is>
      </c>
      <c r="AE365" s="6" t="inlineStr">
        <is>
          <t>L1 Conceptual Design; L2 Detailed Design</t>
        </is>
      </c>
      <c r="AF365" s="6" t="inlineStr">
        <is>
          <t>Section/contract-derived reference; derived evidence route</t>
        </is>
      </c>
      <c r="AG365" s="58" t="inlineStr">
        <is>
          <t>Not linked to an OFFER item</t>
        </is>
      </c>
    </row>
    <row r="366" ht="60" customHeight="1">
      <c r="A366" s="6" t="n">
        <v>361</v>
      </c>
      <c r="B366" s="6" t="inlineStr">
        <is>
          <t>RTM-167</t>
        </is>
      </c>
      <c r="C366" s="6" t="inlineStr">
        <is>
          <t>No</t>
        </is>
      </c>
      <c r="D366" s="6" t="inlineStr">
        <is>
          <t>T2 Secondary</t>
        </is>
      </c>
      <c r="E366" s="6" t="inlineStr">
        <is>
          <t>Subsystems</t>
        </is>
      </c>
      <c r="F366" s="82" t="inlineStr">
        <is>
          <t>SYSTEM</t>
        </is>
      </c>
      <c r="G366" s="83" t="inlineStr">
        <is>
          <t>Performance</t>
        </is>
      </c>
      <c r="H366" s="59" t="inlineStr">
        <is>
          <t>—</t>
        </is>
      </c>
      <c r="I366" s="81" t="inlineStr">
        <is>
          <t>Inferred: C2 — Process Design (low conf.)</t>
        </is>
      </c>
      <c r="J366" s="6" t="n">
        <v>51</v>
      </c>
      <c r="K366" s="6" t="inlineStr">
        <is>
          <t>4.4.3.5.2</t>
        </is>
      </c>
      <c r="L366" s="6" t="inlineStr">
        <is>
          <t>Bulk Oil Separators and Oil Retention</t>
        </is>
      </c>
      <c r="M366" s="6" t="inlineStr">
        <is>
          <t>The helium gas at the outlet of each bulk oil separator shall have an oil content of ≤ 100 ppm(w) under all normal operating conditions.</t>
        </is>
      </c>
      <c r="N366" s="6" t="inlineStr">
        <is>
          <t>The helium gas at the outlet of each bulk oil separator shall have an oil content of ≤ 100 ppm(w) under all normal operating conditions.
• This limit shall define the maximum inlet oil concentration for the downstream Oil Removal System (ORS).</t>
        </is>
      </c>
      <c r="O366" s="6" t="n">
        <v>0</v>
      </c>
      <c r="P366" s="6" t="n">
        <v>0</v>
      </c>
      <c r="Q366" s="6" t="n">
        <v>2</v>
      </c>
      <c r="R366" s="6" t="n">
        <v>2</v>
      </c>
      <c r="S366" s="6" t="n">
        <v>1</v>
      </c>
      <c r="T366" s="6" t="n">
        <v>0</v>
      </c>
      <c r="U366" s="6" t="n">
        <v>0</v>
      </c>
      <c r="V366" s="6" t="n">
        <v>28</v>
      </c>
      <c r="W366" s="6" t="n">
        <v>50.2774</v>
      </c>
      <c r="X366" s="6" t="n">
        <v>3.0548</v>
      </c>
      <c r="Y366" s="6" t="inlineStr">
        <is>
          <t>Performance</t>
        </is>
      </c>
      <c r="Z366" s="6" t="inlineStr">
        <is>
          <t>Frozen-weight composite; strongest contribution: Performance.</t>
        </is>
      </c>
      <c r="AA366" s="6" t="inlineStr">
        <is>
          <t>None explicitly named in this RTM</t>
        </is>
      </c>
      <c r="AB366" s="6" t="inlineStr">
        <is>
          <t>SCK CEN/90508872 §4.4.3.5.2; no named external code</t>
        </is>
      </c>
      <c r="AC366" s="6" t="inlineStr">
        <is>
          <t>Calculation/model plus calibrated measurement or recorded trend</t>
        </is>
      </c>
      <c r="AD366" s="6" t="inlineStr">
        <is>
          <t>No separate deliverable explicitly named</t>
        </is>
      </c>
      <c r="AE366" s="6" t="inlineStr">
        <is>
          <t>L1 Conceptual Design; L2 Detailed Design</t>
        </is>
      </c>
      <c r="AF366" s="6" t="inlineStr">
        <is>
          <t>Section/contract-derived reference; derived evidence route</t>
        </is>
      </c>
      <c r="AG366" s="58" t="inlineStr">
        <is>
          <t>Not linked to an OFFER item</t>
        </is>
      </c>
    </row>
    <row r="367" ht="60" customHeight="1">
      <c r="A367" s="6" t="n">
        <v>362</v>
      </c>
      <c r="B367" s="6" t="inlineStr">
        <is>
          <t>RTM-201</t>
        </is>
      </c>
      <c r="C367" s="6" t="inlineStr">
        <is>
          <t>No</t>
        </is>
      </c>
      <c r="D367" s="6" t="inlineStr">
        <is>
          <t>T2 Secondary</t>
        </is>
      </c>
      <c r="E367" s="6" t="inlineStr">
        <is>
          <t>Subsystems</t>
        </is>
      </c>
      <c r="F367" s="82" t="inlineStr">
        <is>
          <t>SYSTEM</t>
        </is>
      </c>
      <c r="G367" s="83" t="inlineStr">
        <is>
          <t>Performance</t>
        </is>
      </c>
      <c r="H367" s="59" t="inlineStr">
        <is>
          <t>—</t>
        </is>
      </c>
      <c r="I367" s="81" t="inlineStr">
        <is>
          <t>Inferred: C2 — Process Design (low conf.)</t>
        </is>
      </c>
      <c r="J367" s="6" t="n">
        <v>55</v>
      </c>
      <c r="K367" s="6" t="inlineStr">
        <is>
          <t>4.4.4.2.1</t>
        </is>
      </c>
      <c r="L367" s="6" t="inlineStr">
        <is>
          <t>Vacuum vessel(s)</t>
        </is>
      </c>
      <c r="M367" s="6" t="inlineStr">
        <is>
          <t>The cold box unit shall include a vacuum barrier at the QRB-QLM connection (§4.5.1), located on the QRB side of the interface.</t>
        </is>
      </c>
      <c r="N367" s="6" t="inlineStr">
        <is>
          <t>The cold box unit shall include a vacuum barrier at the QRB-QLM connection (§4.5.1), located on the QRB side of the interface.
• The vacuum barrier shall withstand a pressure difference of ≥3 bar in either direction.</t>
        </is>
      </c>
      <c r="O367" s="6" t="n">
        <v>0</v>
      </c>
      <c r="P367" s="6" t="n">
        <v>0</v>
      </c>
      <c r="Q367" s="6" t="n">
        <v>2</v>
      </c>
      <c r="R367" s="6" t="n">
        <v>2</v>
      </c>
      <c r="S367" s="6" t="n">
        <v>1</v>
      </c>
      <c r="T367" s="6" t="n">
        <v>0</v>
      </c>
      <c r="U367" s="6" t="n">
        <v>0</v>
      </c>
      <c r="V367" s="6" t="n">
        <v>28</v>
      </c>
      <c r="W367" s="6" t="n">
        <v>50.2774</v>
      </c>
      <c r="X367" s="6" t="n">
        <v>3.0548</v>
      </c>
      <c r="Y367" s="6" t="inlineStr">
        <is>
          <t>Performance</t>
        </is>
      </c>
      <c r="Z367" s="6" t="inlineStr">
        <is>
          <t>Frozen-weight composite; strongest contribution: Performance.</t>
        </is>
      </c>
      <c r="AA367" s="6" t="inlineStr">
        <is>
          <t>None explicitly named in this RTM</t>
        </is>
      </c>
      <c r="AB367" s="6" t="inlineStr">
        <is>
          <t>SCK CEN/90508872 §4.4.4.2.1; no named external code</t>
        </is>
      </c>
      <c r="AC367" s="6" t="inlineStr">
        <is>
          <t>Calculation/model plus calibrated measurement or recorded trend; Functional design/configuration review and sequence/interface demonstration</t>
        </is>
      </c>
      <c r="AD367" s="6" t="inlineStr">
        <is>
          <t>No separate deliverable explicitly named</t>
        </is>
      </c>
      <c r="AE367" s="6" t="inlineStr">
        <is>
          <t>L1 Conceptual Design; L2 Detailed Design</t>
        </is>
      </c>
      <c r="AF367" s="6" t="inlineStr">
        <is>
          <t>Section/contract-derived reference; derived evidence route</t>
        </is>
      </c>
      <c r="AG367" s="58" t="inlineStr">
        <is>
          <t>Not linked to an OFFER item</t>
        </is>
      </c>
    </row>
    <row r="368" ht="47" customHeight="1">
      <c r="A368" s="6" t="n">
        <v>363</v>
      </c>
      <c r="B368" s="6" t="inlineStr">
        <is>
          <t>RTM-205</t>
        </is>
      </c>
      <c r="C368" s="6" t="inlineStr">
        <is>
          <t>No</t>
        </is>
      </c>
      <c r="D368" s="6" t="inlineStr">
        <is>
          <t>T2 Secondary</t>
        </is>
      </c>
      <c r="E368" s="6" t="inlineStr">
        <is>
          <t>Subsystems</t>
        </is>
      </c>
      <c r="F368" s="82" t="inlineStr">
        <is>
          <t>SYSTEM</t>
        </is>
      </c>
      <c r="G368" s="83" t="inlineStr">
        <is>
          <t>Performance</t>
        </is>
      </c>
      <c r="H368" s="59" t="inlineStr">
        <is>
          <t>—</t>
        </is>
      </c>
      <c r="I368" s="58" t="inlineStr">
        <is>
          <t>C2 — Process Design</t>
        </is>
      </c>
      <c r="J368" s="6" t="n">
        <v>56</v>
      </c>
      <c r="K368" s="6" t="inlineStr">
        <is>
          <t>4.4.4.2.2</t>
        </is>
      </c>
      <c r="L368" s="6" t="inlineStr">
        <is>
          <t>Main Process Heat Exchangers (MPHX)</t>
        </is>
      </c>
      <c r="M368" s="6" t="inlineStr">
        <is>
          <t>For MPHXs operating below 20 K, each heat exchanger shall be arranged vertically with the warm end at the top to avoid density-driven maldistribution.</t>
        </is>
      </c>
      <c r="N368" s="6" t="inlineStr">
        <is>
          <t>For MPHXs operating below 20 K, each heat exchanger shall be arranged vertically with the warm end at the top to avoid density-driven maldistribution.</t>
        </is>
      </c>
      <c r="O368" s="6" t="n">
        <v>0</v>
      </c>
      <c r="P368" s="6" t="n">
        <v>0</v>
      </c>
      <c r="Q368" s="6" t="n">
        <v>2</v>
      </c>
      <c r="R368" s="6" t="n">
        <v>2</v>
      </c>
      <c r="S368" s="6" t="n">
        <v>1</v>
      </c>
      <c r="T368" s="6" t="n">
        <v>0</v>
      </c>
      <c r="U368" s="6" t="n">
        <v>0</v>
      </c>
      <c r="V368" s="6" t="n">
        <v>28</v>
      </c>
      <c r="W368" s="6" t="n">
        <v>50.2774</v>
      </c>
      <c r="X368" s="6" t="n">
        <v>3.0548</v>
      </c>
      <c r="Y368" s="6" t="inlineStr">
        <is>
          <t>Performance</t>
        </is>
      </c>
      <c r="Z368" s="6" t="inlineStr">
        <is>
          <t>Frozen-weight composite; strongest contribution: Performance.</t>
        </is>
      </c>
      <c r="AA368" s="6" t="inlineStr">
        <is>
          <t>None explicitly named in this RTM</t>
        </is>
      </c>
      <c r="AB368" s="6" t="inlineStr">
        <is>
          <t>SCK CEN/90508872 §4.4.4.2.2; no named external code</t>
        </is>
      </c>
      <c r="AC368" s="6" t="inlineStr">
        <is>
          <t>Calculation/model plus calibrated measurement or recorded trend</t>
        </is>
      </c>
      <c r="AD368" s="6" t="inlineStr">
        <is>
          <t>No separate deliverable explicitly named</t>
        </is>
      </c>
      <c r="AE368" s="6" t="inlineStr">
        <is>
          <t>L1 Conceptual Design; L2 Detailed Design</t>
        </is>
      </c>
      <c r="AF368" s="6" t="inlineStr">
        <is>
          <t>Section/contract-derived reference; derived evidence route</t>
        </is>
      </c>
      <c r="AG368" s="58" t="inlineStr">
        <is>
          <t>OFFER-18 (Direct)</t>
        </is>
      </c>
    </row>
    <row r="369" ht="47" customHeight="1">
      <c r="A369" s="6" t="n">
        <v>364</v>
      </c>
      <c r="B369" s="6" t="inlineStr">
        <is>
          <t>RTM-223</t>
        </is>
      </c>
      <c r="C369" s="6" t="inlineStr">
        <is>
          <t>No</t>
        </is>
      </c>
      <c r="D369" s="6" t="inlineStr">
        <is>
          <t>T2 Secondary</t>
        </is>
      </c>
      <c r="E369" s="6" t="inlineStr">
        <is>
          <t>Subsystems</t>
        </is>
      </c>
      <c r="F369" s="82" t="inlineStr">
        <is>
          <t>SYSTEM</t>
        </is>
      </c>
      <c r="G369" s="83" t="inlineStr">
        <is>
          <t>Performance</t>
        </is>
      </c>
      <c r="H369" s="59" t="inlineStr">
        <is>
          <t>—</t>
        </is>
      </c>
      <c r="I369" s="81" t="inlineStr">
        <is>
          <t>Inferred: C2 — Process Design (low conf.)</t>
        </is>
      </c>
      <c r="J369" s="6" t="n">
        <v>57</v>
      </c>
      <c r="K369" s="6" t="inlineStr">
        <is>
          <t>4.4.4.2.5</t>
        </is>
      </c>
      <c r="L369" s="6" t="inlineStr">
        <is>
          <t>Helium phase separators</t>
        </is>
      </c>
      <c r="M369" s="6" t="inlineStr">
        <is>
          <t>Two helium phase separators shall be installed in the QRB:</t>
        </is>
      </c>
      <c r="N369" s="6" t="inlineStr">
        <is>
          <t>Two helium phase separators shall be installed in the QRB:
• one operating at ∼2 K and connected to the cold compressors
• one operating at ∼4.5 K.</t>
        </is>
      </c>
      <c r="O369" s="6" t="n">
        <v>0</v>
      </c>
      <c r="P369" s="6" t="n">
        <v>0</v>
      </c>
      <c r="Q369" s="6" t="n">
        <v>2</v>
      </c>
      <c r="R369" s="6" t="n">
        <v>2</v>
      </c>
      <c r="S369" s="6" t="n">
        <v>1</v>
      </c>
      <c r="T369" s="6" t="n">
        <v>0</v>
      </c>
      <c r="U369" s="6" t="n">
        <v>0</v>
      </c>
      <c r="V369" s="6" t="n">
        <v>28</v>
      </c>
      <c r="W369" s="6" t="n">
        <v>50.2774</v>
      </c>
      <c r="X369" s="6" t="n">
        <v>3.0548</v>
      </c>
      <c r="Y369" s="6" t="inlineStr">
        <is>
          <t>Performance</t>
        </is>
      </c>
      <c r="Z369" s="6" t="inlineStr">
        <is>
          <t>Frozen-weight composite; strongest contribution: Performance.</t>
        </is>
      </c>
      <c r="AA369" s="6" t="inlineStr">
        <is>
          <t>None explicitly named in this RTM</t>
        </is>
      </c>
      <c r="AB369" s="6" t="inlineStr">
        <is>
          <t>SCK CEN/90508872 §4.4.4.2.5; no named external code</t>
        </is>
      </c>
      <c r="AC369" s="6" t="inlineStr">
        <is>
          <t>Calculation/model plus calibrated measurement or recorded trend</t>
        </is>
      </c>
      <c r="AD369" s="6" t="inlineStr">
        <is>
          <t>No separate deliverable explicitly named</t>
        </is>
      </c>
      <c r="AE369" s="6" t="inlineStr">
        <is>
          <t>L1 Conceptual Design; L2 Detailed Design</t>
        </is>
      </c>
      <c r="AF369" s="6" t="inlineStr">
        <is>
          <t>Section/contract-derived reference; derived evidence route</t>
        </is>
      </c>
      <c r="AG369" s="58" t="inlineStr">
        <is>
          <t>Not linked to an OFFER item</t>
        </is>
      </c>
    </row>
    <row r="370" ht="47" customHeight="1">
      <c r="A370" s="6" t="n">
        <v>365</v>
      </c>
      <c r="B370" s="6" t="inlineStr">
        <is>
          <t>RTM-232</t>
        </is>
      </c>
      <c r="C370" s="6" t="inlineStr">
        <is>
          <t>No</t>
        </is>
      </c>
      <c r="D370" s="6" t="inlineStr">
        <is>
          <t>T2 Secondary</t>
        </is>
      </c>
      <c r="E370" s="6" t="inlineStr">
        <is>
          <t>Subsystems</t>
        </is>
      </c>
      <c r="F370" s="82" t="inlineStr">
        <is>
          <t>SYSTEM</t>
        </is>
      </c>
      <c r="G370" s="83" t="inlineStr">
        <is>
          <t>Performance</t>
        </is>
      </c>
      <c r="H370" s="59" t="inlineStr">
        <is>
          <t>—</t>
        </is>
      </c>
      <c r="I370" s="81" t="inlineStr">
        <is>
          <t>Inferred: C3 — Mechanical &amp; Equipment (medium conf.)</t>
        </is>
      </c>
      <c r="J370" s="6" t="n">
        <v>58</v>
      </c>
      <c r="K370" s="6" t="inlineStr">
        <is>
          <t>4.4.4.3</t>
        </is>
      </c>
      <c r="L370" s="6" t="inlineStr">
        <is>
          <t>Dedicated insulation vacuum pumping system</t>
        </is>
      </c>
      <c r="M370" s="6" t="inlineStr">
        <is>
          <t>The pump-down of the QRB from atmospheric pressure to ≤10⁻⁵ mbar shall be fully automated and shall take less than one week.</t>
        </is>
      </c>
      <c r="N370" s="6" t="inlineStr">
        <is>
          <t>The pump-down of the QRB from atmospheric pressure to ≤10⁻⁵ mbar shall be fully automated and shall take less than one week.</t>
        </is>
      </c>
      <c r="O370" s="6" t="n">
        <v>0</v>
      </c>
      <c r="P370" s="6" t="n">
        <v>0</v>
      </c>
      <c r="Q370" s="6" t="n">
        <v>2</v>
      </c>
      <c r="R370" s="6" t="n">
        <v>2</v>
      </c>
      <c r="S370" s="6" t="n">
        <v>1</v>
      </c>
      <c r="T370" s="6" t="n">
        <v>0</v>
      </c>
      <c r="U370" s="6" t="n">
        <v>0</v>
      </c>
      <c r="V370" s="6" t="n">
        <v>28</v>
      </c>
      <c r="W370" s="6" t="n">
        <v>50.2774</v>
      </c>
      <c r="X370" s="6" t="n">
        <v>3.0548</v>
      </c>
      <c r="Y370" s="6" t="inlineStr">
        <is>
          <t>Performance</t>
        </is>
      </c>
      <c r="Z370" s="6" t="inlineStr">
        <is>
          <t>Frozen-weight composite; strongest contribution: Performance.</t>
        </is>
      </c>
      <c r="AA370" s="6" t="inlineStr">
        <is>
          <t>None explicitly named in this RTM</t>
        </is>
      </c>
      <c r="AB370" s="6" t="inlineStr">
        <is>
          <t>SCK CEN/90508872 §4.4.4.3; no named external code</t>
        </is>
      </c>
      <c r="AC370" s="6" t="inlineStr">
        <is>
          <t>Calculation/model plus calibrated measurement or recorded trend</t>
        </is>
      </c>
      <c r="AD370" s="6" t="inlineStr">
        <is>
          <t>No separate deliverable explicitly named</t>
        </is>
      </c>
      <c r="AE370" s="6" t="inlineStr">
        <is>
          <t>L1 Conceptual Design; L2 Detailed Design</t>
        </is>
      </c>
      <c r="AF370" s="6" t="inlineStr">
        <is>
          <t>Section/contract-derived reference; derived evidence route</t>
        </is>
      </c>
      <c r="AG370" s="58" t="inlineStr">
        <is>
          <t>Not linked to an OFFER item</t>
        </is>
      </c>
    </row>
    <row r="371" ht="138" customHeight="1">
      <c r="A371" s="6" t="n">
        <v>366</v>
      </c>
      <c r="B371" s="6" t="inlineStr">
        <is>
          <t>RTM-241</t>
        </is>
      </c>
      <c r="C371" s="6" t="inlineStr">
        <is>
          <t>No</t>
        </is>
      </c>
      <c r="D371" s="6" t="inlineStr">
        <is>
          <t>T2 Secondary</t>
        </is>
      </c>
      <c r="E371" s="6" t="inlineStr">
        <is>
          <t>Subsystems</t>
        </is>
      </c>
      <c r="F371" s="82" t="inlineStr">
        <is>
          <t>SYSTEM</t>
        </is>
      </c>
      <c r="G371" s="83" t="inlineStr">
        <is>
          <t>Performance</t>
        </is>
      </c>
      <c r="H371" s="59" t="inlineStr">
        <is>
          <t>—</t>
        </is>
      </c>
      <c r="I371" s="58" t="inlineStr">
        <is>
          <t>C2 (+) — Process Design + others</t>
        </is>
      </c>
      <c r="J371" s="6" t="n">
        <v>26</v>
      </c>
      <c r="K371" s="6" t="inlineStr">
        <is>
          <t>4.4.5.2</t>
        </is>
      </c>
      <c r="L371" s="6" t="inlineStr">
        <is>
          <t>WSH Requirements</t>
        </is>
      </c>
      <c r="M371" s="6" t="inlineStr">
        <is>
          <t>The WSH shall be dimensioned to store the total helium inventory of the QPS and the QPS Users. This shall include at least the following Design Values:</t>
        </is>
      </c>
      <c r="N371" s="6" t="inlineStr">
        <is>
          <t>The WSH shall be dimensioned to store the total helium inventory of the QPS and the QPS Users. This shall include at least the following Design Values:
• The Helium inventory contained within the QPS, as specified by the Contractor
• The Helium inventory contained within the LINAC in configuration LINAC_30, as specified in
• Table 17
• A Helium inventory of 50 kg for the External Dewar Users.
• An additional contingency margin of ≥30 % on the total calculated inventory</t>
        </is>
      </c>
      <c r="O371" s="6" t="n">
        <v>0</v>
      </c>
      <c r="P371" s="6" t="n">
        <v>0</v>
      </c>
      <c r="Q371" s="6" t="n">
        <v>2</v>
      </c>
      <c r="R371" s="6" t="n">
        <v>2</v>
      </c>
      <c r="S371" s="6" t="n">
        <v>1</v>
      </c>
      <c r="T371" s="6" t="n">
        <v>0</v>
      </c>
      <c r="U371" s="6" t="n">
        <v>0</v>
      </c>
      <c r="V371" s="6" t="n">
        <v>28</v>
      </c>
      <c r="W371" s="6" t="n">
        <v>50.2774</v>
      </c>
      <c r="X371" s="6" t="n">
        <v>3.0548</v>
      </c>
      <c r="Y371" s="6" t="inlineStr">
        <is>
          <t>Performance</t>
        </is>
      </c>
      <c r="Z371" s="6" t="inlineStr">
        <is>
          <t>Frozen-weight composite; strongest contribution: Performance.</t>
        </is>
      </c>
      <c r="AA371" s="6" t="inlineStr">
        <is>
          <t>None explicitly named in this RTM</t>
        </is>
      </c>
      <c r="AB371" s="6" t="inlineStr">
        <is>
          <t>SCK CEN/90508872 §4.4.5.2; no named external code</t>
        </is>
      </c>
      <c r="AC371" s="6" t="inlineStr">
        <is>
          <t>Calculation/model plus calibrated measurement or recorded trend</t>
        </is>
      </c>
      <c r="AD371" s="6" t="inlineStr">
        <is>
          <t>No separate deliverable explicitly named</t>
        </is>
      </c>
      <c r="AE371" s="6" t="inlineStr">
        <is>
          <t>L1 Conceptual Design; L2 Detailed Design</t>
        </is>
      </c>
      <c r="AF371" s="6" t="inlineStr">
        <is>
          <t>Section/contract-derived reference; derived evidence route</t>
        </is>
      </c>
      <c r="AG371" s="58" t="inlineStr">
        <is>
          <t>OFFER-13 (Broad/contextual — main component specification); OFFER-19 (Direct)</t>
        </is>
      </c>
    </row>
    <row r="372" ht="60" customHeight="1">
      <c r="A372" s="6" t="n">
        <v>367</v>
      </c>
      <c r="B372" s="6" t="inlineStr">
        <is>
          <t>RTM-412</t>
        </is>
      </c>
      <c r="C372" s="6" t="inlineStr">
        <is>
          <t>No</t>
        </is>
      </c>
      <c r="D372" s="6" t="inlineStr">
        <is>
          <t>T2 Secondary</t>
        </is>
      </c>
      <c r="E372" s="6" t="inlineStr">
        <is>
          <t>Buildings &amp; Utilities</t>
        </is>
      </c>
      <c r="F372" s="82" t="inlineStr">
        <is>
          <t>SAFETY</t>
        </is>
      </c>
      <c r="G372" s="83" t="inlineStr">
        <is>
          <t>Equipment Protection</t>
        </is>
      </c>
      <c r="H372" s="59" t="inlineStr">
        <is>
          <t>—</t>
        </is>
      </c>
      <c r="I372" s="81" t="inlineStr">
        <is>
          <t>Inferred: C5 — Infrastructure &amp; Integration (high conf.)</t>
        </is>
      </c>
      <c r="J372" s="6" t="n">
        <v>83</v>
      </c>
      <c r="K372" s="6" t="inlineStr">
        <is>
          <t>4.7.4.2</t>
        </is>
      </c>
      <c r="L372" s="6" t="inlineStr">
        <is>
          <t>Process cooling water general</t>
        </is>
      </c>
      <c r="M372" s="6" t="inlineStr">
        <is>
          <t>The Contractor shall assume the following features of the PCW:</t>
        </is>
      </c>
      <c r="N372" s="6" t="inlineStr">
        <is>
          <t>The Contractor shall assume the following features of the PCW:
• A total heat sink capacity (across WCS and QRB) of 1300 kW at flow rate of 115 m3/h for a dT ~11°C.
• An overpressure protection set at 6 bar on both supply and return headers.
• Provisions to maintain constant flow to prevent fouling</t>
        </is>
      </c>
      <c r="O372" s="6" t="n">
        <v>0</v>
      </c>
      <c r="P372" s="6" t="n">
        <v>0</v>
      </c>
      <c r="Q372" s="6" t="n">
        <v>2</v>
      </c>
      <c r="R372" s="6" t="n">
        <v>2</v>
      </c>
      <c r="S372" s="6" t="n">
        <v>1</v>
      </c>
      <c r="T372" s="6" t="n">
        <v>0</v>
      </c>
      <c r="U372" s="6" t="n">
        <v>0</v>
      </c>
      <c r="V372" s="6" t="n">
        <v>28</v>
      </c>
      <c r="W372" s="6" t="n">
        <v>50.2774</v>
      </c>
      <c r="X372" s="6" t="n">
        <v>3.0548</v>
      </c>
      <c r="Y372" s="6" t="inlineStr">
        <is>
          <t>Performance</t>
        </is>
      </c>
      <c r="Z372" s="6" t="inlineStr">
        <is>
          <t>Frozen-weight composite; strongest contribution: Performance.</t>
        </is>
      </c>
      <c r="AA372" s="6" t="inlineStr">
        <is>
          <t>None explicitly named in this RTM</t>
        </is>
      </c>
      <c r="AB372" s="6" t="inlineStr">
        <is>
          <t>SCK CEN/90508872 §4.7.4.2; no named external code</t>
        </is>
      </c>
      <c r="AC372" s="6" t="inlineStr">
        <is>
          <t>Calculation/model plus calibrated measurement or recorded trend</t>
        </is>
      </c>
      <c r="AD372" s="6" t="inlineStr">
        <is>
          <t>No separate deliverable explicitly named</t>
        </is>
      </c>
      <c r="AE372" s="6" t="inlineStr">
        <is>
          <t>L1 Conceptual Design; L2 Detailed Design</t>
        </is>
      </c>
      <c r="AF372" s="6" t="inlineStr">
        <is>
          <t>Section/contract-derived reference; derived evidence route</t>
        </is>
      </c>
      <c r="AG372" s="58" t="inlineStr">
        <is>
          <t>Not linked to an OFFER item</t>
        </is>
      </c>
    </row>
    <row r="373" ht="60" customHeight="1">
      <c r="A373" s="6" t="n">
        <v>368</v>
      </c>
      <c r="B373" s="6" t="inlineStr">
        <is>
          <t>RTM-430</t>
        </is>
      </c>
      <c r="C373" s="6" t="inlineStr">
        <is>
          <t>No</t>
        </is>
      </c>
      <c r="D373" s="6" t="inlineStr">
        <is>
          <t>T2 Secondary</t>
        </is>
      </c>
      <c r="E373" s="6" t="inlineStr">
        <is>
          <t>Buildings &amp; Utilities</t>
        </is>
      </c>
      <c r="F373" s="82" t="inlineStr">
        <is>
          <t>SYSTEM</t>
        </is>
      </c>
      <c r="G373" s="83" t="inlineStr">
        <is>
          <t>Performance</t>
        </is>
      </c>
      <c r="H373" s="59" t="inlineStr">
        <is>
          <t>—</t>
        </is>
      </c>
      <c r="I373" s="58" t="inlineStr">
        <is>
          <t>Inferred: C5 — Infrastructure &amp; Integration (high conf.)</t>
        </is>
      </c>
      <c r="J373" s="6" t="n">
        <v>85</v>
      </c>
      <c r="K373" s="6" t="inlineStr">
        <is>
          <t>4.7.5</t>
        </is>
      </c>
      <c r="L373" s="6" t="inlineStr">
        <is>
          <t>Instrument Air Interfaces</t>
        </is>
      </c>
      <c r="M373" s="6" t="inlineStr">
        <is>
          <t>The QPS shall be designed for the following instrument-air supply conditions:</t>
        </is>
      </c>
      <c r="N373" s="6" t="inlineStr">
        <is>
          <t>The QPS shall be designed for the following instrument-air supply conditions:
• Nominal supply pressure: approximately 9 bar.
• Pressure dew point: lower than -40 °C.
• Maximum flow rate: 50 Nm³/h for the entire QPS.
• Air quality: Quality Class 2 for particles, water, and oil, in accordance with ISO 8573-1.</t>
        </is>
      </c>
      <c r="O373" s="6" t="n">
        <v>0</v>
      </c>
      <c r="P373" s="6" t="n">
        <v>0</v>
      </c>
      <c r="Q373" s="6" t="n">
        <v>2</v>
      </c>
      <c r="R373" s="6" t="n">
        <v>2</v>
      </c>
      <c r="S373" s="6" t="n">
        <v>1</v>
      </c>
      <c r="T373" s="6" t="n">
        <v>0</v>
      </c>
      <c r="U373" s="6" t="n">
        <v>0</v>
      </c>
      <c r="V373" s="6" t="n">
        <v>28</v>
      </c>
      <c r="W373" s="6" t="n">
        <v>50.2774</v>
      </c>
      <c r="X373" s="6" t="n">
        <v>3.0548</v>
      </c>
      <c r="Y373" s="6" t="inlineStr">
        <is>
          <t>Performance</t>
        </is>
      </c>
      <c r="Z373" s="6" t="inlineStr">
        <is>
          <t>Frozen-weight composite; strongest contribution: Performance.</t>
        </is>
      </c>
      <c r="AA373" s="6" t="inlineStr">
        <is>
          <t>ISO 8573-1</t>
        </is>
      </c>
      <c r="AB373" s="6" t="inlineStr">
        <is>
          <t>ISO 8573-1</t>
        </is>
      </c>
      <c r="AC373" s="6" t="inlineStr">
        <is>
          <t>Calculation/model plus calibrated measurement or recorded trend</t>
        </is>
      </c>
      <c r="AD373" s="6" t="inlineStr">
        <is>
          <t>No separate deliverable explicitly named</t>
        </is>
      </c>
      <c r="AE373" s="6" t="inlineStr">
        <is>
          <t>L1 Conceptual Design; L2 Detailed Design</t>
        </is>
      </c>
      <c r="AF373" s="6" t="inlineStr">
        <is>
          <t>Explicit/table-grounded standard; derived evidence route</t>
        </is>
      </c>
      <c r="AG373" s="58" t="inlineStr">
        <is>
          <t>Not linked to an OFFER item</t>
        </is>
      </c>
    </row>
    <row r="374" ht="47" customHeight="1">
      <c r="A374" s="6" t="n">
        <v>369</v>
      </c>
      <c r="B374" s="6" t="inlineStr">
        <is>
          <t>RTM-435</t>
        </is>
      </c>
      <c r="C374" s="6" t="inlineStr">
        <is>
          <t>No</t>
        </is>
      </c>
      <c r="D374" s="6" t="inlineStr">
        <is>
          <t>T2 Secondary</t>
        </is>
      </c>
      <c r="E374" s="6" t="inlineStr">
        <is>
          <t>Buildings &amp; Utilities</t>
        </is>
      </c>
      <c r="F374" s="82" t="inlineStr">
        <is>
          <t>SYSTEM</t>
        </is>
      </c>
      <c r="G374" s="83" t="inlineStr">
        <is>
          <t>Constraint</t>
        </is>
      </c>
      <c r="H374" s="59" t="inlineStr">
        <is>
          <t>—</t>
        </is>
      </c>
      <c r="I374" s="58" t="inlineStr">
        <is>
          <t>C5 — Infrastructure &amp; Integration</t>
        </is>
      </c>
      <c r="J374" s="6" t="n">
        <v>86</v>
      </c>
      <c r="K374" s="6" t="inlineStr">
        <is>
          <t>4.7.6</t>
        </is>
      </c>
      <c r="L374" s="6" t="inlineStr">
        <is>
          <t>Interfaces with HVAC</t>
        </is>
      </c>
      <c r="M374" s="6" t="inlineStr">
        <is>
          <t>The WCS shall comply with the following heat-rejection constraints:</t>
        </is>
      </c>
      <c r="N374" s="6" t="inlineStr">
        <is>
          <t>The WCS shall comply with the following heat-rejection constraints:
• The total heat dissipated by the WCS to the room air shall not exceed 120 kW under all steady-state operating conditions.
• At least 50 % of the heat dissipated by the WCS to the room air shall be directly transferred to the exhaust-air ducts connected to the HP compressors.</t>
        </is>
      </c>
      <c r="O374" s="6" t="n">
        <v>0</v>
      </c>
      <c r="P374" s="6" t="n">
        <v>0</v>
      </c>
      <c r="Q374" s="6" t="n">
        <v>2</v>
      </c>
      <c r="R374" s="6" t="n">
        <v>2</v>
      </c>
      <c r="S374" s="6" t="n">
        <v>1</v>
      </c>
      <c r="T374" s="6" t="n">
        <v>0</v>
      </c>
      <c r="U374" s="6" t="n">
        <v>0</v>
      </c>
      <c r="V374" s="6" t="n">
        <v>28</v>
      </c>
      <c r="W374" s="6" t="n">
        <v>50.2774</v>
      </c>
      <c r="X374" s="6" t="n">
        <v>3.0548</v>
      </c>
      <c r="Y374" s="6" t="inlineStr">
        <is>
          <t>Performance</t>
        </is>
      </c>
      <c r="Z374" s="6" t="inlineStr">
        <is>
          <t>Frozen-weight composite; strongest contribution: Performance.</t>
        </is>
      </c>
      <c r="AA374" s="6" t="inlineStr">
        <is>
          <t>None explicitly named in this RTM</t>
        </is>
      </c>
      <c r="AB374" s="6" t="inlineStr">
        <is>
          <t>SCK CEN/90508872 §4.7.6; no named external code</t>
        </is>
      </c>
      <c r="AC374" s="6" t="inlineStr">
        <is>
          <t>Calculation/model plus calibrated measurement or recorded trend</t>
        </is>
      </c>
      <c r="AD374" s="6" t="inlineStr">
        <is>
          <t>No separate deliverable explicitly named</t>
        </is>
      </c>
      <c r="AE374" s="6" t="inlineStr">
        <is>
          <t>L1 Conceptual Design; L2 Detailed Design</t>
        </is>
      </c>
      <c r="AF374" s="6" t="inlineStr">
        <is>
          <t>Section/contract-derived reference; derived evidence route</t>
        </is>
      </c>
      <c r="AG374" s="58" t="inlineStr">
        <is>
          <t>OFFER-35 (Direct)</t>
        </is>
      </c>
    </row>
    <row r="375" ht="47" customHeight="1">
      <c r="A375" s="6" t="n">
        <v>370</v>
      </c>
      <c r="B375" s="6" t="inlineStr">
        <is>
          <t>RTM-309</t>
        </is>
      </c>
      <c r="C375" s="6" t="inlineStr">
        <is>
          <t>No</t>
        </is>
      </c>
      <c r="D375" s="6" t="inlineStr">
        <is>
          <t>T2 Secondary</t>
        </is>
      </c>
      <c r="E375" s="6" t="inlineStr">
        <is>
          <t>Control &amp; Interlock</t>
        </is>
      </c>
      <c r="F375" s="82" t="inlineStr">
        <is>
          <t>SYSTEM</t>
        </is>
      </c>
      <c r="G375" s="83" t="inlineStr">
        <is>
          <t>Performance</t>
        </is>
      </c>
      <c r="H375" s="59" t="inlineStr">
        <is>
          <t>—</t>
        </is>
      </c>
      <c r="I375" s="81" t="inlineStr">
        <is>
          <t>Inferred: C4 — Software &amp; Control (high conf.)</t>
        </is>
      </c>
      <c r="J375" s="6" t="n">
        <v>71</v>
      </c>
      <c r="K375" s="6" t="inlineStr">
        <is>
          <t>4.6.3</t>
        </is>
      </c>
      <c r="L375" s="6" t="inlineStr">
        <is>
          <t>General requirements</t>
        </is>
      </c>
      <c r="M375" s="6" t="inlineStr">
        <is>
          <t>The QPS:CIS shall include functionality to perform automated testing procedures to validate the correct functioning of the whole QPS e.g., during SAT.</t>
        </is>
      </c>
      <c r="N375" s="6" t="inlineStr">
        <is>
          <t>The QPS:CIS shall include functionality to perform automated testing procedures to validate the correct functioning of the whole QPS e.g., during SAT.</t>
        </is>
      </c>
      <c r="O375" s="6" t="n">
        <v>0</v>
      </c>
      <c r="P375" s="6" t="n">
        <v>0</v>
      </c>
      <c r="Q375" s="6" t="n">
        <v>0</v>
      </c>
      <c r="R375" s="6" t="n">
        <v>3</v>
      </c>
      <c r="S375" s="6" t="n">
        <v>3</v>
      </c>
      <c r="T375" s="6" t="n">
        <v>0</v>
      </c>
      <c r="U375" s="6" t="n">
        <v>0</v>
      </c>
      <c r="V375" s="6" t="n">
        <v>28</v>
      </c>
      <c r="W375" s="6" t="n">
        <v>48.613</v>
      </c>
      <c r="X375" s="6" t="n">
        <v>2.7871</v>
      </c>
      <c r="Y375" s="6" t="inlineStr">
        <is>
          <t>Functional</t>
        </is>
      </c>
      <c r="Z375" s="6" t="inlineStr">
        <is>
          <t>Frozen-weight composite; strongest contribution: Functional.</t>
        </is>
      </c>
      <c r="AA375" s="6" t="inlineStr">
        <is>
          <t>None explicitly named in this RTM</t>
        </is>
      </c>
      <c r="AB375" s="6" t="inlineStr">
        <is>
          <t>SCK CEN/90508872 §4.6.3; no named external code</t>
        </is>
      </c>
      <c r="AC375" s="6" t="inlineStr">
        <is>
          <t>Submit and review the named deliverable with RTM traceability and approval status; Witnessed FAT/SAT/commissioning test against stated acceptance criteria; Functional design/configuration review and sequence/interface demonstration</t>
        </is>
      </c>
      <c r="AD375" s="6" t="inlineStr">
        <is>
          <t>Procedure / work instruction</t>
        </is>
      </c>
      <c r="AE375" s="6" t="inlineStr">
        <is>
          <t>L6 Site Acceptance Testing; L1 Conceptual Design; L2 Detailed Design</t>
        </is>
      </c>
      <c r="AF375" s="6" t="inlineStr">
        <is>
          <t>Section/contract-derived reference; explicit deliverable/test wording</t>
        </is>
      </c>
      <c r="AG375" s="58" t="inlineStr">
        <is>
          <t>Not linked to an OFFER item</t>
        </is>
      </c>
    </row>
    <row r="376" ht="73" customHeight="1">
      <c r="A376" s="6" t="n">
        <v>371</v>
      </c>
      <c r="B376" s="6" t="inlineStr">
        <is>
          <t>RTM-348</t>
        </is>
      </c>
      <c r="C376" s="6" t="inlineStr">
        <is>
          <t>No</t>
        </is>
      </c>
      <c r="D376" s="6" t="inlineStr">
        <is>
          <t>T2 Secondary</t>
        </is>
      </c>
      <c r="E376" s="6" t="inlineStr">
        <is>
          <t>Control &amp; Interlock</t>
        </is>
      </c>
      <c r="F376" s="82" t="inlineStr">
        <is>
          <t>SYSTEM</t>
        </is>
      </c>
      <c r="G376" s="83" t="inlineStr">
        <is>
          <t>Performance</t>
        </is>
      </c>
      <c r="H376" s="59" t="inlineStr">
        <is>
          <t>—</t>
        </is>
      </c>
      <c r="I376" s="81" t="inlineStr">
        <is>
          <t>C4 — Software &amp; Control</t>
        </is>
      </c>
      <c r="J376" s="6" t="n">
        <v>76</v>
      </c>
      <c r="K376" s="6" t="inlineStr">
        <is>
          <t>4.6.8</t>
        </is>
      </c>
      <c r="L376" s="6" t="inlineStr">
        <is>
          <t>SCADA, HMI, and Data Historian Infrastructure</t>
        </is>
      </c>
      <c r="M376" s="6" t="inlineStr">
        <is>
          <t>During standalone commissioning and SAT, integration with SCK CEN systems (MIT, MCS, MIS) may not be available; therefore, QPS:CIS shall be capable of independent operation until full site integration is realized.</t>
        </is>
      </c>
      <c r="N376" s="6" t="inlineStr">
        <is>
          <t>During standalone commissioning and SAT, integration with SCK CEN systems (MIT, MCS, MIS) may not be available; therefore, QPS:CIS shall be capable of independent operation until full site integration is realized.</t>
        </is>
      </c>
      <c r="O376" s="6" t="n">
        <v>0</v>
      </c>
      <c r="P376" s="6" t="n">
        <v>0</v>
      </c>
      <c r="Q376" s="6" t="n">
        <v>0</v>
      </c>
      <c r="R376" s="6" t="n">
        <v>3</v>
      </c>
      <c r="S376" s="6" t="n">
        <v>3</v>
      </c>
      <c r="T376" s="6" t="n">
        <v>0</v>
      </c>
      <c r="U376" s="6" t="n">
        <v>0</v>
      </c>
      <c r="V376" s="6" t="n">
        <v>28</v>
      </c>
      <c r="W376" s="6" t="n">
        <v>48.613</v>
      </c>
      <c r="X376" s="6" t="n">
        <v>2.7871</v>
      </c>
      <c r="Y376" s="6" t="inlineStr">
        <is>
          <t>Functional</t>
        </is>
      </c>
      <c r="Z376" s="6" t="inlineStr">
        <is>
          <t>Frozen-weight composite; strongest contribution: Functional.</t>
        </is>
      </c>
      <c r="AA376" s="6" t="inlineStr">
        <is>
          <t>None explicitly named in this RTM</t>
        </is>
      </c>
      <c r="AB376" s="6" t="inlineStr">
        <is>
          <t>SCK CEN/90508872 §4.6.8; no named external code</t>
        </is>
      </c>
      <c r="AC376" s="6" t="inlineStr">
        <is>
          <t>Witnessed FAT/SAT/commissioning test against stated acceptance criteria</t>
        </is>
      </c>
      <c r="AD376" s="6" t="inlineStr">
        <is>
          <t>No separate deliverable explicitly named</t>
        </is>
      </c>
      <c r="AE376" s="6" t="inlineStr">
        <is>
          <t>L5 Standalone Commissioning; L6 Site Acceptance Testing; L1 Conceptual Design; L2 Detailed Design</t>
        </is>
      </c>
      <c r="AF376" s="6" t="inlineStr">
        <is>
          <t>Section/contract-derived reference; derived evidence route</t>
        </is>
      </c>
      <c r="AG376" s="58" t="inlineStr">
        <is>
          <t>OFFER-29 (Direct)</t>
        </is>
      </c>
    </row>
    <row r="377" ht="99" customHeight="1">
      <c r="A377" s="6" t="n">
        <v>372</v>
      </c>
      <c r="B377" s="6" t="inlineStr">
        <is>
          <t>RTM-368</t>
        </is>
      </c>
      <c r="C377" s="6" t="inlineStr">
        <is>
          <t>No</t>
        </is>
      </c>
      <c r="D377" s="6" t="inlineStr">
        <is>
          <t>T2 Secondary</t>
        </is>
      </c>
      <c r="E377" s="6" t="inlineStr">
        <is>
          <t>Control &amp; Interlock</t>
        </is>
      </c>
      <c r="F377" s="82" t="inlineStr">
        <is>
          <t>SYSTEM</t>
        </is>
      </c>
      <c r="G377" s="83" t="inlineStr">
        <is>
          <t>Control</t>
        </is>
      </c>
      <c r="H377" s="59" t="inlineStr">
        <is>
          <t>—</t>
        </is>
      </c>
      <c r="I377" s="81" t="inlineStr">
        <is>
          <t>C4 — Software &amp; Control</t>
        </is>
      </c>
      <c r="J377" s="6" t="n">
        <v>78</v>
      </c>
      <c r="K377" s="6" t="inlineStr">
        <is>
          <t>4.6.9</t>
        </is>
      </c>
      <c r="L377" s="6" t="inlineStr">
        <is>
          <t>Software Change Management</t>
        </is>
      </c>
      <c r="M377" s="6" t="inlineStr">
        <is>
          <t>The control software version delivered prior to SAT (L6) shall constitute the contractual software baseline.</t>
        </is>
      </c>
      <c r="N377" s="6" t="inlineStr">
        <is>
          <t>The control software version delivered prior to SAT (L6) shall constitute the contractual software baseline.</t>
        </is>
      </c>
      <c r="O377" s="6" t="n">
        <v>0</v>
      </c>
      <c r="P377" s="6" t="n">
        <v>0</v>
      </c>
      <c r="Q377" s="6" t="n">
        <v>0</v>
      </c>
      <c r="R377" s="6" t="n">
        <v>3</v>
      </c>
      <c r="S377" s="6" t="n">
        <v>3</v>
      </c>
      <c r="T377" s="6" t="n">
        <v>0</v>
      </c>
      <c r="U377" s="6" t="n">
        <v>0</v>
      </c>
      <c r="V377" s="6" t="n">
        <v>28</v>
      </c>
      <c r="W377" s="6" t="n">
        <v>48.613</v>
      </c>
      <c r="X377" s="6" t="n">
        <v>2.7871</v>
      </c>
      <c r="Y377" s="6" t="inlineStr">
        <is>
          <t>Functional</t>
        </is>
      </c>
      <c r="Z377" s="6" t="inlineStr">
        <is>
          <t>Frozen-weight composite; strongest contribution: Functional.</t>
        </is>
      </c>
      <c r="AA377" s="6" t="inlineStr">
        <is>
          <t>None explicitly named in this RTM</t>
        </is>
      </c>
      <c r="AB377" s="6" t="inlineStr">
        <is>
          <t>SCK CEN/90508872 §4.6.9; no named external code</t>
        </is>
      </c>
      <c r="AC377" s="6" t="inlineStr">
        <is>
          <t>Witnessed FAT/SAT/commissioning test against stated acceptance criteria; Functional design/configuration review and sequence/interface demonstration</t>
        </is>
      </c>
      <c r="AD377" s="6" t="inlineStr">
        <is>
          <t>No separate deliverable explicitly named</t>
        </is>
      </c>
      <c r="AE377" s="6" t="inlineStr">
        <is>
          <t>L6 Site Acceptance Testing; L1 Conceptual Design; L2 Detailed Design</t>
        </is>
      </c>
      <c r="AF377" s="6" t="inlineStr">
        <is>
          <t>Section/contract-derived reference; derived evidence route</t>
        </is>
      </c>
      <c r="AG377" s="58" t="inlineStr">
        <is>
          <t>OFFER-30 (Direct)</t>
        </is>
      </c>
    </row>
    <row r="378" ht="86" customHeight="1">
      <c r="A378" s="6" t="n">
        <v>373</v>
      </c>
      <c r="B378" s="6" t="inlineStr">
        <is>
          <t>RTM-383</t>
        </is>
      </c>
      <c r="C378" s="6" t="inlineStr">
        <is>
          <t>No</t>
        </is>
      </c>
      <c r="D378" s="6" t="inlineStr">
        <is>
          <t>T2 Secondary</t>
        </is>
      </c>
      <c r="E378" s="6" t="inlineStr">
        <is>
          <t>Control &amp; Interlock</t>
        </is>
      </c>
      <c r="F378" s="82" t="inlineStr">
        <is>
          <t>SYSTEM</t>
        </is>
      </c>
      <c r="G378" s="83" t="inlineStr">
        <is>
          <t>Performance</t>
        </is>
      </c>
      <c r="H378" s="59" t="inlineStr">
        <is>
          <t>—</t>
        </is>
      </c>
      <c r="I378" s="58" t="inlineStr">
        <is>
          <t>Inferred: C4 — Software &amp; Control (high conf.)</t>
        </is>
      </c>
      <c r="J378" s="6" t="n">
        <v>79</v>
      </c>
      <c r="K378" s="6" t="inlineStr">
        <is>
          <t>4.6.10.3</t>
        </is>
      </c>
      <c r="L378" s="6" t="inlineStr">
        <is>
          <t>Interfaces with MIT</t>
        </is>
      </c>
      <c r="M378" s="6" t="inlineStr">
        <is>
          <t>Each skid-level CIS shall provide license-to-operate validation signals (permissives) prior to startup, supporting bottom-up readiness (utilities → subsystems → systems).</t>
        </is>
      </c>
      <c r="N378" s="6" t="inlineStr">
        <is>
          <t>Each skid-level CIS shall provide license-to-operate validation signals (permissives) prior to startup, supporting bottom-up readiness (utilities → subsystems → systems).</t>
        </is>
      </c>
      <c r="O378" s="6" t="n">
        <v>0</v>
      </c>
      <c r="P378" s="6" t="n">
        <v>0</v>
      </c>
      <c r="Q378" s="6" t="n">
        <v>0</v>
      </c>
      <c r="R378" s="6" t="n">
        <v>3</v>
      </c>
      <c r="S378" s="6" t="n">
        <v>3</v>
      </c>
      <c r="T378" s="6" t="n">
        <v>0</v>
      </c>
      <c r="U378" s="6" t="n">
        <v>0</v>
      </c>
      <c r="V378" s="6" t="n">
        <v>28</v>
      </c>
      <c r="W378" s="6" t="n">
        <v>48.613</v>
      </c>
      <c r="X378" s="6" t="n">
        <v>2.7871</v>
      </c>
      <c r="Y378" s="6" t="inlineStr">
        <is>
          <t>Functional</t>
        </is>
      </c>
      <c r="Z378" s="6" t="inlineStr">
        <is>
          <t>Frozen-weight composite; strongest contribution: Functional.</t>
        </is>
      </c>
      <c r="AA378" s="6" t="inlineStr">
        <is>
          <t>None explicitly named in this RTM</t>
        </is>
      </c>
      <c r="AB378" s="6" t="inlineStr">
        <is>
          <t>SCK CEN/90508872 §4.6.10.3; no named external code</t>
        </is>
      </c>
      <c r="AC378" s="6" t="inlineStr">
        <is>
          <t>Document review, inspection, certification, audit or traceable QC record</t>
        </is>
      </c>
      <c r="AD378" s="6" t="inlineStr">
        <is>
          <t>No separate deliverable explicitly named</t>
        </is>
      </c>
      <c r="AE378" s="6" t="inlineStr">
        <is>
          <t>L1 Conceptual Design; L2 Detailed Design</t>
        </is>
      </c>
      <c r="AF378" s="6" t="inlineStr">
        <is>
          <t>Section/contract-derived reference; derived evidence route</t>
        </is>
      </c>
      <c r="AG378" s="58" t="inlineStr">
        <is>
          <t>Not linked to an OFFER item</t>
        </is>
      </c>
    </row>
    <row r="379" ht="73" customHeight="1">
      <c r="A379" s="6" t="n">
        <v>374</v>
      </c>
      <c r="B379" s="6" t="inlineStr">
        <is>
          <t>RTM-499</t>
        </is>
      </c>
      <c r="C379" s="6" t="inlineStr">
        <is>
          <t>No</t>
        </is>
      </c>
      <c r="D379" s="6" t="inlineStr">
        <is>
          <t>T2 Secondary</t>
        </is>
      </c>
      <c r="E379" s="6" t="inlineStr">
        <is>
          <t>Acceptance Testing</t>
        </is>
      </c>
      <c r="F379" s="82" t="inlineStr">
        <is>
          <t>PROJECT</t>
        </is>
      </c>
      <c r="G379" s="83" t="inlineStr">
        <is>
          <t>Governance &amp; Responsibility</t>
        </is>
      </c>
      <c r="H379" s="59" t="inlineStr">
        <is>
          <t>—</t>
        </is>
      </c>
      <c r="I379" s="58" t="inlineStr">
        <is>
          <t>C7 — Quality, Testing &amp; Risk</t>
        </is>
      </c>
      <c r="J379" s="6" t="n">
        <v>96</v>
      </c>
      <c r="K379" s="6" t="inlineStr">
        <is>
          <t>4.13.3</t>
        </is>
      </c>
      <c r="L379" s="6" t="inlineStr">
        <is>
          <t>Site Acceptance Tests (SAT)</t>
        </is>
      </c>
      <c r="M379" s="6" t="inlineStr">
        <is>
          <t>The Contractor shall perform the Site Acceptance Tests (SAT) to demonstrate that the as-built QPS complies with the requirements set forth in the Contract under site conditions.</t>
        </is>
      </c>
      <c r="N379" s="6" t="inlineStr">
        <is>
          <t>The Contractor shall perform the Site Acceptance Tests (SAT) to demonstrate that the as-built QPS complies with the requirements set forth in the Contract under site conditions.
• The Contractor shall perform, at minimum, the SAT demonstrations and tests specified in this section.</t>
        </is>
      </c>
      <c r="O379" s="6" t="n">
        <v>2</v>
      </c>
      <c r="P379" s="6" t="n">
        <v>0</v>
      </c>
      <c r="Q379" s="6" t="n">
        <v>0</v>
      </c>
      <c r="R379" s="6" t="n">
        <v>0</v>
      </c>
      <c r="S379" s="6" t="n">
        <v>3</v>
      </c>
      <c r="T379" s="6" t="n">
        <v>1</v>
      </c>
      <c r="U379" s="6" t="n">
        <v>0</v>
      </c>
      <c r="V379" s="6" t="n">
        <v>27.666667</v>
      </c>
      <c r="W379" s="6" t="n">
        <v>48.2663</v>
      </c>
      <c r="X379" s="6" t="n">
        <v>2.7344</v>
      </c>
      <c r="Y379" s="6" t="inlineStr">
        <is>
          <t>Safety / Legal</t>
        </is>
      </c>
      <c r="Z379" s="6" t="inlineStr">
        <is>
          <t>Frozen-weight composite; strongest contribution: Safety / Legal.</t>
        </is>
      </c>
      <c r="AA379" s="6" t="inlineStr">
        <is>
          <t>None explicitly named in this RTM</t>
        </is>
      </c>
      <c r="AB379" s="6" t="inlineStr">
        <is>
          <t>SCK CEN/90508872 §4.13.3; no named external code</t>
        </is>
      </c>
      <c r="AC379" s="6" t="inlineStr">
        <is>
          <t>Witnessed FAT/SAT/commissioning test against stated acceptance criteria</t>
        </is>
      </c>
      <c r="AD379" s="6" t="inlineStr">
        <is>
          <t>No separate deliverable explicitly named</t>
        </is>
      </c>
      <c r="AE379" s="6" t="inlineStr">
        <is>
          <t>L6 Site Acceptance Testing; L1 Conceptual Design; L2 Detailed Design</t>
        </is>
      </c>
      <c r="AF379" s="6" t="inlineStr">
        <is>
          <t>Section/contract-derived reference; explicit deliverable/test wording</t>
        </is>
      </c>
      <c r="AG379" s="58" t="inlineStr">
        <is>
          <t>OFFER-39 (Supporting)</t>
        </is>
      </c>
    </row>
    <row r="380" ht="86" customHeight="1">
      <c r="A380" s="6" t="n">
        <v>375</v>
      </c>
      <c r="B380" s="6" t="inlineStr">
        <is>
          <t>RTM-363</t>
        </is>
      </c>
      <c r="C380" s="6" t="inlineStr">
        <is>
          <t>No</t>
        </is>
      </c>
      <c r="D380" s="6" t="inlineStr">
        <is>
          <t>T2 Secondary</t>
        </is>
      </c>
      <c r="E380" s="6" t="inlineStr">
        <is>
          <t>Control &amp; Interlock</t>
        </is>
      </c>
      <c r="F380" s="82" t="inlineStr">
        <is>
          <t>SYSTEM</t>
        </is>
      </c>
      <c r="G380" s="83" t="inlineStr">
        <is>
          <t>Performance</t>
        </is>
      </c>
      <c r="H380" s="59" t="inlineStr">
        <is>
          <t>—</t>
        </is>
      </c>
      <c r="I380" s="58" t="inlineStr">
        <is>
          <t>C4 — Software &amp; Control</t>
        </is>
      </c>
      <c r="J380" s="6" t="n">
        <v>77</v>
      </c>
      <c r="K380" s="6" t="inlineStr">
        <is>
          <t>4.6.8</t>
        </is>
      </c>
      <c r="L380" s="6" t="inlineStr">
        <is>
          <t>SCADA, HMI, and Data Historian Infrastructure</t>
        </is>
      </c>
      <c r="M380" s="6" t="inlineStr">
        <is>
          <t>The Operator Station HMI software shall support a default data acquisition period of ≤2 s. For all time-critical data—including turbine data and any Contractor-defined sequence, event-driven, or diagnostic signals used for root-cause or sequence-of-events analysis—an acquisition rate of 100 ms shall be supported</t>
        </is>
      </c>
      <c r="N380" s="6" t="inlineStr">
        <is>
          <t>The Operator Station HMI software shall support a default data acquisition period of ≤2 s. For all time-critical data—including turbine data and any Contractor-defined sequence, event-driven, or diagnostic signals used for root-cause or sequence-of-events analysis—an acquisition rate of 100 ms shall be supported</t>
        </is>
      </c>
      <c r="O380" s="6" t="n">
        <v>0</v>
      </c>
      <c r="P380" s="6" t="n">
        <v>1</v>
      </c>
      <c r="Q380" s="6" t="n">
        <v>0</v>
      </c>
      <c r="R380" s="6" t="n">
        <v>3</v>
      </c>
      <c r="S380" s="6" t="n">
        <v>1</v>
      </c>
      <c r="T380" s="6" t="n">
        <v>0</v>
      </c>
      <c r="U380" s="6" t="n">
        <v>0</v>
      </c>
      <c r="V380" s="6" t="n">
        <v>27.333333</v>
      </c>
      <c r="W380" s="6" t="n">
        <v>48.1276</v>
      </c>
      <c r="X380" s="6" t="n">
        <v>2.7135</v>
      </c>
      <c r="Y380" s="6" t="inlineStr">
        <is>
          <t>Functional</t>
        </is>
      </c>
      <c r="Z380" s="6" t="inlineStr">
        <is>
          <t>Frozen-weight composite; strongest contribution: Functional.</t>
        </is>
      </c>
      <c r="AA380" s="6" t="inlineStr">
        <is>
          <t>None explicitly named in this RTM</t>
        </is>
      </c>
      <c r="AB380" s="6" t="inlineStr">
        <is>
          <t>SCK CEN/90508872 §4.6.8; no named external code</t>
        </is>
      </c>
      <c r="AC380" s="6" t="inlineStr">
        <is>
          <t>Calculation/model plus calibrated measurement or recorded trend; Functional design/configuration review and sequence/interface demonstration</t>
        </is>
      </c>
      <c r="AD380" s="6" t="inlineStr">
        <is>
          <t>No separate deliverable explicitly named</t>
        </is>
      </c>
      <c r="AE380" s="6" t="inlineStr">
        <is>
          <t>L1 Conceptual Design; L2 Detailed Design</t>
        </is>
      </c>
      <c r="AF380" s="6" t="inlineStr">
        <is>
          <t>Section/contract-derived reference; derived evidence route</t>
        </is>
      </c>
      <c r="AG380" s="58" t="inlineStr">
        <is>
          <t>OFFER-29 (Direct)</t>
        </is>
      </c>
    </row>
    <row r="381" ht="60" customHeight="1">
      <c r="A381" s="6" t="n">
        <v>376</v>
      </c>
      <c r="B381" s="6" t="inlineStr">
        <is>
          <t>RTM-699</t>
        </is>
      </c>
      <c r="C381" s="6" t="inlineStr">
        <is>
          <t>No</t>
        </is>
      </c>
      <c r="D381" s="6" t="inlineStr">
        <is>
          <t>T2 Secondary</t>
        </is>
      </c>
      <c r="E381" s="6" t="inlineStr">
        <is>
          <t>Codes &amp; Standards</t>
        </is>
      </c>
      <c r="F381" s="82" t="inlineStr">
        <is>
          <t>SYSTEM</t>
        </is>
      </c>
      <c r="G381" s="83" t="inlineStr">
        <is>
          <t>Constraint</t>
        </is>
      </c>
      <c r="H381" s="59" t="inlineStr">
        <is>
          <t>—</t>
        </is>
      </c>
      <c r="I381" s="58" t="inlineStr">
        <is>
          <t>C7 — Quality, Testing &amp; Risk</t>
        </is>
      </c>
      <c r="J381" s="6" t="n">
        <v>128</v>
      </c>
      <c r="K381" s="6" t="inlineStr">
        <is>
          <t>9.3</t>
        </is>
      </c>
      <c r="L381" s="6" t="inlineStr">
        <is>
          <t>Electromagnetic interference</t>
        </is>
      </c>
      <c r="M381" s="6" t="inlineStr">
        <is>
          <t>The EMI mitigation design shall ensure that all instrumentation and control signals operate within their specified accuracy limits under defined electromagnetic environments.</t>
        </is>
      </c>
      <c r="N381" s="6" t="inlineStr">
        <is>
          <t>The EMI mitigation design shall ensure that all instrumentation and control signals operate within their specified accuracy limits under defined electromagnetic environments.</t>
        </is>
      </c>
      <c r="O381" s="6" t="n">
        <v>2</v>
      </c>
      <c r="P381" s="6" t="n">
        <v>0</v>
      </c>
      <c r="Q381" s="6" t="n">
        <v>2</v>
      </c>
      <c r="R381" s="6" t="n">
        <v>0</v>
      </c>
      <c r="S381" s="6" t="n">
        <v>0</v>
      </c>
      <c r="T381" s="6" t="n">
        <v>0</v>
      </c>
      <c r="U381" s="6" t="n">
        <v>0</v>
      </c>
      <c r="V381" s="6" t="n">
        <v>26.666667</v>
      </c>
      <c r="W381" s="6" t="n">
        <v>47.9889</v>
      </c>
      <c r="X381" s="6" t="n">
        <v>2.6929</v>
      </c>
      <c r="Y381" s="6" t="inlineStr">
        <is>
          <t>Safety / Legal / Performance</t>
        </is>
      </c>
      <c r="Z381" s="6" t="inlineStr">
        <is>
          <t>Frozen-weight composite; strongest contribution: Safety / Legal / Performance.</t>
        </is>
      </c>
      <c r="AA381" s="6" t="inlineStr">
        <is>
          <t>None explicitly named in this RTM</t>
        </is>
      </c>
      <c r="AB381" s="6" t="inlineStr">
        <is>
          <t>Section-level: EN 61000-6-2; EN 61000-6-4</t>
        </is>
      </c>
      <c r="AC381" s="6" t="inlineStr">
        <is>
          <t>Calculation/model plus calibrated measurement or recorded trend</t>
        </is>
      </c>
      <c r="AD381" s="6" t="inlineStr">
        <is>
          <t>No separate deliverable explicitly named</t>
        </is>
      </c>
      <c r="AE381" s="6" t="inlineStr">
        <is>
          <t>L0 Tender / Offer; L1 Conceptual Design; L2 Detailed Design; L3 Procurement &amp; Manufacturing / FAT; L4 Installation; L5 Standalone Commissioning; L6 Site Acceptance Testing</t>
        </is>
      </c>
      <c r="AF381" s="6" t="inlineStr">
        <is>
          <t>Section/contract-derived reference; derived evidence route</t>
        </is>
      </c>
      <c r="AG381" s="58" t="inlineStr">
        <is>
          <t>OFFER-49 (Supporting)</t>
        </is>
      </c>
    </row>
    <row r="382" ht="294" customHeight="1">
      <c r="A382" s="6" t="n">
        <v>377</v>
      </c>
      <c r="B382" s="6" t="inlineStr">
        <is>
          <t>RTM-061</t>
        </is>
      </c>
      <c r="C382" s="6" t="inlineStr">
        <is>
          <t>No</t>
        </is>
      </c>
      <c r="D382" s="6" t="inlineStr">
        <is>
          <t>T2 Secondary</t>
        </is>
      </c>
      <c r="E382" s="6" t="inlineStr">
        <is>
          <t>Global Design Criteria</t>
        </is>
      </c>
      <c r="F382" s="82" t="inlineStr">
        <is>
          <t>SYSTEM</t>
        </is>
      </c>
      <c r="G382" s="83" t="inlineStr">
        <is>
          <t>Performance</t>
        </is>
      </c>
      <c r="H382" s="59" t="inlineStr">
        <is>
          <t>—</t>
        </is>
      </c>
      <c r="I382" s="58" t="inlineStr">
        <is>
          <t>C6 — Reliability &amp; Maintenance</t>
        </is>
      </c>
      <c r="J382" s="6" t="n">
        <v>38</v>
      </c>
      <c r="K382" s="6" t="inlineStr">
        <is>
          <t>4.3.2</t>
        </is>
      </c>
      <c r="L382" s="6" t="inlineStr">
        <is>
          <t>Availability &amp; Reliability</t>
        </is>
      </c>
      <c r="M382" s="6" t="inlineStr">
        <is>
          <t>The Contractor shall include the following failure classes in its Availability &amp; Reliability Assessment:</t>
        </is>
      </c>
      <c r="N382" s="6" t="inlineStr">
        <is>
          <t>The Contractor shall include the following failure classes in its Availability &amp; Reliability Assessment:
• Class A – Failure of sustaining 2 K Operation
• While operating in scenario 2K-OP, the failure causes loss of scenario 2K-OP.
• Transition to scenario 2K-SB remains possible.
• Full restoration to 2K-OP is achieved within 24 hours.
• The temperature of each QCELL shall remain at or below the defined Thermal Shield temperature limit for the entire duration of the failure event.
• Class B – Failure of sustaining 2 K refrigeration
• The failure prevents sustained 2 K refrigeration by impeding scenarios 2K-OP or 2K-SB.
• The scenarios 4K-SB or TS-SB remain possible.
• Recovery from this failure is achieved within 5 days.
• The temperature of each QCELL shall remain at or below the defined Thermal Shield temperature limit for the entire duration of the failure event.
• Class C – Failure of sustaining cryogenic refrigeration
• The failure prevents sustained cryogenic refrigeration by impeding scenarios 2K-OP, 2K-SB, 4K-SB, and TS-SB:
• The QPS is forced to transition to scenarios RT-SB or WSTOP.
• The temperature of each QCELL may exceed the defined Thermal Shield temperature limit during the failure event.</t>
        </is>
      </c>
      <c r="O382" s="6" t="n">
        <v>0</v>
      </c>
      <c r="P382" s="6" t="n">
        <v>3</v>
      </c>
      <c r="Q382" s="6" t="n">
        <v>0</v>
      </c>
      <c r="R382" s="6" t="n">
        <v>0</v>
      </c>
      <c r="S382" s="6" t="n">
        <v>1</v>
      </c>
      <c r="T382" s="6" t="n">
        <v>0</v>
      </c>
      <c r="U382" s="6" t="n">
        <v>0</v>
      </c>
      <c r="V382" s="6" t="n">
        <v>26</v>
      </c>
      <c r="W382" s="6" t="n">
        <v>47.5728</v>
      </c>
      <c r="X382" s="6" t="n">
        <v>2.6318</v>
      </c>
      <c r="Y382" s="6" t="inlineStr">
        <is>
          <t>Reliability</t>
        </is>
      </c>
      <c r="Z382" s="6" t="inlineStr">
        <is>
          <t>Frozen-weight composite; strongest contribution: Reliability.</t>
        </is>
      </c>
      <c r="AA382" s="6" t="inlineStr">
        <is>
          <t>None explicitly named in this RTM</t>
        </is>
      </c>
      <c r="AB382" s="6" t="inlineStr">
        <is>
          <t>SCK CEN/90508872 §4.3.2; no named external code</t>
        </is>
      </c>
      <c r="AC382" s="6" t="inlineStr">
        <is>
          <t>Submit and review the named deliverable with RTM traceability and approval status; Calculation/model plus calibrated measurement or recorded trend; RAM/maintenance substantiation and recovery/failure-response evidence</t>
        </is>
      </c>
      <c r="AD382" s="6" t="inlineStr">
        <is>
          <t>Availability &amp; Reliability Assessment</t>
        </is>
      </c>
      <c r="AE382" s="6" t="inlineStr">
        <is>
          <t>L1 Conceptual Design; L2 Detailed Design</t>
        </is>
      </c>
      <c r="AF382" s="6" t="inlineStr">
        <is>
          <t>Section/contract-derived reference; explicit deliverable/test wording</t>
        </is>
      </c>
      <c r="AG382" s="58" t="inlineStr">
        <is>
          <t>OFFER-11 (Direct)</t>
        </is>
      </c>
    </row>
    <row r="383" ht="99" customHeight="1">
      <c r="A383" s="6" t="n">
        <v>378</v>
      </c>
      <c r="B383" s="6" t="inlineStr">
        <is>
          <t>RTM-062</t>
        </is>
      </c>
      <c r="C383" s="6" t="inlineStr">
        <is>
          <t>No</t>
        </is>
      </c>
      <c r="D383" s="6" t="inlineStr">
        <is>
          <t>T2 Secondary</t>
        </is>
      </c>
      <c r="E383" s="6" t="inlineStr">
        <is>
          <t>Global Design Criteria</t>
        </is>
      </c>
      <c r="F383" s="82" t="inlineStr">
        <is>
          <t>SYSTEM</t>
        </is>
      </c>
      <c r="G383" s="83" t="inlineStr">
        <is>
          <t>Performance</t>
        </is>
      </c>
      <c r="H383" s="59" t="inlineStr">
        <is>
          <t>—</t>
        </is>
      </c>
      <c r="I383" s="58" t="inlineStr">
        <is>
          <t>C6 — Reliability &amp; Maintenance</t>
        </is>
      </c>
      <c r="J383" s="6" t="n">
        <v>38</v>
      </c>
      <c r="K383" s="6" t="inlineStr">
        <is>
          <t>4.3.2</t>
        </is>
      </c>
      <c r="L383" s="6" t="inlineStr">
        <is>
          <t>Availability &amp; Reliability</t>
        </is>
      </c>
      <c r="M383" s="6" t="inlineStr">
        <is>
          <t>The QPS design shall comply with the following availability requirements:</t>
        </is>
      </c>
      <c r="N383" s="6" t="inlineStr">
        <is>
          <t>The QPS design shall comply with the following availability requirements:
• The QPS shall sustain uninterrupted 2 K Operation (2K-OP) for at least 90 consecutive days.
• The QPS shall sustain uninterrupted 2 K refrigeration (at least 2K-SB) for at least 12 consecutive months.
• The QPS shall sustain uninterrupted cryogenic refrigeration (TS temperature or colder) for at least 5 consecutive years.</t>
        </is>
      </c>
      <c r="O383" s="6" t="n">
        <v>0</v>
      </c>
      <c r="P383" s="6" t="n">
        <v>3</v>
      </c>
      <c r="Q383" s="6" t="n">
        <v>0</v>
      </c>
      <c r="R383" s="6" t="n">
        <v>0</v>
      </c>
      <c r="S383" s="6" t="n">
        <v>1</v>
      </c>
      <c r="T383" s="6" t="n">
        <v>0</v>
      </c>
      <c r="U383" s="6" t="n">
        <v>0</v>
      </c>
      <c r="V383" s="6" t="n">
        <v>26</v>
      </c>
      <c r="W383" s="6" t="n">
        <v>47.5728</v>
      </c>
      <c r="X383" s="6" t="n">
        <v>2.6318</v>
      </c>
      <c r="Y383" s="6" t="inlineStr">
        <is>
          <t>Reliability</t>
        </is>
      </c>
      <c r="Z383" s="6" t="inlineStr">
        <is>
          <t>Frozen-weight composite; strongest contribution: Reliability.</t>
        </is>
      </c>
      <c r="AA383" s="6" t="inlineStr">
        <is>
          <t>None explicitly named in this RTM</t>
        </is>
      </c>
      <c r="AB383" s="6" t="inlineStr">
        <is>
          <t>SCK CEN/90508872 §4.3.2; no named external code</t>
        </is>
      </c>
      <c r="AC383" s="6" t="inlineStr">
        <is>
          <t>Calculation/model plus calibrated measurement or recorded trend; RAM/maintenance substantiation and recovery/failure-response evidence</t>
        </is>
      </c>
      <c r="AD383" s="6" t="inlineStr">
        <is>
          <t>No separate deliverable explicitly named</t>
        </is>
      </c>
      <c r="AE383" s="6" t="inlineStr">
        <is>
          <t>L1 Conceptual Design; L2 Detailed Design</t>
        </is>
      </c>
      <c r="AF383" s="6" t="inlineStr">
        <is>
          <t>Section/contract-derived reference; derived evidence route</t>
        </is>
      </c>
      <c r="AG383" s="58" t="inlineStr">
        <is>
          <t>OFFER-11 (Direct)</t>
        </is>
      </c>
    </row>
    <row r="384" ht="112" customHeight="1">
      <c r="A384" s="6" t="n">
        <v>379</v>
      </c>
      <c r="B384" s="6" t="inlineStr">
        <is>
          <t>RTM-148</t>
        </is>
      </c>
      <c r="C384" s="6" t="inlineStr">
        <is>
          <t>No</t>
        </is>
      </c>
      <c r="D384" s="6" t="inlineStr">
        <is>
          <t>T2 Secondary</t>
        </is>
      </c>
      <c r="E384" s="6" t="inlineStr">
        <is>
          <t>Subsystems</t>
        </is>
      </c>
      <c r="F384" s="82" t="inlineStr">
        <is>
          <t>SYSTEM</t>
        </is>
      </c>
      <c r="G384" s="83" t="inlineStr">
        <is>
          <t>Control</t>
        </is>
      </c>
      <c r="H384" s="59" t="inlineStr">
        <is>
          <t>—</t>
        </is>
      </c>
      <c r="I384" s="58" t="inlineStr">
        <is>
          <t>C3 — Mechanical &amp; Equipment</t>
        </is>
      </c>
      <c r="J384" s="6" t="n">
        <v>49</v>
      </c>
      <c r="K384" s="6" t="inlineStr">
        <is>
          <t>4.4.3.2</t>
        </is>
      </c>
      <c r="L384" s="6" t="inlineStr">
        <is>
          <t>Compressors requirements</t>
        </is>
      </c>
      <c r="M384" s="6" t="inlineStr">
        <is>
          <t>The compressor control strategy shall comply with the following requirements:</t>
        </is>
      </c>
      <c r="N384" s="6" t="inlineStr">
        <is>
          <t>The compressor control strategy shall comply with the following requirements:
• The VFD speed control shall be used as the primary means of capacity turndown
• An internal slide valve shall be used as the trim-control element and to ensure stable operation across the operating range
• The control strategy shall minimize power consumption under all load conditions.</t>
        </is>
      </c>
      <c r="O384" s="6" t="n">
        <v>0</v>
      </c>
      <c r="P384" s="6" t="n">
        <v>0</v>
      </c>
      <c r="Q384" s="6" t="n">
        <v>2</v>
      </c>
      <c r="R384" s="6" t="n">
        <v>2</v>
      </c>
      <c r="S384" s="6" t="n">
        <v>0</v>
      </c>
      <c r="T384" s="6" t="n">
        <v>0</v>
      </c>
      <c r="U384" s="6" t="n">
        <v>2</v>
      </c>
      <c r="V384" s="6" t="n">
        <v>26</v>
      </c>
      <c r="W384" s="6" t="n">
        <v>47.5728</v>
      </c>
      <c r="X384" s="6" t="n">
        <v>2.6318</v>
      </c>
      <c r="Y384" s="6" t="inlineStr">
        <is>
          <t>Performance</t>
        </is>
      </c>
      <c r="Z384" s="6" t="inlineStr">
        <is>
          <t>Frozen-weight composite; strongest contribution: Performance.</t>
        </is>
      </c>
      <c r="AA384" s="6" t="inlineStr">
        <is>
          <t>None explicitly named in this RTM</t>
        </is>
      </c>
      <c r="AB384" s="6" t="inlineStr">
        <is>
          <t>Section-level: API 671; ISO 10441</t>
        </is>
      </c>
      <c r="AC384" s="6" t="inlineStr">
        <is>
          <t>Calculation/model plus calibrated measurement or recorded trend; Functional design/configuration review and sequence/interface demonstration</t>
        </is>
      </c>
      <c r="AD384" s="6" t="inlineStr">
        <is>
          <t>No separate deliverable explicitly named</t>
        </is>
      </c>
      <c r="AE384" s="6" t="inlineStr">
        <is>
          <t>L1 Conceptual Design; L2 Detailed Design</t>
        </is>
      </c>
      <c r="AF384" s="6" t="inlineStr">
        <is>
          <t>Section/contract-derived reference; derived evidence route</t>
        </is>
      </c>
      <c r="AG384" s="58" t="inlineStr">
        <is>
          <t>OFFER-13 (Broad/contextual — main component specification); OFFER-16 (Direct)</t>
        </is>
      </c>
    </row>
    <row r="385" ht="151" customHeight="1">
      <c r="A385" s="6" t="n">
        <v>380</v>
      </c>
      <c r="B385" s="6" t="inlineStr">
        <is>
          <t>RTM-532</t>
        </is>
      </c>
      <c r="C385" s="6" t="inlineStr">
        <is>
          <t>No</t>
        </is>
      </c>
      <c r="D385" s="6" t="inlineStr">
        <is>
          <t>T2 Secondary</t>
        </is>
      </c>
      <c r="E385" s="6" t="inlineStr">
        <is>
          <t>Acceptance Testing</t>
        </is>
      </c>
      <c r="F385" s="82" t="inlineStr">
        <is>
          <t>PROJECT</t>
        </is>
      </c>
      <c r="G385" s="83" t="inlineStr">
        <is>
          <t>Governance &amp; Responsibility</t>
        </is>
      </c>
      <c r="H385" s="59" t="inlineStr">
        <is>
          <t>—</t>
        </is>
      </c>
      <c r="I385" s="58" t="inlineStr">
        <is>
          <t>C7 — Quality, Testing &amp; Risk</t>
        </is>
      </c>
      <c r="J385" s="6" t="n">
        <v>103</v>
      </c>
      <c r="K385" s="6" t="inlineStr">
        <is>
          <t>4.13.3.3.4</t>
        </is>
      </c>
      <c r="L385" s="6" t="inlineStr">
        <is>
          <t>Demonstration of process subsystems and process integrity</t>
        </is>
      </c>
      <c r="M385" s="6" t="inlineStr">
        <is>
          <t>For the process helium, the Contractor shall demonstrate that the required purity is maintained during the SAT operating conditions.</t>
        </is>
      </c>
      <c r="N385" s="6" t="inlineStr">
        <is>
          <t>For the process helium, the Contractor shall demonstrate that the required purity is maintained during the SAT operating conditions.
• This shall include the monitoring and assessment of at least oxygen, nitrogen, and water content in the processed helium, in accordance with the specified impurity limits.
• This shall include the assessment of hydrocarbons and oil carry-over downstream of the oil-removal system.
• The Contractor shall identify and use the relevant sampling and analysis points for the demonstrated helium circuits.
• No purity-related deviation beyond the specified limits shall occur during all relevant SAT demonstrations and tests.</t>
        </is>
      </c>
      <c r="O385" s="6" t="n">
        <v>1</v>
      </c>
      <c r="P385" s="6" t="n">
        <v>1</v>
      </c>
      <c r="Q385" s="6" t="n">
        <v>0</v>
      </c>
      <c r="R385" s="6" t="n">
        <v>0</v>
      </c>
      <c r="S385" s="6" t="n">
        <v>3</v>
      </c>
      <c r="T385" s="6" t="n">
        <v>0</v>
      </c>
      <c r="U385" s="6" t="n">
        <v>0</v>
      </c>
      <c r="V385" s="6" t="n">
        <v>26</v>
      </c>
      <c r="W385" s="6" t="n">
        <v>47.5728</v>
      </c>
      <c r="X385" s="6" t="n">
        <v>2.6318</v>
      </c>
      <c r="Y385" s="6" t="inlineStr">
        <is>
          <t>Quality / Verifiability</t>
        </is>
      </c>
      <c r="Z385" s="6" t="inlineStr">
        <is>
          <t>Frozen-weight composite; strongest contribution: Quality / Verifiability.</t>
        </is>
      </c>
      <c r="AA385" s="6" t="inlineStr">
        <is>
          <t>None explicitly named in this RTM</t>
        </is>
      </c>
      <c r="AB385" s="6" t="inlineStr">
        <is>
          <t>SCK CEN/90508872 §4.13.3.3.4; no named external code</t>
        </is>
      </c>
      <c r="AC385" s="6" t="inlineStr">
        <is>
          <t>Witnessed FAT/SAT/commissioning test against stated acceptance criteria</t>
        </is>
      </c>
      <c r="AD385" s="6" t="inlineStr">
        <is>
          <t>No separate deliverable explicitly named</t>
        </is>
      </c>
      <c r="AE385" s="6" t="inlineStr">
        <is>
          <t>L6 Site Acceptance Testing; L1 Conceptual Design; L2 Detailed Design</t>
        </is>
      </c>
      <c r="AF385" s="6" t="inlineStr">
        <is>
          <t>Section/contract-derived reference; explicit deliverable/test wording</t>
        </is>
      </c>
      <c r="AG385" s="58" t="inlineStr">
        <is>
          <t>OFFER-39 (Supporting)</t>
        </is>
      </c>
    </row>
    <row r="386" ht="73" customHeight="1">
      <c r="A386" s="6" t="n">
        <v>381</v>
      </c>
      <c r="B386" s="6" t="inlineStr">
        <is>
          <t>RTM-555</t>
        </is>
      </c>
      <c r="C386" s="6" t="inlineStr">
        <is>
          <t>No</t>
        </is>
      </c>
      <c r="D386" s="6" t="inlineStr">
        <is>
          <t>T2 Secondary</t>
        </is>
      </c>
      <c r="E386" s="6" t="inlineStr">
        <is>
          <t>Acceptance Testing</t>
        </is>
      </c>
      <c r="F386" s="82" t="inlineStr">
        <is>
          <t>PROJECT</t>
        </is>
      </c>
      <c r="G386" s="83" t="inlineStr">
        <is>
          <t>Governance &amp; Responsibility</t>
        </is>
      </c>
      <c r="H386" s="59" t="inlineStr">
        <is>
          <t>—</t>
        </is>
      </c>
      <c r="I386" s="58" t="inlineStr">
        <is>
          <t>C7 — Quality, Testing &amp; Risk</t>
        </is>
      </c>
      <c r="J386" s="6" t="n">
        <v>107</v>
      </c>
      <c r="K386" s="6" t="inlineStr">
        <is>
          <t>4.13.3.5</t>
        </is>
      </c>
      <c r="L386" s="6" t="inlineStr">
        <is>
          <t>Demonstration of control system behaviour</t>
        </is>
      </c>
      <c r="M386" s="6" t="inlineStr">
        <is>
          <t>The Contractor shall demonstrate the correct behaviour of the QPS:CIS data-handling functions during the SAT. This shall include, at minimum:</t>
        </is>
      </c>
      <c r="N386" s="6" t="inlineStr">
        <is>
          <t>The Contractor shall demonstrate the correct behaviour of the QPS:CIS data-handling functions during the SAT. This shall include, at minimum:
• The alarm management behaviour.
• The historian and data logging behaviour.
• The time-synchronisation behaviour, where applicable.</t>
        </is>
      </c>
      <c r="O386" s="6" t="n">
        <v>1</v>
      </c>
      <c r="P386" s="6" t="n">
        <v>1</v>
      </c>
      <c r="Q386" s="6" t="n">
        <v>0</v>
      </c>
      <c r="R386" s="6" t="n">
        <v>0</v>
      </c>
      <c r="S386" s="6" t="n">
        <v>3</v>
      </c>
      <c r="T386" s="6" t="n">
        <v>0</v>
      </c>
      <c r="U386" s="6" t="n">
        <v>0</v>
      </c>
      <c r="V386" s="6" t="n">
        <v>26</v>
      </c>
      <c r="W386" s="6" t="n">
        <v>47.5728</v>
      </c>
      <c r="X386" s="6" t="n">
        <v>2.6318</v>
      </c>
      <c r="Y386" s="6" t="inlineStr">
        <is>
          <t>Quality / Verifiability</t>
        </is>
      </c>
      <c r="Z386" s="6" t="inlineStr">
        <is>
          <t>Frozen-weight composite; strongest contribution: Quality / Verifiability.</t>
        </is>
      </c>
      <c r="AA386" s="6" t="inlineStr">
        <is>
          <t>None explicitly named in this RTM</t>
        </is>
      </c>
      <c r="AB386" s="6" t="inlineStr">
        <is>
          <t>SCK CEN/90508872 §4.13.3.5; no named external code</t>
        </is>
      </c>
      <c r="AC386" s="6" t="inlineStr">
        <is>
          <t>Witnessed FAT/SAT/commissioning test against stated acceptance criteria</t>
        </is>
      </c>
      <c r="AD386" s="6" t="inlineStr">
        <is>
          <t>No separate deliverable explicitly named</t>
        </is>
      </c>
      <c r="AE386" s="6" t="inlineStr">
        <is>
          <t>L6 Site Acceptance Testing; L1 Conceptual Design; L2 Detailed Design</t>
        </is>
      </c>
      <c r="AF386" s="6" t="inlineStr">
        <is>
          <t>Section/contract-derived reference; explicit deliverable/test wording</t>
        </is>
      </c>
      <c r="AG386" s="58" t="inlineStr">
        <is>
          <t>OFFER-39 (Supporting)</t>
        </is>
      </c>
    </row>
    <row r="387" ht="99" customHeight="1">
      <c r="A387" s="6" t="n">
        <v>382</v>
      </c>
      <c r="B387" s="6" t="inlineStr">
        <is>
          <t>RTM-089</t>
        </is>
      </c>
      <c r="C387" s="6" t="inlineStr">
        <is>
          <t>No</t>
        </is>
      </c>
      <c r="D387" s="6" t="inlineStr">
        <is>
          <t>T2 Secondary</t>
        </is>
      </c>
      <c r="E387" s="6" t="inlineStr">
        <is>
          <t>Subsystems</t>
        </is>
      </c>
      <c r="F387" s="82" t="inlineStr">
        <is>
          <t>SYSTEM</t>
        </is>
      </c>
      <c r="G387" s="83" t="inlineStr">
        <is>
          <t>Performance</t>
        </is>
      </c>
      <c r="H387" s="59" t="inlineStr">
        <is>
          <t>—</t>
        </is>
      </c>
      <c r="I387" s="81" t="inlineStr">
        <is>
          <t>Inferred: C6 — Reliability &amp; Maintenance (medium conf.)</t>
        </is>
      </c>
      <c r="J387" s="6" t="n">
        <v>43</v>
      </c>
      <c r="K387" s="6" t="inlineStr">
        <is>
          <t>4.4.1.5</t>
        </is>
      </c>
      <c r="L387" s="6" t="inlineStr">
        <is>
          <t>Support structures and access equipment</t>
        </is>
      </c>
      <c r="M387" s="6" t="inlineStr">
        <is>
          <t>Regarding the support structures, the Contractor shall:</t>
        </is>
      </c>
      <c r="N387" s="6" t="inlineStr">
        <is>
          <t>Regarding the support structures, the Contractor shall:
• Account for all relevant load cases (operational, maintenance, and exceptional) and installation tolerances.
• Define the specifications and positions of interface points with the building structure required for the support structures. The Contractor shall share this information with SCK CEN as soon as practically feasible and not later than the completion of the Detailed Design Phase.</t>
        </is>
      </c>
      <c r="O387" s="6" t="n">
        <v>0</v>
      </c>
      <c r="P387" s="6" t="n">
        <v>2</v>
      </c>
      <c r="Q387" s="6" t="n">
        <v>0</v>
      </c>
      <c r="R387" s="6" t="n">
        <v>2</v>
      </c>
      <c r="S387" s="6" t="n">
        <v>0</v>
      </c>
      <c r="T387" s="6" t="n">
        <v>0</v>
      </c>
      <c r="U387" s="6" t="n">
        <v>0</v>
      </c>
      <c r="V387" s="6" t="n">
        <v>25.333333</v>
      </c>
      <c r="W387" s="6" t="n">
        <v>43.7587</v>
      </c>
      <c r="X387" s="6" t="n">
        <v>2.1317</v>
      </c>
      <c r="Y387" s="6" t="inlineStr">
        <is>
          <t>Reliability</t>
        </is>
      </c>
      <c r="Z387" s="6" t="inlineStr">
        <is>
          <t>Frozen-weight composite; strongest contribution: Reliability.</t>
        </is>
      </c>
      <c r="AA387" s="6" t="inlineStr">
        <is>
          <t>None explicitly named in this RTM</t>
        </is>
      </c>
      <c r="AB387" s="6" t="inlineStr">
        <is>
          <t>SCK CEN/90508872 §4.4.1.5; no named external code</t>
        </is>
      </c>
      <c r="AC387" s="6" t="inlineStr">
        <is>
          <t>Functional design/configuration review and sequence/interface demonstration; RAM/maintenance substantiation and recovery/failure-response evidence</t>
        </is>
      </c>
      <c r="AD387" s="6" t="inlineStr">
        <is>
          <t>No separate deliverable explicitly named</t>
        </is>
      </c>
      <c r="AE387" s="6" t="inlineStr">
        <is>
          <t>L2 Detailed Design; L4 Installation; L1 Conceptual Design</t>
        </is>
      </c>
      <c r="AF387" s="6" t="inlineStr">
        <is>
          <t>Section/contract-derived reference; derived evidence route</t>
        </is>
      </c>
      <c r="AG387" s="58" t="inlineStr">
        <is>
          <t>Not linked to an OFFER item</t>
        </is>
      </c>
    </row>
    <row r="388" ht="99" customHeight="1">
      <c r="A388" s="6" t="n">
        <v>383</v>
      </c>
      <c r="B388" s="6" t="inlineStr">
        <is>
          <t>RTM-290</t>
        </is>
      </c>
      <c r="C388" s="6" t="inlineStr">
        <is>
          <t>No</t>
        </is>
      </c>
      <c r="D388" s="6" t="inlineStr">
        <is>
          <t>T2 Secondary</t>
        </is>
      </c>
      <c r="E388" s="6" t="inlineStr">
        <is>
          <t>Cryogenic Interfaces</t>
        </is>
      </c>
      <c r="F388" s="82" t="inlineStr">
        <is>
          <t>SYSTEM</t>
        </is>
      </c>
      <c r="G388" s="83" t="inlineStr">
        <is>
          <t>Control</t>
        </is>
      </c>
      <c r="H388" s="59" t="inlineStr">
        <is>
          <t>—</t>
        </is>
      </c>
      <c r="I388" s="58" t="inlineStr">
        <is>
          <t>Not linked to an OFFER item</t>
        </is>
      </c>
      <c r="J388" s="6" t="n">
        <v>68</v>
      </c>
      <c r="K388" s="6" t="inlineStr">
        <is>
          <t>4.5.2.1</t>
        </is>
      </c>
      <c r="L388" s="6" t="inlineStr">
        <is>
          <t>Specificities for Line U interface</t>
        </is>
      </c>
      <c r="M388" s="6" t="inlineStr">
        <is>
          <t>The QRB.U shall include, at minimum:</t>
        </is>
      </c>
      <c r="N388" s="6" t="inlineStr">
        <is>
          <t>The QRB.U shall include, at minimum:
• A manual shut-off valve, equipped with a limit switch to signal the closed position to the QPS:CIS
• A pressure limiter with a setpoint configured to achieve the nominal supply pressure
• Pressure protection devices sized and set such that the protected maximum supply pressure is not exceeded</t>
        </is>
      </c>
      <c r="O388" s="6" t="n">
        <v>0</v>
      </c>
      <c r="P388" s="6" t="n">
        <v>0</v>
      </c>
      <c r="Q388" s="6" t="n">
        <v>1</v>
      </c>
      <c r="R388" s="6" t="n">
        <v>2</v>
      </c>
      <c r="S388" s="6" t="n">
        <v>2</v>
      </c>
      <c r="T388" s="6" t="n">
        <v>0</v>
      </c>
      <c r="U388" s="6" t="n">
        <v>0</v>
      </c>
      <c r="V388" s="6" t="n">
        <v>25.333333</v>
      </c>
      <c r="W388" s="6" t="n">
        <v>43.7587</v>
      </c>
      <c r="X388" s="6" t="n">
        <v>2.1317</v>
      </c>
      <c r="Y388" s="6" t="inlineStr">
        <is>
          <t>Functional</t>
        </is>
      </c>
      <c r="Z388" s="6" t="inlineStr">
        <is>
          <t>Frozen-weight composite; strongest contribution: Functional.</t>
        </is>
      </c>
      <c r="AA388" s="6" t="inlineStr">
        <is>
          <t>None explicitly named in this RTM</t>
        </is>
      </c>
      <c r="AB388" s="6" t="inlineStr">
        <is>
          <t>SCK CEN/90508872 §4.5.2.1; no named external code</t>
        </is>
      </c>
      <c r="AC388" s="6" t="inlineStr">
        <is>
          <t>Document review, inspection, certification, audit or traceable QC record</t>
        </is>
      </c>
      <c r="AD388" s="6" t="inlineStr">
        <is>
          <t>No separate deliverable explicitly named</t>
        </is>
      </c>
      <c r="AE388" s="6" t="inlineStr">
        <is>
          <t>L1 Conceptual Design; L2 Detailed Design</t>
        </is>
      </c>
      <c r="AF388" s="6" t="inlineStr">
        <is>
          <t>Section/contract-derived reference; derived evidence route</t>
        </is>
      </c>
      <c r="AG388" s="58" t="inlineStr">
        <is>
          <t>Not linked to an OFFER item</t>
        </is>
      </c>
    </row>
    <row r="389" ht="73" customHeight="1">
      <c r="A389" s="6" t="n">
        <v>384</v>
      </c>
      <c r="B389" s="6" t="inlineStr">
        <is>
          <t>RTM-385</t>
        </is>
      </c>
      <c r="C389" s="6" t="inlineStr">
        <is>
          <t>No</t>
        </is>
      </c>
      <c r="D389" s="6" t="inlineStr">
        <is>
          <t>T2 Secondary</t>
        </is>
      </c>
      <c r="E389" s="6" t="inlineStr">
        <is>
          <t>Buildings &amp; Utilities</t>
        </is>
      </c>
      <c r="F389" s="82" t="inlineStr">
        <is>
          <t>PROJECT</t>
        </is>
      </c>
      <c r="G389" s="83" t="inlineStr">
        <is>
          <t>Documentation &amp; Compliance</t>
        </is>
      </c>
      <c r="H389" s="59" t="inlineStr">
        <is>
          <t>—</t>
        </is>
      </c>
      <c r="I389" s="81" t="inlineStr">
        <is>
          <t>Inferred: C5 — Infrastructure &amp; Integration (high conf.)</t>
        </is>
      </c>
      <c r="J389" s="6" t="n">
        <v>79</v>
      </c>
      <c r="K389" s="6" t="inlineStr">
        <is>
          <t>4.7</t>
        </is>
      </c>
      <c r="L389" s="6" t="inlineStr">
        <is>
          <t>Buildings and Utility Interfaces</t>
        </is>
      </c>
      <c r="M389" s="6" t="inlineStr">
        <is>
          <t>The Contractor shall specify the relevant parameters and operating limits for each type of interface with SCK CEN.</t>
        </is>
      </c>
      <c r="N389" s="6" t="inlineStr">
        <is>
          <t>The Contractor shall specify the relevant parameters and operating limits for each type of interface with SCK CEN.
• This information shall be documented in a dedicated Interface Control Document for each interface type.
• Each Interface Control Document shall be included in the Engineering File.</t>
        </is>
      </c>
      <c r="O389" s="6" t="n">
        <v>0</v>
      </c>
      <c r="P389" s="6" t="n">
        <v>0</v>
      </c>
      <c r="Q389" s="6" t="n">
        <v>1</v>
      </c>
      <c r="R389" s="6" t="n">
        <v>2</v>
      </c>
      <c r="S389" s="6" t="n">
        <v>2</v>
      </c>
      <c r="T389" s="6" t="n">
        <v>0</v>
      </c>
      <c r="U389" s="6" t="n">
        <v>0</v>
      </c>
      <c r="V389" s="6" t="n">
        <v>25.333333</v>
      </c>
      <c r="W389" s="6" t="n">
        <v>43.7587</v>
      </c>
      <c r="X389" s="6" t="n">
        <v>2.1317</v>
      </c>
      <c r="Y389" s="6" t="inlineStr">
        <is>
          <t>Functional</t>
        </is>
      </c>
      <c r="Z389" s="6" t="inlineStr">
        <is>
          <t>Frozen-weight composite; strongest contribution: Functional.</t>
        </is>
      </c>
      <c r="AA389" s="6" t="inlineStr">
        <is>
          <t>None explicitly named in this RTM</t>
        </is>
      </c>
      <c r="AB389" s="6" t="inlineStr">
        <is>
          <t>SCK CEN/90508872 §4.7; no named external code</t>
        </is>
      </c>
      <c r="AC389" s="6" t="inlineStr">
        <is>
          <t>Submit and review the named deliverable with RTM traceability and approval status; Functional design/configuration review and sequence/interface demonstration; Document review, inspection, certification, audit or traceable QC record</t>
        </is>
      </c>
      <c r="AD389" s="6" t="inlineStr">
        <is>
          <t>Engineering File; Interface Control Document</t>
        </is>
      </c>
      <c r="AE389" s="6" t="inlineStr">
        <is>
          <t>L1 Conceptual Design; L2 Detailed Design</t>
        </is>
      </c>
      <c r="AF389" s="6" t="inlineStr">
        <is>
          <t>Section/contract-derived reference; explicit deliverable/test wording</t>
        </is>
      </c>
      <c r="AG389" s="58" t="inlineStr">
        <is>
          <t>Not linked to an OFFER item</t>
        </is>
      </c>
    </row>
    <row r="390" ht="47" customHeight="1">
      <c r="A390" s="6" t="n">
        <v>385</v>
      </c>
      <c r="B390" s="6" t="inlineStr">
        <is>
          <t>RTM-441</t>
        </is>
      </c>
      <c r="C390" s="6" t="inlineStr">
        <is>
          <t>No</t>
        </is>
      </c>
      <c r="D390" s="6" t="inlineStr">
        <is>
          <t>T2 Secondary</t>
        </is>
      </c>
      <c r="E390" s="6" t="inlineStr">
        <is>
          <t>Design &amp; Fabrication</t>
        </is>
      </c>
      <c r="F390" s="82" t="inlineStr">
        <is>
          <t>SYSTEM</t>
        </is>
      </c>
      <c r="G390" s="83" t="inlineStr">
        <is>
          <t>Performance</t>
        </is>
      </c>
      <c r="H390" s="59" t="inlineStr">
        <is>
          <t>—</t>
        </is>
      </c>
      <c r="I390" s="81" t="inlineStr">
        <is>
          <t>Inferred: C5 — Infrastructure &amp; Integration (medium conf.)</t>
        </is>
      </c>
      <c r="J390" s="6" t="n">
        <v>86</v>
      </c>
      <c r="K390" s="6" t="inlineStr">
        <is>
          <t>4.8.1</t>
        </is>
      </c>
      <c r="L390" s="6" t="inlineStr">
        <is>
          <t>Drawings and CAD models</t>
        </is>
      </c>
      <c r="M390" s="6" t="inlineStr">
        <is>
          <t>All 3D models and 2D layouts shall use a coherent coordinate system, axis orientation, and global origin.</t>
        </is>
      </c>
      <c r="N390" s="6" t="inlineStr">
        <is>
          <t>All 3D models and 2D layouts shall use a coherent coordinate system, axis orientation, and global origin.</t>
        </is>
      </c>
      <c r="O390" s="6" t="n">
        <v>0</v>
      </c>
      <c r="P390" s="6" t="n">
        <v>0</v>
      </c>
      <c r="Q390" s="6" t="n">
        <v>1</v>
      </c>
      <c r="R390" s="6" t="n">
        <v>2</v>
      </c>
      <c r="S390" s="6" t="n">
        <v>2</v>
      </c>
      <c r="T390" s="6" t="n">
        <v>0</v>
      </c>
      <c r="U390" s="6" t="n">
        <v>0</v>
      </c>
      <c r="V390" s="6" t="n">
        <v>25.333333</v>
      </c>
      <c r="W390" s="6" t="n">
        <v>43.7587</v>
      </c>
      <c r="X390" s="6" t="n">
        <v>2.1317</v>
      </c>
      <c r="Y390" s="6" t="inlineStr">
        <is>
          <t>Functional</t>
        </is>
      </c>
      <c r="Z390" s="6" t="inlineStr">
        <is>
          <t>Frozen-weight composite; strongest contribution: Functional.</t>
        </is>
      </c>
      <c r="AA390" s="6" t="inlineStr">
        <is>
          <t>None explicitly named in this RTM</t>
        </is>
      </c>
      <c r="AB390" s="6" t="inlineStr">
        <is>
          <t>Section-level: ISA 5.1; ISO 10303-242; ISO 10303; ISO 1101:2017; ISO 1:2022; ISO 286:2010; ISO 2768:1989; ISO 2692:2021</t>
        </is>
      </c>
      <c r="AC390" s="6" t="inlineStr">
        <is>
          <t>Submit and review the named deliverable with RTM traceability and approval status; Document review, inspection, certification, audit or traceable QC record</t>
        </is>
      </c>
      <c r="AD390" s="6" t="inlineStr">
        <is>
          <t>3D / CAD Model</t>
        </is>
      </c>
      <c r="AE390" s="6" t="inlineStr">
        <is>
          <t>L1 Conceptual Design; L2 Detailed Design</t>
        </is>
      </c>
      <c r="AF390" s="6" t="inlineStr">
        <is>
          <t>Section/contract-derived reference; explicit deliverable/test wording</t>
        </is>
      </c>
      <c r="AG390" s="58" t="inlineStr">
        <is>
          <t>Not linked to an OFFER item</t>
        </is>
      </c>
    </row>
    <row r="391" ht="99" customHeight="1">
      <c r="A391" s="6" t="n">
        <v>386</v>
      </c>
      <c r="B391" s="6" t="inlineStr">
        <is>
          <t>RTM-491</t>
        </is>
      </c>
      <c r="C391" s="6" t="inlineStr">
        <is>
          <t>No</t>
        </is>
      </c>
      <c r="D391" s="6" t="inlineStr">
        <is>
          <t>T2 Secondary</t>
        </is>
      </c>
      <c r="E391" s="6" t="inlineStr">
        <is>
          <t>Acceptance Testing</t>
        </is>
      </c>
      <c r="F391" s="82" t="inlineStr">
        <is>
          <t>PROJECT</t>
        </is>
      </c>
      <c r="G391" s="83" t="inlineStr">
        <is>
          <t>Governance &amp; Responsibility</t>
        </is>
      </c>
      <c r="H391" s="59" t="inlineStr">
        <is>
          <t>—</t>
        </is>
      </c>
      <c r="I391" s="58" t="inlineStr">
        <is>
          <t>C7 — Quality, Testing &amp; Risk</t>
        </is>
      </c>
      <c r="J391" s="6" t="n">
        <v>94</v>
      </c>
      <c r="K391" s="6" t="inlineStr">
        <is>
          <t>4.13.1</t>
        </is>
      </c>
      <c r="L391" s="6" t="inlineStr">
        <is>
          <t>General Requirements</t>
        </is>
      </c>
      <c r="M391" s="6" t="inlineStr">
        <is>
          <t>The Contractor shall be responsible for:</t>
        </is>
      </c>
      <c r="N391" s="6" t="inlineStr">
        <is>
          <t>The Contractor shall be responsible for:
• The preparation and submission of the acceptance test programme
• The preparation of the acceptance test activities
• The execution of the acceptance test activities
• The analysis of the acceptance test results
• The documentation of the results in the corresponding acceptance test reports</t>
        </is>
      </c>
      <c r="O391" s="6" t="n">
        <v>2</v>
      </c>
      <c r="P391" s="6" t="n">
        <v>0</v>
      </c>
      <c r="Q391" s="6" t="n">
        <v>0</v>
      </c>
      <c r="R391" s="6" t="n">
        <v>0</v>
      </c>
      <c r="S391" s="6" t="n">
        <v>3</v>
      </c>
      <c r="T391" s="6" t="n">
        <v>0</v>
      </c>
      <c r="U391" s="6" t="n">
        <v>0</v>
      </c>
      <c r="V391" s="6" t="n">
        <v>25.333333</v>
      </c>
      <c r="W391" s="6" t="n">
        <v>43.7587</v>
      </c>
      <c r="X391" s="6" t="n">
        <v>2.1317</v>
      </c>
      <c r="Y391" s="6" t="inlineStr">
        <is>
          <t>Safety / Legal</t>
        </is>
      </c>
      <c r="Z391" s="6" t="inlineStr">
        <is>
          <t>Frozen-weight composite; strongest contribution: Safety / Legal.</t>
        </is>
      </c>
      <c r="AA391" s="6" t="inlineStr">
        <is>
          <t>None explicitly named in this RTM</t>
        </is>
      </c>
      <c r="AB391" s="6" t="inlineStr">
        <is>
          <t>SCK CEN/90508872 §4.13.1; no named external code</t>
        </is>
      </c>
      <c r="AC391" s="6" t="inlineStr">
        <is>
          <t>Submit and review the named deliverable with RTM traceability and approval status; Witnessed FAT/SAT/commissioning test against stated acceptance criteria</t>
        </is>
      </c>
      <c r="AD391" s="6" t="inlineStr">
        <is>
          <t>Test procedure / report</t>
        </is>
      </c>
      <c r="AE391" s="6" t="inlineStr">
        <is>
          <t>L1 Conceptual Design; L2 Detailed Design</t>
        </is>
      </c>
      <c r="AF391" s="6" t="inlineStr">
        <is>
          <t>Section/contract-derived reference; explicit deliverable/test wording</t>
        </is>
      </c>
      <c r="AG391" s="58" t="inlineStr">
        <is>
          <t>OFFER-39 (Direct)</t>
        </is>
      </c>
    </row>
    <row r="392" ht="86" customHeight="1">
      <c r="A392" s="6" t="n">
        <v>387</v>
      </c>
      <c r="B392" s="6" t="inlineStr">
        <is>
          <t>RTM-492</t>
        </is>
      </c>
      <c r="C392" s="6" t="inlineStr">
        <is>
          <t>No</t>
        </is>
      </c>
      <c r="D392" s="6" t="inlineStr">
        <is>
          <t>T2 Secondary</t>
        </is>
      </c>
      <c r="E392" s="6" t="inlineStr">
        <is>
          <t>Acceptance Testing</t>
        </is>
      </c>
      <c r="F392" s="82" t="inlineStr">
        <is>
          <t>PROJECT</t>
        </is>
      </c>
      <c r="G392" s="83" t="inlineStr">
        <is>
          <t>Governance &amp; Responsibility</t>
        </is>
      </c>
      <c r="H392" s="59" t="inlineStr">
        <is>
          <t>—</t>
        </is>
      </c>
      <c r="I392" s="58" t="inlineStr">
        <is>
          <t>C7 — Quality, Testing &amp; Risk</t>
        </is>
      </c>
      <c r="J392" s="6" t="n">
        <v>95</v>
      </c>
      <c r="K392" s="6" t="inlineStr">
        <is>
          <t>4.13.1</t>
        </is>
      </c>
      <c r="L392" s="6" t="inlineStr">
        <is>
          <t>General Requirements</t>
        </is>
      </c>
      <c r="M392" s="6" t="inlineStr">
        <is>
          <t>The acceptance tests shall be defined in dedicated programmes (FAT Programme and SAT Programme, respectively).</t>
        </is>
      </c>
      <c r="N392" s="6" t="inlineStr">
        <is>
          <t>The acceptance tests shall be defined in dedicated programmes (FAT Programme and SAT Programme, respectively).
• Each acceptance test programme shall be submitted to SCK CEN for approval before the corresponding acceptance test is performed.
• The Contractor shall perform each acceptance test in accordance with the corresponding approved acceptance test programme.</t>
        </is>
      </c>
      <c r="O392" s="6" t="n">
        <v>2</v>
      </c>
      <c r="P392" s="6" t="n">
        <v>0</v>
      </c>
      <c r="Q392" s="6" t="n">
        <v>0</v>
      </c>
      <c r="R392" s="6" t="n">
        <v>0</v>
      </c>
      <c r="S392" s="6" t="n">
        <v>3</v>
      </c>
      <c r="T392" s="6" t="n">
        <v>0</v>
      </c>
      <c r="U392" s="6" t="n">
        <v>0</v>
      </c>
      <c r="V392" s="6" t="n">
        <v>25.333333</v>
      </c>
      <c r="W392" s="6" t="n">
        <v>43.7587</v>
      </c>
      <c r="X392" s="6" t="n">
        <v>2.1317</v>
      </c>
      <c r="Y392" s="6" t="inlineStr">
        <is>
          <t>Safety / Legal</t>
        </is>
      </c>
      <c r="Z392" s="6" t="inlineStr">
        <is>
          <t>Frozen-weight composite; strongest contribution: Safety / Legal.</t>
        </is>
      </c>
      <c r="AA392" s="6" t="inlineStr">
        <is>
          <t>None explicitly named in this RTM</t>
        </is>
      </c>
      <c r="AB392" s="6" t="inlineStr">
        <is>
          <t>SCK CEN/90508872 §4.13.1; no named external code</t>
        </is>
      </c>
      <c r="AC392" s="6" t="inlineStr">
        <is>
          <t>Witnessed FAT/SAT/commissioning test against stated acceptance criteria</t>
        </is>
      </c>
      <c r="AD392" s="6" t="inlineStr">
        <is>
          <t>No separate deliverable explicitly named</t>
        </is>
      </c>
      <c r="AE392" s="6" t="inlineStr">
        <is>
          <t>L6 Site Acceptance Testing; L1 Conceptual Design; L2 Detailed Design</t>
        </is>
      </c>
      <c r="AF392" s="6" t="inlineStr">
        <is>
          <t>Section/contract-derived reference; explicit deliverable/test wording</t>
        </is>
      </c>
      <c r="AG392" s="58" t="inlineStr">
        <is>
          <t>OFFER-39 (Direct)</t>
        </is>
      </c>
    </row>
    <row r="393" ht="86" customHeight="1">
      <c r="A393" s="6" t="n">
        <v>388</v>
      </c>
      <c r="B393" s="6" t="inlineStr">
        <is>
          <t>RTM-494</t>
        </is>
      </c>
      <c r="C393" s="6" t="inlineStr">
        <is>
          <t>No</t>
        </is>
      </c>
      <c r="D393" s="6" t="inlineStr">
        <is>
          <t>T2 Secondary</t>
        </is>
      </c>
      <c r="E393" s="6" t="inlineStr">
        <is>
          <t>Acceptance Testing</t>
        </is>
      </c>
      <c r="F393" s="82" t="inlineStr">
        <is>
          <t>PROJECT</t>
        </is>
      </c>
      <c r="G393" s="83" t="inlineStr">
        <is>
          <t>Documentation &amp; Compliance</t>
        </is>
      </c>
      <c r="H393" s="59" t="inlineStr">
        <is>
          <t>—</t>
        </is>
      </c>
      <c r="I393" s="58" t="inlineStr">
        <is>
          <t>C7 — Quality, Testing &amp; Risk</t>
        </is>
      </c>
      <c r="J393" s="6" t="n">
        <v>95</v>
      </c>
      <c r="K393" s="6" t="inlineStr">
        <is>
          <t>4.13.1</t>
        </is>
      </c>
      <c r="L393" s="6" t="inlineStr">
        <is>
          <t>General Requirements</t>
        </is>
      </c>
      <c r="M393" s="6" t="inlineStr">
        <is>
          <t>The acceptance tests shall be documented in dedicated reports (the FAT Report and the SAT Report, respectively).</t>
        </is>
      </c>
      <c r="N393" s="6" t="inlineStr">
        <is>
          <t>The acceptance tests shall be documented in dedicated reports (the FAT Report and the SAT Report, respectively).
• The reports shall clearly present the results of each individual test and explicitly state whether the corresponding test has been passed or failed.
• The corresponding acceptance test report shall be annexed to the QCR and submitted to SCK CEN for approval.</t>
        </is>
      </c>
      <c r="O393" s="6" t="n">
        <v>2</v>
      </c>
      <c r="P393" s="6" t="n">
        <v>0</v>
      </c>
      <c r="Q393" s="6" t="n">
        <v>0</v>
      </c>
      <c r="R393" s="6" t="n">
        <v>0</v>
      </c>
      <c r="S393" s="6" t="n">
        <v>3</v>
      </c>
      <c r="T393" s="6" t="n">
        <v>0</v>
      </c>
      <c r="U393" s="6" t="n">
        <v>0</v>
      </c>
      <c r="V393" s="6" t="n">
        <v>25.333333</v>
      </c>
      <c r="W393" s="6" t="n">
        <v>43.7587</v>
      </c>
      <c r="X393" s="6" t="n">
        <v>2.1317</v>
      </c>
      <c r="Y393" s="6" t="inlineStr">
        <is>
          <t>Safety / Legal</t>
        </is>
      </c>
      <c r="Z393" s="6" t="inlineStr">
        <is>
          <t>Frozen-weight composite; strongest contribution: Safety / Legal.</t>
        </is>
      </c>
      <c r="AA393" s="6" t="inlineStr">
        <is>
          <t>None explicitly named in this RTM</t>
        </is>
      </c>
      <c r="AB393" s="6" t="inlineStr">
        <is>
          <t>SCK CEN/90508872 §4.13.1; no named external code</t>
        </is>
      </c>
      <c r="AC393" s="6" t="inlineStr">
        <is>
          <t>Submit and review the named deliverable with RTM traceability and approval status; Witnessed FAT/SAT/commissioning test against stated acceptance criteria</t>
        </is>
      </c>
      <c r="AD393" s="6" t="inlineStr">
        <is>
          <t>FAT Report; SAT Report; Test procedure / report</t>
        </is>
      </c>
      <c r="AE393" s="6" t="inlineStr">
        <is>
          <t>L6 Site Acceptance Testing; L1 Conceptual Design; L2 Detailed Design</t>
        </is>
      </c>
      <c r="AF393" s="6" t="inlineStr">
        <is>
          <t>Section/contract-derived reference; explicit deliverable/test wording</t>
        </is>
      </c>
      <c r="AG393" s="58" t="inlineStr">
        <is>
          <t>OFFER-39 (Direct)</t>
        </is>
      </c>
    </row>
    <row r="394" ht="86" customHeight="1">
      <c r="A394" s="6" t="n">
        <v>389</v>
      </c>
      <c r="B394" s="6" t="inlineStr">
        <is>
          <t>RTM-495</t>
        </is>
      </c>
      <c r="C394" s="6" t="inlineStr">
        <is>
          <t>No</t>
        </is>
      </c>
      <c r="D394" s="6" t="inlineStr">
        <is>
          <t>T2 Secondary</t>
        </is>
      </c>
      <c r="E394" s="6" t="inlineStr">
        <is>
          <t>Acceptance Testing</t>
        </is>
      </c>
      <c r="F394" s="82" t="inlineStr">
        <is>
          <t>PROJECT</t>
        </is>
      </c>
      <c r="G394" s="83" t="inlineStr">
        <is>
          <t>Governance &amp; Responsibility</t>
        </is>
      </c>
      <c r="H394" s="59" t="inlineStr">
        <is>
          <t>—</t>
        </is>
      </c>
      <c r="I394" s="58" t="inlineStr">
        <is>
          <t>C7 — Quality, Testing &amp; Risk</t>
        </is>
      </c>
      <c r="J394" s="6" t="n">
        <v>96</v>
      </c>
      <c r="K394" s="6" t="inlineStr">
        <is>
          <t>4.13.1</t>
        </is>
      </c>
      <c r="L394" s="6" t="inlineStr">
        <is>
          <t>General Requirements</t>
        </is>
      </c>
      <c r="M394" s="6" t="inlineStr">
        <is>
          <t>The Contractor shall be responsible for providing and/or making available all testing equipment, tools, instrumentation, consumables, and utilities required for the proper execution of the acceptance tests.</t>
        </is>
      </c>
      <c r="N394" s="6" t="inlineStr">
        <is>
          <t>The Contractor shall be responsible for providing and/or making available all testing equipment, tools, instrumentation, consumables, and utilities required for the proper execution of the acceptance tests.
• Where required for the acceptance tests, the Contractor shall also provide additional test cryostats, valves, instrumentation, and other test equipment.</t>
        </is>
      </c>
      <c r="O394" s="6" t="n">
        <v>2</v>
      </c>
      <c r="P394" s="6" t="n">
        <v>0</v>
      </c>
      <c r="Q394" s="6" t="n">
        <v>0</v>
      </c>
      <c r="R394" s="6" t="n">
        <v>0</v>
      </c>
      <c r="S394" s="6" t="n">
        <v>3</v>
      </c>
      <c r="T394" s="6" t="n">
        <v>0</v>
      </c>
      <c r="U394" s="6" t="n">
        <v>0</v>
      </c>
      <c r="V394" s="6" t="n">
        <v>25.333333</v>
      </c>
      <c r="W394" s="6" t="n">
        <v>43.7587</v>
      </c>
      <c r="X394" s="6" t="n">
        <v>2.1317</v>
      </c>
      <c r="Y394" s="6" t="inlineStr">
        <is>
          <t>Safety / Legal</t>
        </is>
      </c>
      <c r="Z394" s="6" t="inlineStr">
        <is>
          <t>Frozen-weight composite; strongest contribution: Safety / Legal.</t>
        </is>
      </c>
      <c r="AA394" s="6" t="inlineStr">
        <is>
          <t>None explicitly named in this RTM</t>
        </is>
      </c>
      <c r="AB394" s="6" t="inlineStr">
        <is>
          <t>SCK CEN/90508872 §4.13.1; no named external code</t>
        </is>
      </c>
      <c r="AC394" s="6" t="inlineStr">
        <is>
          <t>Witnessed FAT/SAT/commissioning test against stated acceptance criteria</t>
        </is>
      </c>
      <c r="AD394" s="6" t="inlineStr">
        <is>
          <t>No separate deliverable explicitly named</t>
        </is>
      </c>
      <c r="AE394" s="6" t="inlineStr">
        <is>
          <t>L1 Conceptual Design; L2 Detailed Design</t>
        </is>
      </c>
      <c r="AF394" s="6" t="inlineStr">
        <is>
          <t>Section/contract-derived reference; explicit deliverable/test wording</t>
        </is>
      </c>
      <c r="AG394" s="58" t="inlineStr">
        <is>
          <t>OFFER-39 (Direct)</t>
        </is>
      </c>
    </row>
    <row r="395" ht="73" customHeight="1">
      <c r="A395" s="6" t="n">
        <v>390</v>
      </c>
      <c r="B395" s="6" t="inlineStr">
        <is>
          <t>RTM-496</t>
        </is>
      </c>
      <c r="C395" s="6" t="inlineStr">
        <is>
          <t>No</t>
        </is>
      </c>
      <c r="D395" s="6" t="inlineStr">
        <is>
          <t>T2 Secondary</t>
        </is>
      </c>
      <c r="E395" s="6" t="inlineStr">
        <is>
          <t>Acceptance Testing</t>
        </is>
      </c>
      <c r="F395" s="82" t="inlineStr">
        <is>
          <t>PROJECT</t>
        </is>
      </c>
      <c r="G395" s="83" t="inlineStr">
        <is>
          <t>Governance &amp; Responsibility</t>
        </is>
      </c>
      <c r="H395" s="59" t="inlineStr">
        <is>
          <t>—</t>
        </is>
      </c>
      <c r="I395" s="58" t="inlineStr">
        <is>
          <t>C7 — Quality, Testing &amp; Risk</t>
        </is>
      </c>
      <c r="J395" s="6" t="n">
        <v>96</v>
      </c>
      <c r="K395" s="6" t="inlineStr">
        <is>
          <t>4.13.2</t>
        </is>
      </c>
      <c r="L395" s="6" t="inlineStr">
        <is>
          <t>Factory Acceptance Test (FAT)</t>
        </is>
      </c>
      <c r="M395" s="6" t="inlineStr">
        <is>
          <t>The Contractor shall perform a Factory Acceptance Test (FAT) to verify that the manufactured QPS and its functional Parts comply with the requirements set forth in the Contract.</t>
        </is>
      </c>
      <c r="N395" s="6" t="inlineStr">
        <is>
          <t>The Contractor shall perform a Factory Acceptance Test (FAT) to verify that the manufactured QPS and its functional Parts comply with the requirements set forth in the Contract.
• The Contractor shall perform, at minimum, the FAT tests specified in this section.</t>
        </is>
      </c>
      <c r="O395" s="6" t="n">
        <v>2</v>
      </c>
      <c r="P395" s="6" t="n">
        <v>0</v>
      </c>
      <c r="Q395" s="6" t="n">
        <v>0</v>
      </c>
      <c r="R395" s="6" t="n">
        <v>0</v>
      </c>
      <c r="S395" s="6" t="n">
        <v>3</v>
      </c>
      <c r="T395" s="6" t="n">
        <v>0</v>
      </c>
      <c r="U395" s="6" t="n">
        <v>0</v>
      </c>
      <c r="V395" s="6" t="n">
        <v>25.333333</v>
      </c>
      <c r="W395" s="6" t="n">
        <v>43.7587</v>
      </c>
      <c r="X395" s="6" t="n">
        <v>2.1317</v>
      </c>
      <c r="Y395" s="6" t="inlineStr">
        <is>
          <t>Safety / Legal</t>
        </is>
      </c>
      <c r="Z395" s="6" t="inlineStr">
        <is>
          <t>Frozen-weight composite; strongest contribution: Safety / Legal.</t>
        </is>
      </c>
      <c r="AA395" s="6" t="inlineStr">
        <is>
          <t>None explicitly named in this RTM</t>
        </is>
      </c>
      <c r="AB395" s="6" t="inlineStr">
        <is>
          <t>SCK CEN/90508872 §4.13.2; no named external code</t>
        </is>
      </c>
      <c r="AC395" s="6" t="inlineStr">
        <is>
          <t>Witnessed FAT/SAT/commissioning test against stated acceptance criteria</t>
        </is>
      </c>
      <c r="AD395" s="6" t="inlineStr">
        <is>
          <t>No separate deliverable explicitly named</t>
        </is>
      </c>
      <c r="AE395" s="6" t="inlineStr">
        <is>
          <t>L3 Procurement &amp; Manufacturing / FAT; L1 Conceptual Design; L2 Detailed Design</t>
        </is>
      </c>
      <c r="AF395" s="6" t="inlineStr">
        <is>
          <t>Section/contract-derived reference; explicit deliverable/test wording</t>
        </is>
      </c>
      <c r="AG395" s="58" t="inlineStr">
        <is>
          <t>OFFER-39 (Supporting)</t>
        </is>
      </c>
    </row>
    <row r="396" ht="73" customHeight="1">
      <c r="A396" s="6" t="n">
        <v>391</v>
      </c>
      <c r="B396" s="6" t="inlineStr">
        <is>
          <t>RTM-497</t>
        </is>
      </c>
      <c r="C396" s="6" t="inlineStr">
        <is>
          <t>No</t>
        </is>
      </c>
      <c r="D396" s="6" t="inlineStr">
        <is>
          <t>T2 Secondary</t>
        </is>
      </c>
      <c r="E396" s="6" t="inlineStr">
        <is>
          <t>Acceptance Testing</t>
        </is>
      </c>
      <c r="F396" s="82" t="inlineStr">
        <is>
          <t>PROJECT</t>
        </is>
      </c>
      <c r="G396" s="83" t="inlineStr">
        <is>
          <t>Governance &amp; Responsibility</t>
        </is>
      </c>
      <c r="H396" s="59" t="inlineStr">
        <is>
          <t>—</t>
        </is>
      </c>
      <c r="I396" s="58" t="inlineStr">
        <is>
          <t>C7 — Quality, Testing &amp; Risk</t>
        </is>
      </c>
      <c r="J396" s="6" t="n">
        <v>96</v>
      </c>
      <c r="K396" s="6" t="inlineStr">
        <is>
          <t>4.13.2</t>
        </is>
      </c>
      <c r="L396" s="6" t="inlineStr">
        <is>
          <t>Factory Acceptance Test (FAT)</t>
        </is>
      </c>
      <c r="M396" s="6" t="inlineStr">
        <is>
          <t>The FAT shall include, at minimum, the functional verification of all functional Parts. This shall include, where applicable:</t>
        </is>
      </c>
      <c r="N396" s="6" t="inlineStr">
        <is>
          <t>The FAT shall include, at minimum, the functional verification of all functional Parts. This shall include, where applicable:
• Full electrical inspections
• Comprehensive checks for vacuum and/or gas leak tightness
• Testing of the wiring for all Instrumentation hardware</t>
        </is>
      </c>
      <c r="O396" s="6" t="n">
        <v>2</v>
      </c>
      <c r="P396" s="6" t="n">
        <v>0</v>
      </c>
      <c r="Q396" s="6" t="n">
        <v>0</v>
      </c>
      <c r="R396" s="6" t="n">
        <v>0</v>
      </c>
      <c r="S396" s="6" t="n">
        <v>3</v>
      </c>
      <c r="T396" s="6" t="n">
        <v>0</v>
      </c>
      <c r="U396" s="6" t="n">
        <v>0</v>
      </c>
      <c r="V396" s="6" t="n">
        <v>25.333333</v>
      </c>
      <c r="W396" s="6" t="n">
        <v>43.7587</v>
      </c>
      <c r="X396" s="6" t="n">
        <v>2.1317</v>
      </c>
      <c r="Y396" s="6" t="inlineStr">
        <is>
          <t>Safety / Legal</t>
        </is>
      </c>
      <c r="Z396" s="6" t="inlineStr">
        <is>
          <t>Frozen-weight composite; strongest contribution: Safety / Legal.</t>
        </is>
      </c>
      <c r="AA396" s="6" t="inlineStr">
        <is>
          <t>None explicitly named in this RTM</t>
        </is>
      </c>
      <c r="AB396" s="6" t="inlineStr">
        <is>
          <t>SCK CEN/90508872 §4.13.2; no named external code</t>
        </is>
      </c>
      <c r="AC396" s="6" t="inlineStr">
        <is>
          <t>Witnessed FAT/SAT/commissioning test against stated acceptance criteria</t>
        </is>
      </c>
      <c r="AD396" s="6" t="inlineStr">
        <is>
          <t>No separate deliverable explicitly named</t>
        </is>
      </c>
      <c r="AE396" s="6" t="inlineStr">
        <is>
          <t>L1 Conceptual Design; L2 Detailed Design</t>
        </is>
      </c>
      <c r="AF396" s="6" t="inlineStr">
        <is>
          <t>Section/contract-derived reference; explicit deliverable/test wording</t>
        </is>
      </c>
      <c r="AG396" s="58" t="inlineStr">
        <is>
          <t>OFFER-39 (Supporting)</t>
        </is>
      </c>
    </row>
    <row r="397" ht="73" customHeight="1">
      <c r="A397" s="6" t="n">
        <v>392</v>
      </c>
      <c r="B397" s="6" t="inlineStr">
        <is>
          <t>RTM-500</t>
        </is>
      </c>
      <c r="C397" s="6" t="inlineStr">
        <is>
          <t>No</t>
        </is>
      </c>
      <c r="D397" s="6" t="inlineStr">
        <is>
          <t>T2 Secondary</t>
        </is>
      </c>
      <c r="E397" s="6" t="inlineStr">
        <is>
          <t>Acceptance Testing</t>
        </is>
      </c>
      <c r="F397" s="82" t="inlineStr">
        <is>
          <t>PROJECT</t>
        </is>
      </c>
      <c r="G397" s="83" t="inlineStr">
        <is>
          <t>Governance &amp; Responsibility</t>
        </is>
      </c>
      <c r="H397" s="59" t="inlineStr">
        <is>
          <t>—</t>
        </is>
      </c>
      <c r="I397" s="58" t="inlineStr">
        <is>
          <t>C7 — Quality, Testing &amp; Risk</t>
        </is>
      </c>
      <c r="J397" s="6" t="n">
        <v>96</v>
      </c>
      <c r="K397" s="6" t="inlineStr">
        <is>
          <t>4.13.3</t>
        </is>
      </c>
      <c r="L397" s="6" t="inlineStr">
        <is>
          <t>Site Acceptance Tests (SAT)</t>
        </is>
      </c>
      <c r="M397" s="6" t="inlineStr">
        <is>
          <t>The SAT Programme shall define the SAT-specific aspects required for the execution of the SAT, including at minimum:</t>
        </is>
      </c>
      <c r="N397" s="6" t="inlineStr">
        <is>
          <t>The SAT Programme shall define the SAT-specific aspects required for the execution of the SAT, including at minimum:
• The site utilities, consumables, and external services required for the SAT.
• Any test equipment and arrangements required for the SAT demonstrations.</t>
        </is>
      </c>
      <c r="O397" s="6" t="n">
        <v>2</v>
      </c>
      <c r="P397" s="6" t="n">
        <v>0</v>
      </c>
      <c r="Q397" s="6" t="n">
        <v>0</v>
      </c>
      <c r="R397" s="6" t="n">
        <v>0</v>
      </c>
      <c r="S397" s="6" t="n">
        <v>3</v>
      </c>
      <c r="T397" s="6" t="n">
        <v>0</v>
      </c>
      <c r="U397" s="6" t="n">
        <v>0</v>
      </c>
      <c r="V397" s="6" t="n">
        <v>25.333333</v>
      </c>
      <c r="W397" s="6" t="n">
        <v>43.7587</v>
      </c>
      <c r="X397" s="6" t="n">
        <v>2.1317</v>
      </c>
      <c r="Y397" s="6" t="inlineStr">
        <is>
          <t>Safety / Legal</t>
        </is>
      </c>
      <c r="Z397" s="6" t="inlineStr">
        <is>
          <t>Frozen-weight composite; strongest contribution: Safety / Legal.</t>
        </is>
      </c>
      <c r="AA397" s="6" t="inlineStr">
        <is>
          <t>None explicitly named in this RTM</t>
        </is>
      </c>
      <c r="AB397" s="6" t="inlineStr">
        <is>
          <t>SCK CEN/90508872 §4.13.3; no named external code</t>
        </is>
      </c>
      <c r="AC397" s="6" t="inlineStr">
        <is>
          <t>Witnessed FAT/SAT/commissioning test against stated acceptance criteria</t>
        </is>
      </c>
      <c r="AD397" s="6" t="inlineStr">
        <is>
          <t>No separate deliverable explicitly named</t>
        </is>
      </c>
      <c r="AE397" s="6" t="inlineStr">
        <is>
          <t>L6 Site Acceptance Testing; L1 Conceptual Design; L2 Detailed Design</t>
        </is>
      </c>
      <c r="AF397" s="6" t="inlineStr">
        <is>
          <t>Section/contract-derived reference; explicit deliverable/test wording</t>
        </is>
      </c>
      <c r="AG397" s="58" t="inlineStr">
        <is>
          <t>OFFER-39 (Supporting)</t>
        </is>
      </c>
    </row>
    <row r="398" ht="60" customHeight="1">
      <c r="A398" s="6" t="n">
        <v>393</v>
      </c>
      <c r="B398" s="6" t="inlineStr">
        <is>
          <t>RTM-501</t>
        </is>
      </c>
      <c r="C398" s="6" t="inlineStr">
        <is>
          <t>No</t>
        </is>
      </c>
      <c r="D398" s="6" t="inlineStr">
        <is>
          <t>T2 Secondary</t>
        </is>
      </c>
      <c r="E398" s="6" t="inlineStr">
        <is>
          <t>Acceptance Testing</t>
        </is>
      </c>
      <c r="F398" s="82" t="inlineStr">
        <is>
          <t>PROJECT</t>
        </is>
      </c>
      <c r="G398" s="83" t="inlineStr">
        <is>
          <t>Governance &amp; Responsibility</t>
        </is>
      </c>
      <c r="H398" s="59" t="inlineStr">
        <is>
          <t>—</t>
        </is>
      </c>
      <c r="I398" s="58" t="inlineStr">
        <is>
          <t>C7 — Quality, Testing &amp; Risk</t>
        </is>
      </c>
      <c r="J398" s="6" t="n">
        <v>96</v>
      </c>
      <c r="K398" s="6" t="inlineStr">
        <is>
          <t>4.13.3</t>
        </is>
      </c>
      <c r="L398" s="6" t="inlineStr">
        <is>
          <t>Site Acceptance Tests (SAT)</t>
        </is>
      </c>
      <c r="M398" s="6" t="inlineStr">
        <is>
          <t>The SAT shall be performed in a logical sequence from prerequisite checks to functional demonstrations and performance demonstrations.</t>
        </is>
      </c>
      <c r="N398" s="6" t="inlineStr">
        <is>
          <t>The SAT shall be performed in a logical sequence from prerequisite checks to functional demonstrations and performance demonstrations.
• A test shall only be started once the prerequisites defined in the approved SAT Programme are fulfilled.</t>
        </is>
      </c>
      <c r="O398" s="6" t="n">
        <v>2</v>
      </c>
      <c r="P398" s="6" t="n">
        <v>0</v>
      </c>
      <c r="Q398" s="6" t="n">
        <v>0</v>
      </c>
      <c r="R398" s="6" t="n">
        <v>0</v>
      </c>
      <c r="S398" s="6" t="n">
        <v>3</v>
      </c>
      <c r="T398" s="6" t="n">
        <v>0</v>
      </c>
      <c r="U398" s="6" t="n">
        <v>0</v>
      </c>
      <c r="V398" s="6" t="n">
        <v>25.333333</v>
      </c>
      <c r="W398" s="6" t="n">
        <v>43.7587</v>
      </c>
      <c r="X398" s="6" t="n">
        <v>2.1317</v>
      </c>
      <c r="Y398" s="6" t="inlineStr">
        <is>
          <t>Safety / Legal</t>
        </is>
      </c>
      <c r="Z398" s="6" t="inlineStr">
        <is>
          <t>Frozen-weight composite; strongest contribution: Safety / Legal.</t>
        </is>
      </c>
      <c r="AA398" s="6" t="inlineStr">
        <is>
          <t>None explicitly named in this RTM</t>
        </is>
      </c>
      <c r="AB398" s="6" t="inlineStr">
        <is>
          <t>SCK CEN/90508872 §4.13.3; no named external code</t>
        </is>
      </c>
      <c r="AC398" s="6" t="inlineStr">
        <is>
          <t>Witnessed FAT/SAT/commissioning test against stated acceptance criteria</t>
        </is>
      </c>
      <c r="AD398" s="6" t="inlineStr">
        <is>
          <t>No separate deliverable explicitly named</t>
        </is>
      </c>
      <c r="AE398" s="6" t="inlineStr">
        <is>
          <t>L6 Site Acceptance Testing; L1 Conceptual Design; L2 Detailed Design</t>
        </is>
      </c>
      <c r="AF398" s="6" t="inlineStr">
        <is>
          <t>Section/contract-derived reference; explicit deliverable/test wording</t>
        </is>
      </c>
      <c r="AG398" s="58" t="inlineStr">
        <is>
          <t>OFFER-39 (Supporting)</t>
        </is>
      </c>
    </row>
    <row r="399" ht="60" customHeight="1">
      <c r="A399" s="6" t="n">
        <v>394</v>
      </c>
      <c r="B399" s="6" t="inlineStr">
        <is>
          <t>RTM-502</t>
        </is>
      </c>
      <c r="C399" s="6" t="inlineStr">
        <is>
          <t>No</t>
        </is>
      </c>
      <c r="D399" s="6" t="inlineStr">
        <is>
          <t>T2 Secondary</t>
        </is>
      </c>
      <c r="E399" s="6" t="inlineStr">
        <is>
          <t>Acceptance Testing</t>
        </is>
      </c>
      <c r="F399" s="82" t="inlineStr">
        <is>
          <t>PROJECT</t>
        </is>
      </c>
      <c r="G399" s="83" t="inlineStr">
        <is>
          <t>Governance &amp; Responsibility</t>
        </is>
      </c>
      <c r="H399" s="59" t="inlineStr">
        <is>
          <t>—</t>
        </is>
      </c>
      <c r="I399" s="58" t="inlineStr">
        <is>
          <t>C7 — Quality, Testing &amp; Risk</t>
        </is>
      </c>
      <c r="J399" s="6" t="n">
        <v>97</v>
      </c>
      <c r="K399" s="6" t="inlineStr">
        <is>
          <t>4.13.3</t>
        </is>
      </c>
      <c r="L399" s="6" t="inlineStr">
        <is>
          <t>Site Acceptance Tests (SAT)</t>
        </is>
      </c>
      <c r="M399" s="6" t="inlineStr">
        <is>
          <t>Each SAT demonstration shall be performed, at minimum, with the QPS operating at the QPLANT Design Point, unless specified otherwise in the applicable SAT requirement or in the approved SAT Programme.</t>
        </is>
      </c>
      <c r="N399" s="6" t="inlineStr">
        <is>
          <t>Each SAT demonstration shall be performed, at minimum, with the QPS operating at the QPLANT Design Point, unless specified otherwise in the applicable SAT requirement or in the approved SAT Programme.</t>
        </is>
      </c>
      <c r="O399" s="6" t="n">
        <v>2</v>
      </c>
      <c r="P399" s="6" t="n">
        <v>0</v>
      </c>
      <c r="Q399" s="6" t="n">
        <v>0</v>
      </c>
      <c r="R399" s="6" t="n">
        <v>0</v>
      </c>
      <c r="S399" s="6" t="n">
        <v>3</v>
      </c>
      <c r="T399" s="6" t="n">
        <v>0</v>
      </c>
      <c r="U399" s="6" t="n">
        <v>0</v>
      </c>
      <c r="V399" s="6" t="n">
        <v>25.333333</v>
      </c>
      <c r="W399" s="6" t="n">
        <v>43.7587</v>
      </c>
      <c r="X399" s="6" t="n">
        <v>2.1317</v>
      </c>
      <c r="Y399" s="6" t="inlineStr">
        <is>
          <t>Safety / Legal</t>
        </is>
      </c>
      <c r="Z399" s="6" t="inlineStr">
        <is>
          <t>Frozen-weight composite; strongest contribution: Safety / Legal.</t>
        </is>
      </c>
      <c r="AA399" s="6" t="inlineStr">
        <is>
          <t>None explicitly named in this RTM</t>
        </is>
      </c>
      <c r="AB399" s="6" t="inlineStr">
        <is>
          <t>SCK CEN/90508872 §4.13.3; no named external code</t>
        </is>
      </c>
      <c r="AC399" s="6" t="inlineStr">
        <is>
          <t>Witnessed FAT/SAT/commissioning test against stated acceptance criteria</t>
        </is>
      </c>
      <c r="AD399" s="6" t="inlineStr">
        <is>
          <t>No separate deliverable explicitly named</t>
        </is>
      </c>
      <c r="AE399" s="6" t="inlineStr">
        <is>
          <t>L6 Site Acceptance Testing; L1 Conceptual Design; L2 Detailed Design</t>
        </is>
      </c>
      <c r="AF399" s="6" t="inlineStr">
        <is>
          <t>Section/contract-derived reference; derived evidence route</t>
        </is>
      </c>
      <c r="AG399" s="58" t="inlineStr">
        <is>
          <t>OFFER-39 (Supporting)</t>
        </is>
      </c>
    </row>
    <row r="400" ht="112" customHeight="1">
      <c r="A400" s="6" t="n">
        <v>395</v>
      </c>
      <c r="B400" s="6" t="inlineStr">
        <is>
          <t>RTM-503</t>
        </is>
      </c>
      <c r="C400" s="6" t="inlineStr">
        <is>
          <t>No</t>
        </is>
      </c>
      <c r="D400" s="6" t="inlineStr">
        <is>
          <t>T2 Secondary</t>
        </is>
      </c>
      <c r="E400" s="6" t="inlineStr">
        <is>
          <t>Acceptance Testing</t>
        </is>
      </c>
      <c r="F400" s="82" t="inlineStr">
        <is>
          <t>PROJECT</t>
        </is>
      </c>
      <c r="G400" s="83" t="inlineStr">
        <is>
          <t>Documentation &amp; Compliance</t>
        </is>
      </c>
      <c r="H400" s="59" t="inlineStr">
        <is>
          <t>—</t>
        </is>
      </c>
      <c r="I400" s="58" t="inlineStr">
        <is>
          <t>C7 — Quality, Testing &amp; Risk</t>
        </is>
      </c>
      <c r="J400" s="6" t="n">
        <v>97</v>
      </c>
      <c r="K400" s="6" t="inlineStr">
        <is>
          <t>4.13.3</t>
        </is>
      </c>
      <c r="L400" s="6" t="inlineStr">
        <is>
          <t>Site Acceptance Tests (SAT)</t>
        </is>
      </c>
      <c r="M400" s="6" t="inlineStr">
        <is>
          <t>Where specified, the SAT demonstration shall be performed with the QPS operating at QPLANT Predefined Test Points, which are defined as follows:</t>
        </is>
      </c>
      <c r="N400" s="6" t="inlineStr">
        <is>
          <t>Where specified, the SAT demonstration shall be performed with the QPS operating at QPLANT Predefined Test Points, which are defined as follows:
• Each QPLANT Predefined Test Point shall correspond to a valid steady-state condition within the Operational Condition Ranges defined in §4.2.3.
• All QPLANT Predefined Test Points shall be defined by SCK CEN and communicated during the SAT campaign.
• The selected QPLANT Predefined Test Points shall be explicitly recorded in the SAT Report.</t>
        </is>
      </c>
      <c r="O400" s="6" t="n">
        <v>2</v>
      </c>
      <c r="P400" s="6" t="n">
        <v>0</v>
      </c>
      <c r="Q400" s="6" t="n">
        <v>0</v>
      </c>
      <c r="R400" s="6" t="n">
        <v>0</v>
      </c>
      <c r="S400" s="6" t="n">
        <v>3</v>
      </c>
      <c r="T400" s="6" t="n">
        <v>0</v>
      </c>
      <c r="U400" s="6" t="n">
        <v>0</v>
      </c>
      <c r="V400" s="6" t="n">
        <v>25.333333</v>
      </c>
      <c r="W400" s="6" t="n">
        <v>43.7587</v>
      </c>
      <c r="X400" s="6" t="n">
        <v>2.1317</v>
      </c>
      <c r="Y400" s="6" t="inlineStr">
        <is>
          <t>Safety / Legal</t>
        </is>
      </c>
      <c r="Z400" s="6" t="inlineStr">
        <is>
          <t>Frozen-weight composite; strongest contribution: Safety / Legal.</t>
        </is>
      </c>
      <c r="AA400" s="6" t="inlineStr">
        <is>
          <t>None explicitly named in this RTM</t>
        </is>
      </c>
      <c r="AB400" s="6" t="inlineStr">
        <is>
          <t>SCK CEN/90508872 §4.13.3; no named external code</t>
        </is>
      </c>
      <c r="AC400" s="6" t="inlineStr">
        <is>
          <t>Submit and review the named deliverable with RTM traceability and approval status; Witnessed FAT/SAT/commissioning test against stated acceptance criteria</t>
        </is>
      </c>
      <c r="AD400" s="6" t="inlineStr">
        <is>
          <t>SAT Report</t>
        </is>
      </c>
      <c r="AE400" s="6" t="inlineStr">
        <is>
          <t>L6 Site Acceptance Testing; L1 Conceptual Design; L2 Detailed Design</t>
        </is>
      </c>
      <c r="AF400" s="6" t="inlineStr">
        <is>
          <t>Section/contract-derived reference; explicit deliverable/test wording</t>
        </is>
      </c>
      <c r="AG400" s="58" t="inlineStr">
        <is>
          <t>OFFER-39 (Supporting)</t>
        </is>
      </c>
    </row>
    <row r="401" ht="73" customHeight="1">
      <c r="A401" s="6" t="n">
        <v>396</v>
      </c>
      <c r="B401" s="6" t="inlineStr">
        <is>
          <t>RTM-505</t>
        </is>
      </c>
      <c r="C401" s="6" t="inlineStr">
        <is>
          <t>No</t>
        </is>
      </c>
      <c r="D401" s="6" t="inlineStr">
        <is>
          <t>T2 Secondary</t>
        </is>
      </c>
      <c r="E401" s="6" t="inlineStr">
        <is>
          <t>Acceptance Testing</t>
        </is>
      </c>
      <c r="F401" s="82" t="inlineStr">
        <is>
          <t>PROJECT</t>
        </is>
      </c>
      <c r="G401" s="83" t="inlineStr">
        <is>
          <t>Documentation &amp; Compliance</t>
        </is>
      </c>
      <c r="H401" s="59" t="inlineStr">
        <is>
          <t>—</t>
        </is>
      </c>
      <c r="I401" s="58" t="inlineStr">
        <is>
          <t>C7 — Quality, Testing &amp; Risk</t>
        </is>
      </c>
      <c r="J401" s="6" t="n">
        <v>97</v>
      </c>
      <c r="K401" s="6" t="inlineStr">
        <is>
          <t>4.13.3</t>
        </is>
      </c>
      <c r="L401" s="6" t="inlineStr">
        <is>
          <t>Site Acceptance Tests (SAT)</t>
        </is>
      </c>
      <c r="M401" s="6" t="inlineStr">
        <is>
          <t>For each SAT demonstration, the Contractor shall record the measured and derived quantities required to substantiate the test result.</t>
        </is>
      </c>
      <c r="N401" s="6" t="inlineStr">
        <is>
          <t>For each SAT demonstration, the Contractor shall record the measured and derived quantities required to substantiate the test result.
• The recorded data shall be sufficient to reconstruct the demonstrated operating condition, the applied determination method, and the resulting compliance assessment.</t>
        </is>
      </c>
      <c r="O401" s="6" t="n">
        <v>2</v>
      </c>
      <c r="P401" s="6" t="n">
        <v>0</v>
      </c>
      <c r="Q401" s="6" t="n">
        <v>0</v>
      </c>
      <c r="R401" s="6" t="n">
        <v>0</v>
      </c>
      <c r="S401" s="6" t="n">
        <v>3</v>
      </c>
      <c r="T401" s="6" t="n">
        <v>0</v>
      </c>
      <c r="U401" s="6" t="n">
        <v>0</v>
      </c>
      <c r="V401" s="6" t="n">
        <v>25.333333</v>
      </c>
      <c r="W401" s="6" t="n">
        <v>43.7587</v>
      </c>
      <c r="X401" s="6" t="n">
        <v>2.1317</v>
      </c>
      <c r="Y401" s="6" t="inlineStr">
        <is>
          <t>Safety / Legal</t>
        </is>
      </c>
      <c r="Z401" s="6" t="inlineStr">
        <is>
          <t>Frozen-weight composite; strongest contribution: Safety / Legal.</t>
        </is>
      </c>
      <c r="AA401" s="6" t="inlineStr">
        <is>
          <t>None explicitly named in this RTM</t>
        </is>
      </c>
      <c r="AB401" s="6" t="inlineStr">
        <is>
          <t>SCK CEN/90508872 §4.13.3; no named external code</t>
        </is>
      </c>
      <c r="AC401" s="6" t="inlineStr">
        <is>
          <t>Witnessed FAT/SAT/commissioning test against stated acceptance criteria</t>
        </is>
      </c>
      <c r="AD401" s="6" t="inlineStr">
        <is>
          <t>No separate deliverable explicitly named</t>
        </is>
      </c>
      <c r="AE401" s="6" t="inlineStr">
        <is>
          <t>L6 Site Acceptance Testing; L1 Conceptual Design; L2 Detailed Design</t>
        </is>
      </c>
      <c r="AF401" s="6" t="inlineStr">
        <is>
          <t>Section/contract-derived reference; explicit deliverable/test wording</t>
        </is>
      </c>
      <c r="AG401" s="58" t="inlineStr">
        <is>
          <t>OFFER-39 (Supporting)</t>
        </is>
      </c>
    </row>
    <row r="402" ht="138" customHeight="1">
      <c r="A402" s="6" t="n">
        <v>397</v>
      </c>
      <c r="B402" s="6" t="inlineStr">
        <is>
          <t>RTM-506</t>
        </is>
      </c>
      <c r="C402" s="6" t="inlineStr">
        <is>
          <t>No</t>
        </is>
      </c>
      <c r="D402" s="6" t="inlineStr">
        <is>
          <t>T2 Secondary</t>
        </is>
      </c>
      <c r="E402" s="6" t="inlineStr">
        <is>
          <t>Acceptance Testing</t>
        </is>
      </c>
      <c r="F402" s="82" t="inlineStr">
        <is>
          <t>PROJECT</t>
        </is>
      </c>
      <c r="G402" s="83" t="inlineStr">
        <is>
          <t>Governance &amp; Responsibility</t>
        </is>
      </c>
      <c r="H402" s="59" t="inlineStr">
        <is>
          <t>—</t>
        </is>
      </c>
      <c r="I402" s="58" t="inlineStr">
        <is>
          <t>C7 — Quality, Testing &amp; Risk</t>
        </is>
      </c>
      <c r="J402" s="6" t="n">
        <v>97</v>
      </c>
      <c r="K402" s="6" t="inlineStr">
        <is>
          <t>4.13.3</t>
        </is>
      </c>
      <c r="L402" s="6" t="inlineStr">
        <is>
          <t>Site Acceptance Tests (SAT)</t>
        </is>
      </c>
      <c r="M402" s="6" t="inlineStr">
        <is>
          <t>The reported values used to substantiate a SAT result or compliance assessment shall be reported with their associated expanded uncertainty.</t>
        </is>
      </c>
      <c r="N402" s="6" t="inlineStr">
        <is>
          <t>The reported values used to substantiate a SAT result or compliance assessment shall be reported with their associated expanded uncertainty.
• The expanded uncertainty shall be reported at a confidence level of 95 %.
• The expanded uncertainty shall include all contributions associated with the determination method of the respective value, including, where applicable, uncertainty arising from:
• Measurement methods.
• Direct or indirect determination methods.
• Experimental or analytical simplifications.
• Corrections, interpolations, or extrapolations.</t>
        </is>
      </c>
      <c r="O402" s="6" t="n">
        <v>2</v>
      </c>
      <c r="P402" s="6" t="n">
        <v>0</v>
      </c>
      <c r="Q402" s="6" t="n">
        <v>0</v>
      </c>
      <c r="R402" s="6" t="n">
        <v>0</v>
      </c>
      <c r="S402" s="6" t="n">
        <v>3</v>
      </c>
      <c r="T402" s="6" t="n">
        <v>0</v>
      </c>
      <c r="U402" s="6" t="n">
        <v>0</v>
      </c>
      <c r="V402" s="6" t="n">
        <v>25.333333</v>
      </c>
      <c r="W402" s="6" t="n">
        <v>43.7587</v>
      </c>
      <c r="X402" s="6" t="n">
        <v>2.1317</v>
      </c>
      <c r="Y402" s="6" t="inlineStr">
        <is>
          <t>Safety / Legal</t>
        </is>
      </c>
      <c r="Z402" s="6" t="inlineStr">
        <is>
          <t>Frozen-weight composite; strongest contribution: Safety / Legal.</t>
        </is>
      </c>
      <c r="AA402" s="6" t="inlineStr">
        <is>
          <t>None explicitly named in this RTM</t>
        </is>
      </c>
      <c r="AB402" s="6" t="inlineStr">
        <is>
          <t>SCK CEN/90508872 §4.13.3; no named external code</t>
        </is>
      </c>
      <c r="AC402" s="6" t="inlineStr">
        <is>
          <t>Witnessed FAT/SAT/commissioning test against stated acceptance criteria</t>
        </is>
      </c>
      <c r="AD402" s="6" t="inlineStr">
        <is>
          <t>No separate deliverable explicitly named</t>
        </is>
      </c>
      <c r="AE402" s="6" t="inlineStr">
        <is>
          <t>L6 Site Acceptance Testing; L1 Conceptual Design; L2 Detailed Design</t>
        </is>
      </c>
      <c r="AF402" s="6" t="inlineStr">
        <is>
          <t>Section/contract-derived reference; derived evidence route</t>
        </is>
      </c>
      <c r="AG402" s="58" t="inlineStr">
        <is>
          <t>OFFER-39 (Supporting)</t>
        </is>
      </c>
    </row>
    <row r="403" ht="60" customHeight="1">
      <c r="A403" s="6" t="n">
        <v>398</v>
      </c>
      <c r="B403" s="6" t="inlineStr">
        <is>
          <t>RTM-507</t>
        </is>
      </c>
      <c r="C403" s="6" t="inlineStr">
        <is>
          <t>No</t>
        </is>
      </c>
      <c r="D403" s="6" t="inlineStr">
        <is>
          <t>T2 Secondary</t>
        </is>
      </c>
      <c r="E403" s="6" t="inlineStr">
        <is>
          <t>Acceptance Testing</t>
        </is>
      </c>
      <c r="F403" s="82" t="inlineStr">
        <is>
          <t>PROJECT</t>
        </is>
      </c>
      <c r="G403" s="83" t="inlineStr">
        <is>
          <t>Governance &amp; Responsibility</t>
        </is>
      </c>
      <c r="H403" s="59" t="inlineStr">
        <is>
          <t>—</t>
        </is>
      </c>
      <c r="I403" s="58" t="inlineStr">
        <is>
          <t>C7 — Quality, Testing &amp; Risk</t>
        </is>
      </c>
      <c r="J403" s="6" t="n">
        <v>97</v>
      </c>
      <c r="K403" s="6" t="inlineStr">
        <is>
          <t>4.13.3</t>
        </is>
      </c>
      <c r="L403" s="6" t="inlineStr">
        <is>
          <t>Site Acceptance Tests (SAT)</t>
        </is>
      </c>
      <c r="M403" s="6" t="inlineStr">
        <is>
          <t>For compliance assessment, the value used to verify compliance shall be the reported measurement value adjusted by the associated expanded uncertainty (as defined in RTM-506) in the direction unfavourable to compliance.</t>
        </is>
      </c>
      <c r="N403" s="6" t="inlineStr">
        <is>
          <t>For compliance assessment, the value used to verify compliance shall be the reported measurement value adjusted by the associated expanded uncertainty (as defined in RTM-506) in the direction unfavourable to compliance.</t>
        </is>
      </c>
      <c r="O403" s="6" t="n">
        <v>2</v>
      </c>
      <c r="P403" s="6" t="n">
        <v>0</v>
      </c>
      <c r="Q403" s="6" t="n">
        <v>0</v>
      </c>
      <c r="R403" s="6" t="n">
        <v>0</v>
      </c>
      <c r="S403" s="6" t="n">
        <v>3</v>
      </c>
      <c r="T403" s="6" t="n">
        <v>0</v>
      </c>
      <c r="U403" s="6" t="n">
        <v>0</v>
      </c>
      <c r="V403" s="6" t="n">
        <v>25.333333</v>
      </c>
      <c r="W403" s="6" t="n">
        <v>43.7587</v>
      </c>
      <c r="X403" s="6" t="n">
        <v>2.1317</v>
      </c>
      <c r="Y403" s="6" t="inlineStr">
        <is>
          <t>Safety / Legal</t>
        </is>
      </c>
      <c r="Z403" s="6" t="inlineStr">
        <is>
          <t>Frozen-weight composite; strongest contribution: Safety / Legal.</t>
        </is>
      </c>
      <c r="AA403" s="6" t="inlineStr">
        <is>
          <t>None explicitly named in this RTM</t>
        </is>
      </c>
      <c r="AB403" s="6" t="inlineStr">
        <is>
          <t>SCK CEN/90508872 §4.13.3; no named external code</t>
        </is>
      </c>
      <c r="AC403" s="6" t="inlineStr">
        <is>
          <t>Document review, inspection, certification, audit or traceable QC record</t>
        </is>
      </c>
      <c r="AD403" s="6" t="inlineStr">
        <is>
          <t>No separate deliverable explicitly named</t>
        </is>
      </c>
      <c r="AE403" s="6" t="inlineStr">
        <is>
          <t>L1 Conceptual Design; L2 Detailed Design</t>
        </is>
      </c>
      <c r="AF403" s="6" t="inlineStr">
        <is>
          <t>Section/contract-derived reference; explicit deliverable/test wording</t>
        </is>
      </c>
      <c r="AG403" s="58" t="inlineStr">
        <is>
          <t>OFFER-39 (Supporting)</t>
        </is>
      </c>
    </row>
    <row r="404" ht="190" customHeight="1">
      <c r="A404" s="6" t="n">
        <v>399</v>
      </c>
      <c r="B404" s="6" t="inlineStr">
        <is>
          <t>RTM-508</t>
        </is>
      </c>
      <c r="C404" s="6" t="inlineStr">
        <is>
          <t>No</t>
        </is>
      </c>
      <c r="D404" s="6" t="inlineStr">
        <is>
          <t>T2 Secondary</t>
        </is>
      </c>
      <c r="E404" s="6" t="inlineStr">
        <is>
          <t>Acceptance Testing</t>
        </is>
      </c>
      <c r="F404" s="82" t="inlineStr">
        <is>
          <t>PROJECT</t>
        </is>
      </c>
      <c r="G404" s="83" t="inlineStr">
        <is>
          <t>Governance &amp; Responsibility</t>
        </is>
      </c>
      <c r="H404" s="59" t="inlineStr">
        <is>
          <t>—</t>
        </is>
      </c>
      <c r="I404" s="58" t="inlineStr">
        <is>
          <t>C7 — Quality, Testing &amp; Risk</t>
        </is>
      </c>
      <c r="J404" s="6" t="n">
        <v>97</v>
      </c>
      <c r="K404" s="6" t="inlineStr">
        <is>
          <t>4.13.3</t>
        </is>
      </c>
      <c r="L404" s="6" t="inlineStr">
        <is>
          <t>Site Acceptance Tests (SAT)</t>
        </is>
      </c>
      <c r="M404" s="6" t="inlineStr">
        <is>
          <t>The Contractor shall provide and use the test equipment and arrangements necessary to emulate the representative user-side operating conditions required for the SAT demonstrations.</t>
        </is>
      </c>
      <c r="N404" s="6" t="inlineStr">
        <is>
          <t>The Contractor shall provide and use the test equipment and arrangements necessary to emulate the representative user-side operating conditions required for the SAT demonstrations.
• The test equipment and arrangements shall be based on the Cryogenic User Circuitry Model.
• The test equipment and arrangements shall include, where applicable, temporary heaters, valves, piping, test caps, and any other means necessary to emulate the required thermal loads, mass-flow demands, and pressure-drop conditions.
• In the Engineering File, the Contractor shall describe the conceptual test approach and substantiate that the intended test setup is representative of the intended operating conditions.
• In the SAT Programme, the Contractor shall substantiate that the implemented test setup is representative of the intended operating conditions.</t>
        </is>
      </c>
      <c r="O404" s="6" t="n">
        <v>2</v>
      </c>
      <c r="P404" s="6" t="n">
        <v>0</v>
      </c>
      <c r="Q404" s="6" t="n">
        <v>0</v>
      </c>
      <c r="R404" s="6" t="n">
        <v>0</v>
      </c>
      <c r="S404" s="6" t="n">
        <v>3</v>
      </c>
      <c r="T404" s="6" t="n">
        <v>0</v>
      </c>
      <c r="U404" s="6" t="n">
        <v>0</v>
      </c>
      <c r="V404" s="6" t="n">
        <v>25.333333</v>
      </c>
      <c r="W404" s="6" t="n">
        <v>43.7587</v>
      </c>
      <c r="X404" s="6" t="n">
        <v>2.1317</v>
      </c>
      <c r="Y404" s="6" t="inlineStr">
        <is>
          <t>Safety / Legal</t>
        </is>
      </c>
      <c r="Z404" s="6" t="inlineStr">
        <is>
          <t>Frozen-weight composite; strongest contribution: Safety / Legal.</t>
        </is>
      </c>
      <c r="AA404" s="6" t="inlineStr">
        <is>
          <t>None explicitly named in this RTM</t>
        </is>
      </c>
      <c r="AB404" s="6" t="inlineStr">
        <is>
          <t>SCK CEN/90508872 §4.13.3; no named external code</t>
        </is>
      </c>
      <c r="AC404" s="6" t="inlineStr">
        <is>
          <t>Submit and review the named deliverable with RTM traceability and approval status; Witnessed FAT/SAT/commissioning test against stated acceptance criteria</t>
        </is>
      </c>
      <c r="AD404" s="6" t="inlineStr">
        <is>
          <t>Engineering File</t>
        </is>
      </c>
      <c r="AE404" s="6" t="inlineStr">
        <is>
          <t>L6 Site Acceptance Testing; L1 Conceptual Design; L2 Detailed Design</t>
        </is>
      </c>
      <c r="AF404" s="6" t="inlineStr">
        <is>
          <t>Section/contract-derived reference; explicit deliverable/test wording</t>
        </is>
      </c>
      <c r="AG404" s="58" t="inlineStr">
        <is>
          <t>OFFER-39 (Supporting)</t>
        </is>
      </c>
    </row>
    <row r="405" ht="99" customHeight="1">
      <c r="A405" s="6" t="n">
        <v>400</v>
      </c>
      <c r="B405" s="6" t="inlineStr">
        <is>
          <t>RTM-509</t>
        </is>
      </c>
      <c r="C405" s="6" t="inlineStr">
        <is>
          <t>No</t>
        </is>
      </c>
      <c r="D405" s="6" t="inlineStr">
        <is>
          <t>T2 Secondary</t>
        </is>
      </c>
      <c r="E405" s="6" t="inlineStr">
        <is>
          <t>Acceptance Testing</t>
        </is>
      </c>
      <c r="F405" s="82" t="inlineStr">
        <is>
          <t>PROJECT</t>
        </is>
      </c>
      <c r="G405" s="83" t="inlineStr">
        <is>
          <t>Governance &amp; Responsibility</t>
        </is>
      </c>
      <c r="H405" s="59" t="inlineStr">
        <is>
          <t>—</t>
        </is>
      </c>
      <c r="I405" s="58" t="inlineStr">
        <is>
          <t>C7 — Quality, Testing &amp; Risk</t>
        </is>
      </c>
      <c r="J405" s="6" t="n">
        <v>97</v>
      </c>
      <c r="K405" s="6" t="inlineStr">
        <is>
          <t>4.13.3</t>
        </is>
      </c>
      <c r="L405" s="6" t="inlineStr">
        <is>
          <t>Site Acceptance Tests (SAT)</t>
        </is>
      </c>
      <c r="M405" s="6" t="inlineStr">
        <is>
          <t>A demonstration performed prior to the formal SAT campaign may only be accepted as SAT evidence if:</t>
        </is>
      </c>
      <c r="N405" s="6" t="inlineStr">
        <is>
          <t>A demonstration performed prior to the formal SAT campaign may only be accepted as SAT evidence if:
• It was performed in accordance with the approved SAT Programme
• The corresponding records are available and acceptable to SCK CEN
• No subsequent work, modification, or non-conformity may have affected its validity
• SCK CEN explicitly agrees that repetition is not required</t>
        </is>
      </c>
      <c r="O405" s="6" t="n">
        <v>2</v>
      </c>
      <c r="P405" s="6" t="n">
        <v>0</v>
      </c>
      <c r="Q405" s="6" t="n">
        <v>0</v>
      </c>
      <c r="R405" s="6" t="n">
        <v>0</v>
      </c>
      <c r="S405" s="6" t="n">
        <v>3</v>
      </c>
      <c r="T405" s="6" t="n">
        <v>0</v>
      </c>
      <c r="U405" s="6" t="n">
        <v>0</v>
      </c>
      <c r="V405" s="6" t="n">
        <v>25.333333</v>
      </c>
      <c r="W405" s="6" t="n">
        <v>43.7587</v>
      </c>
      <c r="X405" s="6" t="n">
        <v>2.1317</v>
      </c>
      <c r="Y405" s="6" t="inlineStr">
        <is>
          <t>Safety / Legal</t>
        </is>
      </c>
      <c r="Z405" s="6" t="inlineStr">
        <is>
          <t>Frozen-weight composite; strongest contribution: Safety / Legal.</t>
        </is>
      </c>
      <c r="AA405" s="6" t="inlineStr">
        <is>
          <t>None explicitly named in this RTM</t>
        </is>
      </c>
      <c r="AB405" s="6" t="inlineStr">
        <is>
          <t>SCK CEN/90508872 §4.13.3; no named external code</t>
        </is>
      </c>
      <c r="AC405" s="6" t="inlineStr">
        <is>
          <t>Witnessed FAT/SAT/commissioning test against stated acceptance criteria</t>
        </is>
      </c>
      <c r="AD405" s="6" t="inlineStr">
        <is>
          <t>No separate deliverable explicitly named</t>
        </is>
      </c>
      <c r="AE405" s="6" t="inlineStr">
        <is>
          <t>L6 Site Acceptance Testing; L1 Conceptual Design; L2 Detailed Design</t>
        </is>
      </c>
      <c r="AF405" s="6" t="inlineStr">
        <is>
          <t>Section/contract-derived reference; derived evidence route</t>
        </is>
      </c>
      <c r="AG405" s="58" t="inlineStr">
        <is>
          <t>OFFER-39 (Supporting)</t>
        </is>
      </c>
    </row>
    <row r="406" ht="125" customHeight="1">
      <c r="A406" s="6" t="n">
        <v>401</v>
      </c>
      <c r="B406" s="6" t="inlineStr">
        <is>
          <t>RTM-541</t>
        </is>
      </c>
      <c r="C406" s="6" t="inlineStr">
        <is>
          <t>No</t>
        </is>
      </c>
      <c r="D406" s="6" t="inlineStr">
        <is>
          <t>T2 Secondary</t>
        </is>
      </c>
      <c r="E406" s="6" t="inlineStr">
        <is>
          <t>Acceptance Testing</t>
        </is>
      </c>
      <c r="F406" s="82" t="inlineStr">
        <is>
          <t>PROJECT</t>
        </is>
      </c>
      <c r="G406" s="83" t="inlineStr">
        <is>
          <t>Governance &amp; Responsibility</t>
        </is>
      </c>
      <c r="H406" s="59" t="inlineStr">
        <is>
          <t>—</t>
        </is>
      </c>
      <c r="I406" s="58" t="inlineStr">
        <is>
          <t>C7 — Quality, Testing &amp; Risk</t>
        </is>
      </c>
      <c r="J406" s="6" t="n">
        <v>105</v>
      </c>
      <c r="K406" s="6" t="inlineStr">
        <is>
          <t>4.13.3.3.6</t>
        </is>
      </c>
      <c r="L406" s="6" t="inlineStr">
        <is>
          <t>Demonstration of storage and withdrawal systems</t>
        </is>
      </c>
      <c r="M406" s="6" t="inlineStr">
        <is>
          <t>For the filling station, the Contractor shall demonstrate the filling of a dewar while the QPS is operating at the QPLANT Predefined Test Point, as defined in RTM-503, within the 2K-OP scenario. This shall include, at minimum:</t>
        </is>
      </c>
      <c r="N406" s="6" t="inlineStr">
        <is>
          <t>For the filling station, the Contractor shall demonstrate the filling of a dewar while the QPS is operating at the QPLANT Predefined Test Point, as defined in RTM-503, within the 2K-OP scenario. This shall include, at minimum:
• The verification of the correct filling operation under the relevant operating conditions.
• The verification of the correct functioning of the associated instrumentation, valves, and protections.
• The verification that impure helium is automatically rejected in accordance with the specified acceptance criteria.</t>
        </is>
      </c>
      <c r="O406" s="6" t="n">
        <v>2</v>
      </c>
      <c r="P406" s="6" t="n">
        <v>0</v>
      </c>
      <c r="Q406" s="6" t="n">
        <v>0</v>
      </c>
      <c r="R406" s="6" t="n">
        <v>0</v>
      </c>
      <c r="S406" s="6" t="n">
        <v>3</v>
      </c>
      <c r="T406" s="6" t="n">
        <v>0</v>
      </c>
      <c r="U406" s="6" t="n">
        <v>0</v>
      </c>
      <c r="V406" s="6" t="n">
        <v>25.333333</v>
      </c>
      <c r="W406" s="6" t="n">
        <v>43.7587</v>
      </c>
      <c r="X406" s="6" t="n">
        <v>2.1317</v>
      </c>
      <c r="Y406" s="6" t="inlineStr">
        <is>
          <t>Safety / Legal</t>
        </is>
      </c>
      <c r="Z406" s="6" t="inlineStr">
        <is>
          <t>Frozen-weight composite; strongest contribution: Safety / Legal.</t>
        </is>
      </c>
      <c r="AA406" s="6" t="inlineStr">
        <is>
          <t>None explicitly named in this RTM</t>
        </is>
      </c>
      <c r="AB406" s="6" t="inlineStr">
        <is>
          <t>SCK CEN/90508872 §4.13.3.3.6; no named external code</t>
        </is>
      </c>
      <c r="AC406" s="6" t="inlineStr">
        <is>
          <t>Witnessed FAT/SAT/commissioning test against stated acceptance criteria; Calculation/model plus calibrated measurement or recorded trend</t>
        </is>
      </c>
      <c r="AD406" s="6" t="inlineStr">
        <is>
          <t>No separate deliverable explicitly named</t>
        </is>
      </c>
      <c r="AE406" s="6" t="inlineStr">
        <is>
          <t>L1 Conceptual Design; L2 Detailed Design</t>
        </is>
      </c>
      <c r="AF406" s="6" t="inlineStr">
        <is>
          <t>Section/contract-derived reference; explicit deliverable/test wording</t>
        </is>
      </c>
      <c r="AG406" s="58" t="inlineStr">
        <is>
          <t>OFFER-39 (Supporting)</t>
        </is>
      </c>
    </row>
    <row r="407" ht="60" customHeight="1">
      <c r="A407" s="6" t="n">
        <v>402</v>
      </c>
      <c r="B407" s="6" t="inlineStr">
        <is>
          <t>RTM-643</t>
        </is>
      </c>
      <c r="C407" s="6" t="inlineStr">
        <is>
          <t>No</t>
        </is>
      </c>
      <c r="D407" s="6" t="inlineStr">
        <is>
          <t>T2 Secondary</t>
        </is>
      </c>
      <c r="E407" s="6" t="inlineStr">
        <is>
          <t>Quality Assurance &amp; Control</t>
        </is>
      </c>
      <c r="F407" s="82" t="inlineStr">
        <is>
          <t>PROJECT</t>
        </is>
      </c>
      <c r="G407" s="83" t="inlineStr">
        <is>
          <t>Quality Assurance</t>
        </is>
      </c>
      <c r="H407" s="59" t="inlineStr">
        <is>
          <t>—</t>
        </is>
      </c>
      <c r="I407" s="81" t="inlineStr">
        <is>
          <t>Inferred: C7 — Quality, Testing &amp; Risk (high conf.)</t>
        </is>
      </c>
      <c r="J407" s="6" t="n">
        <v>122</v>
      </c>
      <c r="K407" s="6" t="inlineStr">
        <is>
          <t>8.1.1</t>
        </is>
      </c>
      <c r="L407" s="6" t="inlineStr">
        <is>
          <t>General requirements</t>
        </is>
      </c>
      <c r="M407" s="6" t="inlineStr">
        <is>
          <t>The Contractor shall implement and maintain a Quality Management System compliant with ISO 9001 for all activities under this Contract.</t>
        </is>
      </c>
      <c r="N407" s="6" t="inlineStr">
        <is>
          <t>The Contractor shall implement and maintain a Quality Management System compliant with ISO 9001 for all activities under this Contract.</t>
        </is>
      </c>
      <c r="O407" s="6" t="n">
        <v>2</v>
      </c>
      <c r="P407" s="6" t="n">
        <v>0</v>
      </c>
      <c r="Q407" s="6" t="n">
        <v>0</v>
      </c>
      <c r="R407" s="6" t="n">
        <v>0</v>
      </c>
      <c r="S407" s="6" t="n">
        <v>3</v>
      </c>
      <c r="T407" s="6" t="n">
        <v>0</v>
      </c>
      <c r="U407" s="6" t="n">
        <v>0</v>
      </c>
      <c r="V407" s="6" t="n">
        <v>25.333333</v>
      </c>
      <c r="W407" s="6" t="n">
        <v>43.7587</v>
      </c>
      <c r="X407" s="6" t="n">
        <v>2.1317</v>
      </c>
      <c r="Y407" s="6" t="inlineStr">
        <is>
          <t>Safety / Legal</t>
        </is>
      </c>
      <c r="Z407" s="6" t="inlineStr">
        <is>
          <t>Frozen-weight composite; strongest contribution: Safety / Legal.</t>
        </is>
      </c>
      <c r="AA407" s="6" t="inlineStr">
        <is>
          <t>ISO 9001</t>
        </is>
      </c>
      <c r="AB407" s="6" t="inlineStr">
        <is>
          <t>ISO 9001</t>
        </is>
      </c>
      <c r="AC407" s="6" t="inlineStr">
        <is>
          <t>Document review, inspection, certification, audit or traceable QC record</t>
        </is>
      </c>
      <c r="AD407" s="6" t="inlineStr">
        <is>
          <t>No separate deliverable explicitly named</t>
        </is>
      </c>
      <c r="AE407" s="6" t="inlineStr">
        <is>
          <t>L0 Tender / Offer; L1 Conceptual Design; L2 Detailed Design; L3 Procurement &amp; Manufacturing / FAT; L4 Installation; L5 Standalone Commissioning; L6 Site Acceptance Testing</t>
        </is>
      </c>
      <c r="AF407" s="6" t="inlineStr">
        <is>
          <t>Explicit/table-grounded standard; derived evidence route</t>
        </is>
      </c>
      <c r="AG407" s="58" t="inlineStr">
        <is>
          <t>Not linked to an OFFER item</t>
        </is>
      </c>
    </row>
    <row r="408" ht="60" customHeight="1">
      <c r="A408" s="6" t="n">
        <v>403</v>
      </c>
      <c r="B408" s="6" t="inlineStr">
        <is>
          <t>RTM-645</t>
        </is>
      </c>
      <c r="C408" s="6" t="inlineStr">
        <is>
          <t>No</t>
        </is>
      </c>
      <c r="D408" s="6" t="inlineStr">
        <is>
          <t>T2 Secondary</t>
        </is>
      </c>
      <c r="E408" s="6" t="inlineStr">
        <is>
          <t>Quality Assurance &amp; Control</t>
        </is>
      </c>
      <c r="F408" s="82" t="inlineStr">
        <is>
          <t>PROJECT</t>
        </is>
      </c>
      <c r="G408" s="83" t="inlineStr">
        <is>
          <t>Quality Assurance</t>
        </is>
      </c>
      <c r="H408" s="59" t="inlineStr">
        <is>
          <t>—</t>
        </is>
      </c>
      <c r="I408" s="81" t="inlineStr">
        <is>
          <t>Inferred: C7 — Quality, Testing &amp; Risk (high conf.)</t>
        </is>
      </c>
      <c r="J408" s="6" t="n">
        <v>122</v>
      </c>
      <c r="K408" s="6" t="inlineStr">
        <is>
          <t>8.1.1</t>
        </is>
      </c>
      <c r="L408" s="6" t="inlineStr">
        <is>
          <t>General requirements</t>
        </is>
      </c>
      <c r="M408" s="6" t="inlineStr">
        <is>
          <t>The Contractor shall demonstrate how its existing ISO 9001:2015 Quality Management System is applied to this specific QPS project.</t>
        </is>
      </c>
      <c r="N408" s="6" t="inlineStr">
        <is>
          <t>The Contractor shall demonstrate how its existing ISO 9001:2015 Quality Management System is applied to this specific QPS project.</t>
        </is>
      </c>
      <c r="O408" s="6" t="n">
        <v>2</v>
      </c>
      <c r="P408" s="6" t="n">
        <v>0</v>
      </c>
      <c r="Q408" s="6" t="n">
        <v>0</v>
      </c>
      <c r="R408" s="6" t="n">
        <v>0</v>
      </c>
      <c r="S408" s="6" t="n">
        <v>3</v>
      </c>
      <c r="T408" s="6" t="n">
        <v>0</v>
      </c>
      <c r="U408" s="6" t="n">
        <v>0</v>
      </c>
      <c r="V408" s="6" t="n">
        <v>25.333333</v>
      </c>
      <c r="W408" s="6" t="n">
        <v>43.7587</v>
      </c>
      <c r="X408" s="6" t="n">
        <v>2.1317</v>
      </c>
      <c r="Y408" s="6" t="inlineStr">
        <is>
          <t>Safety / Legal</t>
        </is>
      </c>
      <c r="Z408" s="6" t="inlineStr">
        <is>
          <t>Frozen-weight composite; strongest contribution: Safety / Legal.</t>
        </is>
      </c>
      <c r="AA408" s="6" t="inlineStr">
        <is>
          <t>ISO 9001:2015</t>
        </is>
      </c>
      <c r="AB408" s="6" t="inlineStr">
        <is>
          <t>ISO 9001:2015</t>
        </is>
      </c>
      <c r="AC408" s="6" t="inlineStr">
        <is>
          <t>Witnessed FAT/SAT/commissioning test against stated acceptance criteria; Document review, inspection, certification, audit or traceable QC record</t>
        </is>
      </c>
      <c r="AD408" s="6" t="inlineStr">
        <is>
          <t>No separate deliverable explicitly named</t>
        </is>
      </c>
      <c r="AE408" s="6" t="inlineStr">
        <is>
          <t>L0 Tender / Offer; L1 Conceptual Design; L2 Detailed Design; L3 Procurement &amp; Manufacturing / FAT; L4 Installation; L5 Standalone Commissioning; L6 Site Acceptance Testing</t>
        </is>
      </c>
      <c r="AF408" s="6" t="inlineStr">
        <is>
          <t>Explicit/table-grounded standard; explicit deliverable/test wording</t>
        </is>
      </c>
      <c r="AG408" s="58" t="inlineStr">
        <is>
          <t>Not linked to an OFFER item</t>
        </is>
      </c>
    </row>
    <row r="409" ht="73" customHeight="1">
      <c r="A409" s="6" t="n">
        <v>404</v>
      </c>
      <c r="B409" s="6" t="inlineStr">
        <is>
          <t>RTM-646</t>
        </is>
      </c>
      <c r="C409" s="6" t="inlineStr">
        <is>
          <t>No</t>
        </is>
      </c>
      <c r="D409" s="6" t="inlineStr">
        <is>
          <t>T2 Secondary</t>
        </is>
      </c>
      <c r="E409" s="6" t="inlineStr">
        <is>
          <t>Quality Assurance &amp; Control</t>
        </is>
      </c>
      <c r="F409" s="82" t="inlineStr">
        <is>
          <t>PROJECT</t>
        </is>
      </c>
      <c r="G409" s="83" t="inlineStr">
        <is>
          <t>Quality Assurance</t>
        </is>
      </c>
      <c r="H409" s="59" t="inlineStr">
        <is>
          <t>—</t>
        </is>
      </c>
      <c r="I409" s="81" t="inlineStr">
        <is>
          <t>Inferred: C7 — Quality, Testing &amp; Risk (high conf.)</t>
        </is>
      </c>
      <c r="J409" s="6" t="n">
        <v>122</v>
      </c>
      <c r="K409" s="6" t="inlineStr">
        <is>
          <t>8.1.2</t>
        </is>
      </c>
      <c r="L409" s="6" t="inlineStr">
        <is>
          <t>Quality Management System</t>
        </is>
      </c>
      <c r="M409" s="6" t="inlineStr">
        <is>
          <t>Any Subcontractor shall also be ISO 9001 certified for their scope of work by a nationally accredited body. In absence of an ISO 9001 certified QMS, an equivalent system may be accepted after written approval from SCK CEN. If deemed necessary, SCK CEN may request an audit.</t>
        </is>
      </c>
      <c r="N409" s="6" t="inlineStr">
        <is>
          <t>Any Subcontractor shall also be ISO 9001 certified for their scope of work by a nationally accredited body. In absence of an ISO 9001 certified QMS, an equivalent system may be accepted after written approval from SCK CEN. If deemed necessary, SCK CEN may request an audit.</t>
        </is>
      </c>
      <c r="O409" s="6" t="n">
        <v>2</v>
      </c>
      <c r="P409" s="6" t="n">
        <v>0</v>
      </c>
      <c r="Q409" s="6" t="n">
        <v>0</v>
      </c>
      <c r="R409" s="6" t="n">
        <v>0</v>
      </c>
      <c r="S409" s="6" t="n">
        <v>3</v>
      </c>
      <c r="T409" s="6" t="n">
        <v>0</v>
      </c>
      <c r="U409" s="6" t="n">
        <v>0</v>
      </c>
      <c r="V409" s="6" t="n">
        <v>25.333333</v>
      </c>
      <c r="W409" s="6" t="n">
        <v>43.7587</v>
      </c>
      <c r="X409" s="6" t="n">
        <v>2.1317</v>
      </c>
      <c r="Y409" s="6" t="inlineStr">
        <is>
          <t>Safety / Legal</t>
        </is>
      </c>
      <c r="Z409" s="6" t="inlineStr">
        <is>
          <t>Frozen-weight composite; strongest contribution: Safety / Legal.</t>
        </is>
      </c>
      <c r="AA409" s="6" t="inlineStr">
        <is>
          <t>ISO 9001</t>
        </is>
      </c>
      <c r="AB409" s="6" t="inlineStr">
        <is>
          <t>ISO 9001</t>
        </is>
      </c>
      <c r="AC409" s="6" t="inlineStr">
        <is>
          <t>Document review, inspection, certification, audit or traceable QC record</t>
        </is>
      </c>
      <c r="AD409" s="6" t="inlineStr">
        <is>
          <t>No separate deliverable explicitly named</t>
        </is>
      </c>
      <c r="AE409" s="6" t="inlineStr">
        <is>
          <t>L0 Tender / Offer; L1 Conceptual Design; L2 Detailed Design; L3 Procurement &amp; Manufacturing / FAT; L4 Installation; L5 Standalone Commissioning; L6 Site Acceptance Testing</t>
        </is>
      </c>
      <c r="AF409" s="6" t="inlineStr">
        <is>
          <t>Explicit/table-grounded standard; derived evidence route</t>
        </is>
      </c>
      <c r="AG409" s="58" t="inlineStr">
        <is>
          <t>Not linked to an OFFER item</t>
        </is>
      </c>
    </row>
    <row r="410" ht="60" customHeight="1">
      <c r="A410" s="6" t="n">
        <v>405</v>
      </c>
      <c r="B410" s="6" t="inlineStr">
        <is>
          <t>RTM-647</t>
        </is>
      </c>
      <c r="C410" s="6" t="inlineStr">
        <is>
          <t>No</t>
        </is>
      </c>
      <c r="D410" s="6" t="inlineStr">
        <is>
          <t>T2 Secondary</t>
        </is>
      </c>
      <c r="E410" s="6" t="inlineStr">
        <is>
          <t>Quality Assurance &amp; Control</t>
        </is>
      </c>
      <c r="F410" s="82" t="inlineStr">
        <is>
          <t>PROJECT</t>
        </is>
      </c>
      <c r="G410" s="83" t="inlineStr">
        <is>
          <t>Quality Assurance</t>
        </is>
      </c>
      <c r="H410" s="59" t="inlineStr">
        <is>
          <t>—</t>
        </is>
      </c>
      <c r="I410" s="81" t="inlineStr">
        <is>
          <t>Inferred: C7 — Quality, Testing &amp; Risk (high conf.)</t>
        </is>
      </c>
      <c r="J410" s="6" t="n">
        <v>122</v>
      </c>
      <c r="K410" s="6" t="inlineStr">
        <is>
          <t>8.1.2</t>
        </is>
      </c>
      <c r="L410" s="6" t="inlineStr">
        <is>
          <t>Quality Management System</t>
        </is>
      </c>
      <c r="M410" s="6" t="inlineStr">
        <is>
          <t>The Contractor shall inform SCK CEN of any change in certification during execution of the Contact.</t>
        </is>
      </c>
      <c r="N410" s="6" t="inlineStr">
        <is>
          <t>The Contractor shall inform SCK CEN of any change in certification during execution of the Contact.</t>
        </is>
      </c>
      <c r="O410" s="6" t="n">
        <v>2</v>
      </c>
      <c r="P410" s="6" t="n">
        <v>0</v>
      </c>
      <c r="Q410" s="6" t="n">
        <v>0</v>
      </c>
      <c r="R410" s="6" t="n">
        <v>0</v>
      </c>
      <c r="S410" s="6" t="n">
        <v>3</v>
      </c>
      <c r="T410" s="6" t="n">
        <v>0</v>
      </c>
      <c r="U410" s="6" t="n">
        <v>0</v>
      </c>
      <c r="V410" s="6" t="n">
        <v>25.333333</v>
      </c>
      <c r="W410" s="6" t="n">
        <v>43.7587</v>
      </c>
      <c r="X410" s="6" t="n">
        <v>2.1317</v>
      </c>
      <c r="Y410" s="6" t="inlineStr">
        <is>
          <t>Safety / Legal</t>
        </is>
      </c>
      <c r="Z410" s="6" t="inlineStr">
        <is>
          <t>Frozen-weight composite; strongest contribution: Safety / Legal.</t>
        </is>
      </c>
      <c r="AA410" s="6" t="inlineStr">
        <is>
          <t>None explicitly named in this RTM</t>
        </is>
      </c>
      <c r="AB410" s="6" t="inlineStr">
        <is>
          <t>Section-level: ISO 9001</t>
        </is>
      </c>
      <c r="AC410" s="6" t="inlineStr">
        <is>
          <t>Document review, inspection, certification, audit or traceable QC record</t>
        </is>
      </c>
      <c r="AD410" s="6" t="inlineStr">
        <is>
          <t>No separate deliverable explicitly named</t>
        </is>
      </c>
      <c r="AE410" s="6" t="inlineStr">
        <is>
          <t>L0 Tender / Offer; L1 Conceptual Design; L2 Detailed Design; L3 Procurement &amp; Manufacturing / FAT; L4 Installation; L5 Standalone Commissioning; L6 Site Acceptance Testing</t>
        </is>
      </c>
      <c r="AF410" s="6" t="inlineStr">
        <is>
          <t>Section/contract-derived reference; derived evidence route</t>
        </is>
      </c>
      <c r="AG410" s="58" t="inlineStr">
        <is>
          <t>Not linked to an OFFER item</t>
        </is>
      </c>
    </row>
    <row r="411" ht="99" customHeight="1">
      <c r="A411" s="6" t="n">
        <v>406</v>
      </c>
      <c r="B411" s="6" t="inlineStr">
        <is>
          <t>RTM-648</t>
        </is>
      </c>
      <c r="C411" s="6" t="inlineStr">
        <is>
          <t>No</t>
        </is>
      </c>
      <c r="D411" s="6" t="inlineStr">
        <is>
          <t>T2 Secondary</t>
        </is>
      </c>
      <c r="E411" s="6" t="inlineStr">
        <is>
          <t>Quality Assurance &amp; Control</t>
        </is>
      </c>
      <c r="F411" s="82" t="inlineStr">
        <is>
          <t>PROJECT</t>
        </is>
      </c>
      <c r="G411" s="83" t="inlineStr">
        <is>
          <t>Quality Assurance</t>
        </is>
      </c>
      <c r="H411" s="59" t="inlineStr">
        <is>
          <t>—</t>
        </is>
      </c>
      <c r="I411" s="58" t="inlineStr">
        <is>
          <t>C7 — Quality, Testing &amp; Risk</t>
        </is>
      </c>
      <c r="J411" s="6" t="n">
        <v>122</v>
      </c>
      <c r="K411" s="6" t="inlineStr">
        <is>
          <t>8.1.3</t>
        </is>
      </c>
      <c r="L411" s="6" t="inlineStr">
        <is>
          <t>Quality Assurance Program</t>
        </is>
      </c>
      <c r="M411" s="6" t="inlineStr">
        <is>
          <t>Quality assurance and control activities, including QAP, MIP, inspections, and requirements fulfilment and conformity assessment, shall be implemented.</t>
        </is>
      </c>
      <c r="N411" s="6" t="inlineStr">
        <is>
          <t>Quality assurance and control activities, including QAP, MIP, inspections, and requirements fulfilment and conformity assessment, shall be implemented.
• The inspections, measurements, and testing activities described in the Contract are mandatory but comprise only the minimum required. These activities are not intended to supplant any control, measurement, examination, inspection, or test usually performed by the Contractor to ensure the quality of the product.</t>
        </is>
      </c>
      <c r="O411" s="6" t="n">
        <v>2</v>
      </c>
      <c r="P411" s="6" t="n">
        <v>0</v>
      </c>
      <c r="Q411" s="6" t="n">
        <v>0</v>
      </c>
      <c r="R411" s="6" t="n">
        <v>0</v>
      </c>
      <c r="S411" s="6" t="n">
        <v>3</v>
      </c>
      <c r="T411" s="6" t="n">
        <v>0</v>
      </c>
      <c r="U411" s="6" t="n">
        <v>0</v>
      </c>
      <c r="V411" s="6" t="n">
        <v>25.333333</v>
      </c>
      <c r="W411" s="6" t="n">
        <v>43.7587</v>
      </c>
      <c r="X411" s="6" t="n">
        <v>2.1317</v>
      </c>
      <c r="Y411" s="6" t="inlineStr">
        <is>
          <t>Safety / Legal</t>
        </is>
      </c>
      <c r="Z411" s="6" t="inlineStr">
        <is>
          <t>Frozen-weight composite; strongest contribution: Safety / Legal.</t>
        </is>
      </c>
      <c r="AA411" s="6" t="inlineStr">
        <is>
          <t>None explicitly named in this RTM</t>
        </is>
      </c>
      <c r="AB411" s="6" t="inlineStr">
        <is>
          <t>SCK CEN/90508872 §8.1.3; no named external code</t>
        </is>
      </c>
      <c r="AC411" s="6" t="inlineStr">
        <is>
          <t>Submit and review the named deliverable with RTM traceability and approval status; Witnessed FAT/SAT/commissioning test against stated acceptance criteria</t>
        </is>
      </c>
      <c r="AD411" s="6" t="inlineStr">
        <is>
          <t>Quality Assurance Plan (QAP); Manufacturing and Inspection Plan (MIP)</t>
        </is>
      </c>
      <c r="AE411" s="6" t="inlineStr">
        <is>
          <t>L0 Tender / Offer; L1 Conceptual Design; L2 Detailed Design; L3 Procurement &amp; Manufacturing / FAT; L4 Installation; L5 Standalone Commissioning; L6 Site Acceptance Testing</t>
        </is>
      </c>
      <c r="AF411" s="6" t="inlineStr">
        <is>
          <t>Section/contract-derived reference; explicit deliverable/test wording</t>
        </is>
      </c>
      <c r="AG411" s="58" t="inlineStr">
        <is>
          <t>OFFER-47 (Supporting)</t>
        </is>
      </c>
    </row>
    <row r="412" ht="73" customHeight="1">
      <c r="A412" s="6" t="n">
        <v>407</v>
      </c>
      <c r="B412" s="6" t="inlineStr">
        <is>
          <t>RTM-651</t>
        </is>
      </c>
      <c r="C412" s="6" t="inlineStr">
        <is>
          <t>No</t>
        </is>
      </c>
      <c r="D412" s="6" t="inlineStr">
        <is>
          <t>T2 Secondary</t>
        </is>
      </c>
      <c r="E412" s="6" t="inlineStr">
        <is>
          <t>Quality Assurance &amp; Control</t>
        </is>
      </c>
      <c r="F412" s="82" t="inlineStr">
        <is>
          <t>PROJECT</t>
        </is>
      </c>
      <c r="G412" s="83" t="inlineStr">
        <is>
          <t>Quality Assurance</t>
        </is>
      </c>
      <c r="H412" s="59" t="inlineStr">
        <is>
          <t>—</t>
        </is>
      </c>
      <c r="I412" s="58" t="inlineStr">
        <is>
          <t>C7 — Quality, Testing &amp; Risk</t>
        </is>
      </c>
      <c r="J412" s="6" t="n">
        <v>123</v>
      </c>
      <c r="K412" s="6" t="inlineStr">
        <is>
          <t>8.1.3.1</t>
        </is>
      </c>
      <c r="L412" s="6" t="inlineStr">
        <is>
          <t>Quality Assurance Plan (QAP)</t>
        </is>
      </c>
      <c r="M412" s="6" t="inlineStr">
        <is>
          <t>The Contractor must adhere to the QAP and shall apply the mandatory QA/QC measures throughout the performance of the Contract. In case a deviation is required from one or another condition set out in the Contract, such request shall be clearly stated in the QAP.</t>
        </is>
      </c>
      <c r="N412" s="6" t="inlineStr">
        <is>
          <t>The Contractor must adhere to the QAP and shall apply the mandatory QA/QC measures throughout the performance of the Contract. In case a deviation is required from one or another condition set out in the Contract, such request shall be clearly stated in the QAP.</t>
        </is>
      </c>
      <c r="O412" s="6" t="n">
        <v>2</v>
      </c>
      <c r="P412" s="6" t="n">
        <v>0</v>
      </c>
      <c r="Q412" s="6" t="n">
        <v>0</v>
      </c>
      <c r="R412" s="6" t="n">
        <v>0</v>
      </c>
      <c r="S412" s="6" t="n">
        <v>3</v>
      </c>
      <c r="T412" s="6" t="n">
        <v>0</v>
      </c>
      <c r="U412" s="6" t="n">
        <v>0</v>
      </c>
      <c r="V412" s="6" t="n">
        <v>25.333333</v>
      </c>
      <c r="W412" s="6" t="n">
        <v>43.7587</v>
      </c>
      <c r="X412" s="6" t="n">
        <v>2.1317</v>
      </c>
      <c r="Y412" s="6" t="inlineStr">
        <is>
          <t>Safety / Legal</t>
        </is>
      </c>
      <c r="Z412" s="6" t="inlineStr">
        <is>
          <t>Frozen-weight composite; strongest contribution: Safety / Legal.</t>
        </is>
      </c>
      <c r="AA412" s="6" t="inlineStr">
        <is>
          <t>None explicitly named in this RTM</t>
        </is>
      </c>
      <c r="AB412" s="6" t="inlineStr">
        <is>
          <t>SCK CEN/90508872 §8.1.3.1; no named external code</t>
        </is>
      </c>
      <c r="AC412" s="6" t="inlineStr">
        <is>
          <t>Submit and review the named deliverable with RTM traceability and approval status; Document review, inspection, certification, audit or traceable QC record</t>
        </is>
      </c>
      <c r="AD412" s="6" t="inlineStr">
        <is>
          <t>Quality Assurance Plan (QAP)</t>
        </is>
      </c>
      <c r="AE412" s="6" t="inlineStr">
        <is>
          <t>L0 Tender / Offer; L1 Conceptual Design; L2 Detailed Design; L3 Procurement &amp; Manufacturing / FAT; L4 Installation; L5 Standalone Commissioning; L6 Site Acceptance Testing</t>
        </is>
      </c>
      <c r="AF412" s="6" t="inlineStr">
        <is>
          <t>Section/contract-derived reference; explicit deliverable/test wording</t>
        </is>
      </c>
      <c r="AG412" s="58" t="inlineStr">
        <is>
          <t>OFFER-47 (Supporting); OFFER-48 (Direct)</t>
        </is>
      </c>
    </row>
    <row r="413" ht="60" customHeight="1">
      <c r="A413" s="6" t="n">
        <v>408</v>
      </c>
      <c r="B413" s="6" t="inlineStr">
        <is>
          <t>RTM-652</t>
        </is>
      </c>
      <c r="C413" s="6" t="inlineStr">
        <is>
          <t>No</t>
        </is>
      </c>
      <c r="D413" s="6" t="inlineStr">
        <is>
          <t>T2 Secondary</t>
        </is>
      </c>
      <c r="E413" s="6" t="inlineStr">
        <is>
          <t>Quality Assurance &amp; Control</t>
        </is>
      </c>
      <c r="F413" s="82" t="inlineStr">
        <is>
          <t>PROJECT</t>
        </is>
      </c>
      <c r="G413" s="83" t="inlineStr">
        <is>
          <t>Quality Assurance</t>
        </is>
      </c>
      <c r="H413" s="59" t="inlineStr">
        <is>
          <t>—</t>
        </is>
      </c>
      <c r="I413" s="58" t="inlineStr">
        <is>
          <t>C7 — Quality, Testing &amp; Risk</t>
        </is>
      </c>
      <c r="J413" s="6" t="n">
        <v>123</v>
      </c>
      <c r="K413" s="6" t="inlineStr">
        <is>
          <t>8.1.3.1</t>
        </is>
      </c>
      <c r="L413" s="6" t="inlineStr">
        <is>
          <t>Quality Assurance Plan (QAP)</t>
        </is>
      </c>
      <c r="M413" s="6" t="inlineStr">
        <is>
          <t>Contractors who subcontract work to a subcontractor must take appropriate measures to ensure that the subcontractor complies with the QAP.</t>
        </is>
      </c>
      <c r="N413" s="6" t="inlineStr">
        <is>
          <t>Contractors who subcontract work to a subcontractor must take appropriate measures to ensure that the subcontractor complies with the QAP.</t>
        </is>
      </c>
      <c r="O413" s="6" t="n">
        <v>2</v>
      </c>
      <c r="P413" s="6" t="n">
        <v>0</v>
      </c>
      <c r="Q413" s="6" t="n">
        <v>0</v>
      </c>
      <c r="R413" s="6" t="n">
        <v>0</v>
      </c>
      <c r="S413" s="6" t="n">
        <v>3</v>
      </c>
      <c r="T413" s="6" t="n">
        <v>0</v>
      </c>
      <c r="U413" s="6" t="n">
        <v>0</v>
      </c>
      <c r="V413" s="6" t="n">
        <v>25.333333</v>
      </c>
      <c r="W413" s="6" t="n">
        <v>43.7587</v>
      </c>
      <c r="X413" s="6" t="n">
        <v>2.1317</v>
      </c>
      <c r="Y413" s="6" t="inlineStr">
        <is>
          <t>Safety / Legal</t>
        </is>
      </c>
      <c r="Z413" s="6" t="inlineStr">
        <is>
          <t>Frozen-weight composite; strongest contribution: Safety / Legal.</t>
        </is>
      </c>
      <c r="AA413" s="6" t="inlineStr">
        <is>
          <t>None explicitly named in this RTM</t>
        </is>
      </c>
      <c r="AB413" s="6" t="inlineStr">
        <is>
          <t>SCK CEN/90508872 §8.1.3.1; no named external code</t>
        </is>
      </c>
      <c r="AC413" s="6" t="inlineStr">
        <is>
          <t>Submit and review the named deliverable with RTM traceability and approval status; Document review, inspection, certification, audit or traceable QC record</t>
        </is>
      </c>
      <c r="AD413" s="6" t="inlineStr">
        <is>
          <t>Quality Assurance Plan (QAP)</t>
        </is>
      </c>
      <c r="AE413" s="6" t="inlineStr">
        <is>
          <t>L0 Tender / Offer; L1 Conceptual Design; L2 Detailed Design; L3 Procurement &amp; Manufacturing / FAT; L4 Installation; L5 Standalone Commissioning; L6 Site Acceptance Testing</t>
        </is>
      </c>
      <c r="AF413" s="6" t="inlineStr">
        <is>
          <t>Section/contract-derived reference; explicit deliverable/test wording</t>
        </is>
      </c>
      <c r="AG413" s="58" t="inlineStr">
        <is>
          <t>OFFER-47 (Supporting); OFFER-48 (Direct)</t>
        </is>
      </c>
    </row>
    <row r="414" ht="60" customHeight="1">
      <c r="A414" s="6" t="n">
        <v>409</v>
      </c>
      <c r="B414" s="6" t="inlineStr">
        <is>
          <t>RTM-654</t>
        </is>
      </c>
      <c r="C414" s="6" t="inlineStr">
        <is>
          <t>No</t>
        </is>
      </c>
      <c r="D414" s="6" t="inlineStr">
        <is>
          <t>T2 Secondary</t>
        </is>
      </c>
      <c r="E414" s="6" t="inlineStr">
        <is>
          <t>Quality Assurance &amp; Control</t>
        </is>
      </c>
      <c r="F414" s="82" t="inlineStr">
        <is>
          <t>PROJECT</t>
        </is>
      </c>
      <c r="G414" s="83" t="inlineStr">
        <is>
          <t>Quality Assurance</t>
        </is>
      </c>
      <c r="H414" s="59" t="inlineStr">
        <is>
          <t>—</t>
        </is>
      </c>
      <c r="I414" s="81" t="inlineStr">
        <is>
          <t>Inferred: C7 — Quality, Testing &amp; Risk (high conf.)</t>
        </is>
      </c>
      <c r="J414" s="6" t="n">
        <v>123</v>
      </c>
      <c r="K414" s="6" t="inlineStr">
        <is>
          <t>8.1.4</t>
        </is>
      </c>
      <c r="L414" s="6" t="inlineStr">
        <is>
          <t>Qualification of personnel</t>
        </is>
      </c>
      <c r="M414" s="6" t="inlineStr">
        <is>
          <t>The Contractor shall keep records of personnel qualification and make them available to SCK CEN free of charge upon simple request.</t>
        </is>
      </c>
      <c r="N414" s="6" t="inlineStr">
        <is>
          <t>The Contractor shall keep records of personnel qualification and make them available to SCK CEN free of charge upon simple request.</t>
        </is>
      </c>
      <c r="O414" s="6" t="n">
        <v>2</v>
      </c>
      <c r="P414" s="6" t="n">
        <v>0</v>
      </c>
      <c r="Q414" s="6" t="n">
        <v>0</v>
      </c>
      <c r="R414" s="6" t="n">
        <v>0</v>
      </c>
      <c r="S414" s="6" t="n">
        <v>3</v>
      </c>
      <c r="T414" s="6" t="n">
        <v>0</v>
      </c>
      <c r="U414" s="6" t="n">
        <v>0</v>
      </c>
      <c r="V414" s="6" t="n">
        <v>25.333333</v>
      </c>
      <c r="W414" s="6" t="n">
        <v>43.7587</v>
      </c>
      <c r="X414" s="6" t="n">
        <v>2.1317</v>
      </c>
      <c r="Y414" s="6" t="inlineStr">
        <is>
          <t>Safety / Legal</t>
        </is>
      </c>
      <c r="Z414" s="6" t="inlineStr">
        <is>
          <t>Frozen-weight composite; strongest contribution: Safety / Legal.</t>
        </is>
      </c>
      <c r="AA414" s="6" t="inlineStr">
        <is>
          <t>None explicitly named in this RTM</t>
        </is>
      </c>
      <c r="AB414" s="6" t="inlineStr">
        <is>
          <t>SCK CEN/90508872 §8.1.4; no named external code</t>
        </is>
      </c>
      <c r="AC414" s="6" t="inlineStr">
        <is>
          <t>Document review, inspection, certification, audit or traceable QC record</t>
        </is>
      </c>
      <c r="AD414" s="6" t="inlineStr">
        <is>
          <t>No separate deliverable explicitly named</t>
        </is>
      </c>
      <c r="AE414" s="6" t="inlineStr">
        <is>
          <t>L0 Tender / Offer; L1 Conceptual Design; L2 Detailed Design; L3 Procurement &amp; Manufacturing / FAT; L4 Installation; L5 Standalone Commissioning; L6 Site Acceptance Testing</t>
        </is>
      </c>
      <c r="AF414" s="6" t="inlineStr">
        <is>
          <t>Section/contract-derived reference; derived evidence route</t>
        </is>
      </c>
      <c r="AG414" s="58" t="inlineStr">
        <is>
          <t>Not linked to an OFFER item</t>
        </is>
      </c>
    </row>
    <row r="415" ht="60" customHeight="1">
      <c r="A415" s="6" t="n">
        <v>410</v>
      </c>
      <c r="B415" s="6" t="inlineStr">
        <is>
          <t>RTM-655</t>
        </is>
      </c>
      <c r="C415" s="6" t="inlineStr">
        <is>
          <t>No</t>
        </is>
      </c>
      <c r="D415" s="6" t="inlineStr">
        <is>
          <t>T2 Secondary</t>
        </is>
      </c>
      <c r="E415" s="6" t="inlineStr">
        <is>
          <t>Quality Assurance &amp; Control</t>
        </is>
      </c>
      <c r="F415" s="82" t="inlineStr">
        <is>
          <t>PROJECT</t>
        </is>
      </c>
      <c r="G415" s="83" t="inlineStr">
        <is>
          <t>Quality Assurance</t>
        </is>
      </c>
      <c r="H415" s="59" t="inlineStr">
        <is>
          <t>—</t>
        </is>
      </c>
      <c r="I415" s="81" t="inlineStr">
        <is>
          <t>Inferred: C7 — Quality, Testing &amp; Risk (high conf.)</t>
        </is>
      </c>
      <c r="J415" s="6" t="n">
        <v>123</v>
      </c>
      <c r="K415" s="6" t="inlineStr">
        <is>
          <t>8.1.4</t>
        </is>
      </c>
      <c r="L415" s="6" t="inlineStr">
        <is>
          <t>Qualification of personnel</t>
        </is>
      </c>
      <c r="M415" s="6" t="inlineStr">
        <is>
          <t>The Contractor shall ensure that all personnel who have direct contact with SCK CEN can understand as well as express themselves fluently in English, both orally and in writing.</t>
        </is>
      </c>
      <c r="N415" s="6" t="inlineStr">
        <is>
          <t>The Contractor shall ensure that all personnel who have direct contact with SCK CEN can understand as well as express themselves fluently in English, both orally and in writing.</t>
        </is>
      </c>
      <c r="O415" s="6" t="n">
        <v>2</v>
      </c>
      <c r="P415" s="6" t="n">
        <v>0</v>
      </c>
      <c r="Q415" s="6" t="n">
        <v>0</v>
      </c>
      <c r="R415" s="6" t="n">
        <v>0</v>
      </c>
      <c r="S415" s="6" t="n">
        <v>3</v>
      </c>
      <c r="T415" s="6" t="n">
        <v>0</v>
      </c>
      <c r="U415" s="6" t="n">
        <v>0</v>
      </c>
      <c r="V415" s="6" t="n">
        <v>25.333333</v>
      </c>
      <c r="W415" s="6" t="n">
        <v>43.7587</v>
      </c>
      <c r="X415" s="6" t="n">
        <v>2.1317</v>
      </c>
      <c r="Y415" s="6" t="inlineStr">
        <is>
          <t>Safety / Legal</t>
        </is>
      </c>
      <c r="Z415" s="6" t="inlineStr">
        <is>
          <t>Frozen-weight composite; strongest contribution: Safety / Legal.</t>
        </is>
      </c>
      <c r="AA415" s="6" t="inlineStr">
        <is>
          <t>None explicitly named in this RTM</t>
        </is>
      </c>
      <c r="AB415" s="6" t="inlineStr">
        <is>
          <t>SCK CEN/90508872 §8.1.4; no named external code</t>
        </is>
      </c>
      <c r="AC415" s="6" t="inlineStr">
        <is>
          <t>Document review, inspection, certification, audit or traceable QC record</t>
        </is>
      </c>
      <c r="AD415" s="6" t="inlineStr">
        <is>
          <t>No separate deliverable explicitly named</t>
        </is>
      </c>
      <c r="AE415" s="6" t="inlineStr">
        <is>
          <t>L0 Tender / Offer; L1 Conceptual Design; L2 Detailed Design; L3 Procurement &amp; Manufacturing / FAT; L4 Installation; L5 Standalone Commissioning; L6 Site Acceptance Testing</t>
        </is>
      </c>
      <c r="AF415" s="6" t="inlineStr">
        <is>
          <t>Section/contract-derived reference; derived evidence route</t>
        </is>
      </c>
      <c r="AG415" s="58" t="inlineStr">
        <is>
          <t>Not linked to an OFFER item</t>
        </is>
      </c>
    </row>
    <row r="416" ht="60" customHeight="1">
      <c r="A416" s="6" t="n">
        <v>411</v>
      </c>
      <c r="B416" s="6" t="inlineStr">
        <is>
          <t>RTM-659</t>
        </is>
      </c>
      <c r="C416" s="6" t="inlineStr">
        <is>
          <t>No</t>
        </is>
      </c>
      <c r="D416" s="6" t="inlineStr">
        <is>
          <t>T2 Secondary</t>
        </is>
      </c>
      <c r="E416" s="6" t="inlineStr">
        <is>
          <t>Quality Assurance &amp; Control</t>
        </is>
      </c>
      <c r="F416" s="82" t="inlineStr">
        <is>
          <t>PROJECT</t>
        </is>
      </c>
      <c r="G416" s="83" t="inlineStr">
        <is>
          <t>Quality Assurance</t>
        </is>
      </c>
      <c r="H416" s="59" t="inlineStr">
        <is>
          <t>—</t>
        </is>
      </c>
      <c r="I416" s="81" t="inlineStr">
        <is>
          <t>Inferred: C7 — Quality, Testing &amp; Risk (high conf.)</t>
        </is>
      </c>
      <c r="J416" s="6" t="n">
        <v>123</v>
      </c>
      <c r="K416" s="6" t="inlineStr">
        <is>
          <t>8.1.5</t>
        </is>
      </c>
      <c r="L416" s="6" t="inlineStr">
        <is>
          <t>Document Retention and Submission Requirements</t>
        </is>
      </c>
      <c r="M416" s="6" t="inlineStr">
        <is>
          <t>The Contractor shall retain all documents created under the Contract for a minimum period of ten (10) years, or for the duration required by applicable law, whichever is longer.</t>
        </is>
      </c>
      <c r="N416" s="6" t="inlineStr">
        <is>
          <t>The Contractor shall retain all documents created under the Contract for a minimum period of ten (10) years, or for the duration required by applicable law, whichever is longer.</t>
        </is>
      </c>
      <c r="O416" s="6" t="n">
        <v>2</v>
      </c>
      <c r="P416" s="6" t="n">
        <v>0</v>
      </c>
      <c r="Q416" s="6" t="n">
        <v>0</v>
      </c>
      <c r="R416" s="6" t="n">
        <v>0</v>
      </c>
      <c r="S416" s="6" t="n">
        <v>3</v>
      </c>
      <c r="T416" s="6" t="n">
        <v>0</v>
      </c>
      <c r="U416" s="6" t="n">
        <v>0</v>
      </c>
      <c r="V416" s="6" t="n">
        <v>25.333333</v>
      </c>
      <c r="W416" s="6" t="n">
        <v>43.7587</v>
      </c>
      <c r="X416" s="6" t="n">
        <v>2.1317</v>
      </c>
      <c r="Y416" s="6" t="inlineStr">
        <is>
          <t>Safety / Legal</t>
        </is>
      </c>
      <c r="Z416" s="6" t="inlineStr">
        <is>
          <t>Frozen-weight composite; strongest contribution: Safety / Legal.</t>
        </is>
      </c>
      <c r="AA416" s="6" t="inlineStr">
        <is>
          <t>None explicitly named in this RTM</t>
        </is>
      </c>
      <c r="AB416" s="6" t="inlineStr">
        <is>
          <t>SCK CEN/90508872 §8.1.5; no named external code</t>
        </is>
      </c>
      <c r="AC416" s="6" t="inlineStr">
        <is>
          <t>Document review, inspection, certification, audit or traceable QC record</t>
        </is>
      </c>
      <c r="AD416" s="6" t="inlineStr">
        <is>
          <t>No separate deliverable explicitly named</t>
        </is>
      </c>
      <c r="AE416" s="6" t="inlineStr">
        <is>
          <t>L0 Tender / Offer; L1 Conceptual Design; L2 Detailed Design; L3 Procurement &amp; Manufacturing / FAT; L4 Installation; L5 Standalone Commissioning; L6 Site Acceptance Testing</t>
        </is>
      </c>
      <c r="AF416" s="6" t="inlineStr">
        <is>
          <t>Section/contract-derived reference; derived evidence route</t>
        </is>
      </c>
      <c r="AG416" s="58" t="inlineStr">
        <is>
          <t>Not linked to an OFFER item</t>
        </is>
      </c>
    </row>
    <row r="417" ht="73" customHeight="1">
      <c r="A417" s="6" t="n">
        <v>412</v>
      </c>
      <c r="B417" s="6" t="inlineStr">
        <is>
          <t>RTM-661</t>
        </is>
      </c>
      <c r="C417" s="6" t="inlineStr">
        <is>
          <t>No</t>
        </is>
      </c>
      <c r="D417" s="6" t="inlineStr">
        <is>
          <t>T2 Secondary</t>
        </is>
      </c>
      <c r="E417" s="6" t="inlineStr">
        <is>
          <t>Quality Assurance &amp; Control</t>
        </is>
      </c>
      <c r="F417" s="82" t="inlineStr">
        <is>
          <t>PROJECT</t>
        </is>
      </c>
      <c r="G417" s="83" t="inlineStr">
        <is>
          <t>Quality Assurance</t>
        </is>
      </c>
      <c r="H417" s="59" t="inlineStr">
        <is>
          <t>—</t>
        </is>
      </c>
      <c r="I417" s="81" t="inlineStr">
        <is>
          <t>Inferred: C7 — Quality, Testing &amp; Risk (high conf.)</t>
        </is>
      </c>
      <c r="J417" s="6" t="n">
        <v>124</v>
      </c>
      <c r="K417" s="6" t="inlineStr">
        <is>
          <t>8.1.6</t>
        </is>
      </c>
      <c r="L417" s="6" t="inlineStr">
        <is>
          <t>Change Management</t>
        </is>
      </c>
      <c r="M417" s="6" t="inlineStr">
        <is>
          <t>Proposals for change to the project, its scope of work and/or previously approved deliverables, either initiated by the Contractor or by SCK CEN, shall be analysed and documented (in a “Change Request”) by the Contractor and submitted for approval to SCK CEN.</t>
        </is>
      </c>
      <c r="N417" s="6" t="inlineStr">
        <is>
          <t>Proposals for change to the project, its scope of work and/or previously approved deliverables, either initiated by the Contractor or by SCK CEN, shall be analysed and documented (in a “Change Request”) by the Contractor and submitted for approval to SCK CEN.</t>
        </is>
      </c>
      <c r="O417" s="6" t="n">
        <v>2</v>
      </c>
      <c r="P417" s="6" t="n">
        <v>0</v>
      </c>
      <c r="Q417" s="6" t="n">
        <v>0</v>
      </c>
      <c r="R417" s="6" t="n">
        <v>0</v>
      </c>
      <c r="S417" s="6" t="n">
        <v>3</v>
      </c>
      <c r="T417" s="6" t="n">
        <v>0</v>
      </c>
      <c r="U417" s="6" t="n">
        <v>0</v>
      </c>
      <c r="V417" s="6" t="n">
        <v>25.333333</v>
      </c>
      <c r="W417" s="6" t="n">
        <v>43.7587</v>
      </c>
      <c r="X417" s="6" t="n">
        <v>2.1317</v>
      </c>
      <c r="Y417" s="6" t="inlineStr">
        <is>
          <t>Safety / Legal</t>
        </is>
      </c>
      <c r="Z417" s="6" t="inlineStr">
        <is>
          <t>Frozen-weight composite; strongest contribution: Safety / Legal.</t>
        </is>
      </c>
      <c r="AA417" s="6" t="inlineStr">
        <is>
          <t>None explicitly named in this RTM</t>
        </is>
      </c>
      <c r="AB417" s="6" t="inlineStr">
        <is>
          <t>SCK CEN/90508872 §8.1.6; no named external code</t>
        </is>
      </c>
      <c r="AC417" s="6" t="inlineStr">
        <is>
          <t>Document review, inspection, certification, audit or traceable QC record</t>
        </is>
      </c>
      <c r="AD417" s="6" t="inlineStr">
        <is>
          <t>No separate deliverable explicitly named</t>
        </is>
      </c>
      <c r="AE417" s="6" t="inlineStr">
        <is>
          <t>L0 Tender / Offer; L1 Conceptual Design; L2 Detailed Design; L3 Procurement &amp; Manufacturing / FAT; L4 Installation; L5 Standalone Commissioning; L6 Site Acceptance Testing</t>
        </is>
      </c>
      <c r="AF417" s="6" t="inlineStr">
        <is>
          <t>Section/contract-derived reference; derived evidence route</t>
        </is>
      </c>
      <c r="AG417" s="58" t="inlineStr">
        <is>
          <t>Not linked to an OFFER item</t>
        </is>
      </c>
    </row>
    <row r="418" ht="60" customHeight="1">
      <c r="A418" s="6" t="n">
        <v>413</v>
      </c>
      <c r="B418" s="6" t="inlineStr">
        <is>
          <t>RTM-663</t>
        </is>
      </c>
      <c r="C418" s="6" t="inlineStr">
        <is>
          <t>No</t>
        </is>
      </c>
      <c r="D418" s="6" t="inlineStr">
        <is>
          <t>T2 Secondary</t>
        </is>
      </c>
      <c r="E418" s="6" t="inlineStr">
        <is>
          <t>Quality Assurance &amp; Control</t>
        </is>
      </c>
      <c r="F418" s="82" t="inlineStr">
        <is>
          <t>PROJECT</t>
        </is>
      </c>
      <c r="G418" s="83" t="inlineStr">
        <is>
          <t>Quality Assurance</t>
        </is>
      </c>
      <c r="H418" s="59" t="inlineStr">
        <is>
          <t>—</t>
        </is>
      </c>
      <c r="I418" s="81" t="inlineStr">
        <is>
          <t>Inferred: C7 — Quality, Testing &amp; Risk (high conf.)</t>
        </is>
      </c>
      <c r="J418" s="6" t="n">
        <v>124</v>
      </c>
      <c r="K418" s="6" t="inlineStr">
        <is>
          <t>8.1.6</t>
        </is>
      </c>
      <c r="L418" s="6" t="inlineStr">
        <is>
          <t>Change Management</t>
        </is>
      </c>
      <c r="M418" s="6" t="inlineStr">
        <is>
          <t>The Contractor shall include the Change Request template in annex to the QAP.</t>
        </is>
      </c>
      <c r="N418" s="6" t="inlineStr">
        <is>
          <t>The Contractor shall include the Change Request template in annex to the QAP.</t>
        </is>
      </c>
      <c r="O418" s="6" t="n">
        <v>2</v>
      </c>
      <c r="P418" s="6" t="n">
        <v>0</v>
      </c>
      <c r="Q418" s="6" t="n">
        <v>0</v>
      </c>
      <c r="R418" s="6" t="n">
        <v>0</v>
      </c>
      <c r="S418" s="6" t="n">
        <v>3</v>
      </c>
      <c r="T418" s="6" t="n">
        <v>0</v>
      </c>
      <c r="U418" s="6" t="n">
        <v>0</v>
      </c>
      <c r="V418" s="6" t="n">
        <v>25.333333</v>
      </c>
      <c r="W418" s="6" t="n">
        <v>43.7587</v>
      </c>
      <c r="X418" s="6" t="n">
        <v>2.1317</v>
      </c>
      <c r="Y418" s="6" t="inlineStr">
        <is>
          <t>Safety / Legal</t>
        </is>
      </c>
      <c r="Z418" s="6" t="inlineStr">
        <is>
          <t>Frozen-weight composite; strongest contribution: Safety / Legal.</t>
        </is>
      </c>
      <c r="AA418" s="6" t="inlineStr">
        <is>
          <t>None explicitly named in this RTM</t>
        </is>
      </c>
      <c r="AB418" s="6" t="inlineStr">
        <is>
          <t>SCK CEN/90508872 §8.1.6; no named external code</t>
        </is>
      </c>
      <c r="AC418" s="6" t="inlineStr">
        <is>
          <t>Submit and review the named deliverable with RTM traceability and approval status; Document review, inspection, certification, audit or traceable QC record</t>
        </is>
      </c>
      <c r="AD418" s="6" t="inlineStr">
        <is>
          <t>Quality Assurance Plan (QAP)</t>
        </is>
      </c>
      <c r="AE418" s="6" t="inlineStr">
        <is>
          <t>L0 Tender / Offer; L1 Conceptual Design; L2 Detailed Design; L3 Procurement &amp; Manufacturing / FAT; L4 Installation; L5 Standalone Commissioning; L6 Site Acceptance Testing</t>
        </is>
      </c>
      <c r="AF418" s="6" t="inlineStr">
        <is>
          <t>Section/contract-derived reference; explicit deliverable/test wording</t>
        </is>
      </c>
      <c r="AG418" s="58" t="inlineStr">
        <is>
          <t>Not linked to an OFFER item</t>
        </is>
      </c>
    </row>
    <row r="419" ht="60" customHeight="1">
      <c r="A419" s="6" t="n">
        <v>414</v>
      </c>
      <c r="B419" s="6" t="inlineStr">
        <is>
          <t>RTM-664</t>
        </is>
      </c>
      <c r="C419" s="6" t="inlineStr">
        <is>
          <t>No</t>
        </is>
      </c>
      <c r="D419" s="6" t="inlineStr">
        <is>
          <t>T2 Secondary</t>
        </is>
      </c>
      <c r="E419" s="6" t="inlineStr">
        <is>
          <t>Quality Assurance &amp; Control</t>
        </is>
      </c>
      <c r="F419" s="82" t="inlineStr">
        <is>
          <t>PROJECT</t>
        </is>
      </c>
      <c r="G419" s="83" t="inlineStr">
        <is>
          <t>Quality Assurance</t>
        </is>
      </c>
      <c r="H419" s="59" t="inlineStr">
        <is>
          <t>—</t>
        </is>
      </c>
      <c r="I419" s="81" t="inlineStr">
        <is>
          <t>Inferred: C7 — Quality, Testing &amp; Risk (high conf.)</t>
        </is>
      </c>
      <c r="J419" s="6" t="n">
        <v>124</v>
      </c>
      <c r="K419" s="6" t="inlineStr">
        <is>
          <t>8.1.6</t>
        </is>
      </c>
      <c r="L419" s="6" t="inlineStr">
        <is>
          <t>Change Management</t>
        </is>
      </c>
      <c r="M419" s="6" t="inlineStr">
        <is>
          <t>Only Change Requests approved by SCK CEN may and shall be implemented.</t>
        </is>
      </c>
      <c r="N419" s="6" t="inlineStr">
        <is>
          <t>Only Change Requests approved by SCK CEN may and shall be implemented.</t>
        </is>
      </c>
      <c r="O419" s="6" t="n">
        <v>2</v>
      </c>
      <c r="P419" s="6" t="n">
        <v>0</v>
      </c>
      <c r="Q419" s="6" t="n">
        <v>0</v>
      </c>
      <c r="R419" s="6" t="n">
        <v>0</v>
      </c>
      <c r="S419" s="6" t="n">
        <v>3</v>
      </c>
      <c r="T419" s="6" t="n">
        <v>0</v>
      </c>
      <c r="U419" s="6" t="n">
        <v>0</v>
      </c>
      <c r="V419" s="6" t="n">
        <v>25.333333</v>
      </c>
      <c r="W419" s="6" t="n">
        <v>43.7587</v>
      </c>
      <c r="X419" s="6" t="n">
        <v>2.1317</v>
      </c>
      <c r="Y419" s="6" t="inlineStr">
        <is>
          <t>Safety / Legal</t>
        </is>
      </c>
      <c r="Z419" s="6" t="inlineStr">
        <is>
          <t>Frozen-weight composite; strongest contribution: Safety / Legal.</t>
        </is>
      </c>
      <c r="AA419" s="6" t="inlineStr">
        <is>
          <t>None explicitly named in this RTM</t>
        </is>
      </c>
      <c r="AB419" s="6" t="inlineStr">
        <is>
          <t>SCK CEN/90508872 §8.1.6; no named external code</t>
        </is>
      </c>
      <c r="AC419" s="6" t="inlineStr">
        <is>
          <t>Document review, inspection, certification, audit or traceable QC record</t>
        </is>
      </c>
      <c r="AD419" s="6" t="inlineStr">
        <is>
          <t>No separate deliverable explicitly named</t>
        </is>
      </c>
      <c r="AE419" s="6" t="inlineStr">
        <is>
          <t>L0 Tender / Offer; L1 Conceptual Design; L2 Detailed Design; L3 Procurement &amp; Manufacturing / FAT; L4 Installation; L5 Standalone Commissioning; L6 Site Acceptance Testing</t>
        </is>
      </c>
      <c r="AF419" s="6" t="inlineStr">
        <is>
          <t>Section/contract-derived reference; derived evidence route</t>
        </is>
      </c>
      <c r="AG419" s="58" t="inlineStr">
        <is>
          <t>Not linked to an OFFER item</t>
        </is>
      </c>
    </row>
    <row r="420" ht="99" customHeight="1">
      <c r="A420" s="6" t="n">
        <v>415</v>
      </c>
      <c r="B420" s="6" t="inlineStr">
        <is>
          <t>RTM-665</t>
        </is>
      </c>
      <c r="C420" s="6" t="inlineStr">
        <is>
          <t>No</t>
        </is>
      </c>
      <c r="D420" s="6" t="inlineStr">
        <is>
          <t>T2 Secondary</t>
        </is>
      </c>
      <c r="E420" s="6" t="inlineStr">
        <is>
          <t>Quality Assurance &amp; Control</t>
        </is>
      </c>
      <c r="F420" s="82" t="inlineStr">
        <is>
          <t>PROJECT</t>
        </is>
      </c>
      <c r="G420" s="83" t="inlineStr">
        <is>
          <t>Quality Assurance</t>
        </is>
      </c>
      <c r="H420" s="59" t="inlineStr">
        <is>
          <t>—</t>
        </is>
      </c>
      <c r="I420" s="81" t="inlineStr">
        <is>
          <t>Inferred: C7 — Quality, Testing &amp; Risk (high conf.)</t>
        </is>
      </c>
      <c r="J420" s="6" t="n">
        <v>124</v>
      </c>
      <c r="K420" s="6" t="inlineStr">
        <is>
          <t>8.1.6</t>
        </is>
      </c>
      <c r="L420" s="6" t="inlineStr">
        <is>
          <t>Change Management</t>
        </is>
      </c>
      <c r="M420" s="6" t="inlineStr">
        <is>
          <t>The Contractor shall create and maintain a Change Register, accessible to SCK CEN, in which all Change Requests shall be logged, including at least:</t>
        </is>
      </c>
      <c r="N420" s="6" t="inlineStr">
        <is>
          <t>The Contractor shall create and maintain a Change Register, accessible to SCK CEN, in which all Change Requests shall be logged, including at least:
• a unique identifier, title, date of issuance,
• monetary impact (if any),
• impact on the Contract schedule (if any)
• information about the status of the decision (proposed, on hold, rejected, approved, withdrawn).</t>
        </is>
      </c>
      <c r="O420" s="6" t="n">
        <v>2</v>
      </c>
      <c r="P420" s="6" t="n">
        <v>0</v>
      </c>
      <c r="Q420" s="6" t="n">
        <v>0</v>
      </c>
      <c r="R420" s="6" t="n">
        <v>0</v>
      </c>
      <c r="S420" s="6" t="n">
        <v>3</v>
      </c>
      <c r="T420" s="6" t="n">
        <v>0</v>
      </c>
      <c r="U420" s="6" t="n">
        <v>0</v>
      </c>
      <c r="V420" s="6" t="n">
        <v>25.333333</v>
      </c>
      <c r="W420" s="6" t="n">
        <v>43.7587</v>
      </c>
      <c r="X420" s="6" t="n">
        <v>2.1317</v>
      </c>
      <c r="Y420" s="6" t="inlineStr">
        <is>
          <t>Safety / Legal</t>
        </is>
      </c>
      <c r="Z420" s="6" t="inlineStr">
        <is>
          <t>Frozen-weight composite; strongest contribution: Safety / Legal.</t>
        </is>
      </c>
      <c r="AA420" s="6" t="inlineStr">
        <is>
          <t>None explicitly named in this RTM</t>
        </is>
      </c>
      <c r="AB420" s="6" t="inlineStr">
        <is>
          <t>SCK CEN/90508872 §8.1.6; no named external code</t>
        </is>
      </c>
      <c r="AC420" s="6" t="inlineStr">
        <is>
          <t>Submit and review the named deliverable with RTM traceability and approval status; Document review, inspection, certification, audit or traceable QC record</t>
        </is>
      </c>
      <c r="AD420" s="6" t="inlineStr">
        <is>
          <t>List / register / matrix</t>
        </is>
      </c>
      <c r="AE420" s="6" t="inlineStr">
        <is>
          <t>L0 Tender / Offer; L1 Conceptual Design; L2 Detailed Design; L3 Procurement &amp; Manufacturing / FAT; L4 Installation; L5 Standalone Commissioning; L6 Site Acceptance Testing</t>
        </is>
      </c>
      <c r="AF420" s="6" t="inlineStr">
        <is>
          <t>Section/contract-derived reference; explicit deliverable/test wording</t>
        </is>
      </c>
      <c r="AG420" s="58" t="inlineStr">
        <is>
          <t>Not linked to an OFFER item</t>
        </is>
      </c>
    </row>
    <row r="421" ht="60" customHeight="1">
      <c r="A421" s="6" t="n">
        <v>416</v>
      </c>
      <c r="B421" s="6" t="inlineStr">
        <is>
          <t>RTM-666</t>
        </is>
      </c>
      <c r="C421" s="6" t="inlineStr">
        <is>
          <t>No</t>
        </is>
      </c>
      <c r="D421" s="6" t="inlineStr">
        <is>
          <t>T2 Secondary</t>
        </is>
      </c>
      <c r="E421" s="6" t="inlineStr">
        <is>
          <t>Quality Assurance &amp; Control</t>
        </is>
      </c>
      <c r="F421" s="82" t="inlineStr">
        <is>
          <t>PROJECT</t>
        </is>
      </c>
      <c r="G421" s="83" t="inlineStr">
        <is>
          <t>Quality Assurance</t>
        </is>
      </c>
      <c r="H421" s="59" t="inlineStr">
        <is>
          <t>—</t>
        </is>
      </c>
      <c r="I421" s="81" t="inlineStr">
        <is>
          <t>Inferred: C7 — Quality, Testing &amp; Risk (high conf.)</t>
        </is>
      </c>
      <c r="J421" s="6" t="n">
        <v>124</v>
      </c>
      <c r="K421" s="6" t="inlineStr">
        <is>
          <t>8.1.7</t>
        </is>
      </c>
      <c r="L421" s="6" t="inlineStr">
        <is>
          <t>Non-Conformity Management</t>
        </is>
      </c>
      <c r="M421" s="6" t="inlineStr">
        <is>
          <t>Deviations from the specifications defined in the Contract, that were not explicitly authorized by SCK CEN in advance in writing, shall be treated as Non-Conformities.</t>
        </is>
      </c>
      <c r="N421" s="6" t="inlineStr">
        <is>
          <t>Deviations from the specifications defined in the Contract, that were not explicitly authorized by SCK CEN in advance in writing, shall be treated as Non-Conformities.</t>
        </is>
      </c>
      <c r="O421" s="6" t="n">
        <v>2</v>
      </c>
      <c r="P421" s="6" t="n">
        <v>0</v>
      </c>
      <c r="Q421" s="6" t="n">
        <v>0</v>
      </c>
      <c r="R421" s="6" t="n">
        <v>0</v>
      </c>
      <c r="S421" s="6" t="n">
        <v>3</v>
      </c>
      <c r="T421" s="6" t="n">
        <v>0</v>
      </c>
      <c r="U421" s="6" t="n">
        <v>0</v>
      </c>
      <c r="V421" s="6" t="n">
        <v>25.333333</v>
      </c>
      <c r="W421" s="6" t="n">
        <v>43.7587</v>
      </c>
      <c r="X421" s="6" t="n">
        <v>2.1317</v>
      </c>
      <c r="Y421" s="6" t="inlineStr">
        <is>
          <t>Safety / Legal</t>
        </is>
      </c>
      <c r="Z421" s="6" t="inlineStr">
        <is>
          <t>Frozen-weight composite; strongest contribution: Safety / Legal.</t>
        </is>
      </c>
      <c r="AA421" s="6" t="inlineStr">
        <is>
          <t>None explicitly named in this RTM</t>
        </is>
      </c>
      <c r="AB421" s="6" t="inlineStr">
        <is>
          <t>SCK CEN/90508872 §8.1.7; no named external code</t>
        </is>
      </c>
      <c r="AC421" s="6" t="inlineStr">
        <is>
          <t>Document review, inspection, certification, audit or traceable QC record</t>
        </is>
      </c>
      <c r="AD421" s="6" t="inlineStr">
        <is>
          <t>No separate deliverable explicitly named</t>
        </is>
      </c>
      <c r="AE421" s="6" t="inlineStr">
        <is>
          <t>L0 Tender / Offer; L1 Conceptual Design; L2 Detailed Design; L3 Procurement &amp; Manufacturing / FAT; L4 Installation; L5 Standalone Commissioning; L6 Site Acceptance Testing</t>
        </is>
      </c>
      <c r="AF421" s="6" t="inlineStr">
        <is>
          <t>Section/contract-derived reference; derived evidence route</t>
        </is>
      </c>
      <c r="AG421" s="58" t="inlineStr">
        <is>
          <t>Not linked to an OFFER item</t>
        </is>
      </c>
    </row>
    <row r="422" ht="73" customHeight="1">
      <c r="A422" s="6" t="n">
        <v>417</v>
      </c>
      <c r="B422" s="6" t="inlineStr">
        <is>
          <t>RTM-667</t>
        </is>
      </c>
      <c r="C422" s="6" t="inlineStr">
        <is>
          <t>No</t>
        </is>
      </c>
      <c r="D422" s="6" t="inlineStr">
        <is>
          <t>T2 Secondary</t>
        </is>
      </c>
      <c r="E422" s="6" t="inlineStr">
        <is>
          <t>Quality Assurance &amp; Control</t>
        </is>
      </c>
      <c r="F422" s="82" t="inlineStr">
        <is>
          <t>PROJECT</t>
        </is>
      </c>
      <c r="G422" s="83" t="inlineStr">
        <is>
          <t>Quality Assurance</t>
        </is>
      </c>
      <c r="H422" s="59" t="inlineStr">
        <is>
          <t>—</t>
        </is>
      </c>
      <c r="I422" s="81" t="inlineStr">
        <is>
          <t>Inferred: C7 — Quality, Testing &amp; Risk (high conf.)</t>
        </is>
      </c>
      <c r="J422" s="6" t="n">
        <v>124</v>
      </c>
      <c r="K422" s="6" t="inlineStr">
        <is>
          <t>8.1.7</t>
        </is>
      </c>
      <c r="L422" s="6" t="inlineStr">
        <is>
          <t>Non-Conformity Management</t>
        </is>
      </c>
      <c r="M422" s="6" t="inlineStr">
        <is>
          <t>The Contractor shall have a process in place for managing Non-Conformities that arise during the performance of the Contract, including receiving and processing notifications of Non-Conformities from SCK CEN and/or third parties (such as its Contractors or Subcontractors).</t>
        </is>
      </c>
      <c r="N422" s="6" t="inlineStr">
        <is>
          <t>The Contractor shall have a process in place for managing Non-Conformities that arise during the performance of the Contract, including receiving and processing notifications of Non-Conformities from SCK CEN and/or third parties (such as its Contractors or Subcontractors).</t>
        </is>
      </c>
      <c r="O422" s="6" t="n">
        <v>2</v>
      </c>
      <c r="P422" s="6" t="n">
        <v>0</v>
      </c>
      <c r="Q422" s="6" t="n">
        <v>0</v>
      </c>
      <c r="R422" s="6" t="n">
        <v>0</v>
      </c>
      <c r="S422" s="6" t="n">
        <v>3</v>
      </c>
      <c r="T422" s="6" t="n">
        <v>0</v>
      </c>
      <c r="U422" s="6" t="n">
        <v>0</v>
      </c>
      <c r="V422" s="6" t="n">
        <v>25.333333</v>
      </c>
      <c r="W422" s="6" t="n">
        <v>43.7587</v>
      </c>
      <c r="X422" s="6" t="n">
        <v>2.1317</v>
      </c>
      <c r="Y422" s="6" t="inlineStr">
        <is>
          <t>Safety / Legal</t>
        </is>
      </c>
      <c r="Z422" s="6" t="inlineStr">
        <is>
          <t>Frozen-weight composite; strongest contribution: Safety / Legal.</t>
        </is>
      </c>
      <c r="AA422" s="6" t="inlineStr">
        <is>
          <t>None explicitly named in this RTM</t>
        </is>
      </c>
      <c r="AB422" s="6" t="inlineStr">
        <is>
          <t>SCK CEN/90508872 §8.1.7; no named external code</t>
        </is>
      </c>
      <c r="AC422" s="6" t="inlineStr">
        <is>
          <t>Document review, inspection, certification, audit or traceable QC record</t>
        </is>
      </c>
      <c r="AD422" s="6" t="inlineStr">
        <is>
          <t>No separate deliverable explicitly named</t>
        </is>
      </c>
      <c r="AE422" s="6" t="inlineStr">
        <is>
          <t>L0 Tender / Offer; L1 Conceptual Design; L2 Detailed Design; L3 Procurement &amp; Manufacturing / FAT; L4 Installation; L5 Standalone Commissioning; L6 Site Acceptance Testing</t>
        </is>
      </c>
      <c r="AF422" s="6" t="inlineStr">
        <is>
          <t>Section/contract-derived reference; derived evidence route</t>
        </is>
      </c>
      <c r="AG422" s="58" t="inlineStr">
        <is>
          <t>Not linked to an OFFER item</t>
        </is>
      </c>
    </row>
    <row r="423" ht="73" customHeight="1">
      <c r="A423" s="6" t="n">
        <v>418</v>
      </c>
      <c r="B423" s="6" t="inlineStr">
        <is>
          <t>RTM-668</t>
        </is>
      </c>
      <c r="C423" s="6" t="inlineStr">
        <is>
          <t>No</t>
        </is>
      </c>
      <c r="D423" s="6" t="inlineStr">
        <is>
          <t>T2 Secondary</t>
        </is>
      </c>
      <c r="E423" s="6" t="inlineStr">
        <is>
          <t>Quality Assurance &amp; Control</t>
        </is>
      </c>
      <c r="F423" s="82" t="inlineStr">
        <is>
          <t>PROJECT</t>
        </is>
      </c>
      <c r="G423" s="83" t="inlineStr">
        <is>
          <t>Quality Assurance</t>
        </is>
      </c>
      <c r="H423" s="59" t="inlineStr">
        <is>
          <t>—</t>
        </is>
      </c>
      <c r="I423" s="81" t="inlineStr">
        <is>
          <t>Inferred: C7 — Quality, Testing &amp; Risk (high conf.)</t>
        </is>
      </c>
      <c r="J423" s="6" t="n">
        <v>124</v>
      </c>
      <c r="K423" s="6" t="inlineStr">
        <is>
          <t>8.1.7</t>
        </is>
      </c>
      <c r="L423" s="6" t="inlineStr">
        <is>
          <t>Non-Conformity Management</t>
        </is>
      </c>
      <c r="M423" s="6" t="inlineStr">
        <is>
          <t>In case of a Non-Conformity, the Contractor may not ship, or shall recall at its own risk and expense, the impacted supply. Any steps of the Contract execution, which are (potentially) affected by the Non-conformity, shall be put on hold.-Conformity, shall be put on hold.</t>
        </is>
      </c>
      <c r="N423" s="6" t="inlineStr">
        <is>
          <t>In case of a Non-Conformity, the Contractor may not ship, or shall recall at its own risk and expense, the impacted supply. Any steps of the Contract execution, which are (potentially) affected by the Non-conformity, shall be put on hold.-Conformity, shall be put on hold.</t>
        </is>
      </c>
      <c r="O423" s="6" t="n">
        <v>2</v>
      </c>
      <c r="P423" s="6" t="n">
        <v>0</v>
      </c>
      <c r="Q423" s="6" t="n">
        <v>0</v>
      </c>
      <c r="R423" s="6" t="n">
        <v>0</v>
      </c>
      <c r="S423" s="6" t="n">
        <v>3</v>
      </c>
      <c r="T423" s="6" t="n">
        <v>0</v>
      </c>
      <c r="U423" s="6" t="n">
        <v>0</v>
      </c>
      <c r="V423" s="6" t="n">
        <v>25.333333</v>
      </c>
      <c r="W423" s="6" t="n">
        <v>43.7587</v>
      </c>
      <c r="X423" s="6" t="n">
        <v>2.1317</v>
      </c>
      <c r="Y423" s="6" t="inlineStr">
        <is>
          <t>Safety / Legal</t>
        </is>
      </c>
      <c r="Z423" s="6" t="inlineStr">
        <is>
          <t>Frozen-weight composite; strongest contribution: Safety / Legal.</t>
        </is>
      </c>
      <c r="AA423" s="6" t="inlineStr">
        <is>
          <t>None explicitly named in this RTM</t>
        </is>
      </c>
      <c r="AB423" s="6" t="inlineStr">
        <is>
          <t>SCK CEN/90508872 §8.1.7; no named external code</t>
        </is>
      </c>
      <c r="AC423" s="6" t="inlineStr">
        <is>
          <t>Document review, inspection, certification, audit or traceable QC record</t>
        </is>
      </c>
      <c r="AD423" s="6" t="inlineStr">
        <is>
          <t>No separate deliverable explicitly named</t>
        </is>
      </c>
      <c r="AE423" s="6" t="inlineStr">
        <is>
          <t>L0 Tender / Offer; L1 Conceptual Design; L2 Detailed Design; L3 Procurement &amp; Manufacturing / FAT; L4 Installation; L5 Standalone Commissioning; L6 Site Acceptance Testing</t>
        </is>
      </c>
      <c r="AF423" s="6" t="inlineStr">
        <is>
          <t>Section/contract-derived reference; derived evidence route</t>
        </is>
      </c>
      <c r="AG423" s="58" t="inlineStr">
        <is>
          <t>Not linked to an OFFER item</t>
        </is>
      </c>
    </row>
    <row r="424" ht="60" customHeight="1">
      <c r="A424" s="6" t="n">
        <v>419</v>
      </c>
      <c r="B424" s="6" t="inlineStr">
        <is>
          <t>RTM-669</t>
        </is>
      </c>
      <c r="C424" s="6" t="inlineStr">
        <is>
          <t>No</t>
        </is>
      </c>
      <c r="D424" s="6" t="inlineStr">
        <is>
          <t>T2 Secondary</t>
        </is>
      </c>
      <c r="E424" s="6" t="inlineStr">
        <is>
          <t>Quality Assurance &amp; Control</t>
        </is>
      </c>
      <c r="F424" s="82" t="inlineStr">
        <is>
          <t>PROJECT</t>
        </is>
      </c>
      <c r="G424" s="83" t="inlineStr">
        <is>
          <t>Quality Assurance</t>
        </is>
      </c>
      <c r="H424" s="59" t="inlineStr">
        <is>
          <t>—</t>
        </is>
      </c>
      <c r="I424" s="81" t="inlineStr">
        <is>
          <t>Inferred: C7 — Quality, Testing &amp; Risk (high conf.)</t>
        </is>
      </c>
      <c r="J424" s="6" t="n">
        <v>124</v>
      </c>
      <c r="K424" s="6" t="inlineStr">
        <is>
          <t>8.1.7</t>
        </is>
      </c>
      <c r="L424" s="6" t="inlineStr">
        <is>
          <t>Non-Conformity Management</t>
        </is>
      </c>
      <c r="M424" s="6" t="inlineStr">
        <is>
          <t>The Contractor shall notify SCK CEN in writing of any such Non-Conformities by means of a Non-Conformity Report (NCR). An NCR shall be submitted to SCK CEN as soon as reasonably possible after a Non-Conformity is identified.</t>
        </is>
      </c>
      <c r="N424" s="6" t="inlineStr">
        <is>
          <t>The Contractor shall notify SCK CEN in writing of any such Non-Conformities by means of a Non-Conformity Report (NCR). An NCR shall be submitted to SCK CEN as soon as reasonably possible after a Non-Conformity is identified.</t>
        </is>
      </c>
      <c r="O424" s="6" t="n">
        <v>2</v>
      </c>
      <c r="P424" s="6" t="n">
        <v>0</v>
      </c>
      <c r="Q424" s="6" t="n">
        <v>0</v>
      </c>
      <c r="R424" s="6" t="n">
        <v>0</v>
      </c>
      <c r="S424" s="6" t="n">
        <v>3</v>
      </c>
      <c r="T424" s="6" t="n">
        <v>0</v>
      </c>
      <c r="U424" s="6" t="n">
        <v>0</v>
      </c>
      <c r="V424" s="6" t="n">
        <v>25.333333</v>
      </c>
      <c r="W424" s="6" t="n">
        <v>43.7587</v>
      </c>
      <c r="X424" s="6" t="n">
        <v>2.1317</v>
      </c>
      <c r="Y424" s="6" t="inlineStr">
        <is>
          <t>Safety / Legal</t>
        </is>
      </c>
      <c r="Z424" s="6" t="inlineStr">
        <is>
          <t>Frozen-weight composite; strongest contribution: Safety / Legal.</t>
        </is>
      </c>
      <c r="AA424" s="6" t="inlineStr">
        <is>
          <t>None explicitly named in this RTM</t>
        </is>
      </c>
      <c r="AB424" s="6" t="inlineStr">
        <is>
          <t>SCK CEN/90508872 §8.1.7; no named external code</t>
        </is>
      </c>
      <c r="AC424" s="6" t="inlineStr">
        <is>
          <t>Document review, inspection, certification, audit or traceable QC record</t>
        </is>
      </c>
      <c r="AD424" s="6" t="inlineStr">
        <is>
          <t>No separate deliverable explicitly named</t>
        </is>
      </c>
      <c r="AE424" s="6" t="inlineStr">
        <is>
          <t>L0 Tender / Offer; L1 Conceptual Design; L2 Detailed Design; L3 Procurement &amp; Manufacturing / FAT; L4 Installation; L5 Standalone Commissioning; L6 Site Acceptance Testing</t>
        </is>
      </c>
      <c r="AF424" s="6" t="inlineStr">
        <is>
          <t>Section/contract-derived reference; derived evidence route</t>
        </is>
      </c>
      <c r="AG424" s="58" t="inlineStr">
        <is>
          <t>Not linked to an OFFER item</t>
        </is>
      </c>
    </row>
    <row r="425" ht="86" customHeight="1">
      <c r="A425" s="6" t="n">
        <v>420</v>
      </c>
      <c r="B425" s="6" t="inlineStr">
        <is>
          <t>RTM-670</t>
        </is>
      </c>
      <c r="C425" s="6" t="inlineStr">
        <is>
          <t>No</t>
        </is>
      </c>
      <c r="D425" s="6" t="inlineStr">
        <is>
          <t>T2 Secondary</t>
        </is>
      </c>
      <c r="E425" s="6" t="inlineStr">
        <is>
          <t>Quality Assurance &amp; Control</t>
        </is>
      </c>
      <c r="F425" s="82" t="inlineStr">
        <is>
          <t>PROJECT</t>
        </is>
      </c>
      <c r="G425" s="83" t="inlineStr">
        <is>
          <t>Quality Assurance</t>
        </is>
      </c>
      <c r="H425" s="59" t="inlineStr">
        <is>
          <t>—</t>
        </is>
      </c>
      <c r="I425" s="81" t="inlineStr">
        <is>
          <t>Inferred: C7 — Quality, Testing &amp; Risk (high conf.)</t>
        </is>
      </c>
      <c r="J425" s="6" t="n">
        <v>124</v>
      </c>
      <c r="K425" s="6" t="inlineStr">
        <is>
          <t>8.1.7</t>
        </is>
      </c>
      <c r="L425" s="6" t="inlineStr">
        <is>
          <t>Non-Conformity Management</t>
        </is>
      </c>
      <c r="M425" s="6" t="inlineStr">
        <is>
          <t>An NCR shall cover at least the following aspects:</t>
        </is>
      </c>
      <c r="N425" s="6" t="inlineStr">
        <is>
          <t>An NCR shall cover at least the following aspects:
• Detailed description of the Non-Conformity.
• Identification of all potentially affected deliverables.
• Identified (root) cause(s) including verification thereof.
• Proposed corrective actions including their anticipated effectiveness.
• Proposed reoccurrence prevention plan (if applicable).</t>
        </is>
      </c>
      <c r="O425" s="6" t="n">
        <v>2</v>
      </c>
      <c r="P425" s="6" t="n">
        <v>0</v>
      </c>
      <c r="Q425" s="6" t="n">
        <v>0</v>
      </c>
      <c r="R425" s="6" t="n">
        <v>0</v>
      </c>
      <c r="S425" s="6" t="n">
        <v>3</v>
      </c>
      <c r="T425" s="6" t="n">
        <v>0</v>
      </c>
      <c r="U425" s="6" t="n">
        <v>0</v>
      </c>
      <c r="V425" s="6" t="n">
        <v>25.333333</v>
      </c>
      <c r="W425" s="6" t="n">
        <v>43.7587</v>
      </c>
      <c r="X425" s="6" t="n">
        <v>2.1317</v>
      </c>
      <c r="Y425" s="6" t="inlineStr">
        <is>
          <t>Safety / Legal</t>
        </is>
      </c>
      <c r="Z425" s="6" t="inlineStr">
        <is>
          <t>Frozen-weight composite; strongest contribution: Safety / Legal.</t>
        </is>
      </c>
      <c r="AA425" s="6" t="inlineStr">
        <is>
          <t>None explicitly named in this RTM</t>
        </is>
      </c>
      <c r="AB425" s="6" t="inlineStr">
        <is>
          <t>SCK CEN/90508872 §8.1.7; no named external code</t>
        </is>
      </c>
      <c r="AC425" s="6" t="inlineStr">
        <is>
          <t>Document review, inspection, certification, audit or traceable QC record</t>
        </is>
      </c>
      <c r="AD425" s="6" t="inlineStr">
        <is>
          <t>No separate deliverable explicitly named</t>
        </is>
      </c>
      <c r="AE425" s="6" t="inlineStr">
        <is>
          <t>L0 Tender / Offer; L1 Conceptual Design; L2 Detailed Design; L3 Procurement &amp; Manufacturing / FAT; L4 Installation; L5 Standalone Commissioning; L6 Site Acceptance Testing</t>
        </is>
      </c>
      <c r="AF425" s="6" t="inlineStr">
        <is>
          <t>Section/contract-derived reference; derived evidence route</t>
        </is>
      </c>
      <c r="AG425" s="58" t="inlineStr">
        <is>
          <t>Not linked to an OFFER item</t>
        </is>
      </c>
    </row>
    <row r="426" ht="60" customHeight="1">
      <c r="A426" s="6" t="n">
        <v>421</v>
      </c>
      <c r="B426" s="6" t="inlineStr">
        <is>
          <t>RTM-671</t>
        </is>
      </c>
      <c r="C426" s="6" t="inlineStr">
        <is>
          <t>No</t>
        </is>
      </c>
      <c r="D426" s="6" t="inlineStr">
        <is>
          <t>T2 Secondary</t>
        </is>
      </c>
      <c r="E426" s="6" t="inlineStr">
        <is>
          <t>Quality Assurance &amp; Control</t>
        </is>
      </c>
      <c r="F426" s="82" t="inlineStr">
        <is>
          <t>PROJECT</t>
        </is>
      </c>
      <c r="G426" s="83" t="inlineStr">
        <is>
          <t>Quality Assurance</t>
        </is>
      </c>
      <c r="H426" s="59" t="inlineStr">
        <is>
          <t>—</t>
        </is>
      </c>
      <c r="I426" s="81" t="inlineStr">
        <is>
          <t>Inferred: C7 — Quality, Testing &amp; Risk (high conf.)</t>
        </is>
      </c>
      <c r="J426" s="6" t="n">
        <v>124</v>
      </c>
      <c r="K426" s="6" t="inlineStr">
        <is>
          <t>8.1.7</t>
        </is>
      </c>
      <c r="L426" s="6" t="inlineStr">
        <is>
          <t>Non-Conformity Management</t>
        </is>
      </c>
      <c r="M426" s="6" t="inlineStr">
        <is>
          <t>The Contractor shall include the NCR template in annex to the QAP.</t>
        </is>
      </c>
      <c r="N426" s="6" t="inlineStr">
        <is>
          <t>The Contractor shall include the NCR template in annex to the QAP.</t>
        </is>
      </c>
      <c r="O426" s="6" t="n">
        <v>2</v>
      </c>
      <c r="P426" s="6" t="n">
        <v>0</v>
      </c>
      <c r="Q426" s="6" t="n">
        <v>0</v>
      </c>
      <c r="R426" s="6" t="n">
        <v>0</v>
      </c>
      <c r="S426" s="6" t="n">
        <v>3</v>
      </c>
      <c r="T426" s="6" t="n">
        <v>0</v>
      </c>
      <c r="U426" s="6" t="n">
        <v>0</v>
      </c>
      <c r="V426" s="6" t="n">
        <v>25.333333</v>
      </c>
      <c r="W426" s="6" t="n">
        <v>43.7587</v>
      </c>
      <c r="X426" s="6" t="n">
        <v>2.1317</v>
      </c>
      <c r="Y426" s="6" t="inlineStr">
        <is>
          <t>Safety / Legal</t>
        </is>
      </c>
      <c r="Z426" s="6" t="inlineStr">
        <is>
          <t>Frozen-weight composite; strongest contribution: Safety / Legal.</t>
        </is>
      </c>
      <c r="AA426" s="6" t="inlineStr">
        <is>
          <t>None explicitly named in this RTM</t>
        </is>
      </c>
      <c r="AB426" s="6" t="inlineStr">
        <is>
          <t>SCK CEN/90508872 §8.1.7; no named external code</t>
        </is>
      </c>
      <c r="AC426" s="6" t="inlineStr">
        <is>
          <t>Submit and review the named deliverable with RTM traceability and approval status; Document review, inspection, certification, audit or traceable QC record</t>
        </is>
      </c>
      <c r="AD426" s="6" t="inlineStr">
        <is>
          <t>Quality Assurance Plan (QAP)</t>
        </is>
      </c>
      <c r="AE426" s="6" t="inlineStr">
        <is>
          <t>L0 Tender / Offer; L1 Conceptual Design; L2 Detailed Design; L3 Procurement &amp; Manufacturing / FAT; L4 Installation; L5 Standalone Commissioning; L6 Site Acceptance Testing</t>
        </is>
      </c>
      <c r="AF426" s="6" t="inlineStr">
        <is>
          <t>Section/contract-derived reference; explicit deliverable/test wording</t>
        </is>
      </c>
      <c r="AG426" s="58" t="inlineStr">
        <is>
          <t>Not linked to an OFFER item</t>
        </is>
      </c>
    </row>
    <row r="427" ht="60" customHeight="1">
      <c r="A427" s="6" t="n">
        <v>422</v>
      </c>
      <c r="B427" s="6" t="inlineStr">
        <is>
          <t>RTM-672</t>
        </is>
      </c>
      <c r="C427" s="6" t="inlineStr">
        <is>
          <t>No</t>
        </is>
      </c>
      <c r="D427" s="6" t="inlineStr">
        <is>
          <t>T2 Secondary</t>
        </is>
      </c>
      <c r="E427" s="6" t="inlineStr">
        <is>
          <t>Quality Assurance &amp; Control</t>
        </is>
      </c>
      <c r="F427" s="82" t="inlineStr">
        <is>
          <t>PROJECT</t>
        </is>
      </c>
      <c r="G427" s="83" t="inlineStr">
        <is>
          <t>Quality Assurance</t>
        </is>
      </c>
      <c r="H427" s="59" t="inlineStr">
        <is>
          <t>—</t>
        </is>
      </c>
      <c r="I427" s="81" t="inlineStr">
        <is>
          <t>Inferred: C7 — Quality, Testing &amp; Risk (high conf.)</t>
        </is>
      </c>
      <c r="J427" s="6" t="n">
        <v>124</v>
      </c>
      <c r="K427" s="6" t="inlineStr">
        <is>
          <t>8.1.7</t>
        </is>
      </c>
      <c r="L427" s="6" t="inlineStr">
        <is>
          <t>Non-Conformity Management</t>
        </is>
      </c>
      <c r="M427" s="6" t="inlineStr">
        <is>
          <t>Each NCR shall be submitted to SCK CEN for approval. SCK CEN shall be entitled to reject the solution(s) proposed by the Contractor in case SCK CEN deems the solution not useable given the circumstances.</t>
        </is>
      </c>
      <c r="N427" s="6" t="inlineStr">
        <is>
          <t>Each NCR shall be submitted to SCK CEN for approval. SCK CEN shall be entitled to reject the solution(s) proposed by the Contractor in case SCK CEN deems the solution not useable given the circumstances.</t>
        </is>
      </c>
      <c r="O427" s="6" t="n">
        <v>2</v>
      </c>
      <c r="P427" s="6" t="n">
        <v>0</v>
      </c>
      <c r="Q427" s="6" t="n">
        <v>0</v>
      </c>
      <c r="R427" s="6" t="n">
        <v>0</v>
      </c>
      <c r="S427" s="6" t="n">
        <v>3</v>
      </c>
      <c r="T427" s="6" t="n">
        <v>0</v>
      </c>
      <c r="U427" s="6" t="n">
        <v>0</v>
      </c>
      <c r="V427" s="6" t="n">
        <v>25.333333</v>
      </c>
      <c r="W427" s="6" t="n">
        <v>43.7587</v>
      </c>
      <c r="X427" s="6" t="n">
        <v>2.1317</v>
      </c>
      <c r="Y427" s="6" t="inlineStr">
        <is>
          <t>Safety / Legal</t>
        </is>
      </c>
      <c r="Z427" s="6" t="inlineStr">
        <is>
          <t>Frozen-weight composite; strongest contribution: Safety / Legal.</t>
        </is>
      </c>
      <c r="AA427" s="6" t="inlineStr">
        <is>
          <t>None explicitly named in this RTM</t>
        </is>
      </c>
      <c r="AB427" s="6" t="inlineStr">
        <is>
          <t>SCK CEN/90508872 §8.1.7; no named external code</t>
        </is>
      </c>
      <c r="AC427" s="6" t="inlineStr">
        <is>
          <t>Document review, inspection, certification, audit or traceable QC record</t>
        </is>
      </c>
      <c r="AD427" s="6" t="inlineStr">
        <is>
          <t>No separate deliverable explicitly named</t>
        </is>
      </c>
      <c r="AE427" s="6" t="inlineStr">
        <is>
          <t>L0 Tender / Offer; L1 Conceptual Design; L2 Detailed Design; L3 Procurement &amp; Manufacturing / FAT; L4 Installation; L5 Standalone Commissioning; L6 Site Acceptance Testing</t>
        </is>
      </c>
      <c r="AF427" s="6" t="inlineStr">
        <is>
          <t>Section/contract-derived reference; derived evidence route</t>
        </is>
      </c>
      <c r="AG427" s="58" t="inlineStr">
        <is>
          <t>Not linked to an OFFER item</t>
        </is>
      </c>
    </row>
    <row r="428" ht="138" customHeight="1">
      <c r="A428" s="6" t="n">
        <v>423</v>
      </c>
      <c r="B428" s="6" t="inlineStr">
        <is>
          <t>RTM-673</t>
        </is>
      </c>
      <c r="C428" s="6" t="inlineStr">
        <is>
          <t>No</t>
        </is>
      </c>
      <c r="D428" s="6" t="inlineStr">
        <is>
          <t>T2 Secondary</t>
        </is>
      </c>
      <c r="E428" s="6" t="inlineStr">
        <is>
          <t>Quality Assurance &amp; Control</t>
        </is>
      </c>
      <c r="F428" s="82" t="inlineStr">
        <is>
          <t>PROJECT</t>
        </is>
      </c>
      <c r="G428" s="83" t="inlineStr">
        <is>
          <t>Quality Assurance</t>
        </is>
      </c>
      <c r="H428" s="59" t="inlineStr">
        <is>
          <t>—</t>
        </is>
      </c>
      <c r="I428" s="81" t="inlineStr">
        <is>
          <t>Inferred: C7 — Quality, Testing &amp; Risk (high conf.)</t>
        </is>
      </c>
      <c r="J428" s="6" t="n">
        <v>125</v>
      </c>
      <c r="K428" s="6" t="inlineStr">
        <is>
          <t>8.1.7</t>
        </is>
      </c>
      <c r="L428" s="6" t="inlineStr">
        <is>
          <t>Non-Conformity Management</t>
        </is>
      </c>
      <c r="M428" s="6" t="inlineStr">
        <is>
          <t>The Contractor shall perform all necessary actions to correct the Non-Conformity (in accordance with the SCK CEN approved NCR) at its own risk and expense. Said necessary actions shall not only concern redoing (parts of) the manufacturing and/or its related processes (assembly, packaging, delivery, …) but shall also entail redoing all QA/QC activities associated therewith. Next to that, if so, requested by SCK CEN, the Contractor shall moreover reimburse SCK CEN for the costs incurred by SCK CEN to have the FAT/SAT of the impacted items redone.</t>
        </is>
      </c>
      <c r="N428" s="6" t="inlineStr">
        <is>
          <t>The Contractor shall perform all necessary actions to correct the Non-Conformity (in accordance with the SCK CEN approved NCR) at its own risk and expense. Said necessary actions shall not only concern redoing (parts of) the manufacturing and/or its related processes (assembly, packaging, delivery, …) but shall also entail redoing all QA/QC activities associated therewith. Next to that, if so, requested by SCK CEN, the Contractor shall moreover reimburse SCK CEN for the costs incurred by SCK CEN to have the FAT/SAT of the impacted items redone.</t>
        </is>
      </c>
      <c r="O428" s="6" t="n">
        <v>2</v>
      </c>
      <c r="P428" s="6" t="n">
        <v>0</v>
      </c>
      <c r="Q428" s="6" t="n">
        <v>0</v>
      </c>
      <c r="R428" s="6" t="n">
        <v>0</v>
      </c>
      <c r="S428" s="6" t="n">
        <v>3</v>
      </c>
      <c r="T428" s="6" t="n">
        <v>0</v>
      </c>
      <c r="U428" s="6" t="n">
        <v>0</v>
      </c>
      <c r="V428" s="6" t="n">
        <v>25.333333</v>
      </c>
      <c r="W428" s="6" t="n">
        <v>43.7587</v>
      </c>
      <c r="X428" s="6" t="n">
        <v>2.1317</v>
      </c>
      <c r="Y428" s="6" t="inlineStr">
        <is>
          <t>Safety / Legal</t>
        </is>
      </c>
      <c r="Z428" s="6" t="inlineStr">
        <is>
          <t>Frozen-weight composite; strongest contribution: Safety / Legal.</t>
        </is>
      </c>
      <c r="AA428" s="6" t="inlineStr">
        <is>
          <t>None explicitly named in this RTM</t>
        </is>
      </c>
      <c r="AB428" s="6" t="inlineStr">
        <is>
          <t>SCK CEN/90508872 §8.1.7; no named external code</t>
        </is>
      </c>
      <c r="AC428" s="6" t="inlineStr">
        <is>
          <t>Witnessed FAT/SAT/commissioning test against stated acceptance criteria</t>
        </is>
      </c>
      <c r="AD428" s="6" t="inlineStr">
        <is>
          <t>No separate deliverable explicitly named</t>
        </is>
      </c>
      <c r="AE428" s="6" t="inlineStr">
        <is>
          <t>L3 Procurement &amp; Manufacturing / FAT; L6 Site Acceptance Testing; PAC / Handover; L0 Tender / Offer; L1 Conceptual Design; L2 Detailed Design; L4 Installation; L5 Standalone Commissioning</t>
        </is>
      </c>
      <c r="AF428" s="6" t="inlineStr">
        <is>
          <t>Section/contract-derived reference; derived evidence route</t>
        </is>
      </c>
      <c r="AG428" s="58" t="inlineStr">
        <is>
          <t>Not linked to an OFFER item</t>
        </is>
      </c>
    </row>
    <row r="429" ht="86" customHeight="1">
      <c r="A429" s="6" t="n">
        <v>424</v>
      </c>
      <c r="B429" s="6" t="inlineStr">
        <is>
          <t>RTM-674</t>
        </is>
      </c>
      <c r="C429" s="6" t="inlineStr">
        <is>
          <t>No</t>
        </is>
      </c>
      <c r="D429" s="6" t="inlineStr">
        <is>
          <t>T2 Secondary</t>
        </is>
      </c>
      <c r="E429" s="6" t="inlineStr">
        <is>
          <t>Quality Assurance &amp; Control</t>
        </is>
      </c>
      <c r="F429" s="82" t="inlineStr">
        <is>
          <t>PROJECT</t>
        </is>
      </c>
      <c r="G429" s="83" t="inlineStr">
        <is>
          <t>Quality Assurance</t>
        </is>
      </c>
      <c r="H429" s="59" t="inlineStr">
        <is>
          <t>—</t>
        </is>
      </c>
      <c r="I429" s="81" t="inlineStr">
        <is>
          <t>Inferred: C7 — Quality, Testing &amp; Risk (high conf.)</t>
        </is>
      </c>
      <c r="J429" s="6" t="n">
        <v>125</v>
      </c>
      <c r="K429" s="6" t="inlineStr">
        <is>
          <t>8.1.7</t>
        </is>
      </c>
      <c r="L429" s="6" t="inlineStr">
        <is>
          <t>Non-Conformity Management</t>
        </is>
      </c>
      <c r="M429" s="6" t="inlineStr">
        <is>
          <t>The Contractor shall keep SCK CEN duly informed about the progress of the implementation of the actions identified in the NCR and, if applicable, shall provide a revised schedule identifying the time impact of the implementation of said actions; the Contractor shall minimize the consequences on the schedule in any case.</t>
        </is>
      </c>
      <c r="N429" s="6" t="inlineStr">
        <is>
          <t>The Contractor shall keep SCK CEN duly informed about the progress of the implementation of the actions identified in the NCR and, if applicable, shall provide a revised schedule identifying the time impact of the implementation of said actions; the Contractor shall minimize the consequences on the schedule in any case.</t>
        </is>
      </c>
      <c r="O429" s="6" t="n">
        <v>2</v>
      </c>
      <c r="P429" s="6" t="n">
        <v>0</v>
      </c>
      <c r="Q429" s="6" t="n">
        <v>0</v>
      </c>
      <c r="R429" s="6" t="n">
        <v>0</v>
      </c>
      <c r="S429" s="6" t="n">
        <v>3</v>
      </c>
      <c r="T429" s="6" t="n">
        <v>0</v>
      </c>
      <c r="U429" s="6" t="n">
        <v>0</v>
      </c>
      <c r="V429" s="6" t="n">
        <v>25.333333</v>
      </c>
      <c r="W429" s="6" t="n">
        <v>43.7587</v>
      </c>
      <c r="X429" s="6" t="n">
        <v>2.1317</v>
      </c>
      <c r="Y429" s="6" t="inlineStr">
        <is>
          <t>Safety / Legal</t>
        </is>
      </c>
      <c r="Z429" s="6" t="inlineStr">
        <is>
          <t>Frozen-weight composite; strongest contribution: Safety / Legal.</t>
        </is>
      </c>
      <c r="AA429" s="6" t="inlineStr">
        <is>
          <t>None explicitly named in this RTM</t>
        </is>
      </c>
      <c r="AB429" s="6" t="inlineStr">
        <is>
          <t>SCK CEN/90508872 §8.1.7; no named external code</t>
        </is>
      </c>
      <c r="AC429" s="6" t="inlineStr">
        <is>
          <t>Document review, inspection, certification, audit or traceable QC record</t>
        </is>
      </c>
      <c r="AD429" s="6" t="inlineStr">
        <is>
          <t>No separate deliverable explicitly named</t>
        </is>
      </c>
      <c r="AE429" s="6" t="inlineStr">
        <is>
          <t>L0 Tender / Offer; L1 Conceptual Design; L2 Detailed Design; L3 Procurement &amp; Manufacturing / FAT; L4 Installation; L5 Standalone Commissioning; L6 Site Acceptance Testing</t>
        </is>
      </c>
      <c r="AF429" s="6" t="inlineStr">
        <is>
          <t>Section/contract-derived reference; derived evidence route</t>
        </is>
      </c>
      <c r="AG429" s="58" t="inlineStr">
        <is>
          <t>Not linked to an OFFER item</t>
        </is>
      </c>
    </row>
    <row r="430" ht="99" customHeight="1">
      <c r="A430" s="6" t="n">
        <v>425</v>
      </c>
      <c r="B430" s="6" t="inlineStr">
        <is>
          <t>RTM-675</t>
        </is>
      </c>
      <c r="C430" s="6" t="inlineStr">
        <is>
          <t>No</t>
        </is>
      </c>
      <c r="D430" s="6" t="inlineStr">
        <is>
          <t>T2 Secondary</t>
        </is>
      </c>
      <c r="E430" s="6" t="inlineStr">
        <is>
          <t>Quality Assurance &amp; Control</t>
        </is>
      </c>
      <c r="F430" s="82" t="inlineStr">
        <is>
          <t>PROJECT</t>
        </is>
      </c>
      <c r="G430" s="83" t="inlineStr">
        <is>
          <t>Quality Assurance</t>
        </is>
      </c>
      <c r="H430" s="59" t="inlineStr">
        <is>
          <t>—</t>
        </is>
      </c>
      <c r="I430" s="81" t="inlineStr">
        <is>
          <t>Inferred: C7 — Quality, Testing &amp; Risk (high conf.)</t>
        </is>
      </c>
      <c r="J430" s="6" t="n">
        <v>125</v>
      </c>
      <c r="K430" s="6" t="inlineStr">
        <is>
          <t>8.1.7</t>
        </is>
      </c>
      <c r="L430" s="6" t="inlineStr">
        <is>
          <t>Non-Conformity Management</t>
        </is>
      </c>
      <c r="M430" s="6" t="inlineStr">
        <is>
          <t>At the specific request of SCK CEN, to avoid repetition of possible recurring Non-Conformities during the execution of the Contract, or when imposed by the Contractor's quality management system or the QAP, the Contractor shall conduct a root cause analysis of the Non-Conformity. Such an analysis shall:</t>
        </is>
      </c>
      <c r="N430" s="6" t="inlineStr">
        <is>
          <t>At the specific request of SCK CEN, to avoid repetition of possible recurring Non-Conformities during the execution of the Contract, or when imposed by the Contractor's quality management system or the QAP, the Contractor shall conduct a root cause analysis of the Non-Conformity. Such an analysis shall:
• be documented and submitted for approval to SCK CEN.
• include the identified Non-Conformity cause(s).
• propose an action plan to minimize the probability of a recurrence.</t>
        </is>
      </c>
      <c r="O430" s="6" t="n">
        <v>2</v>
      </c>
      <c r="P430" s="6" t="n">
        <v>0</v>
      </c>
      <c r="Q430" s="6" t="n">
        <v>0</v>
      </c>
      <c r="R430" s="6" t="n">
        <v>0</v>
      </c>
      <c r="S430" s="6" t="n">
        <v>3</v>
      </c>
      <c r="T430" s="6" t="n">
        <v>0</v>
      </c>
      <c r="U430" s="6" t="n">
        <v>0</v>
      </c>
      <c r="V430" s="6" t="n">
        <v>25.333333</v>
      </c>
      <c r="W430" s="6" t="n">
        <v>43.7587</v>
      </c>
      <c r="X430" s="6" t="n">
        <v>2.1317</v>
      </c>
      <c r="Y430" s="6" t="inlineStr">
        <is>
          <t>Safety / Legal</t>
        </is>
      </c>
      <c r="Z430" s="6" t="inlineStr">
        <is>
          <t>Frozen-weight composite; strongest contribution: Safety / Legal.</t>
        </is>
      </c>
      <c r="AA430" s="6" t="inlineStr">
        <is>
          <t>None explicitly named in this RTM</t>
        </is>
      </c>
      <c r="AB430" s="6" t="inlineStr">
        <is>
          <t>SCK CEN/90508872 §8.1.7; no named external code</t>
        </is>
      </c>
      <c r="AC430" s="6" t="inlineStr">
        <is>
          <t>Submit and review the named deliverable with RTM traceability and approval status; Document review, inspection, certification, audit or traceable QC record</t>
        </is>
      </c>
      <c r="AD430" s="6" t="inlineStr">
        <is>
          <t>Quality Assurance Plan (QAP)</t>
        </is>
      </c>
      <c r="AE430" s="6" t="inlineStr">
        <is>
          <t>L0 Tender / Offer; L1 Conceptual Design; L2 Detailed Design; L3 Procurement &amp; Manufacturing / FAT; L4 Installation; L5 Standalone Commissioning; L6 Site Acceptance Testing</t>
        </is>
      </c>
      <c r="AF430" s="6" t="inlineStr">
        <is>
          <t>Section/contract-derived reference; explicit deliverable/test wording</t>
        </is>
      </c>
      <c r="AG430" s="58" t="inlineStr">
        <is>
          <t>Not linked to an OFFER item</t>
        </is>
      </c>
    </row>
    <row r="431" ht="60" customHeight="1">
      <c r="A431" s="6" t="n">
        <v>426</v>
      </c>
      <c r="B431" s="6" t="inlineStr">
        <is>
          <t>RTM-676</t>
        </is>
      </c>
      <c r="C431" s="6" t="inlineStr">
        <is>
          <t>No</t>
        </is>
      </c>
      <c r="D431" s="6" t="inlineStr">
        <is>
          <t>T2 Secondary</t>
        </is>
      </c>
      <c r="E431" s="6" t="inlineStr">
        <is>
          <t>Quality Assurance &amp; Control</t>
        </is>
      </c>
      <c r="F431" s="82" t="inlineStr">
        <is>
          <t>PROJECT</t>
        </is>
      </c>
      <c r="G431" s="83" t="inlineStr">
        <is>
          <t>Quality Assurance</t>
        </is>
      </c>
      <c r="H431" s="59" t="inlineStr">
        <is>
          <t>—</t>
        </is>
      </c>
      <c r="I431" s="81" t="inlineStr">
        <is>
          <t>Inferred: C7 — Quality, Testing &amp; Risk (high conf.)</t>
        </is>
      </c>
      <c r="J431" s="6" t="n">
        <v>125</v>
      </c>
      <c r="K431" s="6" t="inlineStr">
        <is>
          <t>8.1.7</t>
        </is>
      </c>
      <c r="L431" s="6" t="inlineStr">
        <is>
          <t>Non-Conformity Management</t>
        </is>
      </c>
      <c r="M431" s="6" t="inlineStr">
        <is>
          <t>For actions taking more than 1 month, the Contractor shall provide a regular status report describing the result of implementation according to the due dates in the action plan.</t>
        </is>
      </c>
      <c r="N431" s="6" t="inlineStr">
        <is>
          <t>For actions taking more than 1 month, the Contractor shall provide a regular status report describing the result of implementation according to the due dates in the action plan.</t>
        </is>
      </c>
      <c r="O431" s="6" t="n">
        <v>2</v>
      </c>
      <c r="P431" s="6" t="n">
        <v>0</v>
      </c>
      <c r="Q431" s="6" t="n">
        <v>0</v>
      </c>
      <c r="R431" s="6" t="n">
        <v>0</v>
      </c>
      <c r="S431" s="6" t="n">
        <v>3</v>
      </c>
      <c r="T431" s="6" t="n">
        <v>0</v>
      </c>
      <c r="U431" s="6" t="n">
        <v>0</v>
      </c>
      <c r="V431" s="6" t="n">
        <v>25.333333</v>
      </c>
      <c r="W431" s="6" t="n">
        <v>43.7587</v>
      </c>
      <c r="X431" s="6" t="n">
        <v>2.1317</v>
      </c>
      <c r="Y431" s="6" t="inlineStr">
        <is>
          <t>Safety / Legal</t>
        </is>
      </c>
      <c r="Z431" s="6" t="inlineStr">
        <is>
          <t>Frozen-weight composite; strongest contribution: Safety / Legal.</t>
        </is>
      </c>
      <c r="AA431" s="6" t="inlineStr">
        <is>
          <t>None explicitly named in this RTM</t>
        </is>
      </c>
      <c r="AB431" s="6" t="inlineStr">
        <is>
          <t>SCK CEN/90508872 §8.1.7; no named external code</t>
        </is>
      </c>
      <c r="AC431" s="6" t="inlineStr">
        <is>
          <t>Document review, inspection, certification, audit or traceable QC record</t>
        </is>
      </c>
      <c r="AD431" s="6" t="inlineStr">
        <is>
          <t>No separate deliverable explicitly named</t>
        </is>
      </c>
      <c r="AE431" s="6" t="inlineStr">
        <is>
          <t>L0 Tender / Offer; L1 Conceptual Design; L2 Detailed Design; L3 Procurement &amp; Manufacturing / FAT; L4 Installation; L5 Standalone Commissioning; L6 Site Acceptance Testing</t>
        </is>
      </c>
      <c r="AF431" s="6" t="inlineStr">
        <is>
          <t>Section/contract-derived reference; derived evidence route</t>
        </is>
      </c>
      <c r="AG431" s="58" t="inlineStr">
        <is>
          <t>Not linked to an OFFER item</t>
        </is>
      </c>
    </row>
    <row r="432" ht="73" customHeight="1">
      <c r="A432" s="6" t="n">
        <v>427</v>
      </c>
      <c r="B432" s="6" t="inlineStr">
        <is>
          <t>RTM-678</t>
        </is>
      </c>
      <c r="C432" s="6" t="inlineStr">
        <is>
          <t>No</t>
        </is>
      </c>
      <c r="D432" s="6" t="inlineStr">
        <is>
          <t>T2 Secondary</t>
        </is>
      </c>
      <c r="E432" s="6" t="inlineStr">
        <is>
          <t>Quality Assurance &amp; Control</t>
        </is>
      </c>
      <c r="F432" s="82" t="inlineStr">
        <is>
          <t>PROJECT</t>
        </is>
      </c>
      <c r="G432" s="83" t="inlineStr">
        <is>
          <t>Quality Assurance</t>
        </is>
      </c>
      <c r="H432" s="59" t="inlineStr">
        <is>
          <t>—</t>
        </is>
      </c>
      <c r="I432" s="81" t="inlineStr">
        <is>
          <t>Inferred: C7 — Quality, Testing &amp; Risk (high conf.)</t>
        </is>
      </c>
      <c r="J432" s="6" t="n">
        <v>125</v>
      </c>
      <c r="K432" s="6" t="inlineStr">
        <is>
          <t>8.1.7</t>
        </is>
      </c>
      <c r="L432" s="6" t="inlineStr">
        <is>
          <t>Non-Conformity Management</t>
        </is>
      </c>
      <c r="M432" s="6" t="inlineStr">
        <is>
          <t>Any Non-Conformities identified and reported by SCK CEN to the Contractor, as well as any other complaints received by the Contractor from SCK CEN, shall be treated as Non-Conformities and duly documented, investigated, and resolved according to the stipulations under this clause.</t>
        </is>
      </c>
      <c r="N432" s="6" t="inlineStr">
        <is>
          <t>Any Non-Conformities identified and reported by SCK CEN to the Contractor, as well as any other complaints received by the Contractor from SCK CEN, shall be treated as Non-Conformities and duly documented, investigated, and resolved according to the stipulations under this clause.</t>
        </is>
      </c>
      <c r="O432" s="6" t="n">
        <v>2</v>
      </c>
      <c r="P432" s="6" t="n">
        <v>0</v>
      </c>
      <c r="Q432" s="6" t="n">
        <v>0</v>
      </c>
      <c r="R432" s="6" t="n">
        <v>0</v>
      </c>
      <c r="S432" s="6" t="n">
        <v>3</v>
      </c>
      <c r="T432" s="6" t="n">
        <v>0</v>
      </c>
      <c r="U432" s="6" t="n">
        <v>0</v>
      </c>
      <c r="V432" s="6" t="n">
        <v>25.333333</v>
      </c>
      <c r="W432" s="6" t="n">
        <v>43.7587</v>
      </c>
      <c r="X432" s="6" t="n">
        <v>2.1317</v>
      </c>
      <c r="Y432" s="6" t="inlineStr">
        <is>
          <t>Safety / Legal</t>
        </is>
      </c>
      <c r="Z432" s="6" t="inlineStr">
        <is>
          <t>Frozen-weight composite; strongest contribution: Safety / Legal.</t>
        </is>
      </c>
      <c r="AA432" s="6" t="inlineStr">
        <is>
          <t>None explicitly named in this RTM</t>
        </is>
      </c>
      <c r="AB432" s="6" t="inlineStr">
        <is>
          <t>SCK CEN/90508872 §8.1.7; no named external code</t>
        </is>
      </c>
      <c r="AC432" s="6" t="inlineStr">
        <is>
          <t>Document review, inspection, certification, audit or traceable QC record</t>
        </is>
      </c>
      <c r="AD432" s="6" t="inlineStr">
        <is>
          <t>No separate deliverable explicitly named</t>
        </is>
      </c>
      <c r="AE432" s="6" t="inlineStr">
        <is>
          <t>L0 Tender / Offer; L1 Conceptual Design; L2 Detailed Design; L3 Procurement &amp; Manufacturing / FAT; L4 Installation; L5 Standalone Commissioning; L6 Site Acceptance Testing</t>
        </is>
      </c>
      <c r="AF432" s="6" t="inlineStr">
        <is>
          <t>Section/contract-derived reference; derived evidence route</t>
        </is>
      </c>
      <c r="AG432" s="58" t="inlineStr">
        <is>
          <t>Not linked to an OFFER item</t>
        </is>
      </c>
    </row>
    <row r="433" ht="99" customHeight="1">
      <c r="A433" s="6" t="n">
        <v>428</v>
      </c>
      <c r="B433" s="6" t="inlineStr">
        <is>
          <t>RTM-681</t>
        </is>
      </c>
      <c r="C433" s="6" t="inlineStr">
        <is>
          <t>No</t>
        </is>
      </c>
      <c r="D433" s="6" t="inlineStr">
        <is>
          <t>T2 Secondary</t>
        </is>
      </c>
      <c r="E433" s="6" t="inlineStr">
        <is>
          <t>Quality Assurance &amp; Control</t>
        </is>
      </c>
      <c r="F433" s="82" t="inlineStr">
        <is>
          <t>PROJECT</t>
        </is>
      </c>
      <c r="G433" s="83" t="inlineStr">
        <is>
          <t>Quality Assurance</t>
        </is>
      </c>
      <c r="H433" s="59" t="inlineStr">
        <is>
          <t>—</t>
        </is>
      </c>
      <c r="I433" s="81" t="inlineStr">
        <is>
          <t>Inferred: C7 — Quality, Testing &amp; Risk (high conf.)</t>
        </is>
      </c>
      <c r="J433" s="6" t="n">
        <v>125</v>
      </c>
      <c r="K433" s="6" t="inlineStr">
        <is>
          <t>8.1.8</t>
        </is>
      </c>
      <c r="L433" s="6" t="inlineStr">
        <is>
          <t>Audits</t>
        </is>
      </c>
      <c r="M433" s="6" t="inlineStr">
        <is>
          <t>SCK CEN shall inform the Contractor in advance of the audit and shall take all necessary steps not to unduly interfere with the performance of Contractor’s business operations. SCK CEN shall provide an audit report within two weeks of completing the audit. The Contractor shall respond within two weeks with an action plan to address the identified Non-Conformities.</t>
        </is>
      </c>
      <c r="N433" s="6" t="inlineStr">
        <is>
          <t>SCK CEN shall inform the Contractor in advance of the audit and shall take all necessary steps not to unduly interfere with the performance of Contractor’s business operations. SCK CEN shall provide an audit report within two weeks of completing the audit. The Contractor shall respond within two weeks with an action plan to address the identified Non-Conformities.</t>
        </is>
      </c>
      <c r="O433" s="6" t="n">
        <v>2</v>
      </c>
      <c r="P433" s="6" t="n">
        <v>0</v>
      </c>
      <c r="Q433" s="6" t="n">
        <v>0</v>
      </c>
      <c r="R433" s="6" t="n">
        <v>0</v>
      </c>
      <c r="S433" s="6" t="n">
        <v>3</v>
      </c>
      <c r="T433" s="6" t="n">
        <v>0</v>
      </c>
      <c r="U433" s="6" t="n">
        <v>0</v>
      </c>
      <c r="V433" s="6" t="n">
        <v>25.333333</v>
      </c>
      <c r="W433" s="6" t="n">
        <v>43.7587</v>
      </c>
      <c r="X433" s="6" t="n">
        <v>2.1317</v>
      </c>
      <c r="Y433" s="6" t="inlineStr">
        <is>
          <t>Safety / Legal</t>
        </is>
      </c>
      <c r="Z433" s="6" t="inlineStr">
        <is>
          <t>Frozen-weight composite; strongest contribution: Safety / Legal.</t>
        </is>
      </c>
      <c r="AA433" s="6" t="inlineStr">
        <is>
          <t>None explicitly named in this RTM</t>
        </is>
      </c>
      <c r="AB433" s="6" t="inlineStr">
        <is>
          <t>Section-level: ISO 9001</t>
        </is>
      </c>
      <c r="AC433" s="6" t="inlineStr">
        <is>
          <t>Document review, inspection, certification, audit or traceable QC record</t>
        </is>
      </c>
      <c r="AD433" s="6" t="inlineStr">
        <is>
          <t>No separate deliverable explicitly named</t>
        </is>
      </c>
      <c r="AE433" s="6" t="inlineStr">
        <is>
          <t>L0 Tender / Offer; L1 Conceptual Design; L2 Detailed Design; L3 Procurement &amp; Manufacturing / FAT; L4 Installation; L5 Standalone Commissioning; L6 Site Acceptance Testing</t>
        </is>
      </c>
      <c r="AF433" s="6" t="inlineStr">
        <is>
          <t>Section/contract-derived reference; derived evidence route</t>
        </is>
      </c>
      <c r="AG433" s="58" t="inlineStr">
        <is>
          <t>Not linked to an OFFER item</t>
        </is>
      </c>
    </row>
    <row r="434" ht="60" customHeight="1">
      <c r="A434" s="6" t="n">
        <v>429</v>
      </c>
      <c r="B434" s="6" t="inlineStr">
        <is>
          <t>RTM-682</t>
        </is>
      </c>
      <c r="C434" s="6" t="inlineStr">
        <is>
          <t>No</t>
        </is>
      </c>
      <c r="D434" s="6" t="inlineStr">
        <is>
          <t>T2 Secondary</t>
        </is>
      </c>
      <c r="E434" s="6" t="inlineStr">
        <is>
          <t>Quality Assurance &amp; Control</t>
        </is>
      </c>
      <c r="F434" s="82" t="inlineStr">
        <is>
          <t>PROJECT</t>
        </is>
      </c>
      <c r="G434" s="83" t="inlineStr">
        <is>
          <t>Quality Assurance</t>
        </is>
      </c>
      <c r="H434" s="59" t="inlineStr">
        <is>
          <t>—</t>
        </is>
      </c>
      <c r="I434" s="81" t="inlineStr">
        <is>
          <t>Inferred: C7 — Quality, Testing &amp; Risk (high conf.)</t>
        </is>
      </c>
      <c r="J434" s="6" t="n">
        <v>125</v>
      </c>
      <c r="K434" s="6" t="inlineStr">
        <is>
          <t>8.2.1</t>
        </is>
      </c>
      <c r="L434" s="6" t="inlineStr">
        <is>
          <t>General requirements</t>
        </is>
      </c>
      <c r="M434" s="6" t="inlineStr">
        <is>
          <t>The Contractor shall perform quality control in accordance with recognized best practices.</t>
        </is>
      </c>
      <c r="N434" s="6" t="inlineStr">
        <is>
          <t>The Contractor shall perform quality control in accordance with recognized best practices.</t>
        </is>
      </c>
      <c r="O434" s="6" t="n">
        <v>2</v>
      </c>
      <c r="P434" s="6" t="n">
        <v>0</v>
      </c>
      <c r="Q434" s="6" t="n">
        <v>0</v>
      </c>
      <c r="R434" s="6" t="n">
        <v>0</v>
      </c>
      <c r="S434" s="6" t="n">
        <v>3</v>
      </c>
      <c r="T434" s="6" t="n">
        <v>0</v>
      </c>
      <c r="U434" s="6" t="n">
        <v>0</v>
      </c>
      <c r="V434" s="6" t="n">
        <v>25.333333</v>
      </c>
      <c r="W434" s="6" t="n">
        <v>43.7587</v>
      </c>
      <c r="X434" s="6" t="n">
        <v>2.1317</v>
      </c>
      <c r="Y434" s="6" t="inlineStr">
        <is>
          <t>Safety / Legal</t>
        </is>
      </c>
      <c r="Z434" s="6" t="inlineStr">
        <is>
          <t>Frozen-weight composite; strongest contribution: Safety / Legal.</t>
        </is>
      </c>
      <c r="AA434" s="6" t="inlineStr">
        <is>
          <t>None explicitly named in this RTM</t>
        </is>
      </c>
      <c r="AB434" s="6" t="inlineStr">
        <is>
          <t>SCK CEN/90508872 §8.2.1; no named external code</t>
        </is>
      </c>
      <c r="AC434" s="6" t="inlineStr">
        <is>
          <t>Document review, inspection, certification, audit or traceable QC record</t>
        </is>
      </c>
      <c r="AD434" s="6" t="inlineStr">
        <is>
          <t>No separate deliverable explicitly named</t>
        </is>
      </c>
      <c r="AE434" s="6" t="inlineStr">
        <is>
          <t>L0 Tender / Offer; L1 Conceptual Design; L2 Detailed Design; L3 Procurement &amp; Manufacturing / FAT; L4 Installation; L5 Standalone Commissioning; L6 Site Acceptance Testing</t>
        </is>
      </c>
      <c r="AF434" s="6" t="inlineStr">
        <is>
          <t>Section/contract-derived reference; derived evidence route</t>
        </is>
      </c>
      <c r="AG434" s="58" t="inlineStr">
        <is>
          <t>Not linked to an OFFER item</t>
        </is>
      </c>
    </row>
    <row r="435" ht="99" customHeight="1">
      <c r="A435" s="6" t="n">
        <v>430</v>
      </c>
      <c r="B435" s="6" t="inlineStr">
        <is>
          <t>RTM-683</t>
        </is>
      </c>
      <c r="C435" s="6" t="inlineStr">
        <is>
          <t>No</t>
        </is>
      </c>
      <c r="D435" s="6" t="inlineStr">
        <is>
          <t>T2 Secondary</t>
        </is>
      </c>
      <c r="E435" s="6" t="inlineStr">
        <is>
          <t>Quality Assurance &amp; Control</t>
        </is>
      </c>
      <c r="F435" s="82" t="inlineStr">
        <is>
          <t>PROJECT</t>
        </is>
      </c>
      <c r="G435" s="83" t="inlineStr">
        <is>
          <t>Quality Assurance</t>
        </is>
      </c>
      <c r="H435" s="59" t="inlineStr">
        <is>
          <t>—</t>
        </is>
      </c>
      <c r="I435" s="81" t="inlineStr">
        <is>
          <t>Inferred: C7 — Quality, Testing &amp; Risk (high conf.)</t>
        </is>
      </c>
      <c r="J435" s="6" t="n">
        <v>125</v>
      </c>
      <c r="K435" s="6" t="inlineStr">
        <is>
          <t>8.2.1</t>
        </is>
      </c>
      <c r="L435" s="6" t="inlineStr">
        <is>
          <t>General requirements</t>
        </is>
      </c>
      <c r="M435" s="6" t="inlineStr">
        <is>
          <t>The Contractor shall assume full responsibility for the quality of all deliverables and documentation, as well as all procured components, materials, and services. The Contractor shall ensure that the Contract is performed in accordance with all applicable regional, national, and international laws, regulations, industrial codes, standards, and Good Industry Practices.</t>
        </is>
      </c>
      <c r="N435" s="6" t="inlineStr">
        <is>
          <t>The Contractor shall assume full responsibility for the quality of all deliverables and documentation, as well as all procured components, materials, and services. The Contractor shall ensure that the Contract is performed in accordance with all applicable regional, national, and international laws, regulations, industrial codes, standards, and Good Industry Practices.</t>
        </is>
      </c>
      <c r="O435" s="6" t="n">
        <v>2</v>
      </c>
      <c r="P435" s="6" t="n">
        <v>0</v>
      </c>
      <c r="Q435" s="6" t="n">
        <v>0</v>
      </c>
      <c r="R435" s="6" t="n">
        <v>0</v>
      </c>
      <c r="S435" s="6" t="n">
        <v>3</v>
      </c>
      <c r="T435" s="6" t="n">
        <v>0</v>
      </c>
      <c r="U435" s="6" t="n">
        <v>0</v>
      </c>
      <c r="V435" s="6" t="n">
        <v>25.333333</v>
      </c>
      <c r="W435" s="6" t="n">
        <v>43.7587</v>
      </c>
      <c r="X435" s="6" t="n">
        <v>2.1317</v>
      </c>
      <c r="Y435" s="6" t="inlineStr">
        <is>
          <t>Safety / Legal</t>
        </is>
      </c>
      <c r="Z435" s="6" t="inlineStr">
        <is>
          <t>Frozen-weight composite; strongest contribution: Safety / Legal.</t>
        </is>
      </c>
      <c r="AA435" s="6" t="inlineStr">
        <is>
          <t>None explicitly named in this RTM</t>
        </is>
      </c>
      <c r="AB435" s="6" t="inlineStr">
        <is>
          <t>SCK CEN/90508872 §8.2.1; no named external code</t>
        </is>
      </c>
      <c r="AC435" s="6" t="inlineStr">
        <is>
          <t>Document review, inspection, certification, audit or traceable QC record</t>
        </is>
      </c>
      <c r="AD435" s="6" t="inlineStr">
        <is>
          <t>No separate deliverable explicitly named</t>
        </is>
      </c>
      <c r="AE435" s="6" t="inlineStr">
        <is>
          <t>L0 Tender / Offer; L1 Conceptual Design; L2 Detailed Design; L3 Procurement &amp; Manufacturing / FAT; L4 Installation; L5 Standalone Commissioning; L6 Site Acceptance Testing</t>
        </is>
      </c>
      <c r="AF435" s="6" t="inlineStr">
        <is>
          <t>Section/contract-derived reference; derived evidence route</t>
        </is>
      </c>
      <c r="AG435" s="58" t="inlineStr">
        <is>
          <t>Not linked to an OFFER item</t>
        </is>
      </c>
    </row>
    <row r="436" ht="60" customHeight="1">
      <c r="A436" s="6" t="n">
        <v>431</v>
      </c>
      <c r="B436" s="6" t="inlineStr">
        <is>
          <t>RTM-684</t>
        </is>
      </c>
      <c r="C436" s="6" t="inlineStr">
        <is>
          <t>No</t>
        </is>
      </c>
      <c r="D436" s="6" t="inlineStr">
        <is>
          <t>T2 Secondary</t>
        </is>
      </c>
      <c r="E436" s="6" t="inlineStr">
        <is>
          <t>Quality Assurance &amp; Control</t>
        </is>
      </c>
      <c r="F436" s="82" t="inlineStr">
        <is>
          <t>PROJECT</t>
        </is>
      </c>
      <c r="G436" s="83" t="inlineStr">
        <is>
          <t>Quality Assurance</t>
        </is>
      </c>
      <c r="H436" s="59" t="inlineStr">
        <is>
          <t>—</t>
        </is>
      </c>
      <c r="I436" s="81" t="inlineStr">
        <is>
          <t>Inferred: C7 — Quality, Testing &amp; Risk (high conf.)</t>
        </is>
      </c>
      <c r="J436" s="6" t="n">
        <v>126</v>
      </c>
      <c r="K436" s="6" t="inlineStr">
        <is>
          <t>8.2.1</t>
        </is>
      </c>
      <c r="L436" s="6" t="inlineStr">
        <is>
          <t>General requirements</t>
        </is>
      </c>
      <c r="M436" s="6" t="inlineStr">
        <is>
          <t>Additionally, to ensure compliance with the requirements outlined in this document, the Quality Assurance Program (QAP) shall, at a minimum, include the qualification and validation requirements specified herein.</t>
        </is>
      </c>
      <c r="N436" s="6" t="inlineStr">
        <is>
          <t>Additionally, to ensure compliance with the requirements outlined in this document, the Quality Assurance Program (QAP) shall, at a minimum, include the qualification and validation requirements specified herein.</t>
        </is>
      </c>
      <c r="O436" s="6" t="n">
        <v>2</v>
      </c>
      <c r="P436" s="6" t="n">
        <v>0</v>
      </c>
      <c r="Q436" s="6" t="n">
        <v>0</v>
      </c>
      <c r="R436" s="6" t="n">
        <v>0</v>
      </c>
      <c r="S436" s="6" t="n">
        <v>3</v>
      </c>
      <c r="T436" s="6" t="n">
        <v>0</v>
      </c>
      <c r="U436" s="6" t="n">
        <v>0</v>
      </c>
      <c r="V436" s="6" t="n">
        <v>25.333333</v>
      </c>
      <c r="W436" s="6" t="n">
        <v>43.7587</v>
      </c>
      <c r="X436" s="6" t="n">
        <v>2.1317</v>
      </c>
      <c r="Y436" s="6" t="inlineStr">
        <is>
          <t>Safety / Legal</t>
        </is>
      </c>
      <c r="Z436" s="6" t="inlineStr">
        <is>
          <t>Frozen-weight composite; strongest contribution: Safety / Legal.</t>
        </is>
      </c>
      <c r="AA436" s="6" t="inlineStr">
        <is>
          <t>None explicitly named in this RTM</t>
        </is>
      </c>
      <c r="AB436" s="6" t="inlineStr">
        <is>
          <t>SCK CEN/90508872 §8.2.1; no named external code</t>
        </is>
      </c>
      <c r="AC436" s="6" t="inlineStr">
        <is>
          <t>Submit and review the named deliverable with RTM traceability and approval status; Document review, inspection, certification, audit or traceable QC record</t>
        </is>
      </c>
      <c r="AD436" s="6" t="inlineStr">
        <is>
          <t>Quality Assurance Plan (QAP)</t>
        </is>
      </c>
      <c r="AE436" s="6" t="inlineStr">
        <is>
          <t>L0 Tender / Offer; L1 Conceptual Design; L2 Detailed Design; L3 Procurement &amp; Manufacturing / FAT; L4 Installation; L5 Standalone Commissioning; L6 Site Acceptance Testing</t>
        </is>
      </c>
      <c r="AF436" s="6" t="inlineStr">
        <is>
          <t>Section/contract-derived reference; explicit deliverable/test wording</t>
        </is>
      </c>
      <c r="AG436" s="58" t="inlineStr">
        <is>
          <t>Not linked to an OFFER item</t>
        </is>
      </c>
    </row>
    <row r="437" ht="190" customHeight="1">
      <c r="A437" s="6" t="n">
        <v>432</v>
      </c>
      <c r="B437" s="6" t="inlineStr">
        <is>
          <t>RTM-442</t>
        </is>
      </c>
      <c r="C437" s="6" t="inlineStr">
        <is>
          <t>No</t>
        </is>
      </c>
      <c r="D437" s="6" t="inlineStr">
        <is>
          <t>T2 Secondary</t>
        </is>
      </c>
      <c r="E437" s="6" t="inlineStr">
        <is>
          <t>Design &amp; Fabrication</t>
        </is>
      </c>
      <c r="F437" s="82" t="inlineStr">
        <is>
          <t>PROJECT</t>
        </is>
      </c>
      <c r="G437" s="83" t="inlineStr">
        <is>
          <t>Documentation &amp; Compliance</t>
        </is>
      </c>
      <c r="H437" s="59" t="inlineStr">
        <is>
          <t>—</t>
        </is>
      </c>
      <c r="I437" s="81" t="inlineStr">
        <is>
          <t>Inferred: C5 — Infrastructure &amp; Integration (medium conf.)</t>
        </is>
      </c>
      <c r="J437" s="6" t="n">
        <v>87</v>
      </c>
      <c r="K437" s="6" t="inlineStr">
        <is>
          <t>4.8.1</t>
        </is>
      </c>
      <c r="L437" s="6" t="inlineStr">
        <is>
          <t>Drawings and CAD models</t>
        </is>
      </c>
      <c r="M437" s="6" t="inlineStr">
        <is>
          <t>The Contractor shall submit updated 3D CAD models at the following Contract stages:</t>
        </is>
      </c>
      <c r="N437" s="6" t="inlineStr">
        <is>
          <t>The Contractor shall submit updated 3D CAD models at the following Contract stages:
• Conceptual Design
• Conceptual 3D model with a Level of Representation of at least LoR 30
• The model shall include the location of all external interfaces
• Detailed Design
• Detailed 3D model with a Level of Representation of at least LoR 40
• The model shall include, as applicable, metadata such as component identifiers, geometric data, material properties, kinematic information, assembly information
• Prior to the SAT
• As-built 3D model with a Level of Representation of LoR 99
• The model shall include metadata such as component IDs, geometric data, material properties, kinematic information, assembly information</t>
        </is>
      </c>
      <c r="O437" s="6" t="n">
        <v>0</v>
      </c>
      <c r="P437" s="6" t="n">
        <v>0</v>
      </c>
      <c r="Q437" s="6" t="n">
        <v>0</v>
      </c>
      <c r="R437" s="6" t="n">
        <v>2</v>
      </c>
      <c r="S437" s="6" t="n">
        <v>3</v>
      </c>
      <c r="T437" s="6" t="n">
        <v>1</v>
      </c>
      <c r="U437" s="6" t="n">
        <v>0</v>
      </c>
      <c r="V437" s="6" t="n">
        <v>25</v>
      </c>
      <c r="W437" s="6" t="n">
        <v>40.1526</v>
      </c>
      <c r="X437" s="6" t="n">
        <v>1.7439</v>
      </c>
      <c r="Y437" s="6" t="inlineStr">
        <is>
          <t>Quality / Verifiability</t>
        </is>
      </c>
      <c r="Z437" s="6" t="inlineStr">
        <is>
          <t>Frozen-weight composite; strongest contribution: Quality / Verifiability.</t>
        </is>
      </c>
      <c r="AA437" s="6" t="inlineStr">
        <is>
          <t>None explicitly named in this RTM</t>
        </is>
      </c>
      <c r="AB437" s="6" t="inlineStr">
        <is>
          <t>Section-level: ISA 5.1; ISO 10303-242; ISO 10303; ISO 1101:2017; ISO 1:2022; ISO 286:2010; ISO 2768:1989; ISO 2692:2021</t>
        </is>
      </c>
      <c r="AC437" s="6" t="inlineStr">
        <is>
          <t>Submit and review the named deliverable with RTM traceability and approval status; Witnessed FAT/SAT/commissioning test against stated acceptance criteria; Functional design/configuration review and sequence/interface demonstration</t>
        </is>
      </c>
      <c r="AD437" s="6" t="inlineStr">
        <is>
          <t>3D / CAD Model</t>
        </is>
      </c>
      <c r="AE437" s="6" t="inlineStr">
        <is>
          <t>L1 Conceptual Design; L2 Detailed Design; L6 Site Acceptance Testing</t>
        </is>
      </c>
      <c r="AF437" s="6" t="inlineStr">
        <is>
          <t>Section/contract-derived reference; explicit deliverable/test wording</t>
        </is>
      </c>
      <c r="AG437" s="58" t="inlineStr">
        <is>
          <t>Not linked to an OFFER item</t>
        </is>
      </c>
    </row>
    <row r="438" ht="86" customHeight="1">
      <c r="A438" s="6" t="n">
        <v>433</v>
      </c>
      <c r="B438" s="6" t="inlineStr">
        <is>
          <t>RTM-638</t>
        </is>
      </c>
      <c r="C438" s="6" t="inlineStr">
        <is>
          <t>No</t>
        </is>
      </c>
      <c r="D438" s="6" t="inlineStr">
        <is>
          <t>T2 Secondary</t>
        </is>
      </c>
      <c r="E438" s="6" t="inlineStr">
        <is>
          <t>Contract Performance</t>
        </is>
      </c>
      <c r="F438" s="82" t="inlineStr">
        <is>
          <t>PROJECT</t>
        </is>
      </c>
      <c r="G438" s="83" t="inlineStr">
        <is>
          <t>Documentation &amp; Compliance</t>
        </is>
      </c>
      <c r="H438" s="59" t="inlineStr">
        <is>
          <t>—</t>
        </is>
      </c>
      <c r="I438" s="81" t="inlineStr">
        <is>
          <t>Inferred: C8 — Commercial &amp; Execution (medium conf.)</t>
        </is>
      </c>
      <c r="J438" s="6" t="n">
        <v>120</v>
      </c>
      <c r="K438" s="6" t="inlineStr">
        <is>
          <t>7.4.2.2</t>
        </is>
      </c>
      <c r="L438" s="6" t="inlineStr">
        <is>
          <t>Milestone Meetings</t>
        </is>
      </c>
      <c r="M438" s="6" t="inlineStr">
        <is>
          <t>The Contractor shall organize at least the following Milestone Meetings:</t>
        </is>
      </c>
      <c r="N438" s="6" t="inlineStr">
        <is>
          <t>The Contractor shall organize at least the following Milestone Meetings:
• Kick-Off meeting (M11)
• This meeting is a “face-to-face” meeting to be held at SCK CEN in Mol.
• At the end of each Contract Phase
• SAT completion.
• This meeting is a “face-to-face” meeting to be held at SCK CEN in Mol.</t>
        </is>
      </c>
      <c r="O438" s="6" t="n">
        <v>1</v>
      </c>
      <c r="P438" s="6" t="n">
        <v>0</v>
      </c>
      <c r="Q438" s="6" t="n">
        <v>0</v>
      </c>
      <c r="R438" s="6" t="n">
        <v>1</v>
      </c>
      <c r="S438" s="6" t="n">
        <v>3</v>
      </c>
      <c r="T438" s="6" t="n">
        <v>0</v>
      </c>
      <c r="U438" s="6" t="n">
        <v>1</v>
      </c>
      <c r="V438" s="6" t="n">
        <v>25</v>
      </c>
      <c r="W438" s="6" t="n">
        <v>40.1526</v>
      </c>
      <c r="X438" s="6" t="n">
        <v>1.7439</v>
      </c>
      <c r="Y438" s="6" t="inlineStr">
        <is>
          <t>Quality / Verifiability</t>
        </is>
      </c>
      <c r="Z438" s="6" t="inlineStr">
        <is>
          <t>Frozen-weight composite; strongest contribution: Quality / Verifiability.</t>
        </is>
      </c>
      <c r="AA438" s="6" t="inlineStr">
        <is>
          <t>None explicitly named in this RTM</t>
        </is>
      </c>
      <c r="AB438" s="6" t="inlineStr">
        <is>
          <t>SCK CEN/90508872 §7.4.2.2; no named external code</t>
        </is>
      </c>
      <c r="AC438" s="6" t="inlineStr">
        <is>
          <t>Submit and review the named deliverable with RTM traceability and approval status; Witnessed FAT/SAT/commissioning test against stated acceptance criteria</t>
        </is>
      </c>
      <c r="AD438" s="6" t="inlineStr">
        <is>
          <t>Schedule / milestone plan</t>
        </is>
      </c>
      <c r="AE438" s="6" t="inlineStr">
        <is>
          <t>L6 Site Acceptance Testing; L0 Tender / Offer; L1 Conceptual Design; L2 Detailed Design; L3 Procurement &amp; Manufacturing / FAT; L4 Installation; L5 Standalone Commissioning</t>
        </is>
      </c>
      <c r="AF438" s="6" t="inlineStr">
        <is>
          <t>Section/contract-derived reference; explicit deliverable/test wording</t>
        </is>
      </c>
      <c r="AG438" s="58" t="inlineStr">
        <is>
          <t>Not linked to an OFFER item</t>
        </is>
      </c>
    </row>
    <row r="439" ht="164" customHeight="1">
      <c r="A439" s="6" t="n">
        <v>434</v>
      </c>
      <c r="B439" s="6" t="inlineStr">
        <is>
          <t>RTM-008</t>
        </is>
      </c>
      <c r="C439" s="6" t="inlineStr">
        <is>
          <t>No</t>
        </is>
      </c>
      <c r="D439" s="6" t="inlineStr">
        <is>
          <t>T2 Secondary</t>
        </is>
      </c>
      <c r="E439" s="6" t="inlineStr">
        <is>
          <t>Process &amp; Functional</t>
        </is>
      </c>
      <c r="F439" s="82" t="inlineStr">
        <is>
          <t>SYSTEM</t>
        </is>
      </c>
      <c r="G439" s="83" t="inlineStr">
        <is>
          <t>Performance</t>
        </is>
      </c>
      <c r="H439" s="59" t="inlineStr">
        <is>
          <t>—</t>
        </is>
      </c>
      <c r="I439" s="81" t="inlineStr">
        <is>
          <t>Inferred: C2 — Process Design (low conf.)</t>
        </is>
      </c>
      <c r="J439" s="6" t="n">
        <v>26</v>
      </c>
      <c r="K439" s="6" t="inlineStr">
        <is>
          <t>4.2.1</t>
        </is>
      </c>
      <c r="L439" s="6" t="inlineStr">
        <is>
          <t>Design and Operational Conditions</t>
        </is>
      </c>
      <c r="M439" s="6" t="inlineStr">
        <is>
          <t>The QPS shall be sized in accordance with the following Design Conditions:</t>
        </is>
      </c>
      <c r="N439" s="6" t="inlineStr">
        <is>
          <t>The QPS shall be sized in accordance with the following Design Conditions:
• QPLANT Design Point
• Design Conditions of 2K-OP (2 K Operation) in accordance with §4.2.4 “Cooling Capacity”
• QPLANT Standby Point
• Design Conditions of 2K-SB (2 K Standby) in accordance with §4.2.4 “Cooling Capacity”
• WSH Design Point
• Design Conditions in accordance with RTM-241, §4.4.5.2 “WSH Requirements”
• QSN Design Point
• Design Conditions in accordance with §4.4.6 ”Liquid Nitrogen Storage (QSN)”</t>
        </is>
      </c>
      <c r="O439" s="6" t="n">
        <v>0</v>
      </c>
      <c r="P439" s="6" t="n">
        <v>0</v>
      </c>
      <c r="Q439" s="6" t="n">
        <v>3</v>
      </c>
      <c r="R439" s="6" t="n">
        <v>0</v>
      </c>
      <c r="S439" s="6" t="n">
        <v>1</v>
      </c>
      <c r="T439" s="6" t="n">
        <v>0</v>
      </c>
      <c r="U439" s="6" t="n">
        <v>0</v>
      </c>
      <c r="V439" s="6" t="n">
        <v>24</v>
      </c>
      <c r="W439" s="6" t="n">
        <v>39.8058</v>
      </c>
      <c r="X439" s="6" t="n">
        <v>1.7104</v>
      </c>
      <c r="Y439" s="6" t="inlineStr">
        <is>
          <t>Performance</t>
        </is>
      </c>
      <c r="Z439" s="6" t="inlineStr">
        <is>
          <t>Frozen-weight composite; strongest contribution: Performance.</t>
        </is>
      </c>
      <c r="AA439" s="6" t="inlineStr">
        <is>
          <t>None explicitly named in this RTM</t>
        </is>
      </c>
      <c r="AB439" s="6" t="inlineStr">
        <is>
          <t>SCK CEN/90508872 §4.2.1; no named external code</t>
        </is>
      </c>
      <c r="AC439" s="6" t="inlineStr">
        <is>
          <t>Calculation/model plus calibrated measurement or recorded trend</t>
        </is>
      </c>
      <c r="AD439" s="6" t="inlineStr">
        <is>
          <t>No separate deliverable explicitly named</t>
        </is>
      </c>
      <c r="AE439" s="6" t="inlineStr">
        <is>
          <t>L1 Conceptual Design; L2 Detailed Design</t>
        </is>
      </c>
      <c r="AF439" s="6" t="inlineStr">
        <is>
          <t>Section/contract-derived reference; derived evidence route</t>
        </is>
      </c>
      <c r="AG439" s="58" t="inlineStr">
        <is>
          <t>Not linked to an OFFER item</t>
        </is>
      </c>
    </row>
    <row r="440" ht="138" customHeight="1">
      <c r="A440" s="6" t="n">
        <v>435</v>
      </c>
      <c r="B440" s="6" t="inlineStr">
        <is>
          <t>RTM-051</t>
        </is>
      </c>
      <c r="C440" s="6" t="inlineStr">
        <is>
          <t>No</t>
        </is>
      </c>
      <c r="D440" s="6" t="inlineStr">
        <is>
          <t>T2 Secondary</t>
        </is>
      </c>
      <c r="E440" s="6" t="inlineStr">
        <is>
          <t>Process &amp; Functional</t>
        </is>
      </c>
      <c r="F440" s="82" t="inlineStr">
        <is>
          <t>SYSTEM</t>
        </is>
      </c>
      <c r="G440" s="83" t="inlineStr">
        <is>
          <t>Performance</t>
        </is>
      </c>
      <c r="H440" s="59" t="inlineStr">
        <is>
          <t>—</t>
        </is>
      </c>
      <c r="I440" s="81" t="inlineStr">
        <is>
          <t>Inferred: C2 — Process Design (low conf.)</t>
        </is>
      </c>
      <c r="J440" s="6" t="n">
        <v>36</v>
      </c>
      <c r="K440" s="6" t="inlineStr">
        <is>
          <t>4.2.6</t>
        </is>
      </c>
      <c r="L440" s="6" t="inlineStr">
        <is>
          <t>Abnormal event</t>
        </is>
      </c>
      <c r="M440" s="6" t="inlineStr">
        <is>
          <t>The QPS design shall consider the following abnormal events affecting the electrical supply of the QPS:</t>
        </is>
      </c>
      <c r="N440" s="6" t="inlineStr">
        <is>
          <t>The QPS design shall consider the following abnormal events affecting the electrical supply of the QPS:
• LOOP: Loss of Offsite Power, in the following duration levels
• LOOP_15m: LOOP for a total duration of up to 15min
• LOOP_1h: LOOP for a total duration of up to 1 hour
• LOOP_72h: LOOP for a total duration of up to 72 hours
• Loss of electrical supply to the QPS:CIS
• Loss of electrical supply to (at least) one warm compressor
• Transient grid disturbances, including voltage dip or short-duration power interruption.</t>
        </is>
      </c>
      <c r="O440" s="6" t="n">
        <v>0</v>
      </c>
      <c r="P440" s="6" t="n">
        <v>0</v>
      </c>
      <c r="Q440" s="6" t="n">
        <v>3</v>
      </c>
      <c r="R440" s="6" t="n">
        <v>0</v>
      </c>
      <c r="S440" s="6" t="n">
        <v>1</v>
      </c>
      <c r="T440" s="6" t="n">
        <v>0</v>
      </c>
      <c r="U440" s="6" t="n">
        <v>0</v>
      </c>
      <c r="V440" s="6" t="n">
        <v>24</v>
      </c>
      <c r="W440" s="6" t="n">
        <v>39.8058</v>
      </c>
      <c r="X440" s="6" t="n">
        <v>1.7104</v>
      </c>
      <c r="Y440" s="6" t="inlineStr">
        <is>
          <t>Performance</t>
        </is>
      </c>
      <c r="Z440" s="6" t="inlineStr">
        <is>
          <t>Frozen-weight composite; strongest contribution: Performance.</t>
        </is>
      </c>
      <c r="AA440" s="6" t="inlineStr">
        <is>
          <t>None explicitly named in this RTM</t>
        </is>
      </c>
      <c r="AB440" s="6" t="inlineStr">
        <is>
          <t>SCK CEN/90508872 §4.2.6; no named external code</t>
        </is>
      </c>
      <c r="AC440" s="6" t="inlineStr">
        <is>
          <t>Calculation/model plus calibrated measurement or recorded trend</t>
        </is>
      </c>
      <c r="AD440" s="6" t="inlineStr">
        <is>
          <t>No separate deliverable explicitly named</t>
        </is>
      </c>
      <c r="AE440" s="6" t="inlineStr">
        <is>
          <t>L1 Conceptual Design; L2 Detailed Design</t>
        </is>
      </c>
      <c r="AF440" s="6" t="inlineStr">
        <is>
          <t>Section/contract-derived reference; derived evidence route</t>
        </is>
      </c>
      <c r="AG440" s="58" t="inlineStr">
        <is>
          <t>Not linked to an OFFER item</t>
        </is>
      </c>
    </row>
    <row r="441" ht="86" customHeight="1">
      <c r="A441" s="6" t="n">
        <v>436</v>
      </c>
      <c r="B441" s="6" t="inlineStr">
        <is>
          <t>RTM-073</t>
        </is>
      </c>
      <c r="C441" s="6" t="inlineStr">
        <is>
          <t>No</t>
        </is>
      </c>
      <c r="D441" s="6" t="inlineStr">
        <is>
          <t>T2 Secondary</t>
        </is>
      </c>
      <c r="E441" s="6" t="inlineStr">
        <is>
          <t>Global Design Criteria</t>
        </is>
      </c>
      <c r="F441" s="82" t="inlineStr">
        <is>
          <t>SYSTEM</t>
        </is>
      </c>
      <c r="G441" s="83" t="inlineStr">
        <is>
          <t>Performance</t>
        </is>
      </c>
      <c r="H441" s="59" t="inlineStr">
        <is>
          <t>—</t>
        </is>
      </c>
      <c r="I441" s="58" t="inlineStr">
        <is>
          <t>C1 — Performance</t>
        </is>
      </c>
      <c r="J441" s="6" t="n">
        <v>40</v>
      </c>
      <c r="K441" s="6" t="inlineStr">
        <is>
          <t>4.3.4.1</t>
        </is>
      </c>
      <c r="L441" s="6" t="inlineStr">
        <is>
          <t>Inverse Coefficient of Performance (invCOP)</t>
        </is>
      </c>
      <c r="M441" s="6" t="inlineStr">
        <is>
          <t>The invCOP shall be defined as:</t>
        </is>
      </c>
      <c r="N441" s="6" t="inlineStr">
        <is>
          <t>The invCOP shall be defined as:
invCOP = W_elec_eq / Q_4.5K_eq
• Where:
• W_elec_eq is the equivalent electrical input power, as defined in RTM-074
• Q_4.5K_eq is the equivalent isothermal refrigeration load at 4.5 K, as defined in RTM-076</t>
        </is>
      </c>
      <c r="O441" s="6" t="n">
        <v>0</v>
      </c>
      <c r="P441" s="6" t="n">
        <v>0</v>
      </c>
      <c r="Q441" s="6" t="n">
        <v>3</v>
      </c>
      <c r="R441" s="6" t="n">
        <v>0</v>
      </c>
      <c r="S441" s="6" t="n">
        <v>1</v>
      </c>
      <c r="T441" s="6" t="n">
        <v>0</v>
      </c>
      <c r="U441" s="6" t="n">
        <v>0</v>
      </c>
      <c r="V441" s="6" t="n">
        <v>24</v>
      </c>
      <c r="W441" s="6" t="n">
        <v>39.8058</v>
      </c>
      <c r="X441" s="6" t="n">
        <v>1.7104</v>
      </c>
      <c r="Y441" s="6" t="inlineStr">
        <is>
          <t>Performance</t>
        </is>
      </c>
      <c r="Z441" s="6" t="inlineStr">
        <is>
          <t>Frozen-weight composite; strongest contribution: Performance.</t>
        </is>
      </c>
      <c r="AA441" s="6" t="inlineStr">
        <is>
          <t>None explicitly named in this RTM</t>
        </is>
      </c>
      <c r="AB441" s="6" t="inlineStr">
        <is>
          <t>SCK CEN/90508872 §4.3.4.1; no named external code</t>
        </is>
      </c>
      <c r="AC441" s="6" t="inlineStr">
        <is>
          <t>Calculation/model plus calibrated measurement or recorded trend</t>
        </is>
      </c>
      <c r="AD441" s="6" t="inlineStr">
        <is>
          <t>No separate deliverable explicitly named</t>
        </is>
      </c>
      <c r="AE441" s="6" t="inlineStr">
        <is>
          <t>L1 Conceptual Design; L2 Detailed Design</t>
        </is>
      </c>
      <c r="AF441" s="6" t="inlineStr">
        <is>
          <t>Section/contract-derived reference; derived evidence route</t>
        </is>
      </c>
      <c r="AG441" s="58" t="inlineStr">
        <is>
          <t>OFFER-12 (Supporting)</t>
        </is>
      </c>
    </row>
    <row r="442" ht="60" customHeight="1">
      <c r="A442" s="6" t="n">
        <v>437</v>
      </c>
      <c r="B442" s="6" t="inlineStr">
        <is>
          <t>RTM-093</t>
        </is>
      </c>
      <c r="C442" s="6" t="inlineStr">
        <is>
          <t>No</t>
        </is>
      </c>
      <c r="D442" s="6" t="inlineStr">
        <is>
          <t>T2 Secondary</t>
        </is>
      </c>
      <c r="E442" s="6" t="inlineStr">
        <is>
          <t>Subsystems</t>
        </is>
      </c>
      <c r="F442" s="82" t="inlineStr">
        <is>
          <t>PROJECT</t>
        </is>
      </c>
      <c r="G442" s="83" t="inlineStr">
        <is>
          <t>Documentation &amp; Compliance</t>
        </is>
      </c>
      <c r="H442" s="59" t="inlineStr">
        <is>
          <t>—</t>
        </is>
      </c>
      <c r="I442" s="81" t="inlineStr">
        <is>
          <t>Inferred: C2 — Process Design (low conf.)</t>
        </is>
      </c>
      <c r="J442" s="6" t="n">
        <v>44</v>
      </c>
      <c r="K442" s="6" t="inlineStr">
        <is>
          <t>4.4.2</t>
        </is>
      </c>
      <c r="L442" s="6" t="inlineStr">
        <is>
          <t>Common Instrumentation Parts</t>
        </is>
      </c>
      <c r="M442" s="6" t="inlineStr">
        <is>
          <t>The Contractor shall define the instrumentation layout and measurement ranges.</t>
        </is>
      </c>
      <c r="N442" s="6" t="inlineStr">
        <is>
          <t>The Contractor shall define the instrumentation layout and measurement ranges.
• The Contractor shall submit this documentation to SCK CEN for review and approval during the Detailed-Design Phase.</t>
        </is>
      </c>
      <c r="O442" s="6" t="n">
        <v>0</v>
      </c>
      <c r="P442" s="6" t="n">
        <v>0</v>
      </c>
      <c r="Q442" s="6" t="n">
        <v>2</v>
      </c>
      <c r="R442" s="6" t="n">
        <v>2</v>
      </c>
      <c r="S442" s="6" t="n">
        <v>0</v>
      </c>
      <c r="T442" s="6" t="n">
        <v>0</v>
      </c>
      <c r="U442" s="6" t="n">
        <v>0</v>
      </c>
      <c r="V442" s="6" t="n">
        <v>24</v>
      </c>
      <c r="W442" s="6" t="n">
        <v>33.0791</v>
      </c>
      <c r="X442" s="6" t="n">
        <v>1.1664</v>
      </c>
      <c r="Y442" s="6" t="inlineStr">
        <is>
          <t>Performance</t>
        </is>
      </c>
      <c r="Z442" s="6" t="inlineStr">
        <is>
          <t>Frozen-weight composite; strongest contribution: Performance.</t>
        </is>
      </c>
      <c r="AA442" s="6" t="inlineStr">
        <is>
          <t>None explicitly named in this RTM</t>
        </is>
      </c>
      <c r="AB442" s="6" t="inlineStr">
        <is>
          <t>SCK CEN/90508872 §4.4.2; no named external code</t>
        </is>
      </c>
      <c r="AC442" s="6" t="inlineStr">
        <is>
          <t>Calculation/model plus calibrated measurement or recorded trend</t>
        </is>
      </c>
      <c r="AD442" s="6" t="inlineStr">
        <is>
          <t>No separate deliverable explicitly named</t>
        </is>
      </c>
      <c r="AE442" s="6" t="inlineStr">
        <is>
          <t>L1 Conceptual Design; L2 Detailed Design</t>
        </is>
      </c>
      <c r="AF442" s="6" t="inlineStr">
        <is>
          <t>Section/contract-derived reference; derived evidence route</t>
        </is>
      </c>
      <c r="AG442" s="58" t="inlineStr">
        <is>
          <t>Not linked to an OFFER item</t>
        </is>
      </c>
    </row>
    <row r="443" ht="138" customHeight="1">
      <c r="A443" s="6" t="n">
        <v>438</v>
      </c>
      <c r="B443" s="6" t="inlineStr">
        <is>
          <t>RTM-095</t>
        </is>
      </c>
      <c r="C443" s="6" t="inlineStr">
        <is>
          <t>No</t>
        </is>
      </c>
      <c r="D443" s="6" t="inlineStr">
        <is>
          <t>T2 Secondary</t>
        </is>
      </c>
      <c r="E443" s="6" t="inlineStr">
        <is>
          <t>Subsystems</t>
        </is>
      </c>
      <c r="F443" s="82" t="inlineStr">
        <is>
          <t>PROJECT</t>
        </is>
      </c>
      <c r="G443" s="83" t="inlineStr">
        <is>
          <t>Documentation &amp; Compliance</t>
        </is>
      </c>
      <c r="H443" s="59" t="inlineStr">
        <is>
          <t>—</t>
        </is>
      </c>
      <c r="I443" s="81" t="inlineStr">
        <is>
          <t>Inferred: C2 — Process Design (low conf.)</t>
        </is>
      </c>
      <c r="J443" s="6" t="n">
        <v>44</v>
      </c>
      <c r="K443" s="6" t="inlineStr">
        <is>
          <t>4.4.2</t>
        </is>
      </c>
      <c r="L443" s="6" t="inlineStr">
        <is>
          <t>Common Instrumentation Parts</t>
        </is>
      </c>
      <c r="M443" s="6" t="inlineStr">
        <is>
          <t>The Contractor shall document all instrumentation mounted within the insulation vacuum (e.g. within the cold box unit) in a photographic log per Instance such that its location can be clearly identified.</t>
        </is>
      </c>
      <c r="N443" s="6" t="inlineStr">
        <is>
          <t>The Contractor shall document all instrumentation mounted within the insulation vacuum (e.g. within the cold box unit) in a photographic log per Instance such that its location can be clearly identified.
• The photographic log shall provide evidence that the Instrumentation was installed correctly.
• At minimum, the Contractor shall provide:
• Overview photos (i.e. wide-view photos), showing the Instrumentation’s exact location
• Close-up photo showing the details of all connectors (if any)
• Close-up photo of each label</t>
        </is>
      </c>
      <c r="O443" s="6" t="n">
        <v>0</v>
      </c>
      <c r="P443" s="6" t="n">
        <v>0</v>
      </c>
      <c r="Q443" s="6" t="n">
        <v>2</v>
      </c>
      <c r="R443" s="6" t="n">
        <v>2</v>
      </c>
      <c r="S443" s="6" t="n">
        <v>0</v>
      </c>
      <c r="T443" s="6" t="n">
        <v>0</v>
      </c>
      <c r="U443" s="6" t="n">
        <v>0</v>
      </c>
      <c r="V443" s="6" t="n">
        <v>24</v>
      </c>
      <c r="W443" s="6" t="n">
        <v>33.0791</v>
      </c>
      <c r="X443" s="6" t="n">
        <v>1.1664</v>
      </c>
      <c r="Y443" s="6" t="inlineStr">
        <is>
          <t>Performance</t>
        </is>
      </c>
      <c r="Z443" s="6" t="inlineStr">
        <is>
          <t>Frozen-weight composite; strongest contribution: Performance.</t>
        </is>
      </c>
      <c r="AA443" s="6" t="inlineStr">
        <is>
          <t>None explicitly named in this RTM</t>
        </is>
      </c>
      <c r="AB443" s="6" t="inlineStr">
        <is>
          <t>SCK CEN/90508872 §4.4.2; no named external code</t>
        </is>
      </c>
      <c r="AC443" s="6" t="inlineStr">
        <is>
          <t>Calculation/model plus calibrated measurement or recorded trend</t>
        </is>
      </c>
      <c r="AD443" s="6" t="inlineStr">
        <is>
          <t>No separate deliverable explicitly named</t>
        </is>
      </c>
      <c r="AE443" s="6" t="inlineStr">
        <is>
          <t>L1 Conceptual Design; L2 Detailed Design</t>
        </is>
      </c>
      <c r="AF443" s="6" t="inlineStr">
        <is>
          <t>Section/contract-derived reference; derived evidence route</t>
        </is>
      </c>
      <c r="AG443" s="58" t="inlineStr">
        <is>
          <t>Not linked to an OFFER item</t>
        </is>
      </c>
    </row>
    <row r="444" ht="86" customHeight="1">
      <c r="A444" s="6" t="n">
        <v>439</v>
      </c>
      <c r="B444" s="6" t="inlineStr">
        <is>
          <t>RTM-097</t>
        </is>
      </c>
      <c r="C444" s="6" t="inlineStr">
        <is>
          <t>No</t>
        </is>
      </c>
      <c r="D444" s="6" t="inlineStr">
        <is>
          <t>T2 Secondary</t>
        </is>
      </c>
      <c r="E444" s="6" t="inlineStr">
        <is>
          <t>Subsystems</t>
        </is>
      </c>
      <c r="F444" s="82" t="inlineStr">
        <is>
          <t>SYSTEM</t>
        </is>
      </c>
      <c r="G444" s="83" t="inlineStr">
        <is>
          <t>Performance</t>
        </is>
      </c>
      <c r="H444" s="59" t="inlineStr">
        <is>
          <t>—</t>
        </is>
      </c>
      <c r="I444" s="81" t="inlineStr">
        <is>
          <t>Inferred: C2 — Process Design (low conf.)</t>
        </is>
      </c>
      <c r="J444" s="6" t="n">
        <v>44</v>
      </c>
      <c r="K444" s="6" t="inlineStr">
        <is>
          <t>4.4.2.1</t>
        </is>
      </c>
      <c r="L444" s="6" t="inlineStr">
        <is>
          <t>Valves</t>
        </is>
      </c>
      <c r="M444" s="6" t="inlineStr">
        <is>
          <t>Cryogenic valves inside the QRB shall provide external tightness by metallic bellows sealing (or equivalent proven technology) over the full operating temperature range.</t>
        </is>
      </c>
      <c r="N444" s="6" t="inlineStr">
        <is>
          <t>Cryogenic valves inside the QRB shall provide external tightness by metallic bellows sealing (or equivalent proven technology) over the full operating temperature range.
• Where required by insulation thickness/thermal design, valves shall be provided with an extended bonnet/neck to maintain the actuator and stem seals within acceptable temperature limits</t>
        </is>
      </c>
      <c r="O444" s="6" t="n">
        <v>0</v>
      </c>
      <c r="P444" s="6" t="n">
        <v>0</v>
      </c>
      <c r="Q444" s="6" t="n">
        <v>2</v>
      </c>
      <c r="R444" s="6" t="n">
        <v>2</v>
      </c>
      <c r="S444" s="6" t="n">
        <v>0</v>
      </c>
      <c r="T444" s="6" t="n">
        <v>0</v>
      </c>
      <c r="U444" s="6" t="n">
        <v>0</v>
      </c>
      <c r="V444" s="6" t="n">
        <v>24</v>
      </c>
      <c r="W444" s="6" t="n">
        <v>33.0791</v>
      </c>
      <c r="X444" s="6" t="n">
        <v>1.1664</v>
      </c>
      <c r="Y444" s="6" t="inlineStr">
        <is>
          <t>Performance</t>
        </is>
      </c>
      <c r="Z444" s="6" t="inlineStr">
        <is>
          <t>Frozen-weight composite; strongest contribution: Performance.</t>
        </is>
      </c>
      <c r="AA444" s="6" t="inlineStr">
        <is>
          <t>None explicitly named in this RTM</t>
        </is>
      </c>
      <c r="AB444" s="6" t="inlineStr">
        <is>
          <t>SCK CEN/90508872 §4.4.2.1; no named external code</t>
        </is>
      </c>
      <c r="AC444" s="6" t="inlineStr">
        <is>
          <t>Calculation/model plus calibrated measurement or recorded trend</t>
        </is>
      </c>
      <c r="AD444" s="6" t="inlineStr">
        <is>
          <t>No separate deliverable explicitly named</t>
        </is>
      </c>
      <c r="AE444" s="6" t="inlineStr">
        <is>
          <t>L1 Conceptual Design; L2 Detailed Design</t>
        </is>
      </c>
      <c r="AF444" s="6" t="inlineStr">
        <is>
          <t>Section/contract-derived reference; derived evidence route</t>
        </is>
      </c>
      <c r="AG444" s="58" t="inlineStr">
        <is>
          <t>Not linked to an OFFER item</t>
        </is>
      </c>
    </row>
    <row r="445" ht="112" customHeight="1">
      <c r="A445" s="6" t="n">
        <v>440</v>
      </c>
      <c r="B445" s="6" t="inlineStr">
        <is>
          <t>RTM-098</t>
        </is>
      </c>
      <c r="C445" s="6" t="inlineStr">
        <is>
          <t>No</t>
        </is>
      </c>
      <c r="D445" s="6" t="inlineStr">
        <is>
          <t>T2 Secondary</t>
        </is>
      </c>
      <c r="E445" s="6" t="inlineStr">
        <is>
          <t>Subsystems</t>
        </is>
      </c>
      <c r="F445" s="82" t="inlineStr">
        <is>
          <t>SAFETY</t>
        </is>
      </c>
      <c r="G445" s="83" t="inlineStr">
        <is>
          <t>Interlock &amp; Control Safety</t>
        </is>
      </c>
      <c r="H445" s="59" t="inlineStr">
        <is>
          <t>—</t>
        </is>
      </c>
      <c r="I445" s="81" t="inlineStr">
        <is>
          <t>Inferred: C2 — Process Design (low conf.)</t>
        </is>
      </c>
      <c r="J445" s="6" t="n">
        <v>44</v>
      </c>
      <c r="K445" s="6" t="inlineStr">
        <is>
          <t>4.4.2.1</t>
        </is>
      </c>
      <c r="L445" s="6" t="inlineStr">
        <is>
          <t>Valves</t>
        </is>
      </c>
      <c r="M445" s="6" t="inlineStr">
        <is>
          <t>Automatic isolation valves used for helium (independent of temperature) shall be selected and qualified for the applicable process conditions and shall meet the specified tightness and safety requirements.</t>
        </is>
      </c>
      <c r="N445" s="6" t="inlineStr">
        <is>
          <t>Automatic isolation valves used for helium (independent of temperature) shall be selected and qualified for the applicable process conditions and shall meet the specified tightness and safety requirements.
• As a default selection, ball valves shall be used up to DN100 and butterfly valves above DN100. Deviations shall be justified by the Contractor (e.g. throttling duty, cryogenic tightness, cycling, cleanliness, fail-safe requirements).
• Isolation valves shall be welded into the process pipework.</t>
        </is>
      </c>
      <c r="O445" s="6" t="n">
        <v>0</v>
      </c>
      <c r="P445" s="6" t="n">
        <v>0</v>
      </c>
      <c r="Q445" s="6" t="n">
        <v>2</v>
      </c>
      <c r="R445" s="6" t="n">
        <v>2</v>
      </c>
      <c r="S445" s="6" t="n">
        <v>0</v>
      </c>
      <c r="T445" s="6" t="n">
        <v>0</v>
      </c>
      <c r="U445" s="6" t="n">
        <v>0</v>
      </c>
      <c r="V445" s="6" t="n">
        <v>24</v>
      </c>
      <c r="W445" s="6" t="n">
        <v>33.0791</v>
      </c>
      <c r="X445" s="6" t="n">
        <v>1.1664</v>
      </c>
      <c r="Y445" s="6" t="inlineStr">
        <is>
          <t>Performance</t>
        </is>
      </c>
      <c r="Z445" s="6" t="inlineStr">
        <is>
          <t>Frozen-weight composite; strongest contribution: Performance.</t>
        </is>
      </c>
      <c r="AA445" s="6" t="inlineStr">
        <is>
          <t>None explicitly named in this RTM</t>
        </is>
      </c>
      <c r="AB445" s="6" t="inlineStr">
        <is>
          <t>SCK CEN/90508872 §4.4.2.1; no named external code</t>
        </is>
      </c>
      <c r="AC445" s="6" t="inlineStr">
        <is>
          <t>Calculation/model plus calibrated measurement or recorded trend</t>
        </is>
      </c>
      <c r="AD445" s="6" t="inlineStr">
        <is>
          <t>No separate deliverable explicitly named</t>
        </is>
      </c>
      <c r="AE445" s="6" t="inlineStr">
        <is>
          <t>L1 Conceptual Design; L2 Detailed Design</t>
        </is>
      </c>
      <c r="AF445" s="6" t="inlineStr">
        <is>
          <t>Section/contract-derived reference; derived evidence route</t>
        </is>
      </c>
      <c r="AG445" s="58" t="inlineStr">
        <is>
          <t>Not linked to an OFFER item</t>
        </is>
      </c>
    </row>
    <row r="446" ht="60" customHeight="1">
      <c r="A446" s="6" t="n">
        <v>441</v>
      </c>
      <c r="B446" s="6" t="inlineStr">
        <is>
          <t>RTM-099</t>
        </is>
      </c>
      <c r="C446" s="6" t="inlineStr">
        <is>
          <t>No</t>
        </is>
      </c>
      <c r="D446" s="6" t="inlineStr">
        <is>
          <t>T2 Secondary</t>
        </is>
      </c>
      <c r="E446" s="6" t="inlineStr">
        <is>
          <t>Subsystems</t>
        </is>
      </c>
      <c r="F446" s="82" t="inlineStr">
        <is>
          <t>SYSTEM</t>
        </is>
      </c>
      <c r="G446" s="83" t="inlineStr">
        <is>
          <t>Control</t>
        </is>
      </c>
      <c r="H446" s="59" t="inlineStr">
        <is>
          <t>—</t>
        </is>
      </c>
      <c r="I446" s="81" t="inlineStr">
        <is>
          <t>Inferred: C3 — Mechanical &amp; Equipment (medium conf.)</t>
        </is>
      </c>
      <c r="J446" s="6" t="n">
        <v>44</v>
      </c>
      <c r="K446" s="6" t="inlineStr">
        <is>
          <t>4.4.2.1</t>
        </is>
      </c>
      <c r="L446" s="6" t="inlineStr">
        <is>
          <t>Valves</t>
        </is>
      </c>
      <c r="M446" s="6" t="inlineStr">
        <is>
          <t>All control valves shall be equipped with:</t>
        </is>
      </c>
      <c r="N446" s="6" t="inlineStr">
        <is>
          <t>All control valves shall be equipped with:
• Electro-pneumatic positioners
• A position indicator, measuring continuous or discrete valve position when applicable, continuously monitored by the QPS:CIS.</t>
        </is>
      </c>
      <c r="O446" s="6" t="n">
        <v>0</v>
      </c>
      <c r="P446" s="6" t="n">
        <v>0</v>
      </c>
      <c r="Q446" s="6" t="n">
        <v>2</v>
      </c>
      <c r="R446" s="6" t="n">
        <v>2</v>
      </c>
      <c r="S446" s="6" t="n">
        <v>0</v>
      </c>
      <c r="T446" s="6" t="n">
        <v>0</v>
      </c>
      <c r="U446" s="6" t="n">
        <v>0</v>
      </c>
      <c r="V446" s="6" t="n">
        <v>24</v>
      </c>
      <c r="W446" s="6" t="n">
        <v>33.0791</v>
      </c>
      <c r="X446" s="6" t="n">
        <v>1.1664</v>
      </c>
      <c r="Y446" s="6" t="inlineStr">
        <is>
          <t>Performance</t>
        </is>
      </c>
      <c r="Z446" s="6" t="inlineStr">
        <is>
          <t>Frozen-weight composite; strongest contribution: Performance.</t>
        </is>
      </c>
      <c r="AA446" s="6" t="inlineStr">
        <is>
          <t>None explicitly named in this RTM</t>
        </is>
      </c>
      <c r="AB446" s="6" t="inlineStr">
        <is>
          <t>SCK CEN/90508872 §4.4.2.1; no named external code</t>
        </is>
      </c>
      <c r="AC446" s="6" t="inlineStr">
        <is>
          <t>Calculation/model plus calibrated measurement or recorded trend; Functional design/configuration review and sequence/interface demonstration</t>
        </is>
      </c>
      <c r="AD446" s="6" t="inlineStr">
        <is>
          <t>No separate deliverable explicitly named</t>
        </is>
      </c>
      <c r="AE446" s="6" t="inlineStr">
        <is>
          <t>L1 Conceptual Design; L2 Detailed Design</t>
        </is>
      </c>
      <c r="AF446" s="6" t="inlineStr">
        <is>
          <t>Section/contract-derived reference; derived evidence route</t>
        </is>
      </c>
      <c r="AG446" s="58" t="inlineStr">
        <is>
          <t>Not linked to an OFFER item</t>
        </is>
      </c>
    </row>
    <row r="447" ht="47" customHeight="1">
      <c r="A447" s="6" t="n">
        <v>442</v>
      </c>
      <c r="B447" s="6" t="inlineStr">
        <is>
          <t>RTM-103</t>
        </is>
      </c>
      <c r="C447" s="6" t="inlineStr">
        <is>
          <t>No</t>
        </is>
      </c>
      <c r="D447" s="6" t="inlineStr">
        <is>
          <t>T2 Secondary</t>
        </is>
      </c>
      <c r="E447" s="6" t="inlineStr">
        <is>
          <t>Subsystems</t>
        </is>
      </c>
      <c r="F447" s="82" t="inlineStr">
        <is>
          <t>SYSTEM</t>
        </is>
      </c>
      <c r="G447" s="83" t="inlineStr">
        <is>
          <t>Performance</t>
        </is>
      </c>
      <c r="H447" s="59" t="inlineStr">
        <is>
          <t>—</t>
        </is>
      </c>
      <c r="I447" s="81" t="inlineStr">
        <is>
          <t>Inferred: C2 — Process Design (low conf.)</t>
        </is>
      </c>
      <c r="J447" s="6" t="n">
        <v>45</v>
      </c>
      <c r="K447" s="6" t="inlineStr">
        <is>
          <t>4.4.2.2</t>
        </is>
      </c>
      <c r="L447" s="6" t="inlineStr">
        <is>
          <t>Electrical Heaters</t>
        </is>
      </c>
      <c r="M447" s="6" t="inlineStr">
        <is>
          <t>The Contractor shall define, for each heater (or heater zone), the installed heating capacity and the physical installation location.</t>
        </is>
      </c>
      <c r="N447" s="6" t="inlineStr">
        <is>
          <t>The Contractor shall define, for each heater (or heater zone), the installed heating capacity and the physical installation location.</t>
        </is>
      </c>
      <c r="O447" s="6" t="n">
        <v>0</v>
      </c>
      <c r="P447" s="6" t="n">
        <v>0</v>
      </c>
      <c r="Q447" s="6" t="n">
        <v>2</v>
      </c>
      <c r="R447" s="6" t="n">
        <v>2</v>
      </c>
      <c r="S447" s="6" t="n">
        <v>0</v>
      </c>
      <c r="T447" s="6" t="n">
        <v>0</v>
      </c>
      <c r="U447" s="6" t="n">
        <v>0</v>
      </c>
      <c r="V447" s="6" t="n">
        <v>24</v>
      </c>
      <c r="W447" s="6" t="n">
        <v>33.0791</v>
      </c>
      <c r="X447" s="6" t="n">
        <v>1.1664</v>
      </c>
      <c r="Y447" s="6" t="inlineStr">
        <is>
          <t>Performance</t>
        </is>
      </c>
      <c r="Z447" s="6" t="inlineStr">
        <is>
          <t>Frozen-weight composite; strongest contribution: Performance.</t>
        </is>
      </c>
      <c r="AA447" s="6" t="inlineStr">
        <is>
          <t>None explicitly named in this RTM</t>
        </is>
      </c>
      <c r="AB447" s="6" t="inlineStr">
        <is>
          <t>SCK CEN/90508872 §4.4.2.2; no named external code</t>
        </is>
      </c>
      <c r="AC447" s="6" t="inlineStr">
        <is>
          <t>Calculation/model plus calibrated measurement or recorded trend</t>
        </is>
      </c>
      <c r="AD447" s="6" t="inlineStr">
        <is>
          <t>No separate deliverable explicitly named</t>
        </is>
      </c>
      <c r="AE447" s="6" t="inlineStr">
        <is>
          <t>L4 Installation; L1 Conceptual Design; L2 Detailed Design</t>
        </is>
      </c>
      <c r="AF447" s="6" t="inlineStr">
        <is>
          <t>Section/contract-derived reference; derived evidence route</t>
        </is>
      </c>
      <c r="AG447" s="58" t="inlineStr">
        <is>
          <t>Not linked to an OFFER item</t>
        </is>
      </c>
    </row>
    <row r="448" ht="34" customHeight="1">
      <c r="A448" s="6" t="n">
        <v>443</v>
      </c>
      <c r="B448" s="6" t="inlineStr">
        <is>
          <t>RTM-117</t>
        </is>
      </c>
      <c r="C448" s="6" t="inlineStr">
        <is>
          <t>No</t>
        </is>
      </c>
      <c r="D448" s="6" t="inlineStr">
        <is>
          <t>T2 Secondary</t>
        </is>
      </c>
      <c r="E448" s="6" t="inlineStr">
        <is>
          <t>Subsystems</t>
        </is>
      </c>
      <c r="F448" s="82" t="inlineStr">
        <is>
          <t>SYSTEM</t>
        </is>
      </c>
      <c r="G448" s="83" t="inlineStr">
        <is>
          <t>Performance</t>
        </is>
      </c>
      <c r="H448" s="59" t="inlineStr">
        <is>
          <t>—</t>
        </is>
      </c>
      <c r="I448" s="81" t="inlineStr">
        <is>
          <t>Inferred: C2 — Process Design (low conf.)</t>
        </is>
      </c>
      <c r="J448" s="6" t="n">
        <v>46</v>
      </c>
      <c r="K448" s="6" t="inlineStr">
        <is>
          <t>4.4.2.3</t>
        </is>
      </c>
      <c r="L448" s="6" t="inlineStr">
        <is>
          <t>Temperature sensors</t>
        </is>
      </c>
      <c r="M448" s="6" t="inlineStr">
        <is>
          <t>Thermometers assigned to protect an electrical heater shall be fitted within 1 cm from the heating element.</t>
        </is>
      </c>
      <c r="N448" s="6" t="inlineStr">
        <is>
          <t>Thermometers assigned to protect an electrical heater shall be fitted within 1 cm from the heating element.</t>
        </is>
      </c>
      <c r="O448" s="6" t="n">
        <v>0</v>
      </c>
      <c r="P448" s="6" t="n">
        <v>0</v>
      </c>
      <c r="Q448" s="6" t="n">
        <v>2</v>
      </c>
      <c r="R448" s="6" t="n">
        <v>2</v>
      </c>
      <c r="S448" s="6" t="n">
        <v>0</v>
      </c>
      <c r="T448" s="6" t="n">
        <v>0</v>
      </c>
      <c r="U448" s="6" t="n">
        <v>0</v>
      </c>
      <c r="V448" s="6" t="n">
        <v>24</v>
      </c>
      <c r="W448" s="6" t="n">
        <v>33.0791</v>
      </c>
      <c r="X448" s="6" t="n">
        <v>1.1664</v>
      </c>
      <c r="Y448" s="6" t="inlineStr">
        <is>
          <t>Performance</t>
        </is>
      </c>
      <c r="Z448" s="6" t="inlineStr">
        <is>
          <t>Frozen-weight composite; strongest contribution: Performance.</t>
        </is>
      </c>
      <c r="AA448" s="6" t="inlineStr">
        <is>
          <t>None explicitly named in this RTM</t>
        </is>
      </c>
      <c r="AB448" s="6" t="inlineStr">
        <is>
          <t>Section-level: IEC 60751; IEC 60359; ISA RP12.6</t>
        </is>
      </c>
      <c r="AC448" s="6" t="inlineStr">
        <is>
          <t>Calculation/model plus calibrated measurement or recorded trend</t>
        </is>
      </c>
      <c r="AD448" s="6" t="inlineStr">
        <is>
          <t>No separate deliverable explicitly named</t>
        </is>
      </c>
      <c r="AE448" s="6" t="inlineStr">
        <is>
          <t>L1 Conceptual Design; L2 Detailed Design</t>
        </is>
      </c>
      <c r="AF448" s="6" t="inlineStr">
        <is>
          <t>Section/contract-derived reference; derived evidence route</t>
        </is>
      </c>
      <c r="AG448" s="58" t="inlineStr">
        <is>
          <t>Not linked to an OFFER item</t>
        </is>
      </c>
    </row>
    <row r="449" ht="47" customHeight="1">
      <c r="A449" s="6" t="n">
        <v>444</v>
      </c>
      <c r="B449" s="6" t="inlineStr">
        <is>
          <t>RTM-121</t>
        </is>
      </c>
      <c r="C449" s="6" t="inlineStr">
        <is>
          <t>No</t>
        </is>
      </c>
      <c r="D449" s="6" t="inlineStr">
        <is>
          <t>T3 Contextual</t>
        </is>
      </c>
      <c r="E449" s="6" t="inlineStr">
        <is>
          <t>Subsystems</t>
        </is>
      </c>
      <c r="F449" s="82" t="inlineStr">
        <is>
          <t>SYSTEM</t>
        </is>
      </c>
      <c r="G449" s="83" t="inlineStr">
        <is>
          <t>Performance</t>
        </is>
      </c>
      <c r="H449" s="59" t="inlineStr">
        <is>
          <t>—</t>
        </is>
      </c>
      <c r="I449" s="81" t="inlineStr">
        <is>
          <t>Inferred: C2 — Process Design (low conf.)</t>
        </is>
      </c>
      <c r="J449" s="6" t="n">
        <v>46</v>
      </c>
      <c r="K449" s="6" t="inlineStr">
        <is>
          <t>4.4.2.3</t>
        </is>
      </c>
      <c r="L449" s="6" t="inlineStr">
        <is>
          <t>Temperature sensors</t>
        </is>
      </c>
      <c r="M449" s="6" t="inlineStr">
        <is>
          <t>The Contractor shall define the measurement ranges of all pressure instruments and submit them as part of Engineering File.</t>
        </is>
      </c>
      <c r="N449" s="6" t="inlineStr">
        <is>
          <t>The Contractor shall define the measurement ranges of all pressure instruments and submit them as part of Engineering File.</t>
        </is>
      </c>
      <c r="O449" s="6" t="n">
        <v>0</v>
      </c>
      <c r="P449" s="6" t="n">
        <v>0</v>
      </c>
      <c r="Q449" s="6" t="n">
        <v>2</v>
      </c>
      <c r="R449" s="6" t="n">
        <v>2</v>
      </c>
      <c r="S449" s="6" t="n">
        <v>0</v>
      </c>
      <c r="T449" s="6" t="n">
        <v>0</v>
      </c>
      <c r="U449" s="6" t="n">
        <v>0</v>
      </c>
      <c r="V449" s="6" t="n">
        <v>24</v>
      </c>
      <c r="W449" s="6" t="n">
        <v>33.0791</v>
      </c>
      <c r="X449" s="6" t="n">
        <v>1.1664</v>
      </c>
      <c r="Y449" s="6" t="inlineStr">
        <is>
          <t>Performance</t>
        </is>
      </c>
      <c r="Z449" s="6" t="inlineStr">
        <is>
          <t>Frozen-weight composite; strongest contribution: Performance.</t>
        </is>
      </c>
      <c r="AA449" s="6" t="inlineStr">
        <is>
          <t>None explicitly named in this RTM</t>
        </is>
      </c>
      <c r="AB449" s="6" t="inlineStr">
        <is>
          <t>Section-level: IEC 60751; IEC 60359; ISA RP12.6</t>
        </is>
      </c>
      <c r="AC449" s="6" t="inlineStr">
        <is>
          <t>Submit and review the named deliverable with RTM traceability and approval status; Calculation/model plus calibrated measurement or recorded trend</t>
        </is>
      </c>
      <c r="AD449" s="6" t="inlineStr">
        <is>
          <t>Engineering File</t>
        </is>
      </c>
      <c r="AE449" s="6" t="inlineStr">
        <is>
          <t>L1 Conceptual Design; L2 Detailed Design</t>
        </is>
      </c>
      <c r="AF449" s="6" t="inlineStr">
        <is>
          <t>Section/contract-derived reference; explicit deliverable/test wording</t>
        </is>
      </c>
      <c r="AG449" s="58" t="inlineStr">
        <is>
          <t>Not linked to an OFFER item</t>
        </is>
      </c>
    </row>
    <row r="450" ht="86" customHeight="1">
      <c r="A450" s="6" t="n">
        <v>445</v>
      </c>
      <c r="B450" s="6" t="inlineStr">
        <is>
          <t>RTM-125</t>
        </is>
      </c>
      <c r="C450" s="6" t="inlineStr">
        <is>
          <t>No</t>
        </is>
      </c>
      <c r="D450" s="6" t="inlineStr">
        <is>
          <t>T3 Contextual</t>
        </is>
      </c>
      <c r="E450" s="6" t="inlineStr">
        <is>
          <t>Subsystems</t>
        </is>
      </c>
      <c r="F450" s="82" t="inlineStr">
        <is>
          <t>SYSTEM</t>
        </is>
      </c>
      <c r="G450" s="83" t="inlineStr">
        <is>
          <t>Performance</t>
        </is>
      </c>
      <c r="H450" s="59" t="inlineStr">
        <is>
          <t>—</t>
        </is>
      </c>
      <c r="I450" s="81" t="inlineStr">
        <is>
          <t>Inferred: C2 — Process Design (low conf.)</t>
        </is>
      </c>
      <c r="J450" s="6" t="n">
        <v>47</v>
      </c>
      <c r="K450" s="6" t="inlineStr">
        <is>
          <t>4.4.2.5</t>
        </is>
      </c>
      <c r="L450" s="6" t="inlineStr">
        <is>
          <t>Liquid level sensors</t>
        </is>
      </c>
      <c r="M450" s="6" t="inlineStr">
        <is>
          <t>The Contractor shall measure liquid-helium levels using superconducting level sensors.</t>
        </is>
      </c>
      <c r="N450" s="6" t="inlineStr">
        <is>
          <t>The Contractor shall measure liquid-helium levels using superconducting level sensors.
• The Contractor may propose alternative measurement technologies (e.g. differential-pressure sensors qualified for cryogenic service). In such case, the Contractor shall substantiate equivalence in performance and obtain SCK CEN approval prior to implementation.</t>
        </is>
      </c>
      <c r="O450" s="6" t="n">
        <v>0</v>
      </c>
      <c r="P450" s="6" t="n">
        <v>0</v>
      </c>
      <c r="Q450" s="6" t="n">
        <v>2</v>
      </c>
      <c r="R450" s="6" t="n">
        <v>2</v>
      </c>
      <c r="S450" s="6" t="n">
        <v>0</v>
      </c>
      <c r="T450" s="6" t="n">
        <v>0</v>
      </c>
      <c r="U450" s="6" t="n">
        <v>0</v>
      </c>
      <c r="V450" s="6" t="n">
        <v>24</v>
      </c>
      <c r="W450" s="6" t="n">
        <v>33.0791</v>
      </c>
      <c r="X450" s="6" t="n">
        <v>1.1664</v>
      </c>
      <c r="Y450" s="6" t="inlineStr">
        <is>
          <t>Performance</t>
        </is>
      </c>
      <c r="Z450" s="6" t="inlineStr">
        <is>
          <t>Frozen-weight composite; strongest contribution: Performance.</t>
        </is>
      </c>
      <c r="AA450" s="6" t="inlineStr">
        <is>
          <t>None explicitly named in this RTM</t>
        </is>
      </c>
      <c r="AB450" s="6" t="inlineStr">
        <is>
          <t>SCK CEN/90508872 §4.4.2.5; no named external code</t>
        </is>
      </c>
      <c r="AC450" s="6" t="inlineStr">
        <is>
          <t>Calculation/model plus calibrated measurement or recorded trend</t>
        </is>
      </c>
      <c r="AD450" s="6" t="inlineStr">
        <is>
          <t>No separate deliverable explicitly named</t>
        </is>
      </c>
      <c r="AE450" s="6" t="inlineStr">
        <is>
          <t>L1 Conceptual Design; L2 Detailed Design</t>
        </is>
      </c>
      <c r="AF450" s="6" t="inlineStr">
        <is>
          <t>Section/contract-derived reference; derived evidence route</t>
        </is>
      </c>
      <c r="AG450" s="58" t="inlineStr">
        <is>
          <t>Not linked to an OFFER item</t>
        </is>
      </c>
    </row>
    <row r="451" ht="60" customHeight="1">
      <c r="A451" s="6" t="n">
        <v>446</v>
      </c>
      <c r="B451" s="6" t="inlineStr">
        <is>
          <t>RTM-126</t>
        </is>
      </c>
      <c r="C451" s="6" t="inlineStr">
        <is>
          <t>No</t>
        </is>
      </c>
      <c r="D451" s="6" t="inlineStr">
        <is>
          <t>T3 Contextual</t>
        </is>
      </c>
      <c r="E451" s="6" t="inlineStr">
        <is>
          <t>Subsystems</t>
        </is>
      </c>
      <c r="F451" s="82" t="inlineStr">
        <is>
          <t>SYSTEM</t>
        </is>
      </c>
      <c r="G451" s="83" t="inlineStr">
        <is>
          <t>Performance</t>
        </is>
      </c>
      <c r="H451" s="59" t="inlineStr">
        <is>
          <t>—</t>
        </is>
      </c>
      <c r="I451" s="81" t="inlineStr">
        <is>
          <t>Inferred: C3 — Mechanical &amp; Equipment (medium conf.)</t>
        </is>
      </c>
      <c r="J451" s="6" t="n">
        <v>47</v>
      </c>
      <c r="K451" s="6" t="inlineStr">
        <is>
          <t>4.4.2.5</t>
        </is>
      </c>
      <c r="L451" s="6" t="inlineStr">
        <is>
          <t>Liquid level sensors</t>
        </is>
      </c>
      <c r="M451" s="6" t="inlineStr">
        <is>
          <t>The design, placement and operation of liquid-level sensors shall ensure that their readings are not influenced by:</t>
        </is>
      </c>
      <c r="N451" s="6" t="inlineStr">
        <is>
          <t>The design, placement and operation of liquid-level sensors shall ensure that their readings are not influenced by:
• bubbles generated by electrical heaters; or
• flow turbulence or other hydraulic disturbances inside the vessel.</t>
        </is>
      </c>
      <c r="O451" s="6" t="n">
        <v>0</v>
      </c>
      <c r="P451" s="6" t="n">
        <v>0</v>
      </c>
      <c r="Q451" s="6" t="n">
        <v>2</v>
      </c>
      <c r="R451" s="6" t="n">
        <v>2</v>
      </c>
      <c r="S451" s="6" t="n">
        <v>0</v>
      </c>
      <c r="T451" s="6" t="n">
        <v>0</v>
      </c>
      <c r="U451" s="6" t="n">
        <v>0</v>
      </c>
      <c r="V451" s="6" t="n">
        <v>24</v>
      </c>
      <c r="W451" s="6" t="n">
        <v>33.0791</v>
      </c>
      <c r="X451" s="6" t="n">
        <v>1.1664</v>
      </c>
      <c r="Y451" s="6" t="inlineStr">
        <is>
          <t>Performance</t>
        </is>
      </c>
      <c r="Z451" s="6" t="inlineStr">
        <is>
          <t>Frozen-weight composite; strongest contribution: Performance.</t>
        </is>
      </c>
      <c r="AA451" s="6" t="inlineStr">
        <is>
          <t>None explicitly named in this RTM</t>
        </is>
      </c>
      <c r="AB451" s="6" t="inlineStr">
        <is>
          <t>SCK CEN/90508872 §4.4.2.5; no named external code</t>
        </is>
      </c>
      <c r="AC451" s="6" t="inlineStr">
        <is>
          <t>Calculation/model plus calibrated measurement or recorded trend</t>
        </is>
      </c>
      <c r="AD451" s="6" t="inlineStr">
        <is>
          <t>No separate deliverable explicitly named</t>
        </is>
      </c>
      <c r="AE451" s="6" t="inlineStr">
        <is>
          <t>L1 Conceptual Design; L2 Detailed Design</t>
        </is>
      </c>
      <c r="AF451" s="6" t="inlineStr">
        <is>
          <t>Section/contract-derived reference; derived evidence route</t>
        </is>
      </c>
      <c r="AG451" s="58" t="inlineStr">
        <is>
          <t>Not linked to an OFFER item</t>
        </is>
      </c>
    </row>
    <row r="452" ht="47" customHeight="1">
      <c r="A452" s="6" t="n">
        <v>447</v>
      </c>
      <c r="B452" s="6" t="inlineStr">
        <is>
          <t>RTM-128</t>
        </is>
      </c>
      <c r="C452" s="6" t="inlineStr">
        <is>
          <t>No</t>
        </is>
      </c>
      <c r="D452" s="6" t="inlineStr">
        <is>
          <t>T3 Contextual</t>
        </is>
      </c>
      <c r="E452" s="6" t="inlineStr">
        <is>
          <t>Subsystems</t>
        </is>
      </c>
      <c r="F452" s="82" t="inlineStr">
        <is>
          <t>SYSTEM</t>
        </is>
      </c>
      <c r="G452" s="83" t="inlineStr">
        <is>
          <t>Performance</t>
        </is>
      </c>
      <c r="H452" s="59" t="inlineStr">
        <is>
          <t>—</t>
        </is>
      </c>
      <c r="I452" s="81" t="inlineStr">
        <is>
          <t>Inferred: C3 — Mechanical &amp; Equipment (medium conf.)</t>
        </is>
      </c>
      <c r="J452" s="6" t="n">
        <v>47</v>
      </c>
      <c r="K452" s="6" t="inlineStr">
        <is>
          <t>4.4.2.5</t>
        </is>
      </c>
      <c r="L452" s="6" t="inlineStr">
        <is>
          <t>Liquid level sensors</t>
        </is>
      </c>
      <c r="M452" s="6" t="inlineStr">
        <is>
          <t>The liquid level sensor measurement range shall cover the full usable height of the vessel corresponding to the nominal working volume.</t>
        </is>
      </c>
      <c r="N452" s="6" t="inlineStr">
        <is>
          <t>The liquid level sensor measurement range shall cover the full usable height of the vessel corresponding to the nominal working volume.</t>
        </is>
      </c>
      <c r="O452" s="6" t="n">
        <v>0</v>
      </c>
      <c r="P452" s="6" t="n">
        <v>0</v>
      </c>
      <c r="Q452" s="6" t="n">
        <v>2</v>
      </c>
      <c r="R452" s="6" t="n">
        <v>2</v>
      </c>
      <c r="S452" s="6" t="n">
        <v>0</v>
      </c>
      <c r="T452" s="6" t="n">
        <v>0</v>
      </c>
      <c r="U452" s="6" t="n">
        <v>0</v>
      </c>
      <c r="V452" s="6" t="n">
        <v>24</v>
      </c>
      <c r="W452" s="6" t="n">
        <v>33.0791</v>
      </c>
      <c r="X452" s="6" t="n">
        <v>1.1664</v>
      </c>
      <c r="Y452" s="6" t="inlineStr">
        <is>
          <t>Performance</t>
        </is>
      </c>
      <c r="Z452" s="6" t="inlineStr">
        <is>
          <t>Frozen-weight composite; strongest contribution: Performance.</t>
        </is>
      </c>
      <c r="AA452" s="6" t="inlineStr">
        <is>
          <t>None explicitly named in this RTM</t>
        </is>
      </c>
      <c r="AB452" s="6" t="inlineStr">
        <is>
          <t>SCK CEN/90508872 §4.4.2.5; no named external code</t>
        </is>
      </c>
      <c r="AC452" s="6" t="inlineStr">
        <is>
          <t>Calculation/model plus calibrated measurement or recorded trend</t>
        </is>
      </c>
      <c r="AD452" s="6" t="inlineStr">
        <is>
          <t>No separate deliverable explicitly named</t>
        </is>
      </c>
      <c r="AE452" s="6" t="inlineStr">
        <is>
          <t>L1 Conceptual Design; L2 Detailed Design</t>
        </is>
      </c>
      <c r="AF452" s="6" t="inlineStr">
        <is>
          <t>Section/contract-derived reference; derived evidence route</t>
        </is>
      </c>
      <c r="AG452" s="58" t="inlineStr">
        <is>
          <t>Not linked to an OFFER item</t>
        </is>
      </c>
    </row>
    <row r="453" ht="112" customHeight="1">
      <c r="A453" s="6" t="n">
        <v>448</v>
      </c>
      <c r="B453" s="6" t="inlineStr">
        <is>
          <t>RTM-130</t>
        </is>
      </c>
      <c r="C453" s="6" t="inlineStr">
        <is>
          <t>No</t>
        </is>
      </c>
      <c r="D453" s="6" t="inlineStr">
        <is>
          <t>T3 Contextual</t>
        </is>
      </c>
      <c r="E453" s="6" t="inlineStr">
        <is>
          <t>Subsystems</t>
        </is>
      </c>
      <c r="F453" s="82" t="inlineStr">
        <is>
          <t>SYSTEM</t>
        </is>
      </c>
      <c r="G453" s="83" t="inlineStr">
        <is>
          <t>Performance</t>
        </is>
      </c>
      <c r="H453" s="59" t="inlineStr">
        <is>
          <t>—</t>
        </is>
      </c>
      <c r="I453" s="81" t="inlineStr">
        <is>
          <t>Inferred: C2 — Process Design (low conf.)</t>
        </is>
      </c>
      <c r="J453" s="6" t="n">
        <v>47</v>
      </c>
      <c r="K453" s="6" t="inlineStr">
        <is>
          <t>4.4.2.6</t>
        </is>
      </c>
      <c r="L453" s="6" t="inlineStr">
        <is>
          <t>Helium flow rate sensors</t>
        </is>
      </c>
      <c r="M453" s="6" t="inlineStr">
        <is>
          <t>The helium flow measurement instrumentation shall comply with following performance requirements:</t>
        </is>
      </c>
      <c r="N453" s="6" t="inlineStr">
        <is>
          <t>The helium flow measurement instrumentation shall comply with following performance requirements:
• Cryogenic helium flow measurements: accuracy better than ±5% of the calibrated span.
• Room-temperature helium flow measurements: accuracy better than ±2% of the calibrated span.
• The measurement range shall be selected such that the specified accuracy is achieved over the expected operating range.</t>
        </is>
      </c>
      <c r="O453" s="6" t="n">
        <v>0</v>
      </c>
      <c r="P453" s="6" t="n">
        <v>0</v>
      </c>
      <c r="Q453" s="6" t="n">
        <v>2</v>
      </c>
      <c r="R453" s="6" t="n">
        <v>2</v>
      </c>
      <c r="S453" s="6" t="n">
        <v>0</v>
      </c>
      <c r="T453" s="6" t="n">
        <v>0</v>
      </c>
      <c r="U453" s="6" t="n">
        <v>0</v>
      </c>
      <c r="V453" s="6" t="n">
        <v>24</v>
      </c>
      <c r="W453" s="6" t="n">
        <v>33.0791</v>
      </c>
      <c r="X453" s="6" t="n">
        <v>1.1664</v>
      </c>
      <c r="Y453" s="6" t="inlineStr">
        <is>
          <t>Performance</t>
        </is>
      </c>
      <c r="Z453" s="6" t="inlineStr">
        <is>
          <t>Frozen-weight composite; strongest contribution: Performance.</t>
        </is>
      </c>
      <c r="AA453" s="6" t="inlineStr">
        <is>
          <t>None explicitly named in this RTM</t>
        </is>
      </c>
      <c r="AB453" s="6" t="inlineStr">
        <is>
          <t>SCK CEN/90508872 §4.4.2.6; no named external code</t>
        </is>
      </c>
      <c r="AC453" s="6" t="inlineStr">
        <is>
          <t>Calculation/model plus calibrated measurement or recorded trend</t>
        </is>
      </c>
      <c r="AD453" s="6" t="inlineStr">
        <is>
          <t>No separate deliverable explicitly named</t>
        </is>
      </c>
      <c r="AE453" s="6" t="inlineStr">
        <is>
          <t>L1 Conceptual Design; L2 Detailed Design</t>
        </is>
      </c>
      <c r="AF453" s="6" t="inlineStr">
        <is>
          <t>Section/contract-derived reference; derived evidence route</t>
        </is>
      </c>
      <c r="AG453" s="58" t="inlineStr">
        <is>
          <t>Not linked to an OFFER item</t>
        </is>
      </c>
    </row>
    <row r="454" ht="60" customHeight="1">
      <c r="A454" s="6" t="n">
        <v>449</v>
      </c>
      <c r="B454" s="6" t="inlineStr">
        <is>
          <t>RTM-131</t>
        </is>
      </c>
      <c r="C454" s="6" t="inlineStr">
        <is>
          <t>No</t>
        </is>
      </c>
      <c r="D454" s="6" t="inlineStr">
        <is>
          <t>T3 Contextual</t>
        </is>
      </c>
      <c r="E454" s="6" t="inlineStr">
        <is>
          <t>Subsystems</t>
        </is>
      </c>
      <c r="F454" s="82" t="inlineStr">
        <is>
          <t>SYSTEM</t>
        </is>
      </c>
      <c r="G454" s="83" t="inlineStr">
        <is>
          <t>Performance</t>
        </is>
      </c>
      <c r="H454" s="59" t="inlineStr">
        <is>
          <t>—</t>
        </is>
      </c>
      <c r="I454" s="81" t="inlineStr">
        <is>
          <t>Inferred: C3 — Mechanical &amp; Equipment (medium conf.)</t>
        </is>
      </c>
      <c r="J454" s="6" t="n">
        <v>47</v>
      </c>
      <c r="K454" s="6" t="inlineStr">
        <is>
          <t>4.4.2.7</t>
        </is>
      </c>
      <c r="L454" s="6" t="inlineStr">
        <is>
          <t>Helium Impurity sensors</t>
        </is>
      </c>
      <c r="M454" s="6" t="inlineStr">
        <is>
          <t>The QPS shall include at least two dedicated gas analysers, installed in the following locations:</t>
        </is>
      </c>
      <c r="N454" s="6" t="inlineStr">
        <is>
          <t>The QPS shall include at least two dedicated gas analysers, installed in the following locations:
• One gas analyser in the Compressor Room
• One gas analyser in the Cold Box Room</t>
        </is>
      </c>
      <c r="O454" s="6" t="n">
        <v>0</v>
      </c>
      <c r="P454" s="6" t="n">
        <v>0</v>
      </c>
      <c r="Q454" s="6" t="n">
        <v>2</v>
      </c>
      <c r="R454" s="6" t="n">
        <v>2</v>
      </c>
      <c r="S454" s="6" t="n">
        <v>0</v>
      </c>
      <c r="T454" s="6" t="n">
        <v>0</v>
      </c>
      <c r="U454" s="6" t="n">
        <v>0</v>
      </c>
      <c r="V454" s="6" t="n">
        <v>24</v>
      </c>
      <c r="W454" s="6" t="n">
        <v>33.0791</v>
      </c>
      <c r="X454" s="6" t="n">
        <v>1.1664</v>
      </c>
      <c r="Y454" s="6" t="inlineStr">
        <is>
          <t>Performance</t>
        </is>
      </c>
      <c r="Z454" s="6" t="inlineStr">
        <is>
          <t>Frozen-weight composite; strongest contribution: Performance.</t>
        </is>
      </c>
      <c r="AA454" s="6" t="inlineStr">
        <is>
          <t>None explicitly named in this RTM</t>
        </is>
      </c>
      <c r="AB454" s="6" t="inlineStr">
        <is>
          <t>SCK CEN/90508872 §4.4.2.7; no named external code</t>
        </is>
      </c>
      <c r="AC454" s="6" t="inlineStr">
        <is>
          <t>Calculation/model plus calibrated measurement or recorded trend</t>
        </is>
      </c>
      <c r="AD454" s="6" t="inlineStr">
        <is>
          <t>No separate deliverable explicitly named</t>
        </is>
      </c>
      <c r="AE454" s="6" t="inlineStr">
        <is>
          <t>L1 Conceptual Design; L2 Detailed Design</t>
        </is>
      </c>
      <c r="AF454" s="6" t="inlineStr">
        <is>
          <t>Section/contract-derived reference; derived evidence route</t>
        </is>
      </c>
      <c r="AG454" s="58" t="inlineStr">
        <is>
          <t>Not linked to an OFFER item</t>
        </is>
      </c>
    </row>
    <row r="455" ht="60" customHeight="1">
      <c r="A455" s="6" t="n">
        <v>450</v>
      </c>
      <c r="B455" s="6" t="inlineStr">
        <is>
          <t>RTM-132</t>
        </is>
      </c>
      <c r="C455" s="6" t="inlineStr">
        <is>
          <t>No</t>
        </is>
      </c>
      <c r="D455" s="6" t="inlineStr">
        <is>
          <t>T3 Contextual</t>
        </is>
      </c>
      <c r="E455" s="6" t="inlineStr">
        <is>
          <t>Subsystems</t>
        </is>
      </c>
      <c r="F455" s="82" t="inlineStr">
        <is>
          <t>SYSTEM</t>
        </is>
      </c>
      <c r="G455" s="83" t="inlineStr">
        <is>
          <t>Performance</t>
        </is>
      </c>
      <c r="H455" s="59" t="inlineStr">
        <is>
          <t>—</t>
        </is>
      </c>
      <c r="I455" s="81" t="inlineStr">
        <is>
          <t>Inferred: C2 — Process Design (low conf.)</t>
        </is>
      </c>
      <c r="J455" s="6" t="n">
        <v>47</v>
      </c>
      <c r="K455" s="6" t="inlineStr">
        <is>
          <t>4.4.2.7</t>
        </is>
      </c>
      <c r="L455" s="6" t="inlineStr">
        <is>
          <t>Helium Impurity sensors</t>
        </is>
      </c>
      <c r="M455" s="6" t="inlineStr">
        <is>
          <t>The Contractor shall define which impurity measurements are implemented at each gas analyser location. The QPS shall measure, at minimum, moisture, nitrogen, and hydrocarbons.</t>
        </is>
      </c>
      <c r="N455" s="6" t="inlineStr">
        <is>
          <t>The Contractor shall define which impurity measurements are implemented at each gas analyser location. The QPS shall measure, at minimum, moisture, nitrogen, and hydrocarbons.</t>
        </is>
      </c>
      <c r="O455" s="6" t="n">
        <v>0</v>
      </c>
      <c r="P455" s="6" t="n">
        <v>0</v>
      </c>
      <c r="Q455" s="6" t="n">
        <v>2</v>
      </c>
      <c r="R455" s="6" t="n">
        <v>2</v>
      </c>
      <c r="S455" s="6" t="n">
        <v>0</v>
      </c>
      <c r="T455" s="6" t="n">
        <v>0</v>
      </c>
      <c r="U455" s="6" t="n">
        <v>0</v>
      </c>
      <c r="V455" s="6" t="n">
        <v>24</v>
      </c>
      <c r="W455" s="6" t="n">
        <v>33.0791</v>
      </c>
      <c r="X455" s="6" t="n">
        <v>1.1664</v>
      </c>
      <c r="Y455" s="6" t="inlineStr">
        <is>
          <t>Performance</t>
        </is>
      </c>
      <c r="Z455" s="6" t="inlineStr">
        <is>
          <t>Frozen-weight composite; strongest contribution: Performance.</t>
        </is>
      </c>
      <c r="AA455" s="6" t="inlineStr">
        <is>
          <t>None explicitly named in this RTM</t>
        </is>
      </c>
      <c r="AB455" s="6" t="inlineStr">
        <is>
          <t>SCK CEN/90508872 §4.4.2.7; no named external code</t>
        </is>
      </c>
      <c r="AC455" s="6" t="inlineStr">
        <is>
          <t>Calculation/model plus calibrated measurement or recorded trend</t>
        </is>
      </c>
      <c r="AD455" s="6" t="inlineStr">
        <is>
          <t>No separate deliverable explicitly named</t>
        </is>
      </c>
      <c r="AE455" s="6" t="inlineStr">
        <is>
          <t>L1 Conceptual Design; L2 Detailed Design</t>
        </is>
      </c>
      <c r="AF455" s="6" t="inlineStr">
        <is>
          <t>Section/contract-derived reference; derived evidence route</t>
        </is>
      </c>
      <c r="AG455" s="58" t="inlineStr">
        <is>
          <t>Not linked to an OFFER item</t>
        </is>
      </c>
    </row>
    <row r="456" ht="34" customHeight="1">
      <c r="A456" s="6" t="n">
        <v>451</v>
      </c>
      <c r="B456" s="6" t="inlineStr">
        <is>
          <t>RTM-136</t>
        </is>
      </c>
      <c r="C456" s="6" t="inlineStr">
        <is>
          <t>No</t>
        </is>
      </c>
      <c r="D456" s="6" t="inlineStr">
        <is>
          <t>T3 Contextual</t>
        </is>
      </c>
      <c r="E456" s="6" t="inlineStr">
        <is>
          <t>Subsystems</t>
        </is>
      </c>
      <c r="F456" s="82" t="inlineStr">
        <is>
          <t>SYSTEM</t>
        </is>
      </c>
      <c r="G456" s="83" t="inlineStr">
        <is>
          <t>Performance</t>
        </is>
      </c>
      <c r="H456" s="59" t="inlineStr">
        <is>
          <t>—</t>
        </is>
      </c>
      <c r="I456" s="81" t="inlineStr">
        <is>
          <t>Inferred: C2 — Process Design (low conf.)</t>
        </is>
      </c>
      <c r="J456" s="6" t="n">
        <v>48</v>
      </c>
      <c r="K456" s="6" t="inlineStr">
        <is>
          <t>4.4.2.7</t>
        </is>
      </c>
      <c r="L456" s="6" t="inlineStr">
        <is>
          <t>Helium Impurity sensors</t>
        </is>
      </c>
      <c r="M456" s="6" t="inlineStr">
        <is>
          <t>The Contractor shall define the location of sampling points no later than the Detailed Design phase.</t>
        </is>
      </c>
      <c r="N456" s="6" t="inlineStr">
        <is>
          <t>The Contractor shall define the location of sampling points no later than the Detailed Design phase.</t>
        </is>
      </c>
      <c r="O456" s="6" t="n">
        <v>0</v>
      </c>
      <c r="P456" s="6" t="n">
        <v>0</v>
      </c>
      <c r="Q456" s="6" t="n">
        <v>2</v>
      </c>
      <c r="R456" s="6" t="n">
        <v>2</v>
      </c>
      <c r="S456" s="6" t="n">
        <v>0</v>
      </c>
      <c r="T456" s="6" t="n">
        <v>0</v>
      </c>
      <c r="U456" s="6" t="n">
        <v>0</v>
      </c>
      <c r="V456" s="6" t="n">
        <v>24</v>
      </c>
      <c r="W456" s="6" t="n">
        <v>33.0791</v>
      </c>
      <c r="X456" s="6" t="n">
        <v>1.1664</v>
      </c>
      <c r="Y456" s="6" t="inlineStr">
        <is>
          <t>Performance</t>
        </is>
      </c>
      <c r="Z456" s="6" t="inlineStr">
        <is>
          <t>Frozen-weight composite; strongest contribution: Performance.</t>
        </is>
      </c>
      <c r="AA456" s="6" t="inlineStr">
        <is>
          <t>None explicitly named in this RTM</t>
        </is>
      </c>
      <c r="AB456" s="6" t="inlineStr">
        <is>
          <t>SCK CEN/90508872 §4.4.2.7; no named external code</t>
        </is>
      </c>
      <c r="AC456" s="6" t="inlineStr">
        <is>
          <t>Calculation/model plus calibrated measurement or recorded trend</t>
        </is>
      </c>
      <c r="AD456" s="6" t="inlineStr">
        <is>
          <t>No separate deliverable explicitly named</t>
        </is>
      </c>
      <c r="AE456" s="6" t="inlineStr">
        <is>
          <t>L2 Detailed Design; L1 Conceptual Design</t>
        </is>
      </c>
      <c r="AF456" s="6" t="inlineStr">
        <is>
          <t>Section/contract-derived reference; derived evidence route</t>
        </is>
      </c>
      <c r="AG456" s="58" t="inlineStr">
        <is>
          <t>Not linked to an OFFER item</t>
        </is>
      </c>
    </row>
    <row r="457" ht="34" customHeight="1">
      <c r="A457" s="6" t="n">
        <v>452</v>
      </c>
      <c r="B457" s="6" t="inlineStr">
        <is>
          <t>RTM-138</t>
        </is>
      </c>
      <c r="C457" s="6" t="inlineStr">
        <is>
          <t>No</t>
        </is>
      </c>
      <c r="D457" s="6" t="inlineStr">
        <is>
          <t>T3 Contextual</t>
        </is>
      </c>
      <c r="E457" s="6" t="inlineStr">
        <is>
          <t>Subsystems</t>
        </is>
      </c>
      <c r="F457" s="82" t="inlineStr">
        <is>
          <t>SYSTEM</t>
        </is>
      </c>
      <c r="G457" s="83" t="inlineStr">
        <is>
          <t>Performance</t>
        </is>
      </c>
      <c r="H457" s="59" t="inlineStr">
        <is>
          <t>—</t>
        </is>
      </c>
      <c r="I457" s="81" t="inlineStr">
        <is>
          <t>Inferred: C2 — Process Design (low conf.)</t>
        </is>
      </c>
      <c r="J457" s="6" t="n">
        <v>48</v>
      </c>
      <c r="K457" s="6" t="inlineStr">
        <is>
          <t>4.4.2.7</t>
        </is>
      </c>
      <c r="L457" s="6" t="inlineStr">
        <is>
          <t>Helium Impurity sensors</t>
        </is>
      </c>
      <c r="M457" s="6" t="inlineStr">
        <is>
          <t>Analysed gas samples shall be recovered and returned to the QPS.</t>
        </is>
      </c>
      <c r="N457" s="6" t="inlineStr">
        <is>
          <t>Analysed gas samples shall be recovered and returned to the QPS.</t>
        </is>
      </c>
      <c r="O457" s="6" t="n">
        <v>0</v>
      </c>
      <c r="P457" s="6" t="n">
        <v>0</v>
      </c>
      <c r="Q457" s="6" t="n">
        <v>2</v>
      </c>
      <c r="R457" s="6" t="n">
        <v>2</v>
      </c>
      <c r="S457" s="6" t="n">
        <v>0</v>
      </c>
      <c r="T457" s="6" t="n">
        <v>0</v>
      </c>
      <c r="U457" s="6" t="n">
        <v>0</v>
      </c>
      <c r="V457" s="6" t="n">
        <v>24</v>
      </c>
      <c r="W457" s="6" t="n">
        <v>33.0791</v>
      </c>
      <c r="X457" s="6" t="n">
        <v>1.1664</v>
      </c>
      <c r="Y457" s="6" t="inlineStr">
        <is>
          <t>Performance</t>
        </is>
      </c>
      <c r="Z457" s="6" t="inlineStr">
        <is>
          <t>Frozen-weight composite; strongest contribution: Performance.</t>
        </is>
      </c>
      <c r="AA457" s="6" t="inlineStr">
        <is>
          <t>None explicitly named in this RTM</t>
        </is>
      </c>
      <c r="AB457" s="6" t="inlineStr">
        <is>
          <t>SCK CEN/90508872 §4.4.2.7; no named external code</t>
        </is>
      </c>
      <c r="AC457" s="6" t="inlineStr">
        <is>
          <t>Calculation/model plus calibrated measurement or recorded trend</t>
        </is>
      </c>
      <c r="AD457" s="6" t="inlineStr">
        <is>
          <t>No separate deliverable explicitly named</t>
        </is>
      </c>
      <c r="AE457" s="6" t="inlineStr">
        <is>
          <t>L1 Conceptual Design; L2 Detailed Design</t>
        </is>
      </c>
      <c r="AF457" s="6" t="inlineStr">
        <is>
          <t>Section/contract-derived reference; derived evidence route</t>
        </is>
      </c>
      <c r="AG457" s="58" t="inlineStr">
        <is>
          <t>Not linked to an OFFER item</t>
        </is>
      </c>
    </row>
    <row r="458" ht="138" customHeight="1">
      <c r="A458" s="6" t="n">
        <v>453</v>
      </c>
      <c r="B458" s="6" t="inlineStr">
        <is>
          <t>RTM-139</t>
        </is>
      </c>
      <c r="C458" s="6" t="inlineStr">
        <is>
          <t>No</t>
        </is>
      </c>
      <c r="D458" s="6" t="inlineStr">
        <is>
          <t>T3 Contextual</t>
        </is>
      </c>
      <c r="E458" s="6" t="inlineStr">
        <is>
          <t>Subsystems</t>
        </is>
      </c>
      <c r="F458" s="82" t="inlineStr">
        <is>
          <t>SYSTEM</t>
        </is>
      </c>
      <c r="G458" s="83" t="inlineStr">
        <is>
          <t>Performance</t>
        </is>
      </c>
      <c r="H458" s="59" t="inlineStr">
        <is>
          <t>—</t>
        </is>
      </c>
      <c r="I458" s="81" t="inlineStr">
        <is>
          <t>Inferred: C2 — Process Design (low conf.)</t>
        </is>
      </c>
      <c r="J458" s="6" t="n">
        <v>48</v>
      </c>
      <c r="K458" s="6" t="inlineStr">
        <is>
          <t>4.4.2.8</t>
        </is>
      </c>
      <c r="L458" s="6" t="inlineStr">
        <is>
          <t>Instrumentation tags</t>
        </is>
      </c>
      <c r="M458" s="6" t="inlineStr">
        <is>
          <t>The Contractor shall apply the following instrument and device numbering convention: “XX###,” where:</t>
        </is>
      </c>
      <c r="N458" s="6" t="inlineStr">
        <is>
          <t>The Contractor shall apply the following instrument and device numbering convention: “XX###,” where:
• XX represents the tag prefix identifying the instrument or device type,
• ### represents a numerical identifier.
• The first digit of the numerical identifier shall indicate the system association:
• 1 and 2 for QPLANT equipment
• 7 for QSH or WSH equipment
• The second and third digits of the numerical identifier may be assigned according to the Contractor’s internal numbering practice.</t>
        </is>
      </c>
      <c r="O458" s="6" t="n">
        <v>0</v>
      </c>
      <c r="P458" s="6" t="n">
        <v>0</v>
      </c>
      <c r="Q458" s="6" t="n">
        <v>2</v>
      </c>
      <c r="R458" s="6" t="n">
        <v>2</v>
      </c>
      <c r="S458" s="6" t="n">
        <v>0</v>
      </c>
      <c r="T458" s="6" t="n">
        <v>0</v>
      </c>
      <c r="U458" s="6" t="n">
        <v>0</v>
      </c>
      <c r="V458" s="6" t="n">
        <v>24</v>
      </c>
      <c r="W458" s="6" t="n">
        <v>33.0791</v>
      </c>
      <c r="X458" s="6" t="n">
        <v>1.1664</v>
      </c>
      <c r="Y458" s="6" t="inlineStr">
        <is>
          <t>Performance</t>
        </is>
      </c>
      <c r="Z458" s="6" t="inlineStr">
        <is>
          <t>Frozen-weight composite; strongest contribution: Performance.</t>
        </is>
      </c>
      <c r="AA458" s="6" t="inlineStr">
        <is>
          <t>None explicitly named in this RTM</t>
        </is>
      </c>
      <c r="AB458" s="6" t="inlineStr">
        <is>
          <t>SCK CEN/90508872 §4.4.2.8; no named external code</t>
        </is>
      </c>
      <c r="AC458" s="6" t="inlineStr">
        <is>
          <t>Calculation/model plus calibrated measurement or recorded trend</t>
        </is>
      </c>
      <c r="AD458" s="6" t="inlineStr">
        <is>
          <t>No separate deliverable explicitly named</t>
        </is>
      </c>
      <c r="AE458" s="6" t="inlineStr">
        <is>
          <t>L1 Conceptual Design; L2 Detailed Design</t>
        </is>
      </c>
      <c r="AF458" s="6" t="inlineStr">
        <is>
          <t>Section/contract-derived reference; derived evidence route</t>
        </is>
      </c>
      <c r="AG458" s="58" t="inlineStr">
        <is>
          <t>Not linked to an OFFER item</t>
        </is>
      </c>
    </row>
    <row r="459" ht="47" customHeight="1">
      <c r="A459" s="6" t="n">
        <v>454</v>
      </c>
      <c r="B459" s="6" t="inlineStr">
        <is>
          <t>RTM-141</t>
        </is>
      </c>
      <c r="C459" s="6" t="inlineStr">
        <is>
          <t>No</t>
        </is>
      </c>
      <c r="D459" s="6" t="inlineStr">
        <is>
          <t>T3 Contextual</t>
        </is>
      </c>
      <c r="E459" s="6" t="inlineStr">
        <is>
          <t>Subsystems</t>
        </is>
      </c>
      <c r="F459" s="82" t="inlineStr">
        <is>
          <t>SYSTEM</t>
        </is>
      </c>
      <c r="G459" s="83" t="inlineStr">
        <is>
          <t>Performance</t>
        </is>
      </c>
      <c r="H459" s="59" t="inlineStr">
        <is>
          <t>—</t>
        </is>
      </c>
      <c r="I459" s="58" t="inlineStr">
        <is>
          <t>C3 — Mechanical &amp; Equipment</t>
        </is>
      </c>
      <c r="J459" s="6" t="n">
        <v>49</v>
      </c>
      <c r="K459" s="6" t="inlineStr">
        <is>
          <t>4.4.3.1</t>
        </is>
      </c>
      <c r="L459" s="6" t="inlineStr">
        <is>
          <t>General Requirements</t>
        </is>
      </c>
      <c r="M459" s="6" t="inlineStr">
        <is>
          <t>The Warm Compressor Station (WCS) shall provide helium compression across at least three pressure levels: VLP, LP and HP.</t>
        </is>
      </c>
      <c r="N459" s="6" t="inlineStr">
        <is>
          <t>The Warm Compressor Station (WCS) shall provide helium compression across at least three pressure levels: VLP, LP and HP.</t>
        </is>
      </c>
      <c r="O459" s="6" t="n">
        <v>0</v>
      </c>
      <c r="P459" s="6" t="n">
        <v>0</v>
      </c>
      <c r="Q459" s="6" t="n">
        <v>2</v>
      </c>
      <c r="R459" s="6" t="n">
        <v>2</v>
      </c>
      <c r="S459" s="6" t="n">
        <v>0</v>
      </c>
      <c r="T459" s="6" t="n">
        <v>0</v>
      </c>
      <c r="U459" s="6" t="n">
        <v>0</v>
      </c>
      <c r="V459" s="6" t="n">
        <v>24</v>
      </c>
      <c r="W459" s="6" t="n">
        <v>33.0791</v>
      </c>
      <c r="X459" s="6" t="n">
        <v>1.1664</v>
      </c>
      <c r="Y459" s="6" t="inlineStr">
        <is>
          <t>Performance</t>
        </is>
      </c>
      <c r="Z459" s="6" t="inlineStr">
        <is>
          <t>Frozen-weight composite; strongest contribution: Performance.</t>
        </is>
      </c>
      <c r="AA459" s="6" t="inlineStr">
        <is>
          <t>None explicitly named in this RTM</t>
        </is>
      </c>
      <c r="AB459" s="6" t="inlineStr">
        <is>
          <t>Section-level: ISO 2372; ISO 20816; ISO 2954; ISO 2151</t>
        </is>
      </c>
      <c r="AC459" s="6" t="inlineStr">
        <is>
          <t>Calculation/model plus calibrated measurement or recorded trend</t>
        </is>
      </c>
      <c r="AD459" s="6" t="inlineStr">
        <is>
          <t>No separate deliverable explicitly named</t>
        </is>
      </c>
      <c r="AE459" s="6" t="inlineStr">
        <is>
          <t>L1 Conceptual Design; L2 Detailed Design</t>
        </is>
      </c>
      <c r="AF459" s="6" t="inlineStr">
        <is>
          <t>Section/contract-derived reference; derived evidence route</t>
        </is>
      </c>
      <c r="AG459" s="58" t="inlineStr">
        <is>
          <t>OFFER-13 (Broad/contextual — main component specification); OFFER-15 (Direct)</t>
        </is>
      </c>
    </row>
    <row r="460" ht="60" customHeight="1">
      <c r="A460" s="6" t="n">
        <v>455</v>
      </c>
      <c r="B460" s="6" t="inlineStr">
        <is>
          <t>RTM-142</t>
        </is>
      </c>
      <c r="C460" s="6" t="inlineStr">
        <is>
          <t>No</t>
        </is>
      </c>
      <c r="D460" s="6" t="inlineStr">
        <is>
          <t>T3 Contextual</t>
        </is>
      </c>
      <c r="E460" s="6" t="inlineStr">
        <is>
          <t>Subsystems</t>
        </is>
      </c>
      <c r="F460" s="82" t="inlineStr">
        <is>
          <t>SYSTEM</t>
        </is>
      </c>
      <c r="G460" s="83" t="inlineStr">
        <is>
          <t>Performance</t>
        </is>
      </c>
      <c r="H460" s="59" t="inlineStr">
        <is>
          <t>—</t>
        </is>
      </c>
      <c r="I460" s="58" t="inlineStr">
        <is>
          <t>C3 — Mechanical &amp; Equipment</t>
        </is>
      </c>
      <c r="J460" s="6" t="n">
        <v>49</v>
      </c>
      <c r="K460" s="6" t="inlineStr">
        <is>
          <t>4.4.3.1</t>
        </is>
      </c>
      <c r="L460" s="6" t="inlineStr">
        <is>
          <t>General Requirements</t>
        </is>
      </c>
      <c r="M460" s="6" t="inlineStr">
        <is>
          <t>The WCS shall comprise the warm compression equipment required to establish and maintain pressure levels, including at minimum:</t>
        </is>
      </c>
      <c r="N460" s="6" t="inlineStr">
        <is>
          <t>The WCS shall comprise the warm compression equipment required to establish and maintain pressure levels, including at minimum:
• The HP compressor system, for compression from LP to HP
• The Process Vacuum Pumping System (PVPS), for compression from VLP to LP.</t>
        </is>
      </c>
      <c r="O460" s="6" t="n">
        <v>0</v>
      </c>
      <c r="P460" s="6" t="n">
        <v>0</v>
      </c>
      <c r="Q460" s="6" t="n">
        <v>2</v>
      </c>
      <c r="R460" s="6" t="n">
        <v>2</v>
      </c>
      <c r="S460" s="6" t="n">
        <v>0</v>
      </c>
      <c r="T460" s="6" t="n">
        <v>0</v>
      </c>
      <c r="U460" s="6" t="n">
        <v>0</v>
      </c>
      <c r="V460" s="6" t="n">
        <v>24</v>
      </c>
      <c r="W460" s="6" t="n">
        <v>33.0791</v>
      </c>
      <c r="X460" s="6" t="n">
        <v>1.1664</v>
      </c>
      <c r="Y460" s="6" t="inlineStr">
        <is>
          <t>Performance</t>
        </is>
      </c>
      <c r="Z460" s="6" t="inlineStr">
        <is>
          <t>Frozen-weight composite; strongest contribution: Performance.</t>
        </is>
      </c>
      <c r="AA460" s="6" t="inlineStr">
        <is>
          <t>None explicitly named in this RTM</t>
        </is>
      </c>
      <c r="AB460" s="6" t="inlineStr">
        <is>
          <t>Section-level: ISO 2372; ISO 20816; ISO 2954; ISO 2151</t>
        </is>
      </c>
      <c r="AC460" s="6" t="inlineStr">
        <is>
          <t>Calculation/model plus calibrated measurement or recorded trend</t>
        </is>
      </c>
      <c r="AD460" s="6" t="inlineStr">
        <is>
          <t>No separate deliverable explicitly named</t>
        </is>
      </c>
      <c r="AE460" s="6" t="inlineStr">
        <is>
          <t>L1 Conceptual Design; L2 Detailed Design</t>
        </is>
      </c>
      <c r="AF460" s="6" t="inlineStr">
        <is>
          <t>Section/contract-derived reference; derived evidence route</t>
        </is>
      </c>
      <c r="AG460" s="58" t="inlineStr">
        <is>
          <t>OFFER-13 (Broad/contextual — main component specification); OFFER-15 (Direct)</t>
        </is>
      </c>
    </row>
    <row r="461" ht="34" customHeight="1">
      <c r="A461" s="6" t="n">
        <v>456</v>
      </c>
      <c r="B461" s="6" t="inlineStr">
        <is>
          <t>RTM-143</t>
        </is>
      </c>
      <c r="C461" s="6" t="inlineStr">
        <is>
          <t>No</t>
        </is>
      </c>
      <c r="D461" s="6" t="inlineStr">
        <is>
          <t>T3 Contextual</t>
        </is>
      </c>
      <c r="E461" s="6" t="inlineStr">
        <is>
          <t>Subsystems</t>
        </is>
      </c>
      <c r="F461" s="82" t="inlineStr">
        <is>
          <t>SYSTEM</t>
        </is>
      </c>
      <c r="G461" s="83" t="inlineStr">
        <is>
          <t>Performance</t>
        </is>
      </c>
      <c r="H461" s="59" t="inlineStr">
        <is>
          <t>—</t>
        </is>
      </c>
      <c r="I461" s="58" t="inlineStr">
        <is>
          <t>C3 — Mechanical &amp; Equipment</t>
        </is>
      </c>
      <c r="J461" s="6" t="n">
        <v>49</v>
      </c>
      <c r="K461" s="6" t="inlineStr">
        <is>
          <t>4.4.3.1</t>
        </is>
      </c>
      <c r="L461" s="6" t="inlineStr">
        <is>
          <t>General Requirements</t>
        </is>
      </c>
      <c r="M461" s="6" t="inlineStr">
        <is>
          <t>Each compression stage shall include at least three compressors.</t>
        </is>
      </c>
      <c r="N461" s="6" t="inlineStr">
        <is>
          <t>Each compression stage shall include at least three compressors.
• All compressors within the same compression stage shall be identical.</t>
        </is>
      </c>
      <c r="O461" s="6" t="n">
        <v>0</v>
      </c>
      <c r="P461" s="6" t="n">
        <v>0</v>
      </c>
      <c r="Q461" s="6" t="n">
        <v>2</v>
      </c>
      <c r="R461" s="6" t="n">
        <v>2</v>
      </c>
      <c r="S461" s="6" t="n">
        <v>0</v>
      </c>
      <c r="T461" s="6" t="n">
        <v>0</v>
      </c>
      <c r="U461" s="6" t="n">
        <v>0</v>
      </c>
      <c r="V461" s="6" t="n">
        <v>24</v>
      </c>
      <c r="W461" s="6" t="n">
        <v>33.0791</v>
      </c>
      <c r="X461" s="6" t="n">
        <v>1.1664</v>
      </c>
      <c r="Y461" s="6" t="inlineStr">
        <is>
          <t>Performance</t>
        </is>
      </c>
      <c r="Z461" s="6" t="inlineStr">
        <is>
          <t>Frozen-weight composite; strongest contribution: Performance.</t>
        </is>
      </c>
      <c r="AA461" s="6" t="inlineStr">
        <is>
          <t>None explicitly named in this RTM</t>
        </is>
      </c>
      <c r="AB461" s="6" t="inlineStr">
        <is>
          <t>Section-level: ISO 2372; ISO 20816; ISO 2954; ISO 2151</t>
        </is>
      </c>
      <c r="AC461" s="6" t="inlineStr">
        <is>
          <t>Calculation/model plus calibrated measurement or recorded trend</t>
        </is>
      </c>
      <c r="AD461" s="6" t="inlineStr">
        <is>
          <t>No separate deliverable explicitly named</t>
        </is>
      </c>
      <c r="AE461" s="6" t="inlineStr">
        <is>
          <t>L1 Conceptual Design; L2 Detailed Design</t>
        </is>
      </c>
      <c r="AF461" s="6" t="inlineStr">
        <is>
          <t>Section/contract-derived reference; derived evidence route</t>
        </is>
      </c>
      <c r="AG461" s="58" t="inlineStr">
        <is>
          <t>OFFER-13 (Broad/contextual — main component specification); OFFER-15 (Direct)</t>
        </is>
      </c>
    </row>
    <row r="462" ht="47" customHeight="1">
      <c r="A462" s="6" t="n">
        <v>457</v>
      </c>
      <c r="B462" s="6" t="inlineStr">
        <is>
          <t>RTM-144</t>
        </is>
      </c>
      <c r="C462" s="6" t="inlineStr">
        <is>
          <t>No</t>
        </is>
      </c>
      <c r="D462" s="6" t="inlineStr">
        <is>
          <t>T3 Contextual</t>
        </is>
      </c>
      <c r="E462" s="6" t="inlineStr">
        <is>
          <t>Subsystems</t>
        </is>
      </c>
      <c r="F462" s="82" t="inlineStr">
        <is>
          <t>SYSTEM</t>
        </is>
      </c>
      <c r="G462" s="83" t="inlineStr">
        <is>
          <t>Performance</t>
        </is>
      </c>
      <c r="H462" s="59" t="inlineStr">
        <is>
          <t>—</t>
        </is>
      </c>
      <c r="I462" s="58" t="inlineStr">
        <is>
          <t>C3 — Mechanical &amp; Equipment</t>
        </is>
      </c>
      <c r="J462" s="6" t="n">
        <v>49</v>
      </c>
      <c r="K462" s="6" t="inlineStr">
        <is>
          <t>4.4.3.1</t>
        </is>
      </c>
      <c r="L462" s="6" t="inlineStr">
        <is>
          <t>General Requirements</t>
        </is>
      </c>
      <c r="M462" s="6" t="inlineStr">
        <is>
          <t>Each compressor motor shall be equipped with a variable frequency drive (VFD) rated for full load current of the motor.</t>
        </is>
      </c>
      <c r="N462" s="6" t="inlineStr">
        <is>
          <t>Each compressor motor shall be equipped with a variable frequency drive (VFD) rated for full load current of the motor.</t>
        </is>
      </c>
      <c r="O462" s="6" t="n">
        <v>0</v>
      </c>
      <c r="P462" s="6" t="n">
        <v>0</v>
      </c>
      <c r="Q462" s="6" t="n">
        <v>2</v>
      </c>
      <c r="R462" s="6" t="n">
        <v>2</v>
      </c>
      <c r="S462" s="6" t="n">
        <v>0</v>
      </c>
      <c r="T462" s="6" t="n">
        <v>0</v>
      </c>
      <c r="U462" s="6" t="n">
        <v>0</v>
      </c>
      <c r="V462" s="6" t="n">
        <v>24</v>
      </c>
      <c r="W462" s="6" t="n">
        <v>33.0791</v>
      </c>
      <c r="X462" s="6" t="n">
        <v>1.1664</v>
      </c>
      <c r="Y462" s="6" t="inlineStr">
        <is>
          <t>Performance</t>
        </is>
      </c>
      <c r="Z462" s="6" t="inlineStr">
        <is>
          <t>Frozen-weight composite; strongest contribution: Performance.</t>
        </is>
      </c>
      <c r="AA462" s="6" t="inlineStr">
        <is>
          <t>None explicitly named in this RTM</t>
        </is>
      </c>
      <c r="AB462" s="6" t="inlineStr">
        <is>
          <t>Section-level: ISO 2372; ISO 20816; ISO 2954; ISO 2151</t>
        </is>
      </c>
      <c r="AC462" s="6" t="inlineStr">
        <is>
          <t>Calculation/model plus calibrated measurement or recorded trend</t>
        </is>
      </c>
      <c r="AD462" s="6" t="inlineStr">
        <is>
          <t>No separate deliverable explicitly named</t>
        </is>
      </c>
      <c r="AE462" s="6" t="inlineStr">
        <is>
          <t>L1 Conceptual Design; L2 Detailed Design</t>
        </is>
      </c>
      <c r="AF462" s="6" t="inlineStr">
        <is>
          <t>Section/contract-derived reference; derived evidence route</t>
        </is>
      </c>
      <c r="AG462" s="58" t="inlineStr">
        <is>
          <t>OFFER-13 (Broad/contextual — main component specification); OFFER-15 (Direct)</t>
        </is>
      </c>
    </row>
    <row r="463" ht="34" customHeight="1">
      <c r="A463" s="6" t="n">
        <v>458</v>
      </c>
      <c r="B463" s="6" t="inlineStr">
        <is>
          <t>RTM-145</t>
        </is>
      </c>
      <c r="C463" s="6" t="inlineStr">
        <is>
          <t>No</t>
        </is>
      </c>
      <c r="D463" s="6" t="inlineStr">
        <is>
          <t>T3 Contextual</t>
        </is>
      </c>
      <c r="E463" s="6" t="inlineStr">
        <is>
          <t>Subsystems</t>
        </is>
      </c>
      <c r="F463" s="82" t="inlineStr">
        <is>
          <t>SYSTEM</t>
        </is>
      </c>
      <c r="G463" s="83" t="inlineStr">
        <is>
          <t>Performance</t>
        </is>
      </c>
      <c r="H463" s="59" t="inlineStr">
        <is>
          <t>—</t>
        </is>
      </c>
      <c r="I463" s="58" t="inlineStr">
        <is>
          <t>C3 — Mechanical &amp; Equipment</t>
        </is>
      </c>
      <c r="J463" s="6" t="n">
        <v>49</v>
      </c>
      <c r="K463" s="6" t="inlineStr">
        <is>
          <t>4.4.3.1</t>
        </is>
      </c>
      <c r="L463" s="6" t="inlineStr">
        <is>
          <t>General Requirements</t>
        </is>
      </c>
      <c r="M463" s="6" t="inlineStr">
        <is>
          <t>The efficiency class of Motors and VFDs shall comply with Regulation (EU) 2019/1781.</t>
        </is>
      </c>
      <c r="N463" s="6" t="inlineStr">
        <is>
          <t>The efficiency class of Motors and VFDs shall comply with Regulation (EU) 2019/1781.</t>
        </is>
      </c>
      <c r="O463" s="6" t="n">
        <v>0</v>
      </c>
      <c r="P463" s="6" t="n">
        <v>0</v>
      </c>
      <c r="Q463" s="6" t="n">
        <v>2</v>
      </c>
      <c r="R463" s="6" t="n">
        <v>2</v>
      </c>
      <c r="S463" s="6" t="n">
        <v>0</v>
      </c>
      <c r="T463" s="6" t="n">
        <v>0</v>
      </c>
      <c r="U463" s="6" t="n">
        <v>0</v>
      </c>
      <c r="V463" s="6" t="n">
        <v>24</v>
      </c>
      <c r="W463" s="6" t="n">
        <v>33.0791</v>
      </c>
      <c r="X463" s="6" t="n">
        <v>1.1664</v>
      </c>
      <c r="Y463" s="6" t="inlineStr">
        <is>
          <t>Performance</t>
        </is>
      </c>
      <c r="Z463" s="6" t="inlineStr">
        <is>
          <t>Frozen-weight composite; strongest contribution: Performance.</t>
        </is>
      </c>
      <c r="AA463" s="6" t="inlineStr">
        <is>
          <t>None explicitly named in this RTM</t>
        </is>
      </c>
      <c r="AB463" s="6" t="inlineStr">
        <is>
          <t>Section-level: ISO 2372; ISO 20816; ISO 2954; ISO 2151</t>
        </is>
      </c>
      <c r="AC463" s="6" t="inlineStr">
        <is>
          <t>Calculation/model plus calibrated measurement or recorded trend</t>
        </is>
      </c>
      <c r="AD463" s="6" t="inlineStr">
        <is>
          <t>No separate deliverable explicitly named</t>
        </is>
      </c>
      <c r="AE463" s="6" t="inlineStr">
        <is>
          <t>L1 Conceptual Design; L2 Detailed Design</t>
        </is>
      </c>
      <c r="AF463" s="6" t="inlineStr">
        <is>
          <t>Section/contract-derived reference; derived evidence route</t>
        </is>
      </c>
      <c r="AG463" s="58" t="inlineStr">
        <is>
          <t>OFFER-13 (Broad/contextual — main component specification); OFFER-15 (Direct)</t>
        </is>
      </c>
    </row>
    <row r="464" ht="73" customHeight="1">
      <c r="A464" s="6" t="n">
        <v>459</v>
      </c>
      <c r="B464" s="6" t="inlineStr">
        <is>
          <t>RTM-150</t>
        </is>
      </c>
      <c r="C464" s="6" t="inlineStr">
        <is>
          <t>No</t>
        </is>
      </c>
      <c r="D464" s="6" t="inlineStr">
        <is>
          <t>T3 Contextual</t>
        </is>
      </c>
      <c r="E464" s="6" t="inlineStr">
        <is>
          <t>Subsystems</t>
        </is>
      </c>
      <c r="F464" s="82" t="inlineStr">
        <is>
          <t>SYSTEM</t>
        </is>
      </c>
      <c r="G464" s="83" t="inlineStr">
        <is>
          <t>Performance</t>
        </is>
      </c>
      <c r="H464" s="59" t="inlineStr">
        <is>
          <t>—</t>
        </is>
      </c>
      <c r="I464" s="58" t="inlineStr">
        <is>
          <t>C3 — Mechanical &amp; Equipment</t>
        </is>
      </c>
      <c r="J464" s="6" t="n">
        <v>49</v>
      </c>
      <c r="K464" s="6" t="inlineStr">
        <is>
          <t>4.4.3.2</t>
        </is>
      </c>
      <c r="L464" s="6" t="inlineStr">
        <is>
          <t>Compressors requirements</t>
        </is>
      </c>
      <c r="M464" s="6" t="inlineStr">
        <is>
          <t>Each compressor shall include:</t>
        </is>
      </c>
      <c r="N464" s="6" t="inlineStr">
        <is>
          <t>Each compressor shall include:
• A bulk oil separator with an integrated first-stage coalescer installed directly downstream of the compressor discharge.
• An oil-retention drip pan sized to contain the full oil inventory of the skid in the event of pipe rupture.</t>
        </is>
      </c>
      <c r="O464" s="6" t="n">
        <v>0</v>
      </c>
      <c r="P464" s="6" t="n">
        <v>0</v>
      </c>
      <c r="Q464" s="6" t="n">
        <v>2</v>
      </c>
      <c r="R464" s="6" t="n">
        <v>2</v>
      </c>
      <c r="S464" s="6" t="n">
        <v>0</v>
      </c>
      <c r="T464" s="6" t="n">
        <v>0</v>
      </c>
      <c r="U464" s="6" t="n">
        <v>0</v>
      </c>
      <c r="V464" s="6" t="n">
        <v>24</v>
      </c>
      <c r="W464" s="6" t="n">
        <v>33.0791</v>
      </c>
      <c r="X464" s="6" t="n">
        <v>1.1664</v>
      </c>
      <c r="Y464" s="6" t="inlineStr">
        <is>
          <t>Performance</t>
        </is>
      </c>
      <c r="Z464" s="6" t="inlineStr">
        <is>
          <t>Frozen-weight composite; strongest contribution: Performance.</t>
        </is>
      </c>
      <c r="AA464" s="6" t="inlineStr">
        <is>
          <t>None explicitly named in this RTM</t>
        </is>
      </c>
      <c r="AB464" s="6" t="inlineStr">
        <is>
          <t>Section-level: API 671; ISO 10441</t>
        </is>
      </c>
      <c r="AC464" s="6" t="inlineStr">
        <is>
          <t>Calculation/model plus calibrated measurement or recorded trend</t>
        </is>
      </c>
      <c r="AD464" s="6" t="inlineStr">
        <is>
          <t>No separate deliverable explicitly named</t>
        </is>
      </c>
      <c r="AE464" s="6" t="inlineStr">
        <is>
          <t>L1 Conceptual Design; L2 Detailed Design</t>
        </is>
      </c>
      <c r="AF464" s="6" t="inlineStr">
        <is>
          <t>Section/contract-derived reference; derived evidence route</t>
        </is>
      </c>
      <c r="AG464" s="58" t="inlineStr">
        <is>
          <t>OFFER-13 (Broad/contextual — main component specification); OFFER-16 (Direct)</t>
        </is>
      </c>
    </row>
    <row r="465" ht="34" customHeight="1">
      <c r="A465" s="6" t="n">
        <v>460</v>
      </c>
      <c r="B465" s="6" t="inlineStr">
        <is>
          <t>RTM-151</t>
        </is>
      </c>
      <c r="C465" s="6" t="inlineStr">
        <is>
          <t>No</t>
        </is>
      </c>
      <c r="D465" s="6" t="inlineStr">
        <is>
          <t>T3 Contextual</t>
        </is>
      </c>
      <c r="E465" s="6" t="inlineStr">
        <is>
          <t>Subsystems</t>
        </is>
      </c>
      <c r="F465" s="82" t="inlineStr">
        <is>
          <t>SYSTEM</t>
        </is>
      </c>
      <c r="G465" s="83" t="inlineStr">
        <is>
          <t>Constraint</t>
        </is>
      </c>
      <c r="H465" s="59" t="inlineStr">
        <is>
          <t>—</t>
        </is>
      </c>
      <c r="I465" s="58" t="inlineStr">
        <is>
          <t>C3 — Mechanical &amp; Equipment</t>
        </is>
      </c>
      <c r="J465" s="6" t="n">
        <v>49</v>
      </c>
      <c r="K465" s="6" t="inlineStr">
        <is>
          <t>4.4.3.2</t>
        </is>
      </c>
      <c r="L465" s="6" t="inlineStr">
        <is>
          <t>Compressors requirements</t>
        </is>
      </c>
      <c r="M465" s="6" t="inlineStr">
        <is>
          <t>Downstream of the bulk oil separator, the oil concentration in the helium stream shall not exceed 100 ppm(w).</t>
        </is>
      </c>
      <c r="N465" s="6" t="inlineStr">
        <is>
          <t>Downstream of the bulk oil separator, the oil concentration in the helium stream shall not exceed 100 ppm(w).</t>
        </is>
      </c>
      <c r="O465" s="6" t="n">
        <v>0</v>
      </c>
      <c r="P465" s="6" t="n">
        <v>0</v>
      </c>
      <c r="Q465" s="6" t="n">
        <v>2</v>
      </c>
      <c r="R465" s="6" t="n">
        <v>2</v>
      </c>
      <c r="S465" s="6" t="n">
        <v>0</v>
      </c>
      <c r="T465" s="6" t="n">
        <v>0</v>
      </c>
      <c r="U465" s="6" t="n">
        <v>0</v>
      </c>
      <c r="V465" s="6" t="n">
        <v>24</v>
      </c>
      <c r="W465" s="6" t="n">
        <v>33.0791</v>
      </c>
      <c r="X465" s="6" t="n">
        <v>1.1664</v>
      </c>
      <c r="Y465" s="6" t="inlineStr">
        <is>
          <t>Performance</t>
        </is>
      </c>
      <c r="Z465" s="6" t="inlineStr">
        <is>
          <t>Frozen-weight composite; strongest contribution: Performance.</t>
        </is>
      </c>
      <c r="AA465" s="6" t="inlineStr">
        <is>
          <t>None explicitly named in this RTM</t>
        </is>
      </c>
      <c r="AB465" s="6" t="inlineStr">
        <is>
          <t>Section-level: API 671; ISO 10441</t>
        </is>
      </c>
      <c r="AC465" s="6" t="inlineStr">
        <is>
          <t>Calculation/model plus calibrated measurement or recorded trend</t>
        </is>
      </c>
      <c r="AD465" s="6" t="inlineStr">
        <is>
          <t>No separate deliverable explicitly named</t>
        </is>
      </c>
      <c r="AE465" s="6" t="inlineStr">
        <is>
          <t>L1 Conceptual Design; L2 Detailed Design</t>
        </is>
      </c>
      <c r="AF465" s="6" t="inlineStr">
        <is>
          <t>Section/contract-derived reference; derived evidence route</t>
        </is>
      </c>
      <c r="AG465" s="58" t="inlineStr">
        <is>
          <t>OFFER-13 (Broad/contextual — main component specification); OFFER-16 (Direct)</t>
        </is>
      </c>
    </row>
    <row r="466" ht="73" customHeight="1">
      <c r="A466" s="6" t="n">
        <v>461</v>
      </c>
      <c r="B466" s="6" t="inlineStr">
        <is>
          <t>RTM-153</t>
        </is>
      </c>
      <c r="C466" s="6" t="inlineStr">
        <is>
          <t>No</t>
        </is>
      </c>
      <c r="D466" s="6" t="inlineStr">
        <is>
          <t>T3 Contextual</t>
        </is>
      </c>
      <c r="E466" s="6" t="inlineStr">
        <is>
          <t>Subsystems</t>
        </is>
      </c>
      <c r="F466" s="82" t="inlineStr">
        <is>
          <t>SYSTEM</t>
        </is>
      </c>
      <c r="G466" s="83" t="inlineStr">
        <is>
          <t>Performance</t>
        </is>
      </c>
      <c r="H466" s="59" t="inlineStr">
        <is>
          <t>—</t>
        </is>
      </c>
      <c r="I466" s="81" t="inlineStr">
        <is>
          <t>Inferred: C3 — Mechanical &amp; Equipment (medium conf.)</t>
        </is>
      </c>
      <c r="J466" s="6" t="n">
        <v>50</v>
      </c>
      <c r="K466" s="6" t="inlineStr">
        <is>
          <t>4.4.3.3</t>
        </is>
      </c>
      <c r="L466" s="6" t="inlineStr">
        <is>
          <t>WCS Valve Requirements</t>
        </is>
      </c>
      <c r="M466" s="6" t="inlineStr">
        <is>
          <t>The WCS shall include bypass valves between each pair of pressure headers: HP to LP, and LP to VLP.</t>
        </is>
      </c>
      <c r="N466" s="6" t="inlineStr">
        <is>
          <t>The WCS shall include bypass valves between each pair of pressure headers: HP to LP, and LP to VLP.
• Each bypass valve shall be sized for at least 100 % of the maximum steady-state mass-flow rate of the corresponding compressor stage under the worst-case differential-pressure condition.</t>
        </is>
      </c>
      <c r="O466" s="6" t="n">
        <v>0</v>
      </c>
      <c r="P466" s="6" t="n">
        <v>0</v>
      </c>
      <c r="Q466" s="6" t="n">
        <v>2</v>
      </c>
      <c r="R466" s="6" t="n">
        <v>2</v>
      </c>
      <c r="S466" s="6" t="n">
        <v>0</v>
      </c>
      <c r="T466" s="6" t="n">
        <v>0</v>
      </c>
      <c r="U466" s="6" t="n">
        <v>0</v>
      </c>
      <c r="V466" s="6" t="n">
        <v>24</v>
      </c>
      <c r="W466" s="6" t="n">
        <v>33.0791</v>
      </c>
      <c r="X466" s="6" t="n">
        <v>1.1664</v>
      </c>
      <c r="Y466" s="6" t="inlineStr">
        <is>
          <t>Performance</t>
        </is>
      </c>
      <c r="Z466" s="6" t="inlineStr">
        <is>
          <t>Frozen-weight composite; strongest contribution: Performance.</t>
        </is>
      </c>
      <c r="AA466" s="6" t="inlineStr">
        <is>
          <t>None explicitly named in this RTM</t>
        </is>
      </c>
      <c r="AB466" s="6" t="inlineStr">
        <is>
          <t>SCK CEN/90508872 §4.4.3.3; no named external code</t>
        </is>
      </c>
      <c r="AC466" s="6" t="inlineStr">
        <is>
          <t>Calculation/model plus calibrated measurement or recorded trend</t>
        </is>
      </c>
      <c r="AD466" s="6" t="inlineStr">
        <is>
          <t>No separate deliverable explicitly named</t>
        </is>
      </c>
      <c r="AE466" s="6" t="inlineStr">
        <is>
          <t>L1 Conceptual Design; L2 Detailed Design</t>
        </is>
      </c>
      <c r="AF466" s="6" t="inlineStr">
        <is>
          <t>Section/contract-derived reference; derived evidence route</t>
        </is>
      </c>
      <c r="AG466" s="58" t="inlineStr">
        <is>
          <t>Not linked to an OFFER item</t>
        </is>
      </c>
    </row>
    <row r="467" ht="73" customHeight="1">
      <c r="A467" s="6" t="n">
        <v>462</v>
      </c>
      <c r="B467" s="6" t="inlineStr">
        <is>
          <t>RTM-154</t>
        </is>
      </c>
      <c r="C467" s="6" t="inlineStr">
        <is>
          <t>No</t>
        </is>
      </c>
      <c r="D467" s="6" t="inlineStr">
        <is>
          <t>T3 Contextual</t>
        </is>
      </c>
      <c r="E467" s="6" t="inlineStr">
        <is>
          <t>Subsystems</t>
        </is>
      </c>
      <c r="F467" s="82" t="inlineStr">
        <is>
          <t>SYSTEM</t>
        </is>
      </c>
      <c r="G467" s="83" t="inlineStr">
        <is>
          <t>Control</t>
        </is>
      </c>
      <c r="H467" s="59" t="inlineStr">
        <is>
          <t>—</t>
        </is>
      </c>
      <c r="I467" s="81" t="inlineStr">
        <is>
          <t>Inferred: C3 — Mechanical &amp; Equipment (medium conf.)</t>
        </is>
      </c>
      <c r="J467" s="6" t="n">
        <v>50</v>
      </c>
      <c r="K467" s="6" t="inlineStr">
        <is>
          <t>4.4.3.3</t>
        </is>
      </c>
      <c r="L467" s="6" t="inlineStr">
        <is>
          <t>WCS Valve Requirements</t>
        </is>
      </c>
      <c r="M467" s="6" t="inlineStr">
        <is>
          <t>A control valve shall be installed in each of the following connections:</t>
        </is>
      </c>
      <c r="N467" s="6" t="inlineStr">
        <is>
          <t>A control valve shall be installed in each of the following connections:
• The connection from the helium-gas storage to the LP suction header, for loading.
• The connection from the HP discharge header to the helium-gas storage, located downstream of the fine dust filter and the oil-charcoal adsorber.</t>
        </is>
      </c>
      <c r="O467" s="6" t="n">
        <v>0</v>
      </c>
      <c r="P467" s="6" t="n">
        <v>0</v>
      </c>
      <c r="Q467" s="6" t="n">
        <v>2</v>
      </c>
      <c r="R467" s="6" t="n">
        <v>2</v>
      </c>
      <c r="S467" s="6" t="n">
        <v>0</v>
      </c>
      <c r="T467" s="6" t="n">
        <v>0</v>
      </c>
      <c r="U467" s="6" t="n">
        <v>0</v>
      </c>
      <c r="V467" s="6" t="n">
        <v>24</v>
      </c>
      <c r="W467" s="6" t="n">
        <v>33.0791</v>
      </c>
      <c r="X467" s="6" t="n">
        <v>1.1664</v>
      </c>
      <c r="Y467" s="6" t="inlineStr">
        <is>
          <t>Performance</t>
        </is>
      </c>
      <c r="Z467" s="6" t="inlineStr">
        <is>
          <t>Frozen-weight composite; strongest contribution: Performance.</t>
        </is>
      </c>
      <c r="AA467" s="6" t="inlineStr">
        <is>
          <t>None explicitly named in this RTM</t>
        </is>
      </c>
      <c r="AB467" s="6" t="inlineStr">
        <is>
          <t>SCK CEN/90508872 §4.4.3.3; no named external code</t>
        </is>
      </c>
      <c r="AC467" s="6" t="inlineStr">
        <is>
          <t>Calculation/model plus calibrated measurement or recorded trend; Functional design/configuration review and sequence/interface demonstration</t>
        </is>
      </c>
      <c r="AD467" s="6" t="inlineStr">
        <is>
          <t>No separate deliverable explicitly named</t>
        </is>
      </c>
      <c r="AE467" s="6" t="inlineStr">
        <is>
          <t>L1 Conceptual Design; L2 Detailed Design</t>
        </is>
      </c>
      <c r="AF467" s="6" t="inlineStr">
        <is>
          <t>Section/contract-derived reference; derived evidence route</t>
        </is>
      </c>
      <c r="AG467" s="58" t="inlineStr">
        <is>
          <t>Not linked to an OFFER item</t>
        </is>
      </c>
    </row>
    <row r="468" ht="47" customHeight="1">
      <c r="A468" s="6" t="n">
        <v>463</v>
      </c>
      <c r="B468" s="6" t="inlineStr">
        <is>
          <t>RTM-155</t>
        </is>
      </c>
      <c r="C468" s="6" t="inlineStr">
        <is>
          <t>No</t>
        </is>
      </c>
      <c r="D468" s="6" t="inlineStr">
        <is>
          <t>T3 Contextual</t>
        </is>
      </c>
      <c r="E468" s="6" t="inlineStr">
        <is>
          <t>Subsystems</t>
        </is>
      </c>
      <c r="F468" s="82" t="inlineStr">
        <is>
          <t>SYSTEM</t>
        </is>
      </c>
      <c r="G468" s="83" t="inlineStr">
        <is>
          <t>Control</t>
        </is>
      </c>
      <c r="H468" s="59" t="inlineStr">
        <is>
          <t>—</t>
        </is>
      </c>
      <c r="I468" s="81" t="inlineStr">
        <is>
          <t>Inferred: C3 — Mechanical &amp; Equipment (medium conf.)</t>
        </is>
      </c>
      <c r="J468" s="6" t="n">
        <v>50</v>
      </c>
      <c r="K468" s="6" t="inlineStr">
        <is>
          <t>4.4.3.3</t>
        </is>
      </c>
      <c r="L468" s="6" t="inlineStr">
        <is>
          <t>WCS Valve Requirements</t>
        </is>
      </c>
      <c r="M468" s="6" t="inlineStr">
        <is>
          <t>Each helium connection between the WCS and the QRB shall include a control valve located within the WCS building.</t>
        </is>
      </c>
      <c r="N468" s="6" t="inlineStr">
        <is>
          <t>Each helium connection between the WCS and the QRB shall include a control valve located within the WCS building.</t>
        </is>
      </c>
      <c r="O468" s="6" t="n">
        <v>0</v>
      </c>
      <c r="P468" s="6" t="n">
        <v>0</v>
      </c>
      <c r="Q468" s="6" t="n">
        <v>2</v>
      </c>
      <c r="R468" s="6" t="n">
        <v>2</v>
      </c>
      <c r="S468" s="6" t="n">
        <v>0</v>
      </c>
      <c r="T468" s="6" t="n">
        <v>0</v>
      </c>
      <c r="U468" s="6" t="n">
        <v>0</v>
      </c>
      <c r="V468" s="6" t="n">
        <v>24</v>
      </c>
      <c r="W468" s="6" t="n">
        <v>33.0791</v>
      </c>
      <c r="X468" s="6" t="n">
        <v>1.1664</v>
      </c>
      <c r="Y468" s="6" t="inlineStr">
        <is>
          <t>Performance</t>
        </is>
      </c>
      <c r="Z468" s="6" t="inlineStr">
        <is>
          <t>Frozen-weight composite; strongest contribution: Performance.</t>
        </is>
      </c>
      <c r="AA468" s="6" t="inlineStr">
        <is>
          <t>None explicitly named in this RTM</t>
        </is>
      </c>
      <c r="AB468" s="6" t="inlineStr">
        <is>
          <t>SCK CEN/90508872 §4.4.3.3; no named external code</t>
        </is>
      </c>
      <c r="AC468" s="6" t="inlineStr">
        <is>
          <t>Calculation/model plus calibrated measurement or recorded trend; Functional design/configuration review and sequence/interface demonstration</t>
        </is>
      </c>
      <c r="AD468" s="6" t="inlineStr">
        <is>
          <t>No separate deliverable explicitly named</t>
        </is>
      </c>
      <c r="AE468" s="6" t="inlineStr">
        <is>
          <t>L1 Conceptual Design; L2 Detailed Design</t>
        </is>
      </c>
      <c r="AF468" s="6" t="inlineStr">
        <is>
          <t>Section/contract-derived reference; derived evidence route</t>
        </is>
      </c>
      <c r="AG468" s="58" t="inlineStr">
        <is>
          <t>Not linked to an OFFER item</t>
        </is>
      </c>
    </row>
    <row r="469" ht="47" customHeight="1">
      <c r="A469" s="6" t="n">
        <v>464</v>
      </c>
      <c r="B469" s="6" t="inlineStr">
        <is>
          <t>RTM-156</t>
        </is>
      </c>
      <c r="C469" s="6" t="inlineStr">
        <is>
          <t>No</t>
        </is>
      </c>
      <c r="D469" s="6" t="inlineStr">
        <is>
          <t>T3 Contextual</t>
        </is>
      </c>
      <c r="E469" s="6" t="inlineStr">
        <is>
          <t>Subsystems</t>
        </is>
      </c>
      <c r="F469" s="82" t="inlineStr">
        <is>
          <t>SYSTEM</t>
        </is>
      </c>
      <c r="G469" s="83" t="inlineStr">
        <is>
          <t>Performance</t>
        </is>
      </c>
      <c r="H469" s="59" t="inlineStr">
        <is>
          <t>—</t>
        </is>
      </c>
      <c r="I469" s="81" t="inlineStr">
        <is>
          <t>Inferred: C3 — Mechanical &amp; Equipment (medium conf.)</t>
        </is>
      </c>
      <c r="J469" s="6" t="n">
        <v>50</v>
      </c>
      <c r="K469" s="6" t="inlineStr">
        <is>
          <t>4.4.3.3</t>
        </is>
      </c>
      <c r="L469" s="6" t="inlineStr">
        <is>
          <t>WCS Valve Requirements</t>
        </is>
      </c>
      <c r="M469" s="6" t="inlineStr">
        <is>
          <t>The suction and discharge lines of each compressor stage shall be equipped with non-return valves that automatically close when the corresponding compressor stops.</t>
        </is>
      </c>
      <c r="N469" s="6" t="inlineStr">
        <is>
          <t>The suction and discharge lines of each compressor stage shall be equipped with non-return valves that automatically close when the corresponding compressor stops.</t>
        </is>
      </c>
      <c r="O469" s="6" t="n">
        <v>0</v>
      </c>
      <c r="P469" s="6" t="n">
        <v>0</v>
      </c>
      <c r="Q469" s="6" t="n">
        <v>2</v>
      </c>
      <c r="R469" s="6" t="n">
        <v>2</v>
      </c>
      <c r="S469" s="6" t="n">
        <v>0</v>
      </c>
      <c r="T469" s="6" t="n">
        <v>0</v>
      </c>
      <c r="U469" s="6" t="n">
        <v>0</v>
      </c>
      <c r="V469" s="6" t="n">
        <v>24</v>
      </c>
      <c r="W469" s="6" t="n">
        <v>33.0791</v>
      </c>
      <c r="X469" s="6" t="n">
        <v>1.1664</v>
      </c>
      <c r="Y469" s="6" t="inlineStr">
        <is>
          <t>Performance</t>
        </is>
      </c>
      <c r="Z469" s="6" t="inlineStr">
        <is>
          <t>Frozen-weight composite; strongest contribution: Performance.</t>
        </is>
      </c>
      <c r="AA469" s="6" t="inlineStr">
        <is>
          <t>None explicitly named in this RTM</t>
        </is>
      </c>
      <c r="AB469" s="6" t="inlineStr">
        <is>
          <t>SCK CEN/90508872 §4.4.3.3; no named external code</t>
        </is>
      </c>
      <c r="AC469" s="6" t="inlineStr">
        <is>
          <t>Calculation/model plus calibrated measurement or recorded trend</t>
        </is>
      </c>
      <c r="AD469" s="6" t="inlineStr">
        <is>
          <t>No separate deliverable explicitly named</t>
        </is>
      </c>
      <c r="AE469" s="6" t="inlineStr">
        <is>
          <t>L1 Conceptual Design; L2 Detailed Design</t>
        </is>
      </c>
      <c r="AF469" s="6" t="inlineStr">
        <is>
          <t>Section/contract-derived reference; derived evidence route</t>
        </is>
      </c>
      <c r="AG469" s="58" t="inlineStr">
        <is>
          <t>Not linked to an OFFER item</t>
        </is>
      </c>
    </row>
    <row r="470" ht="47" customHeight="1">
      <c r="A470" s="6" t="n">
        <v>465</v>
      </c>
      <c r="B470" s="6" t="inlineStr">
        <is>
          <t>RTM-157</t>
        </is>
      </c>
      <c r="C470" s="6" t="inlineStr">
        <is>
          <t>No</t>
        </is>
      </c>
      <c r="D470" s="6" t="inlineStr">
        <is>
          <t>T3 Contextual</t>
        </is>
      </c>
      <c r="E470" s="6" t="inlineStr">
        <is>
          <t>Subsystems</t>
        </is>
      </c>
      <c r="F470" s="82" t="inlineStr">
        <is>
          <t>SYSTEM</t>
        </is>
      </c>
      <c r="G470" s="83" t="inlineStr">
        <is>
          <t>Performance</t>
        </is>
      </c>
      <c r="H470" s="59" t="inlineStr">
        <is>
          <t>—</t>
        </is>
      </c>
      <c r="I470" s="81" t="inlineStr">
        <is>
          <t>Inferred: C2 — Process Design (low conf.)</t>
        </is>
      </c>
      <c r="J470" s="6" t="n">
        <v>50</v>
      </c>
      <c r="K470" s="6" t="inlineStr">
        <is>
          <t>4.4.3.4</t>
        </is>
      </c>
      <c r="L470" s="6" t="inlineStr">
        <is>
          <t>Coolers</t>
        </is>
      </c>
      <c r="M470" s="6" t="inlineStr">
        <is>
          <t>Each cooler shall include on the gas circuit:</t>
        </is>
      </c>
      <c r="N470" s="6" t="inlineStr">
        <is>
          <t>Each cooler shall include on the gas circuit:
• Purge valves suitable for draining and purging the gas circuits, including nitrogen blow-through or helium rinse-out, as applicable.</t>
        </is>
      </c>
      <c r="O470" s="6" t="n">
        <v>0</v>
      </c>
      <c r="P470" s="6" t="n">
        <v>0</v>
      </c>
      <c r="Q470" s="6" t="n">
        <v>2</v>
      </c>
      <c r="R470" s="6" t="n">
        <v>2</v>
      </c>
      <c r="S470" s="6" t="n">
        <v>0</v>
      </c>
      <c r="T470" s="6" t="n">
        <v>0</v>
      </c>
      <c r="U470" s="6" t="n">
        <v>0</v>
      </c>
      <c r="V470" s="6" t="n">
        <v>24</v>
      </c>
      <c r="W470" s="6" t="n">
        <v>33.0791</v>
      </c>
      <c r="X470" s="6" t="n">
        <v>1.1664</v>
      </c>
      <c r="Y470" s="6" t="inlineStr">
        <is>
          <t>Performance</t>
        </is>
      </c>
      <c r="Z470" s="6" t="inlineStr">
        <is>
          <t>Frozen-weight composite; strongest contribution: Performance.</t>
        </is>
      </c>
      <c r="AA470" s="6" t="inlineStr">
        <is>
          <t>None explicitly named in this RTM</t>
        </is>
      </c>
      <c r="AB470" s="6" t="inlineStr">
        <is>
          <t>SCK CEN/90508872 §4.4.3.4; no named external code</t>
        </is>
      </c>
      <c r="AC470" s="6" t="inlineStr">
        <is>
          <t>Calculation/model plus calibrated measurement or recorded trend</t>
        </is>
      </c>
      <c r="AD470" s="6" t="inlineStr">
        <is>
          <t>No separate deliverable explicitly named</t>
        </is>
      </c>
      <c r="AE470" s="6" t="inlineStr">
        <is>
          <t>L1 Conceptual Design; L2 Detailed Design</t>
        </is>
      </c>
      <c r="AF470" s="6" t="inlineStr">
        <is>
          <t>Section/contract-derived reference; derived evidence route</t>
        </is>
      </c>
      <c r="AG470" s="58" t="inlineStr">
        <is>
          <t>Not linked to an OFFER item</t>
        </is>
      </c>
    </row>
    <row r="471" ht="112" customHeight="1">
      <c r="A471" s="6" t="n">
        <v>466</v>
      </c>
      <c r="B471" s="6" t="inlineStr">
        <is>
          <t>RTM-159</t>
        </is>
      </c>
      <c r="C471" s="6" t="inlineStr">
        <is>
          <t>No</t>
        </is>
      </c>
      <c r="D471" s="6" t="inlineStr">
        <is>
          <t>T3 Contextual</t>
        </is>
      </c>
      <c r="E471" s="6" t="inlineStr">
        <is>
          <t>Subsystems</t>
        </is>
      </c>
      <c r="F471" s="82" t="inlineStr">
        <is>
          <t>SYSTEM</t>
        </is>
      </c>
      <c r="G471" s="83" t="inlineStr">
        <is>
          <t>Control</t>
        </is>
      </c>
      <c r="H471" s="59" t="inlineStr">
        <is>
          <t>—</t>
        </is>
      </c>
      <c r="I471" s="81" t="inlineStr">
        <is>
          <t>Inferred: C3 — Mechanical &amp; Equipment (medium conf.)</t>
        </is>
      </c>
      <c r="J471" s="6" t="n">
        <v>50</v>
      </c>
      <c r="K471" s="6" t="inlineStr">
        <is>
          <t>4.4.3.5</t>
        </is>
      </c>
      <c r="L471" s="6" t="inlineStr">
        <is>
          <t>Oil</t>
        </is>
      </c>
      <c r="M471" s="6" t="inlineStr">
        <is>
          <t>The oil-management system of the WCS shall provide, at minimum, the following functions:</t>
        </is>
      </c>
      <c r="N471" s="6" t="inlineStr">
        <is>
          <t>The oil-management system of the WCS shall provide, at minimum, the following functions:
• Bulk separation of oil from the compressed helium gas immediately downstream of the compressor discharge.
• Storage, thermal conditioning, and controlled supply of compressor oil to the lubrication and oil-injection circuits.
• Retention of separated oil with sufficient residence time to allow gas disengagement, stable level control, and reliable oil supply.</t>
        </is>
      </c>
      <c r="O471" s="6" t="n">
        <v>0</v>
      </c>
      <c r="P471" s="6" t="n">
        <v>0</v>
      </c>
      <c r="Q471" s="6" t="n">
        <v>2</v>
      </c>
      <c r="R471" s="6" t="n">
        <v>2</v>
      </c>
      <c r="S471" s="6" t="n">
        <v>0</v>
      </c>
      <c r="T471" s="6" t="n">
        <v>0</v>
      </c>
      <c r="U471" s="6" t="n">
        <v>0</v>
      </c>
      <c r="V471" s="6" t="n">
        <v>24</v>
      </c>
      <c r="W471" s="6" t="n">
        <v>33.0791</v>
      </c>
      <c r="X471" s="6" t="n">
        <v>1.1664</v>
      </c>
      <c r="Y471" s="6" t="inlineStr">
        <is>
          <t>Performance</t>
        </is>
      </c>
      <c r="Z471" s="6" t="inlineStr">
        <is>
          <t>Frozen-weight composite; strongest contribution: Performance.</t>
        </is>
      </c>
      <c r="AA471" s="6" t="inlineStr">
        <is>
          <t>None explicitly named in this RTM</t>
        </is>
      </c>
      <c r="AB471" s="6" t="inlineStr">
        <is>
          <t>SCK CEN/90508872 §4.4.3.5; no named external code</t>
        </is>
      </c>
      <c r="AC471" s="6" t="inlineStr">
        <is>
          <t>Calculation/model plus calibrated measurement or recorded trend; Functional design/configuration review and sequence/interface demonstration</t>
        </is>
      </c>
      <c r="AD471" s="6" t="inlineStr">
        <is>
          <t>No separate deliverable explicitly named</t>
        </is>
      </c>
      <c r="AE471" s="6" t="inlineStr">
        <is>
          <t>L1 Conceptual Design; L2 Detailed Design</t>
        </is>
      </c>
      <c r="AF471" s="6" t="inlineStr">
        <is>
          <t>Section/contract-derived reference; derived evidence route</t>
        </is>
      </c>
      <c r="AG471" s="58" t="inlineStr">
        <is>
          <t>Not linked to an OFFER item</t>
        </is>
      </c>
    </row>
    <row r="472" ht="138" customHeight="1">
      <c r="A472" s="6" t="n">
        <v>467</v>
      </c>
      <c r="B472" s="6" t="inlineStr">
        <is>
          <t>RTM-160</t>
        </is>
      </c>
      <c r="C472" s="6" t="inlineStr">
        <is>
          <t>No</t>
        </is>
      </c>
      <c r="D472" s="6" t="inlineStr">
        <is>
          <t>T3 Contextual</t>
        </is>
      </c>
      <c r="E472" s="6" t="inlineStr">
        <is>
          <t>Subsystems</t>
        </is>
      </c>
      <c r="F472" s="82" t="inlineStr">
        <is>
          <t>SYSTEM</t>
        </is>
      </c>
      <c r="G472" s="83" t="inlineStr">
        <is>
          <t>Constraint</t>
        </is>
      </c>
      <c r="H472" s="59" t="inlineStr">
        <is>
          <t>—</t>
        </is>
      </c>
      <c r="I472" s="81" t="inlineStr">
        <is>
          <t>Inferred: C3 — Mechanical &amp; Equipment (medium conf.)</t>
        </is>
      </c>
      <c r="J472" s="6" t="n">
        <v>50</v>
      </c>
      <c r="K472" s="6" t="inlineStr">
        <is>
          <t>4.4.3.5</t>
        </is>
      </c>
      <c r="L472" s="6" t="inlineStr">
        <is>
          <t>Oil</t>
        </is>
      </c>
      <c r="M472" s="6" t="inlineStr">
        <is>
          <t>The Contractor shall supply all compressor oil required for the initial filling.</t>
        </is>
      </c>
      <c r="N472" s="6" t="inlineStr">
        <is>
          <t>The Contractor shall supply all compressor oil required for the initial filling.
• The oil shall be a synthetic oil qualified for helium-compressor service, or an explicitly approved equivalent, compatible with the supplied compressors.
• If an equivalent oil is proposed, it shall comply with the following requirements:
• The particle size shall not exceed 25 µm.
• The water content shall not exceed 100 ppm(v/v) for Polyalphaolefin (PAO) oils and 1000 ppm(v/v) for Breox-type oils.</t>
        </is>
      </c>
      <c r="O472" s="6" t="n">
        <v>0</v>
      </c>
      <c r="P472" s="6" t="n">
        <v>0</v>
      </c>
      <c r="Q472" s="6" t="n">
        <v>2</v>
      </c>
      <c r="R472" s="6" t="n">
        <v>2</v>
      </c>
      <c r="S472" s="6" t="n">
        <v>0</v>
      </c>
      <c r="T472" s="6" t="n">
        <v>0</v>
      </c>
      <c r="U472" s="6" t="n">
        <v>0</v>
      </c>
      <c r="V472" s="6" t="n">
        <v>24</v>
      </c>
      <c r="W472" s="6" t="n">
        <v>33.0791</v>
      </c>
      <c r="X472" s="6" t="n">
        <v>1.1664</v>
      </c>
      <c r="Y472" s="6" t="inlineStr">
        <is>
          <t>Performance</t>
        </is>
      </c>
      <c r="Z472" s="6" t="inlineStr">
        <is>
          <t>Frozen-weight composite; strongest contribution: Performance.</t>
        </is>
      </c>
      <c r="AA472" s="6" t="inlineStr">
        <is>
          <t>None explicitly named in this RTM</t>
        </is>
      </c>
      <c r="AB472" s="6" t="inlineStr">
        <is>
          <t>SCK CEN/90508872 §4.4.3.5; no named external code</t>
        </is>
      </c>
      <c r="AC472" s="6" t="inlineStr">
        <is>
          <t>Calculation/model plus calibrated measurement or recorded trend</t>
        </is>
      </c>
      <c r="AD472" s="6" t="inlineStr">
        <is>
          <t>No separate deliverable explicitly named</t>
        </is>
      </c>
      <c r="AE472" s="6" t="inlineStr">
        <is>
          <t>L1 Conceptual Design; L2 Detailed Design</t>
        </is>
      </c>
      <c r="AF472" s="6" t="inlineStr">
        <is>
          <t>Section/contract-derived reference; derived evidence route</t>
        </is>
      </c>
      <c r="AG472" s="58" t="inlineStr">
        <is>
          <t>Not linked to an OFFER item</t>
        </is>
      </c>
    </row>
    <row r="473" ht="60" customHeight="1">
      <c r="A473" s="6" t="n">
        <v>468</v>
      </c>
      <c r="B473" s="6" t="inlineStr">
        <is>
          <t>RTM-162</t>
        </is>
      </c>
      <c r="C473" s="6" t="inlineStr">
        <is>
          <t>No</t>
        </is>
      </c>
      <c r="D473" s="6" t="inlineStr">
        <is>
          <t>T3 Contextual</t>
        </is>
      </c>
      <c r="E473" s="6" t="inlineStr">
        <is>
          <t>Subsystems</t>
        </is>
      </c>
      <c r="F473" s="82" t="inlineStr">
        <is>
          <t>SYSTEM</t>
        </is>
      </c>
      <c r="G473" s="83" t="inlineStr">
        <is>
          <t>Performance</t>
        </is>
      </c>
      <c r="H473" s="59" t="inlineStr">
        <is>
          <t>—</t>
        </is>
      </c>
      <c r="I473" s="81" t="inlineStr">
        <is>
          <t>Inferred: C3 — Mechanical &amp; Equipment (medium conf.)</t>
        </is>
      </c>
      <c r="J473" s="6" t="n">
        <v>51</v>
      </c>
      <c r="K473" s="6" t="inlineStr">
        <is>
          <t>4.4.3.5.1</t>
        </is>
      </c>
      <c r="L473" s="6" t="inlineStr">
        <is>
          <t>Oil-pump units</t>
        </is>
      </c>
      <c r="M473" s="6" t="inlineStr">
        <is>
          <t>Each compressor shall be fitted with a dedicated, automatically controlled auxiliary oil-pump unit to maintain the minimum bearing-lubrication pressure during start-up, shutdown, and coast-down.</t>
        </is>
      </c>
      <c r="N473" s="6" t="inlineStr">
        <is>
          <t>Each compressor shall be fitted with a dedicated, automatically controlled auxiliary oil-pump unit to maintain the minimum bearing-lubrication pressure during start-up, shutdown, and coast-down.</t>
        </is>
      </c>
      <c r="O473" s="6" t="n">
        <v>0</v>
      </c>
      <c r="P473" s="6" t="n">
        <v>0</v>
      </c>
      <c r="Q473" s="6" t="n">
        <v>2</v>
      </c>
      <c r="R473" s="6" t="n">
        <v>2</v>
      </c>
      <c r="S473" s="6" t="n">
        <v>0</v>
      </c>
      <c r="T473" s="6" t="n">
        <v>0</v>
      </c>
      <c r="U473" s="6" t="n">
        <v>0</v>
      </c>
      <c r="V473" s="6" t="n">
        <v>24</v>
      </c>
      <c r="W473" s="6" t="n">
        <v>33.0791</v>
      </c>
      <c r="X473" s="6" t="n">
        <v>1.1664</v>
      </c>
      <c r="Y473" s="6" t="inlineStr">
        <is>
          <t>Performance</t>
        </is>
      </c>
      <c r="Z473" s="6" t="inlineStr">
        <is>
          <t>Frozen-weight composite; strongest contribution: Performance.</t>
        </is>
      </c>
      <c r="AA473" s="6" t="inlineStr">
        <is>
          <t>None explicitly named in this RTM</t>
        </is>
      </c>
      <c r="AB473" s="6" t="inlineStr">
        <is>
          <t>SCK CEN/90508872 §4.4.3.5.1; no named external code</t>
        </is>
      </c>
      <c r="AC473" s="6" t="inlineStr">
        <is>
          <t>Calculation/model plus calibrated measurement or recorded trend; Functional design/configuration review and sequence/interface demonstration</t>
        </is>
      </c>
      <c r="AD473" s="6" t="inlineStr">
        <is>
          <t>No separate deliverable explicitly named</t>
        </is>
      </c>
      <c r="AE473" s="6" t="inlineStr">
        <is>
          <t>L1 Conceptual Design; L2 Detailed Design</t>
        </is>
      </c>
      <c r="AF473" s="6" t="inlineStr">
        <is>
          <t>Section/contract-derived reference; derived evidence route</t>
        </is>
      </c>
      <c r="AG473" s="58" t="inlineStr">
        <is>
          <t>Not linked to an OFFER item</t>
        </is>
      </c>
    </row>
    <row r="474" ht="47" customHeight="1">
      <c r="A474" s="6" t="n">
        <v>469</v>
      </c>
      <c r="B474" s="6" t="inlineStr">
        <is>
          <t>RTM-163</t>
        </is>
      </c>
      <c r="C474" s="6" t="inlineStr">
        <is>
          <t>No</t>
        </is>
      </c>
      <c r="D474" s="6" t="inlineStr">
        <is>
          <t>T3 Contextual</t>
        </is>
      </c>
      <c r="E474" s="6" t="inlineStr">
        <is>
          <t>Subsystems</t>
        </is>
      </c>
      <c r="F474" s="82" t="inlineStr">
        <is>
          <t>SYSTEM</t>
        </is>
      </c>
      <c r="G474" s="83" t="inlineStr">
        <is>
          <t>Performance</t>
        </is>
      </c>
      <c r="H474" s="59" t="inlineStr">
        <is>
          <t>—</t>
        </is>
      </c>
      <c r="I474" s="81" t="inlineStr">
        <is>
          <t>Inferred: C3 — Mechanical &amp; Equipment (medium conf.)</t>
        </is>
      </c>
      <c r="J474" s="6" t="n">
        <v>51</v>
      </c>
      <c r="K474" s="6" t="inlineStr">
        <is>
          <t>4.4.3.5.1</t>
        </is>
      </c>
      <c r="L474" s="6" t="inlineStr">
        <is>
          <t>Oil-pump units</t>
        </is>
      </c>
      <c r="M474" s="6" t="inlineStr">
        <is>
          <t>Each auxiliary oil-pump unit shall be equipped with:</t>
        </is>
      </c>
      <c r="N474" s="6" t="inlineStr">
        <is>
          <t>Each auxiliary oil-pump unit shall be equipped with:
• Suction- and discharge-pressure transmitters
• A flow switch interfaced to the compressor protection system</t>
        </is>
      </c>
      <c r="O474" s="6" t="n">
        <v>0</v>
      </c>
      <c r="P474" s="6" t="n">
        <v>0</v>
      </c>
      <c r="Q474" s="6" t="n">
        <v>2</v>
      </c>
      <c r="R474" s="6" t="n">
        <v>2</v>
      </c>
      <c r="S474" s="6" t="n">
        <v>0</v>
      </c>
      <c r="T474" s="6" t="n">
        <v>0</v>
      </c>
      <c r="U474" s="6" t="n">
        <v>0</v>
      </c>
      <c r="V474" s="6" t="n">
        <v>24</v>
      </c>
      <c r="W474" s="6" t="n">
        <v>33.0791</v>
      </c>
      <c r="X474" s="6" t="n">
        <v>1.1664</v>
      </c>
      <c r="Y474" s="6" t="inlineStr">
        <is>
          <t>Performance</t>
        </is>
      </c>
      <c r="Z474" s="6" t="inlineStr">
        <is>
          <t>Frozen-weight composite; strongest contribution: Performance.</t>
        </is>
      </c>
      <c r="AA474" s="6" t="inlineStr">
        <is>
          <t>None explicitly named in this RTM</t>
        </is>
      </c>
      <c r="AB474" s="6" t="inlineStr">
        <is>
          <t>SCK CEN/90508872 §4.4.3.5.1; no named external code</t>
        </is>
      </c>
      <c r="AC474" s="6" t="inlineStr">
        <is>
          <t>Calculation/model plus calibrated measurement or recorded trend; Functional design/configuration review and sequence/interface demonstration</t>
        </is>
      </c>
      <c r="AD474" s="6" t="inlineStr">
        <is>
          <t>No separate deliverable explicitly named</t>
        </is>
      </c>
      <c r="AE474" s="6" t="inlineStr">
        <is>
          <t>L1 Conceptual Design; L2 Detailed Design</t>
        </is>
      </c>
      <c r="AF474" s="6" t="inlineStr">
        <is>
          <t>Section/contract-derived reference; derived evidence route</t>
        </is>
      </c>
      <c r="AG474" s="58" t="inlineStr">
        <is>
          <t>Not linked to an OFFER item</t>
        </is>
      </c>
    </row>
    <row r="475" ht="60" customHeight="1">
      <c r="A475" s="6" t="n">
        <v>470</v>
      </c>
      <c r="B475" s="6" t="inlineStr">
        <is>
          <t>RTM-165</t>
        </is>
      </c>
      <c r="C475" s="6" t="inlineStr">
        <is>
          <t>No</t>
        </is>
      </c>
      <c r="D475" s="6" t="inlineStr">
        <is>
          <t>T3 Contextual</t>
        </is>
      </c>
      <c r="E475" s="6" t="inlineStr">
        <is>
          <t>Subsystems</t>
        </is>
      </c>
      <c r="F475" s="82" t="inlineStr">
        <is>
          <t>SYSTEM</t>
        </is>
      </c>
      <c r="G475" s="83" t="inlineStr">
        <is>
          <t>Performance</t>
        </is>
      </c>
      <c r="H475" s="59" t="inlineStr">
        <is>
          <t>—</t>
        </is>
      </c>
      <c r="I475" s="81" t="inlineStr">
        <is>
          <t>Inferred: C3 — Mechanical &amp; Equipment (medium conf.)</t>
        </is>
      </c>
      <c r="J475" s="6" t="n">
        <v>51</v>
      </c>
      <c r="K475" s="6" t="inlineStr">
        <is>
          <t>4.4.3.5.2</t>
        </is>
      </c>
      <c r="L475" s="6" t="inlineStr">
        <is>
          <t>Bulk Oil Separators and Oil Retention</t>
        </is>
      </c>
      <c r="M475" s="6" t="inlineStr">
        <is>
          <t>Where the bulk oil separator also fulfils the oil-retention and oil-reservoir functions, it shall be fitted with an electric heater to preheat the retained oil prior to compressor start-up.</t>
        </is>
      </c>
      <c r="N475" s="6" t="inlineStr">
        <is>
          <t>Where the bulk oil separator also fulfils the oil-retention and oil-reservoir functions, it shall be fitted with an electric heater to preheat the retained oil prior to compressor start-up.</t>
        </is>
      </c>
      <c r="O475" s="6" t="n">
        <v>0</v>
      </c>
      <c r="P475" s="6" t="n">
        <v>0</v>
      </c>
      <c r="Q475" s="6" t="n">
        <v>2</v>
      </c>
      <c r="R475" s="6" t="n">
        <v>2</v>
      </c>
      <c r="S475" s="6" t="n">
        <v>0</v>
      </c>
      <c r="T475" s="6" t="n">
        <v>0</v>
      </c>
      <c r="U475" s="6" t="n">
        <v>0</v>
      </c>
      <c r="V475" s="6" t="n">
        <v>24</v>
      </c>
      <c r="W475" s="6" t="n">
        <v>33.0791</v>
      </c>
      <c r="X475" s="6" t="n">
        <v>1.1664</v>
      </c>
      <c r="Y475" s="6" t="inlineStr">
        <is>
          <t>Performance</t>
        </is>
      </c>
      <c r="Z475" s="6" t="inlineStr">
        <is>
          <t>Frozen-weight composite; strongest contribution: Performance.</t>
        </is>
      </c>
      <c r="AA475" s="6" t="inlineStr">
        <is>
          <t>None explicitly named in this RTM</t>
        </is>
      </c>
      <c r="AB475" s="6" t="inlineStr">
        <is>
          <t>SCK CEN/90508872 §4.4.3.5.2; no named external code</t>
        </is>
      </c>
      <c r="AC475" s="6" t="inlineStr">
        <is>
          <t>Calculation/model plus calibrated measurement or recorded trend</t>
        </is>
      </c>
      <c r="AD475" s="6" t="inlineStr">
        <is>
          <t>No separate deliverable explicitly named</t>
        </is>
      </c>
      <c r="AE475" s="6" t="inlineStr">
        <is>
          <t>L1 Conceptual Design; L2 Detailed Design</t>
        </is>
      </c>
      <c r="AF475" s="6" t="inlineStr">
        <is>
          <t>Section/contract-derived reference; derived evidence route</t>
        </is>
      </c>
      <c r="AG475" s="58" t="inlineStr">
        <is>
          <t>Not linked to an OFFER item</t>
        </is>
      </c>
    </row>
    <row r="476" ht="60" customHeight="1">
      <c r="A476" s="6" t="n">
        <v>471</v>
      </c>
      <c r="B476" s="6" t="inlineStr">
        <is>
          <t>RTM-171</t>
        </is>
      </c>
      <c r="C476" s="6" t="inlineStr">
        <is>
          <t>No</t>
        </is>
      </c>
      <c r="D476" s="6" t="inlineStr">
        <is>
          <t>T3 Contextual</t>
        </is>
      </c>
      <c r="E476" s="6" t="inlineStr">
        <is>
          <t>Subsystems</t>
        </is>
      </c>
      <c r="F476" s="82" t="inlineStr">
        <is>
          <t>SYSTEM</t>
        </is>
      </c>
      <c r="G476" s="83" t="inlineStr">
        <is>
          <t>Performance</t>
        </is>
      </c>
      <c r="H476" s="59" t="inlineStr">
        <is>
          <t>—</t>
        </is>
      </c>
      <c r="I476" s="81" t="inlineStr">
        <is>
          <t>Inferred: C3 — Mechanical &amp; Equipment (medium conf.)</t>
        </is>
      </c>
      <c r="J476" s="6" t="n">
        <v>51</v>
      </c>
      <c r="K476" s="6" t="inlineStr">
        <is>
          <t>4.4.3.5.4</t>
        </is>
      </c>
      <c r="L476" s="6" t="inlineStr">
        <is>
          <t>Oil Purge and fill-up</t>
        </is>
      </c>
      <c r="M476" s="6" t="inlineStr">
        <is>
          <t>The oil piping and purge arrangement shall be designed such that all relevant piping has a slope greater than 1 % towards the designated oil traps, in order to prevent migration of oil into oil-free regions.</t>
        </is>
      </c>
      <c r="N476" s="6" t="inlineStr">
        <is>
          <t>The oil piping and purge arrangement shall be designed such that all relevant piping has a slope greater than 1 % towards the designated oil traps, in order to prevent migration of oil into oil-free regions.</t>
        </is>
      </c>
      <c r="O476" s="6" t="n">
        <v>0</v>
      </c>
      <c r="P476" s="6" t="n">
        <v>0</v>
      </c>
      <c r="Q476" s="6" t="n">
        <v>2</v>
      </c>
      <c r="R476" s="6" t="n">
        <v>2</v>
      </c>
      <c r="S476" s="6" t="n">
        <v>0</v>
      </c>
      <c r="T476" s="6" t="n">
        <v>0</v>
      </c>
      <c r="U476" s="6" t="n">
        <v>0</v>
      </c>
      <c r="V476" s="6" t="n">
        <v>24</v>
      </c>
      <c r="W476" s="6" t="n">
        <v>33.0791</v>
      </c>
      <c r="X476" s="6" t="n">
        <v>1.1664</v>
      </c>
      <c r="Y476" s="6" t="inlineStr">
        <is>
          <t>Performance</t>
        </is>
      </c>
      <c r="Z476" s="6" t="inlineStr">
        <is>
          <t>Frozen-weight composite; strongest contribution: Performance.</t>
        </is>
      </c>
      <c r="AA476" s="6" t="inlineStr">
        <is>
          <t>None explicitly named in this RTM</t>
        </is>
      </c>
      <c r="AB476" s="6" t="inlineStr">
        <is>
          <t>SCK CEN/90508872 §4.4.3.5.4; no named external code</t>
        </is>
      </c>
      <c r="AC476" s="6" t="inlineStr">
        <is>
          <t>Calculation/model plus calibrated measurement or recorded trend</t>
        </is>
      </c>
      <c r="AD476" s="6" t="inlineStr">
        <is>
          <t>No separate deliverable explicitly named</t>
        </is>
      </c>
      <c r="AE476" s="6" t="inlineStr">
        <is>
          <t>L1 Conceptual Design; L2 Detailed Design</t>
        </is>
      </c>
      <c r="AF476" s="6" t="inlineStr">
        <is>
          <t>Section/contract-derived reference; derived evidence route</t>
        </is>
      </c>
      <c r="AG476" s="58" t="inlineStr">
        <is>
          <t>Not linked to an OFFER item</t>
        </is>
      </c>
    </row>
    <row r="477" ht="60" customHeight="1">
      <c r="A477" s="6" t="n">
        <v>472</v>
      </c>
      <c r="B477" s="6" t="inlineStr">
        <is>
          <t>RTM-175</t>
        </is>
      </c>
      <c r="C477" s="6" t="inlineStr">
        <is>
          <t>No</t>
        </is>
      </c>
      <c r="D477" s="6" t="inlineStr">
        <is>
          <t>T3 Contextual</t>
        </is>
      </c>
      <c r="E477" s="6" t="inlineStr">
        <is>
          <t>Subsystems</t>
        </is>
      </c>
      <c r="F477" s="82" t="inlineStr">
        <is>
          <t>SYSTEM</t>
        </is>
      </c>
      <c r="G477" s="83" t="inlineStr">
        <is>
          <t>Performance</t>
        </is>
      </c>
      <c r="H477" s="59" t="inlineStr">
        <is>
          <t>—</t>
        </is>
      </c>
      <c r="I477" s="81" t="inlineStr">
        <is>
          <t>Inferred: C2 — Process Design (low conf.)</t>
        </is>
      </c>
      <c r="J477" s="6" t="n">
        <v>52</v>
      </c>
      <c r="K477" s="6" t="inlineStr">
        <is>
          <t>4.4.3.6.1</t>
        </is>
      </c>
      <c r="L477" s="6" t="inlineStr">
        <is>
          <t>Coalescer system</t>
        </is>
      </c>
      <c r="M477" s="6" t="inlineStr">
        <is>
          <t>The coalescer system shall comply with the following architectural requirements:</t>
        </is>
      </c>
      <c r="N477" s="6" t="inlineStr">
        <is>
          <t>The coalescer system shall comply with the following architectural requirements:
• It shall be installed downstream of the HP primary oil-removal system.
• It shall include at least three (3) coalescing stages installed in series.</t>
        </is>
      </c>
      <c r="O477" s="6" t="n">
        <v>0</v>
      </c>
      <c r="P477" s="6" t="n">
        <v>0</v>
      </c>
      <c r="Q477" s="6" t="n">
        <v>2</v>
      </c>
      <c r="R477" s="6" t="n">
        <v>2</v>
      </c>
      <c r="S477" s="6" t="n">
        <v>0</v>
      </c>
      <c r="T477" s="6" t="n">
        <v>0</v>
      </c>
      <c r="U477" s="6" t="n">
        <v>0</v>
      </c>
      <c r="V477" s="6" t="n">
        <v>24</v>
      </c>
      <c r="W477" s="6" t="n">
        <v>33.0791</v>
      </c>
      <c r="X477" s="6" t="n">
        <v>1.1664</v>
      </c>
      <c r="Y477" s="6" t="inlineStr">
        <is>
          <t>Performance</t>
        </is>
      </c>
      <c r="Z477" s="6" t="inlineStr">
        <is>
          <t>Frozen-weight composite; strongest contribution: Performance.</t>
        </is>
      </c>
      <c r="AA477" s="6" t="inlineStr">
        <is>
          <t>None explicitly named in this RTM</t>
        </is>
      </c>
      <c r="AB477" s="6" t="inlineStr">
        <is>
          <t>SCK CEN/90508872 §4.4.3.6.1; no named external code</t>
        </is>
      </c>
      <c r="AC477" s="6" t="inlineStr">
        <is>
          <t>Calculation/model plus calibrated measurement or recorded trend</t>
        </is>
      </c>
      <c r="AD477" s="6" t="inlineStr">
        <is>
          <t>No separate deliverable explicitly named</t>
        </is>
      </c>
      <c r="AE477" s="6" t="inlineStr">
        <is>
          <t>L1 Conceptual Design; L2 Detailed Design</t>
        </is>
      </c>
      <c r="AF477" s="6" t="inlineStr">
        <is>
          <t>Section/contract-derived reference; derived evidence route</t>
        </is>
      </c>
      <c r="AG477" s="58" t="inlineStr">
        <is>
          <t>Not linked to an OFFER item</t>
        </is>
      </c>
    </row>
    <row r="478" ht="99" customHeight="1">
      <c r="A478" s="6" t="n">
        <v>473</v>
      </c>
      <c r="B478" s="6" t="inlineStr">
        <is>
          <t>RTM-176</t>
        </is>
      </c>
      <c r="C478" s="6" t="inlineStr">
        <is>
          <t>No</t>
        </is>
      </c>
      <c r="D478" s="6" t="inlineStr">
        <is>
          <t>T3 Contextual</t>
        </is>
      </c>
      <c r="E478" s="6" t="inlineStr">
        <is>
          <t>Subsystems</t>
        </is>
      </c>
      <c r="F478" s="82" t="inlineStr">
        <is>
          <t>SYSTEM</t>
        </is>
      </c>
      <c r="G478" s="83" t="inlineStr">
        <is>
          <t>Performance</t>
        </is>
      </c>
      <c r="H478" s="59" t="inlineStr">
        <is>
          <t>—</t>
        </is>
      </c>
      <c r="I478" s="81" t="inlineStr">
        <is>
          <t>Inferred: C2 — Process Design (low conf.)</t>
        </is>
      </c>
      <c r="J478" s="6" t="n">
        <v>52</v>
      </c>
      <c r="K478" s="6" t="inlineStr">
        <is>
          <t>4.4.3.6.1</t>
        </is>
      </c>
      <c r="L478" s="6" t="inlineStr">
        <is>
          <t>Coalescer system</t>
        </is>
      </c>
      <c r="M478" s="6" t="inlineStr">
        <is>
          <t>The coalescer system shall comply with the following performance requirements:</t>
        </is>
      </c>
      <c r="N478" s="6" t="inlineStr">
        <is>
          <t>The coalescer system shall comply with the following performance requirements:
• It shall be sized such that the gas velocity through the coalescing elements is sufficiently low for efficient coalescence.
• It shall include a gas-velocity margin of at least 20 %.
• Downstream of the coalescer system, the oil content of the helium stream shall be below 0.5 ppm(w).</t>
        </is>
      </c>
      <c r="O478" s="6" t="n">
        <v>0</v>
      </c>
      <c r="P478" s="6" t="n">
        <v>0</v>
      </c>
      <c r="Q478" s="6" t="n">
        <v>2</v>
      </c>
      <c r="R478" s="6" t="n">
        <v>2</v>
      </c>
      <c r="S478" s="6" t="n">
        <v>0</v>
      </c>
      <c r="T478" s="6" t="n">
        <v>0</v>
      </c>
      <c r="U478" s="6" t="n">
        <v>0</v>
      </c>
      <c r="V478" s="6" t="n">
        <v>24</v>
      </c>
      <c r="W478" s="6" t="n">
        <v>33.0791</v>
      </c>
      <c r="X478" s="6" t="n">
        <v>1.1664</v>
      </c>
      <c r="Y478" s="6" t="inlineStr">
        <is>
          <t>Performance</t>
        </is>
      </c>
      <c r="Z478" s="6" t="inlineStr">
        <is>
          <t>Frozen-weight composite; strongest contribution: Performance.</t>
        </is>
      </c>
      <c r="AA478" s="6" t="inlineStr">
        <is>
          <t>None explicitly named in this RTM</t>
        </is>
      </c>
      <c r="AB478" s="6" t="inlineStr">
        <is>
          <t>SCK CEN/90508872 §4.4.3.6.1; no named external code</t>
        </is>
      </c>
      <c r="AC478" s="6" t="inlineStr">
        <is>
          <t>Calculation/model plus calibrated measurement or recorded trend</t>
        </is>
      </c>
      <c r="AD478" s="6" t="inlineStr">
        <is>
          <t>No separate deliverable explicitly named</t>
        </is>
      </c>
      <c r="AE478" s="6" t="inlineStr">
        <is>
          <t>L1 Conceptual Design; L2 Detailed Design</t>
        </is>
      </c>
      <c r="AF478" s="6" t="inlineStr">
        <is>
          <t>Section/contract-derived reference; derived evidence route</t>
        </is>
      </c>
      <c r="AG478" s="58" t="inlineStr">
        <is>
          <t>Not linked to an OFFER item</t>
        </is>
      </c>
    </row>
    <row r="479" ht="86" customHeight="1">
      <c r="A479" s="6" t="n">
        <v>474</v>
      </c>
      <c r="B479" s="6" t="inlineStr">
        <is>
          <t>RTM-179</t>
        </is>
      </c>
      <c r="C479" s="6" t="inlineStr">
        <is>
          <t>No</t>
        </is>
      </c>
      <c r="D479" s="6" t="inlineStr">
        <is>
          <t>T3 Contextual</t>
        </is>
      </c>
      <c r="E479" s="6" t="inlineStr">
        <is>
          <t>Subsystems</t>
        </is>
      </c>
      <c r="F479" s="82" t="inlineStr">
        <is>
          <t>SYSTEM</t>
        </is>
      </c>
      <c r="G479" s="83" t="inlineStr">
        <is>
          <t>Performance</t>
        </is>
      </c>
      <c r="H479" s="59" t="inlineStr">
        <is>
          <t>—</t>
        </is>
      </c>
      <c r="I479" s="81" t="inlineStr">
        <is>
          <t>Inferred: C3 — Mechanical &amp; Equipment (medium conf.)</t>
        </is>
      </c>
      <c r="J479" s="6" t="n">
        <v>52</v>
      </c>
      <c r="K479" s="6" t="inlineStr">
        <is>
          <t>4.4.3.6.1</t>
        </is>
      </c>
      <c r="L479" s="6" t="inlineStr">
        <is>
          <t>Coalescer system</t>
        </is>
      </c>
      <c r="M479" s="6" t="inlineStr">
        <is>
          <t>The last coalescing stage shall act as a guard stage.</t>
        </is>
      </c>
      <c r="N479" s="6" t="inlineStr">
        <is>
          <t>The last coalescing stage shall act as a guard stage.
• The guard stage shall not be automatically drained.
• The guard stage shall include an automatic oil-detection system integrated into the station shutdown architecture.
• Any detection of oil in the guard stage shall trigger automatic shutdown of the compressor station.</t>
        </is>
      </c>
      <c r="O479" s="6" t="n">
        <v>0</v>
      </c>
      <c r="P479" s="6" t="n">
        <v>0</v>
      </c>
      <c r="Q479" s="6" t="n">
        <v>2</v>
      </c>
      <c r="R479" s="6" t="n">
        <v>2</v>
      </c>
      <c r="S479" s="6" t="n">
        <v>0</v>
      </c>
      <c r="T479" s="6" t="n">
        <v>0</v>
      </c>
      <c r="U479" s="6" t="n">
        <v>0</v>
      </c>
      <c r="V479" s="6" t="n">
        <v>24</v>
      </c>
      <c r="W479" s="6" t="n">
        <v>33.0791</v>
      </c>
      <c r="X479" s="6" t="n">
        <v>1.1664</v>
      </c>
      <c r="Y479" s="6" t="inlineStr">
        <is>
          <t>Performance</t>
        </is>
      </c>
      <c r="Z479" s="6" t="inlineStr">
        <is>
          <t>Frozen-weight composite; strongest contribution: Performance.</t>
        </is>
      </c>
      <c r="AA479" s="6" t="inlineStr">
        <is>
          <t>None explicitly named in this RTM</t>
        </is>
      </c>
      <c r="AB479" s="6" t="inlineStr">
        <is>
          <t>SCK CEN/90508872 §4.4.3.6.1; no named external code</t>
        </is>
      </c>
      <c r="AC479" s="6" t="inlineStr">
        <is>
          <t>Calculation/model plus calibrated measurement or recorded trend</t>
        </is>
      </c>
      <c r="AD479" s="6" t="inlineStr">
        <is>
          <t>No separate deliverable explicitly named</t>
        </is>
      </c>
      <c r="AE479" s="6" t="inlineStr">
        <is>
          <t>L1 Conceptual Design; L2 Detailed Design</t>
        </is>
      </c>
      <c r="AF479" s="6" t="inlineStr">
        <is>
          <t>Section/contract-derived reference; derived evidence route</t>
        </is>
      </c>
      <c r="AG479" s="58" t="inlineStr">
        <is>
          <t>Not linked to an OFFER item</t>
        </is>
      </c>
    </row>
    <row r="480" ht="99" customHeight="1">
      <c r="A480" s="6" t="n">
        <v>475</v>
      </c>
      <c r="B480" s="6" t="inlineStr">
        <is>
          <t>RTM-181</t>
        </is>
      </c>
      <c r="C480" s="6" t="inlineStr">
        <is>
          <t>No</t>
        </is>
      </c>
      <c r="D480" s="6" t="inlineStr">
        <is>
          <t>T3 Contextual</t>
        </is>
      </c>
      <c r="E480" s="6" t="inlineStr">
        <is>
          <t>Subsystems</t>
        </is>
      </c>
      <c r="F480" s="82" t="inlineStr">
        <is>
          <t>SYSTEM</t>
        </is>
      </c>
      <c r="G480" s="83" t="inlineStr">
        <is>
          <t>Performance</t>
        </is>
      </c>
      <c r="H480" s="59" t="inlineStr">
        <is>
          <t>—</t>
        </is>
      </c>
      <c r="I480" s="81" t="inlineStr">
        <is>
          <t>Inferred: C3 — Mechanical &amp; Equipment (medium conf.)</t>
        </is>
      </c>
      <c r="J480" s="6" t="n">
        <v>52</v>
      </c>
      <c r="K480" s="6" t="inlineStr">
        <is>
          <t>4.4.3.6.2</t>
        </is>
      </c>
      <c r="L480" s="6" t="inlineStr">
        <is>
          <t>Charcoal adsorber system</t>
        </is>
      </c>
      <c r="M480" s="6" t="inlineStr">
        <is>
          <t>The charcoal-adsorber system shall comply with the following architectural requirements:</t>
        </is>
      </c>
      <c r="N480" s="6" t="inlineStr">
        <is>
          <t>The charcoal-adsorber system shall comply with the following architectural requirements:
• It shall be installed downstream of the coalescer system
• It shall include at least one charcoal-adsorber vessel
• It shall include a fine dust filter downstream of the charcoal bed to prevent charcoal particle carry-over
• The helium flow through the charcoal adsorber shall be from top to bottom.</t>
        </is>
      </c>
      <c r="O480" s="6" t="n">
        <v>0</v>
      </c>
      <c r="P480" s="6" t="n">
        <v>0</v>
      </c>
      <c r="Q480" s="6" t="n">
        <v>2</v>
      </c>
      <c r="R480" s="6" t="n">
        <v>2</v>
      </c>
      <c r="S480" s="6" t="n">
        <v>0</v>
      </c>
      <c r="T480" s="6" t="n">
        <v>0</v>
      </c>
      <c r="U480" s="6" t="n">
        <v>0</v>
      </c>
      <c r="V480" s="6" t="n">
        <v>24</v>
      </c>
      <c r="W480" s="6" t="n">
        <v>33.0791</v>
      </c>
      <c r="X480" s="6" t="n">
        <v>1.1664</v>
      </c>
      <c r="Y480" s="6" t="inlineStr">
        <is>
          <t>Performance</t>
        </is>
      </c>
      <c r="Z480" s="6" t="inlineStr">
        <is>
          <t>Frozen-weight composite; strongest contribution: Performance.</t>
        </is>
      </c>
      <c r="AA480" s="6" t="inlineStr">
        <is>
          <t>None explicitly named in this RTM</t>
        </is>
      </c>
      <c r="AB480" s="6" t="inlineStr">
        <is>
          <t>SCK CEN/90508872 §4.4.3.6.2; no named external code</t>
        </is>
      </c>
      <c r="AC480" s="6" t="inlineStr">
        <is>
          <t>Calculation/model plus calibrated measurement or recorded trend</t>
        </is>
      </c>
      <c r="AD480" s="6" t="inlineStr">
        <is>
          <t>No separate deliverable explicitly named</t>
        </is>
      </c>
      <c r="AE480" s="6" t="inlineStr">
        <is>
          <t>L1 Conceptual Design; L2 Detailed Design</t>
        </is>
      </c>
      <c r="AF480" s="6" t="inlineStr">
        <is>
          <t>Section/contract-derived reference; derived evidence route</t>
        </is>
      </c>
      <c r="AG480" s="58" t="inlineStr">
        <is>
          <t>Not linked to an OFFER item</t>
        </is>
      </c>
    </row>
    <row r="481" ht="73" customHeight="1">
      <c r="A481" s="6" t="n">
        <v>476</v>
      </c>
      <c r="B481" s="6" t="inlineStr">
        <is>
          <t>RTM-182</t>
        </is>
      </c>
      <c r="C481" s="6" t="inlineStr">
        <is>
          <t>No</t>
        </is>
      </c>
      <c r="D481" s="6" t="inlineStr">
        <is>
          <t>T3 Contextual</t>
        </is>
      </c>
      <c r="E481" s="6" t="inlineStr">
        <is>
          <t>Subsystems</t>
        </is>
      </c>
      <c r="F481" s="82" t="inlineStr">
        <is>
          <t>SYSTEM</t>
        </is>
      </c>
      <c r="G481" s="83" t="inlineStr">
        <is>
          <t>Performance</t>
        </is>
      </c>
      <c r="H481" s="59" t="inlineStr">
        <is>
          <t>—</t>
        </is>
      </c>
      <c r="I481" s="81" t="inlineStr">
        <is>
          <t>Inferred: C2 — Process Design (low conf.)</t>
        </is>
      </c>
      <c r="J481" s="6" t="n">
        <v>53</v>
      </c>
      <c r="K481" s="6" t="inlineStr">
        <is>
          <t>4.4.3.6.2</t>
        </is>
      </c>
      <c r="L481" s="6" t="inlineStr">
        <is>
          <t>Charcoal adsorber system</t>
        </is>
      </c>
      <c r="M481" s="6" t="inlineStr">
        <is>
          <t>The charcoal-adsorber system shall comply with the following performance requirements:</t>
        </is>
      </c>
      <c r="N481" s="6" t="inlineStr">
        <is>
          <t>The charcoal-adsorber system shall comply with the following performance requirements:
• It shall be sized with a gas-velocity margin of at least 20 %.
• Downstream of the charcoal-adsorber system, the oil content of the helium stream shall be below 10 ppb(w).</t>
        </is>
      </c>
      <c r="O481" s="6" t="n">
        <v>0</v>
      </c>
      <c r="P481" s="6" t="n">
        <v>0</v>
      </c>
      <c r="Q481" s="6" t="n">
        <v>2</v>
      </c>
      <c r="R481" s="6" t="n">
        <v>2</v>
      </c>
      <c r="S481" s="6" t="n">
        <v>0</v>
      </c>
      <c r="T481" s="6" t="n">
        <v>0</v>
      </c>
      <c r="U481" s="6" t="n">
        <v>0</v>
      </c>
      <c r="V481" s="6" t="n">
        <v>24</v>
      </c>
      <c r="W481" s="6" t="n">
        <v>33.0791</v>
      </c>
      <c r="X481" s="6" t="n">
        <v>1.1664</v>
      </c>
      <c r="Y481" s="6" t="inlineStr">
        <is>
          <t>Performance</t>
        </is>
      </c>
      <c r="Z481" s="6" t="inlineStr">
        <is>
          <t>Frozen-weight composite; strongest contribution: Performance.</t>
        </is>
      </c>
      <c r="AA481" s="6" t="inlineStr">
        <is>
          <t>None explicitly named in this RTM</t>
        </is>
      </c>
      <c r="AB481" s="6" t="inlineStr">
        <is>
          <t>SCK CEN/90508872 §4.4.3.6.2; no named external code</t>
        </is>
      </c>
      <c r="AC481" s="6" t="inlineStr">
        <is>
          <t>Calculation/model plus calibrated measurement or recorded trend</t>
        </is>
      </c>
      <c r="AD481" s="6" t="inlineStr">
        <is>
          <t>No separate deliverable explicitly named</t>
        </is>
      </c>
      <c r="AE481" s="6" t="inlineStr">
        <is>
          <t>L1 Conceptual Design; L2 Detailed Design</t>
        </is>
      </c>
      <c r="AF481" s="6" t="inlineStr">
        <is>
          <t>Section/contract-derived reference; derived evidence route</t>
        </is>
      </c>
      <c r="AG481" s="58" t="inlineStr">
        <is>
          <t>Not linked to an OFFER item</t>
        </is>
      </c>
    </row>
    <row r="482" ht="73" customHeight="1">
      <c r="A482" s="6" t="n">
        <v>477</v>
      </c>
      <c r="B482" s="6" t="inlineStr">
        <is>
          <t>RTM-183</t>
        </is>
      </c>
      <c r="C482" s="6" t="inlineStr">
        <is>
          <t>No</t>
        </is>
      </c>
      <c r="D482" s="6" t="inlineStr">
        <is>
          <t>T3 Contextual</t>
        </is>
      </c>
      <c r="E482" s="6" t="inlineStr">
        <is>
          <t>Subsystems</t>
        </is>
      </c>
      <c r="F482" s="82" t="inlineStr">
        <is>
          <t>SYSTEM</t>
        </is>
      </c>
      <c r="G482" s="83" t="inlineStr">
        <is>
          <t>Performance</t>
        </is>
      </c>
      <c r="H482" s="59" t="inlineStr">
        <is>
          <t>—</t>
        </is>
      </c>
      <c r="I482" s="81" t="inlineStr">
        <is>
          <t>Inferred: C2 — Process Design (low conf.)</t>
        </is>
      </c>
      <c r="J482" s="6" t="n">
        <v>53</v>
      </c>
      <c r="K482" s="6" t="inlineStr">
        <is>
          <t>4.4.3.6.2</t>
        </is>
      </c>
      <c r="L482" s="6" t="inlineStr">
        <is>
          <t>Charcoal adsorber system</t>
        </is>
      </c>
      <c r="M482" s="6" t="inlineStr">
        <is>
          <t>The charcoal adsorber shall be filled only with cleaned and dried charcoal in the form of smooth pellets.</t>
        </is>
      </c>
      <c r="N482" s="6" t="inlineStr">
        <is>
          <t>The charcoal adsorber shall be filled only with cleaned and dried charcoal in the form of smooth pellets.
• Irregularly broken particles shall not be used.
• The bed filling shall be regular and shall not permit preferred helium flow paths.</t>
        </is>
      </c>
      <c r="O482" s="6" t="n">
        <v>0</v>
      </c>
      <c r="P482" s="6" t="n">
        <v>0</v>
      </c>
      <c r="Q482" s="6" t="n">
        <v>2</v>
      </c>
      <c r="R482" s="6" t="n">
        <v>2</v>
      </c>
      <c r="S482" s="6" t="n">
        <v>0</v>
      </c>
      <c r="T482" s="6" t="n">
        <v>0</v>
      </c>
      <c r="U482" s="6" t="n">
        <v>0</v>
      </c>
      <c r="V482" s="6" t="n">
        <v>24</v>
      </c>
      <c r="W482" s="6" t="n">
        <v>33.0791</v>
      </c>
      <c r="X482" s="6" t="n">
        <v>1.1664</v>
      </c>
      <c r="Y482" s="6" t="inlineStr">
        <is>
          <t>Performance</t>
        </is>
      </c>
      <c r="Z482" s="6" t="inlineStr">
        <is>
          <t>Frozen-weight composite; strongest contribution: Performance.</t>
        </is>
      </c>
      <c r="AA482" s="6" t="inlineStr">
        <is>
          <t>None explicitly named in this RTM</t>
        </is>
      </c>
      <c r="AB482" s="6" t="inlineStr">
        <is>
          <t>SCK CEN/90508872 §4.4.3.6.2; no named external code</t>
        </is>
      </c>
      <c r="AC482" s="6" t="inlineStr">
        <is>
          <t>Calculation/model plus calibrated measurement or recorded trend</t>
        </is>
      </c>
      <c r="AD482" s="6" t="inlineStr">
        <is>
          <t>No separate deliverable explicitly named</t>
        </is>
      </c>
      <c r="AE482" s="6" t="inlineStr">
        <is>
          <t>L1 Conceptual Design; L2 Detailed Design</t>
        </is>
      </c>
      <c r="AF482" s="6" t="inlineStr">
        <is>
          <t>Section/contract-derived reference; derived evidence route</t>
        </is>
      </c>
      <c r="AG482" s="58" t="inlineStr">
        <is>
          <t>Not linked to an OFFER item</t>
        </is>
      </c>
    </row>
    <row r="483" ht="60" customHeight="1">
      <c r="A483" s="6" t="n">
        <v>478</v>
      </c>
      <c r="B483" s="6" t="inlineStr">
        <is>
          <t>RTM-185</t>
        </is>
      </c>
      <c r="C483" s="6" t="inlineStr">
        <is>
          <t>No</t>
        </is>
      </c>
      <c r="D483" s="6" t="inlineStr">
        <is>
          <t>T3 Contextual</t>
        </is>
      </c>
      <c r="E483" s="6" t="inlineStr">
        <is>
          <t>Subsystems</t>
        </is>
      </c>
      <c r="F483" s="82" t="inlineStr">
        <is>
          <t>SYSTEM</t>
        </is>
      </c>
      <c r="G483" s="83" t="inlineStr">
        <is>
          <t>Performance</t>
        </is>
      </c>
      <c r="H483" s="59" t="inlineStr">
        <is>
          <t>—</t>
        </is>
      </c>
      <c r="I483" s="81" t="inlineStr">
        <is>
          <t>Inferred: C2 — Process Design (low conf.)</t>
        </is>
      </c>
      <c r="J483" s="6" t="n">
        <v>53</v>
      </c>
      <c r="K483" s="6" t="inlineStr">
        <is>
          <t>4.4.3.6.2</t>
        </is>
      </c>
      <c r="L483" s="6" t="inlineStr">
        <is>
          <t>Charcoal adsorber system</t>
        </is>
      </c>
      <c r="M483" s="6" t="inlineStr">
        <is>
          <t>The Contractor shall supply:</t>
        </is>
      </c>
      <c r="N483" s="6" t="inlineStr">
        <is>
          <t>The Contractor shall supply:
• All necessary equipment to fill the adsorber without degrading the adsorbent.
• The heating unit necessary for drying the charcoal.</t>
        </is>
      </c>
      <c r="O483" s="6" t="n">
        <v>0</v>
      </c>
      <c r="P483" s="6" t="n">
        <v>0</v>
      </c>
      <c r="Q483" s="6" t="n">
        <v>2</v>
      </c>
      <c r="R483" s="6" t="n">
        <v>2</v>
      </c>
      <c r="S483" s="6" t="n">
        <v>0</v>
      </c>
      <c r="T483" s="6" t="n">
        <v>0</v>
      </c>
      <c r="U483" s="6" t="n">
        <v>0</v>
      </c>
      <c r="V483" s="6" t="n">
        <v>24</v>
      </c>
      <c r="W483" s="6" t="n">
        <v>33.0791</v>
      </c>
      <c r="X483" s="6" t="n">
        <v>1.1664</v>
      </c>
      <c r="Y483" s="6" t="inlineStr">
        <is>
          <t>Performance</t>
        </is>
      </c>
      <c r="Z483" s="6" t="inlineStr">
        <is>
          <t>Frozen-weight composite; strongest contribution: Performance.</t>
        </is>
      </c>
      <c r="AA483" s="6" t="inlineStr">
        <is>
          <t>None explicitly named in this RTM</t>
        </is>
      </c>
      <c r="AB483" s="6" t="inlineStr">
        <is>
          <t>SCK CEN/90508872 §4.4.3.6.2; no named external code</t>
        </is>
      </c>
      <c r="AC483" s="6" t="inlineStr">
        <is>
          <t>Calculation/model plus calibrated measurement or recorded trend</t>
        </is>
      </c>
      <c r="AD483" s="6" t="inlineStr">
        <is>
          <t>No separate deliverable explicitly named</t>
        </is>
      </c>
      <c r="AE483" s="6" t="inlineStr">
        <is>
          <t>L1 Conceptual Design; L2 Detailed Design</t>
        </is>
      </c>
      <c r="AF483" s="6" t="inlineStr">
        <is>
          <t>Section/contract-derived reference; derived evidence route</t>
        </is>
      </c>
      <c r="AG483" s="58" t="inlineStr">
        <is>
          <t>Not linked to an OFFER item</t>
        </is>
      </c>
    </row>
    <row r="484" ht="86" customHeight="1">
      <c r="A484" s="6" t="n">
        <v>479</v>
      </c>
      <c r="B484" s="6" t="inlineStr">
        <is>
          <t>RTM-188</t>
        </is>
      </c>
      <c r="C484" s="6" t="inlineStr">
        <is>
          <t>No</t>
        </is>
      </c>
      <c r="D484" s="6" t="inlineStr">
        <is>
          <t>T3 Contextual</t>
        </is>
      </c>
      <c r="E484" s="6" t="inlineStr">
        <is>
          <t>Subsystems</t>
        </is>
      </c>
      <c r="F484" s="82" t="inlineStr">
        <is>
          <t>SYSTEM</t>
        </is>
      </c>
      <c r="G484" s="83" t="inlineStr">
        <is>
          <t>Constraint</t>
        </is>
      </c>
      <c r="H484" s="59" t="inlineStr">
        <is>
          <t>—</t>
        </is>
      </c>
      <c r="I484" s="81" t="inlineStr">
        <is>
          <t>Inferred: C2 — Process Design (low conf.)</t>
        </is>
      </c>
      <c r="J484" s="6" t="n">
        <v>53</v>
      </c>
      <c r="K484" s="6" t="inlineStr">
        <is>
          <t>4.4.3.7</t>
        </is>
      </c>
      <c r="L484" s="6" t="inlineStr">
        <is>
          <t>Helium dryer</t>
        </is>
      </c>
      <c r="M484" s="6" t="inlineStr">
        <is>
          <t>The helium dryer system shall comply with the following regeneration requirements:</t>
        </is>
      </c>
      <c r="N484" s="6" t="inlineStr">
        <is>
          <t>The helium dryer system shall comply with the following regeneration requirements:
• The regeneration of each helium dryer shall be performed by circulation of warm and dry nitrogen gas.
• The regeneration time of each helium dryer, including cooling and return to service, shall not exceed 12 h.</t>
        </is>
      </c>
      <c r="O484" s="6" t="n">
        <v>0</v>
      </c>
      <c r="P484" s="6" t="n">
        <v>0</v>
      </c>
      <c r="Q484" s="6" t="n">
        <v>2</v>
      </c>
      <c r="R484" s="6" t="n">
        <v>2</v>
      </c>
      <c r="S484" s="6" t="n">
        <v>0</v>
      </c>
      <c r="T484" s="6" t="n">
        <v>0</v>
      </c>
      <c r="U484" s="6" t="n">
        <v>0</v>
      </c>
      <c r="V484" s="6" t="n">
        <v>24</v>
      </c>
      <c r="W484" s="6" t="n">
        <v>33.0791</v>
      </c>
      <c r="X484" s="6" t="n">
        <v>1.1664</v>
      </c>
      <c r="Y484" s="6" t="inlineStr">
        <is>
          <t>Performance</t>
        </is>
      </c>
      <c r="Z484" s="6" t="inlineStr">
        <is>
          <t>Frozen-weight composite; strongest contribution: Performance.</t>
        </is>
      </c>
      <c r="AA484" s="6" t="inlineStr">
        <is>
          <t>None explicitly named in this RTM</t>
        </is>
      </c>
      <c r="AB484" s="6" t="inlineStr">
        <is>
          <t>SCK CEN/90508872 §4.4.3.7; no named external code</t>
        </is>
      </c>
      <c r="AC484" s="6" t="inlineStr">
        <is>
          <t>Calculation/model plus calibrated measurement or recorded trend</t>
        </is>
      </c>
      <c r="AD484" s="6" t="inlineStr">
        <is>
          <t>No separate deliverable explicitly named</t>
        </is>
      </c>
      <c r="AE484" s="6" t="inlineStr">
        <is>
          <t>L1 Conceptual Design; L2 Detailed Design</t>
        </is>
      </c>
      <c r="AF484" s="6" t="inlineStr">
        <is>
          <t>Section/contract-derived reference; derived evidence route</t>
        </is>
      </c>
      <c r="AG484" s="58" t="inlineStr">
        <is>
          <t>Not linked to an OFFER item</t>
        </is>
      </c>
    </row>
    <row r="485" ht="47" customHeight="1">
      <c r="A485" s="6" t="n">
        <v>480</v>
      </c>
      <c r="B485" s="6" t="inlineStr">
        <is>
          <t>RTM-189</t>
        </is>
      </c>
      <c r="C485" s="6" t="inlineStr">
        <is>
          <t>No</t>
        </is>
      </c>
      <c r="D485" s="6" t="inlineStr">
        <is>
          <t>T3 Contextual</t>
        </is>
      </c>
      <c r="E485" s="6" t="inlineStr">
        <is>
          <t>Subsystems</t>
        </is>
      </c>
      <c r="F485" s="82" t="inlineStr">
        <is>
          <t>SYSTEM</t>
        </is>
      </c>
      <c r="G485" s="83" t="inlineStr">
        <is>
          <t>Performance</t>
        </is>
      </c>
      <c r="H485" s="59" t="inlineStr">
        <is>
          <t>—</t>
        </is>
      </c>
      <c r="I485" s="81" t="inlineStr">
        <is>
          <t>Inferred: C2 — Process Design (low conf.)</t>
        </is>
      </c>
      <c r="J485" s="6" t="n">
        <v>53</v>
      </c>
      <c r="K485" s="6" t="inlineStr">
        <is>
          <t>4.4.3.7</t>
        </is>
      </c>
      <c r="L485" s="6" t="inlineStr">
        <is>
          <t>Helium dryer</t>
        </is>
      </c>
      <c r="M485" s="6" t="inlineStr">
        <is>
          <t>Each helium dryer shall include:</t>
        </is>
      </c>
      <c r="N485" s="6" t="inlineStr">
        <is>
          <t>Each helium dryer shall include:
• Inlet and outlet valves.
• A bypass circuit.</t>
        </is>
      </c>
      <c r="O485" s="6" t="n">
        <v>0</v>
      </c>
      <c r="P485" s="6" t="n">
        <v>0</v>
      </c>
      <c r="Q485" s="6" t="n">
        <v>2</v>
      </c>
      <c r="R485" s="6" t="n">
        <v>2</v>
      </c>
      <c r="S485" s="6" t="n">
        <v>0</v>
      </c>
      <c r="T485" s="6" t="n">
        <v>0</v>
      </c>
      <c r="U485" s="6" t="n">
        <v>0</v>
      </c>
      <c r="V485" s="6" t="n">
        <v>24</v>
      </c>
      <c r="W485" s="6" t="n">
        <v>33.0791</v>
      </c>
      <c r="X485" s="6" t="n">
        <v>1.1664</v>
      </c>
      <c r="Y485" s="6" t="inlineStr">
        <is>
          <t>Performance</t>
        </is>
      </c>
      <c r="Z485" s="6" t="inlineStr">
        <is>
          <t>Frozen-weight composite; strongest contribution: Performance.</t>
        </is>
      </c>
      <c r="AA485" s="6" t="inlineStr">
        <is>
          <t>None explicitly named in this RTM</t>
        </is>
      </c>
      <c r="AB485" s="6" t="inlineStr">
        <is>
          <t>SCK CEN/90508872 §4.4.3.7; no named external code</t>
        </is>
      </c>
      <c r="AC485" s="6" t="inlineStr">
        <is>
          <t>Calculation/model plus calibrated measurement or recorded trend</t>
        </is>
      </c>
      <c r="AD485" s="6" t="inlineStr">
        <is>
          <t>No separate deliverable explicitly named</t>
        </is>
      </c>
      <c r="AE485" s="6" t="inlineStr">
        <is>
          <t>L1 Conceptual Design; L2 Detailed Design</t>
        </is>
      </c>
      <c r="AF485" s="6" t="inlineStr">
        <is>
          <t>Section/contract-derived reference; derived evidence route</t>
        </is>
      </c>
      <c r="AG485" s="58" t="inlineStr">
        <is>
          <t>Not linked to an OFFER item</t>
        </is>
      </c>
    </row>
    <row r="486" ht="99" customHeight="1">
      <c r="A486" s="6" t="n">
        <v>481</v>
      </c>
      <c r="B486" s="6" t="inlineStr">
        <is>
          <t>RTM-190</t>
        </is>
      </c>
      <c r="C486" s="6" t="inlineStr">
        <is>
          <t>No</t>
        </is>
      </c>
      <c r="D486" s="6" t="inlineStr">
        <is>
          <t>T3 Contextual</t>
        </is>
      </c>
      <c r="E486" s="6" t="inlineStr">
        <is>
          <t>Subsystems</t>
        </is>
      </c>
      <c r="F486" s="82" t="inlineStr">
        <is>
          <t>SYSTEM</t>
        </is>
      </c>
      <c r="G486" s="83" t="inlineStr">
        <is>
          <t>Performance</t>
        </is>
      </c>
      <c r="H486" s="59" t="inlineStr">
        <is>
          <t>—</t>
        </is>
      </c>
      <c r="I486" s="81" t="inlineStr">
        <is>
          <t>Inferred: C3 — Mechanical &amp; Equipment (medium conf.)</t>
        </is>
      </c>
      <c r="J486" s="6" t="n">
        <v>53</v>
      </c>
      <c r="K486" s="6" t="inlineStr">
        <is>
          <t>4.4.3.8</t>
        </is>
      </c>
      <c r="L486" s="6" t="inlineStr">
        <is>
          <t>Filters</t>
        </is>
      </c>
      <c r="M486" s="6" t="inlineStr">
        <is>
          <t>The WCS shall include, at minimum, the following filters:</t>
        </is>
      </c>
      <c r="N486" s="6" t="inlineStr">
        <is>
          <t>The WCS shall include, at minimum, the following filters:
• A wire-mesh filter with a retention rating of 100 µm at the suction side of each compressor.
• A wire-mesh filter downstream of the charcoal adsorber, suitable for retaining charcoal-adsorbent particles.
• A wire-mesh filter with a retention rating of 30 µm at the outlet of each helium dryer, suitable for retaining dryer-adsorbent particles.</t>
        </is>
      </c>
      <c r="O486" s="6" t="n">
        <v>0</v>
      </c>
      <c r="P486" s="6" t="n">
        <v>0</v>
      </c>
      <c r="Q486" s="6" t="n">
        <v>2</v>
      </c>
      <c r="R486" s="6" t="n">
        <v>2</v>
      </c>
      <c r="S486" s="6" t="n">
        <v>0</v>
      </c>
      <c r="T486" s="6" t="n">
        <v>0</v>
      </c>
      <c r="U486" s="6" t="n">
        <v>0</v>
      </c>
      <c r="V486" s="6" t="n">
        <v>24</v>
      </c>
      <c r="W486" s="6" t="n">
        <v>33.0791</v>
      </c>
      <c r="X486" s="6" t="n">
        <v>1.1664</v>
      </c>
      <c r="Y486" s="6" t="inlineStr">
        <is>
          <t>Performance</t>
        </is>
      </c>
      <c r="Z486" s="6" t="inlineStr">
        <is>
          <t>Frozen-weight composite; strongest contribution: Performance.</t>
        </is>
      </c>
      <c r="AA486" s="6" t="inlineStr">
        <is>
          <t>None explicitly named in this RTM</t>
        </is>
      </c>
      <c r="AB486" s="6" t="inlineStr">
        <is>
          <t>SCK CEN/90508872 §4.4.3.8; no named external code</t>
        </is>
      </c>
      <c r="AC486" s="6" t="inlineStr">
        <is>
          <t>Calculation/model plus calibrated measurement or recorded trend</t>
        </is>
      </c>
      <c r="AD486" s="6" t="inlineStr">
        <is>
          <t>No separate deliverable explicitly named</t>
        </is>
      </c>
      <c r="AE486" s="6" t="inlineStr">
        <is>
          <t>L1 Conceptual Design; L2 Detailed Design</t>
        </is>
      </c>
      <c r="AF486" s="6" t="inlineStr">
        <is>
          <t>Section/contract-derived reference; derived evidence route</t>
        </is>
      </c>
      <c r="AG486" s="58" t="inlineStr">
        <is>
          <t>Not linked to an OFFER item</t>
        </is>
      </c>
    </row>
    <row r="487" ht="34" customHeight="1">
      <c r="A487" s="6" t="n">
        <v>482</v>
      </c>
      <c r="B487" s="6" t="inlineStr">
        <is>
          <t>RTM-192</t>
        </is>
      </c>
      <c r="C487" s="6" t="inlineStr">
        <is>
          <t>No</t>
        </is>
      </c>
      <c r="D487" s="6" t="inlineStr">
        <is>
          <t>T3 Contextual</t>
        </is>
      </c>
      <c r="E487" s="6" t="inlineStr">
        <is>
          <t>Subsystems</t>
        </is>
      </c>
      <c r="F487" s="82" t="inlineStr">
        <is>
          <t>SYSTEM</t>
        </is>
      </c>
      <c r="G487" s="83" t="inlineStr">
        <is>
          <t>Performance</t>
        </is>
      </c>
      <c r="H487" s="59" t="inlineStr">
        <is>
          <t>—</t>
        </is>
      </c>
      <c r="I487" s="81" t="inlineStr">
        <is>
          <t>Inferred: C2 — Process Design (low conf.)</t>
        </is>
      </c>
      <c r="J487" s="6" t="n">
        <v>54</v>
      </c>
      <c r="K487" s="6" t="inlineStr">
        <is>
          <t>4.4.3.9</t>
        </is>
      </c>
      <c r="L487" s="6" t="inlineStr">
        <is>
          <t>Process Instrumentation</t>
        </is>
      </c>
      <c r="M487" s="6" t="inlineStr">
        <is>
          <t>The WCS shall include, at minimum, the process instrumentation defined in Table 14.</t>
        </is>
      </c>
      <c r="N487" s="6" t="inlineStr">
        <is>
          <t>The WCS shall include, at minimum, the process instrumentation defined in Table 14.</t>
        </is>
      </c>
      <c r="O487" s="6" t="n">
        <v>0</v>
      </c>
      <c r="P487" s="6" t="n">
        <v>0</v>
      </c>
      <c r="Q487" s="6" t="n">
        <v>2</v>
      </c>
      <c r="R487" s="6" t="n">
        <v>2</v>
      </c>
      <c r="S487" s="6" t="n">
        <v>0</v>
      </c>
      <c r="T487" s="6" t="n">
        <v>0</v>
      </c>
      <c r="U487" s="6" t="n">
        <v>0</v>
      </c>
      <c r="V487" s="6" t="n">
        <v>24</v>
      </c>
      <c r="W487" s="6" t="n">
        <v>33.0791</v>
      </c>
      <c r="X487" s="6" t="n">
        <v>1.1664</v>
      </c>
      <c r="Y487" s="6" t="inlineStr">
        <is>
          <t>Performance</t>
        </is>
      </c>
      <c r="Z487" s="6" t="inlineStr">
        <is>
          <t>Frozen-weight composite; strongest contribution: Performance.</t>
        </is>
      </c>
      <c r="AA487" s="6" t="inlineStr">
        <is>
          <t>None explicitly named in this RTM</t>
        </is>
      </c>
      <c r="AB487" s="6" t="inlineStr">
        <is>
          <t>SCK CEN/90508872 §4.4.3.9; no named external code</t>
        </is>
      </c>
      <c r="AC487" s="6" t="inlineStr">
        <is>
          <t>Calculation/model plus calibrated measurement or recorded trend</t>
        </is>
      </c>
      <c r="AD487" s="6" t="inlineStr">
        <is>
          <t>No separate deliverable explicitly named</t>
        </is>
      </c>
      <c r="AE487" s="6" t="inlineStr">
        <is>
          <t>L1 Conceptual Design; L2 Detailed Design</t>
        </is>
      </c>
      <c r="AF487" s="6" t="inlineStr">
        <is>
          <t>Section/contract-derived reference; derived evidence route</t>
        </is>
      </c>
      <c r="AG487" s="58" t="inlineStr">
        <is>
          <t>Not linked to an OFFER item</t>
        </is>
      </c>
    </row>
    <row r="488" ht="60" customHeight="1">
      <c r="A488" s="6" t="n">
        <v>483</v>
      </c>
      <c r="B488" s="6" t="inlineStr">
        <is>
          <t>RTM-193</t>
        </is>
      </c>
      <c r="C488" s="6" t="inlineStr">
        <is>
          <t>No</t>
        </is>
      </c>
      <c r="D488" s="6" t="inlineStr">
        <is>
          <t>T3 Contextual</t>
        </is>
      </c>
      <c r="E488" s="6" t="inlineStr">
        <is>
          <t>Subsystems</t>
        </is>
      </c>
      <c r="F488" s="82" t="inlineStr">
        <is>
          <t>SYSTEM</t>
        </is>
      </c>
      <c r="G488" s="83" t="inlineStr">
        <is>
          <t>Performance</t>
        </is>
      </c>
      <c r="H488" s="59" t="inlineStr">
        <is>
          <t>—</t>
        </is>
      </c>
      <c r="I488" s="58" t="inlineStr">
        <is>
          <t>C5 (+) — Infrastructure &amp; Integration + others</t>
        </is>
      </c>
      <c r="J488" s="6" t="n">
        <v>54</v>
      </c>
      <c r="K488" s="6" t="inlineStr">
        <is>
          <t>4.4.4.1</t>
        </is>
      </c>
      <c r="L488" s="6" t="inlineStr">
        <is>
          <t>General Requirements</t>
        </is>
      </c>
      <c r="M488" s="6" t="inlineStr">
        <is>
          <t>The QPS shall include a Refrigeration Cold Box Station (QRB) responsible for producing the cooling power required by the cryogenic users and distributing the corresponding cryogenic flows to the QDB.</t>
        </is>
      </c>
      <c r="N488" s="6" t="inlineStr">
        <is>
          <t>The QPS shall include a Refrigeration Cold Box Station (QRB) responsible for producing the cooling power required by the cryogenic users and distributing the corresponding cryogenic flows to the QDB.</t>
        </is>
      </c>
      <c r="O488" s="6" t="n">
        <v>0</v>
      </c>
      <c r="P488" s="6" t="n">
        <v>0</v>
      </c>
      <c r="Q488" s="6" t="n">
        <v>2</v>
      </c>
      <c r="R488" s="6" t="n">
        <v>2</v>
      </c>
      <c r="S488" s="6" t="n">
        <v>0</v>
      </c>
      <c r="T488" s="6" t="n">
        <v>0</v>
      </c>
      <c r="U488" s="6" t="n">
        <v>0</v>
      </c>
      <c r="V488" s="6" t="n">
        <v>24</v>
      </c>
      <c r="W488" s="6" t="n">
        <v>33.0791</v>
      </c>
      <c r="X488" s="6" t="n">
        <v>1.1664</v>
      </c>
      <c r="Y488" s="6" t="inlineStr">
        <is>
          <t>Performance</t>
        </is>
      </c>
      <c r="Z488" s="6" t="inlineStr">
        <is>
          <t>Frozen-weight composite; strongest contribution: Performance.</t>
        </is>
      </c>
      <c r="AA488" s="6" t="inlineStr">
        <is>
          <t>None explicitly named in this RTM</t>
        </is>
      </c>
      <c r="AB488" s="6" t="inlineStr">
        <is>
          <t>SCK CEN/90508872 §4.4.4.1; no named external code</t>
        </is>
      </c>
      <c r="AC488" s="6" t="inlineStr">
        <is>
          <t>Calculation/model plus calibrated measurement or recorded trend</t>
        </is>
      </c>
      <c r="AD488" s="6" t="inlineStr">
        <is>
          <t>No separate deliverable explicitly named</t>
        </is>
      </c>
      <c r="AE488" s="6" t="inlineStr">
        <is>
          <t>L1 Conceptual Design; L2 Detailed Design</t>
        </is>
      </c>
      <c r="AF488" s="6" t="inlineStr">
        <is>
          <t>Section/contract-derived reference; derived evidence route</t>
        </is>
      </c>
      <c r="AG488" s="58" t="inlineStr">
        <is>
          <t>OFFER-13 (Broad/contextual — main component specification); OFFER-17 (Direct)</t>
        </is>
      </c>
    </row>
    <row r="489" ht="47" customHeight="1">
      <c r="A489" s="6" t="n">
        <v>484</v>
      </c>
      <c r="B489" s="6" t="inlineStr">
        <is>
          <t>RTM-196</t>
        </is>
      </c>
      <c r="C489" s="6" t="inlineStr">
        <is>
          <t>No</t>
        </is>
      </c>
      <c r="D489" s="6" t="inlineStr">
        <is>
          <t>T3 Contextual</t>
        </is>
      </c>
      <c r="E489" s="6" t="inlineStr">
        <is>
          <t>Subsystems</t>
        </is>
      </c>
      <c r="F489" s="82" t="inlineStr">
        <is>
          <t>SYSTEM</t>
        </is>
      </c>
      <c r="G489" s="83" t="inlineStr">
        <is>
          <t>Performance</t>
        </is>
      </c>
      <c r="H489" s="59" t="inlineStr">
        <is>
          <t>—</t>
        </is>
      </c>
      <c r="I489" s="58" t="inlineStr">
        <is>
          <t>C5 (+) — Infrastructure &amp; Integration + others</t>
        </is>
      </c>
      <c r="J489" s="6" t="n">
        <v>55</v>
      </c>
      <c r="K489" s="6" t="inlineStr">
        <is>
          <t>4.4.4.1</t>
        </is>
      </c>
      <c r="L489" s="6" t="inlineStr">
        <is>
          <t>General Requirements</t>
        </is>
      </c>
      <c r="M489" s="6" t="inlineStr">
        <is>
          <t>The Contractor shall be responsible to define the arrangement and orientation of the cold box unit.</t>
        </is>
      </c>
      <c r="N489" s="6" t="inlineStr">
        <is>
          <t>The Contractor shall be responsible to define the arrangement and orientation of the cold box unit.
• The space constraints may favour a horizontal cold box configuration.</t>
        </is>
      </c>
      <c r="O489" s="6" t="n">
        <v>0</v>
      </c>
      <c r="P489" s="6" t="n">
        <v>0</v>
      </c>
      <c r="Q489" s="6" t="n">
        <v>2</v>
      </c>
      <c r="R489" s="6" t="n">
        <v>2</v>
      </c>
      <c r="S489" s="6" t="n">
        <v>0</v>
      </c>
      <c r="T489" s="6" t="n">
        <v>0</v>
      </c>
      <c r="U489" s="6" t="n">
        <v>0</v>
      </c>
      <c r="V489" s="6" t="n">
        <v>24</v>
      </c>
      <c r="W489" s="6" t="n">
        <v>33.0791</v>
      </c>
      <c r="X489" s="6" t="n">
        <v>1.1664</v>
      </c>
      <c r="Y489" s="6" t="inlineStr">
        <is>
          <t>Performance</t>
        </is>
      </c>
      <c r="Z489" s="6" t="inlineStr">
        <is>
          <t>Frozen-weight composite; strongest contribution: Performance.</t>
        </is>
      </c>
      <c r="AA489" s="6" t="inlineStr">
        <is>
          <t>None explicitly named in this RTM</t>
        </is>
      </c>
      <c r="AB489" s="6" t="inlineStr">
        <is>
          <t>SCK CEN/90508872 §4.4.4.1; no named external code</t>
        </is>
      </c>
      <c r="AC489" s="6" t="inlineStr">
        <is>
          <t>Calculation/model plus calibrated measurement or recorded trend</t>
        </is>
      </c>
      <c r="AD489" s="6" t="inlineStr">
        <is>
          <t>No separate deliverable explicitly named</t>
        </is>
      </c>
      <c r="AE489" s="6" t="inlineStr">
        <is>
          <t>L1 Conceptual Design; L2 Detailed Design</t>
        </is>
      </c>
      <c r="AF489" s="6" t="inlineStr">
        <is>
          <t>Section/contract-derived reference; derived evidence route</t>
        </is>
      </c>
      <c r="AG489" s="58" t="inlineStr">
        <is>
          <t>OFFER-13 (Broad/contextual — main component specification); OFFER-17 (Direct)</t>
        </is>
      </c>
    </row>
    <row r="490" ht="60" customHeight="1">
      <c r="A490" s="6" t="n">
        <v>485</v>
      </c>
      <c r="B490" s="6" t="inlineStr">
        <is>
          <t>RTM-199</t>
        </is>
      </c>
      <c r="C490" s="6" t="inlineStr">
        <is>
          <t>No</t>
        </is>
      </c>
      <c r="D490" s="6" t="inlineStr">
        <is>
          <t>T3 Contextual</t>
        </is>
      </c>
      <c r="E490" s="6" t="inlineStr">
        <is>
          <t>Subsystems</t>
        </is>
      </c>
      <c r="F490" s="82" t="inlineStr">
        <is>
          <t>SYSTEM</t>
        </is>
      </c>
      <c r="G490" s="83" t="inlineStr">
        <is>
          <t>Performance</t>
        </is>
      </c>
      <c r="H490" s="59" t="inlineStr">
        <is>
          <t>—</t>
        </is>
      </c>
      <c r="I490" s="81" t="inlineStr">
        <is>
          <t>Inferred: C3 — Mechanical &amp; Equipment (medium conf.)</t>
        </is>
      </c>
      <c r="J490" s="6" t="n">
        <v>55</v>
      </c>
      <c r="K490" s="6" t="inlineStr">
        <is>
          <t>4.4.4.2.1</t>
        </is>
      </c>
      <c r="L490" s="6" t="inlineStr">
        <is>
          <t>Vacuum vessel(s)</t>
        </is>
      </c>
      <c r="M490" s="6" t="inlineStr">
        <is>
          <t>All ports carrying cold valves, turbines, transfer line connections, or instrumentation feedthroughs shall be fabricated from stainless steel. The vacuum vessel shell may be fabricated from mild steel.</t>
        </is>
      </c>
      <c r="N490" s="6" t="inlineStr">
        <is>
          <t>All ports carrying cold valves, turbines, transfer line connections, or instrumentation feedthroughs shall be fabricated from stainless steel. The vacuum vessel shell may be fabricated from mild steel.</t>
        </is>
      </c>
      <c r="O490" s="6" t="n">
        <v>0</v>
      </c>
      <c r="P490" s="6" t="n">
        <v>0</v>
      </c>
      <c r="Q490" s="6" t="n">
        <v>2</v>
      </c>
      <c r="R490" s="6" t="n">
        <v>2</v>
      </c>
      <c r="S490" s="6" t="n">
        <v>0</v>
      </c>
      <c r="T490" s="6" t="n">
        <v>0</v>
      </c>
      <c r="U490" s="6" t="n">
        <v>0</v>
      </c>
      <c r="V490" s="6" t="n">
        <v>24</v>
      </c>
      <c r="W490" s="6" t="n">
        <v>33.0791</v>
      </c>
      <c r="X490" s="6" t="n">
        <v>1.1664</v>
      </c>
      <c r="Y490" s="6" t="inlineStr">
        <is>
          <t>Performance</t>
        </is>
      </c>
      <c r="Z490" s="6" t="inlineStr">
        <is>
          <t>Frozen-weight composite; strongest contribution: Performance.</t>
        </is>
      </c>
      <c r="AA490" s="6" t="inlineStr">
        <is>
          <t>None explicitly named in this RTM</t>
        </is>
      </c>
      <c r="AB490" s="6" t="inlineStr">
        <is>
          <t>SCK CEN/90508872 §4.4.4.2.1; no named external code</t>
        </is>
      </c>
      <c r="AC490" s="6" t="inlineStr">
        <is>
          <t>Calculation/model plus calibrated measurement or recorded trend</t>
        </is>
      </c>
      <c r="AD490" s="6" t="inlineStr">
        <is>
          <t>No separate deliverable explicitly named</t>
        </is>
      </c>
      <c r="AE490" s="6" t="inlineStr">
        <is>
          <t>L1 Conceptual Design; L2 Detailed Design</t>
        </is>
      </c>
      <c r="AF490" s="6" t="inlineStr">
        <is>
          <t>Section/contract-derived reference; derived evidence route</t>
        </is>
      </c>
      <c r="AG490" s="58" t="inlineStr">
        <is>
          <t>Not linked to an OFFER item</t>
        </is>
      </c>
    </row>
    <row r="491" ht="47" customHeight="1">
      <c r="A491" s="6" t="n">
        <v>486</v>
      </c>
      <c r="B491" s="6" t="inlineStr">
        <is>
          <t>RTM-200</t>
        </is>
      </c>
      <c r="C491" s="6" t="inlineStr">
        <is>
          <t>No</t>
        </is>
      </c>
      <c r="D491" s="6" t="inlineStr">
        <is>
          <t>T3 Contextual</t>
        </is>
      </c>
      <c r="E491" s="6" t="inlineStr">
        <is>
          <t>Subsystems</t>
        </is>
      </c>
      <c r="F491" s="82" t="inlineStr">
        <is>
          <t>SYSTEM</t>
        </is>
      </c>
      <c r="G491" s="83" t="inlineStr">
        <is>
          <t>Performance</t>
        </is>
      </c>
      <c r="H491" s="59" t="inlineStr">
        <is>
          <t>—</t>
        </is>
      </c>
      <c r="I491" s="81" t="inlineStr">
        <is>
          <t>Inferred: C2 — Process Design (low conf.)</t>
        </is>
      </c>
      <c r="J491" s="6" t="n">
        <v>55</v>
      </c>
      <c r="K491" s="6" t="inlineStr">
        <is>
          <t>4.4.4.2.1</t>
        </is>
      </c>
      <c r="L491" s="6" t="inlineStr">
        <is>
          <t>Vacuum vessel(s)</t>
        </is>
      </c>
      <c r="M491" s="6" t="inlineStr">
        <is>
          <t>The design of the pumping ports shall include provisions to prevent ingestion of multilayer insulation (MLI) into the vacuum pumping system.</t>
        </is>
      </c>
      <c r="N491" s="6" t="inlineStr">
        <is>
          <t>The design of the pumping ports shall include provisions to prevent ingestion of multilayer insulation (MLI) into the vacuum pumping system.</t>
        </is>
      </c>
      <c r="O491" s="6" t="n">
        <v>0</v>
      </c>
      <c r="P491" s="6" t="n">
        <v>0</v>
      </c>
      <c r="Q491" s="6" t="n">
        <v>2</v>
      </c>
      <c r="R491" s="6" t="n">
        <v>2</v>
      </c>
      <c r="S491" s="6" t="n">
        <v>0</v>
      </c>
      <c r="T491" s="6" t="n">
        <v>0</v>
      </c>
      <c r="U491" s="6" t="n">
        <v>0</v>
      </c>
      <c r="V491" s="6" t="n">
        <v>24</v>
      </c>
      <c r="W491" s="6" t="n">
        <v>33.0791</v>
      </c>
      <c r="X491" s="6" t="n">
        <v>1.1664</v>
      </c>
      <c r="Y491" s="6" t="inlineStr">
        <is>
          <t>Performance</t>
        </is>
      </c>
      <c r="Z491" s="6" t="inlineStr">
        <is>
          <t>Frozen-weight composite; strongest contribution: Performance.</t>
        </is>
      </c>
      <c r="AA491" s="6" t="inlineStr">
        <is>
          <t>None explicitly named in this RTM</t>
        </is>
      </c>
      <c r="AB491" s="6" t="inlineStr">
        <is>
          <t>SCK CEN/90508872 §4.4.4.2.1; no named external code</t>
        </is>
      </c>
      <c r="AC491" s="6" t="inlineStr">
        <is>
          <t>Calculation/model plus calibrated measurement or recorded trend</t>
        </is>
      </c>
      <c r="AD491" s="6" t="inlineStr">
        <is>
          <t>No separate deliverable explicitly named</t>
        </is>
      </c>
      <c r="AE491" s="6" t="inlineStr">
        <is>
          <t>L1 Conceptual Design; L2 Detailed Design</t>
        </is>
      </c>
      <c r="AF491" s="6" t="inlineStr">
        <is>
          <t>Section/contract-derived reference; derived evidence route</t>
        </is>
      </c>
      <c r="AG491" s="58" t="inlineStr">
        <is>
          <t>Not linked to an OFFER item</t>
        </is>
      </c>
    </row>
    <row r="492" ht="47" customHeight="1">
      <c r="A492" s="6" t="n">
        <v>487</v>
      </c>
      <c r="B492" s="6" t="inlineStr">
        <is>
          <t>RTM-202</t>
        </is>
      </c>
      <c r="C492" s="6" t="inlineStr">
        <is>
          <t>No</t>
        </is>
      </c>
      <c r="D492" s="6" t="inlineStr">
        <is>
          <t>T3 Contextual</t>
        </is>
      </c>
      <c r="E492" s="6" t="inlineStr">
        <is>
          <t>Subsystems</t>
        </is>
      </c>
      <c r="F492" s="82" t="inlineStr">
        <is>
          <t>SYSTEM</t>
        </is>
      </c>
      <c r="G492" s="83" t="inlineStr">
        <is>
          <t>Performance</t>
        </is>
      </c>
      <c r="H492" s="59" t="inlineStr">
        <is>
          <t>—</t>
        </is>
      </c>
      <c r="I492" s="58" t="inlineStr">
        <is>
          <t>C2 — Process Design</t>
        </is>
      </c>
      <c r="J492" s="6" t="n">
        <v>56</v>
      </c>
      <c r="K492" s="6" t="inlineStr">
        <is>
          <t>4.4.4.2.2</t>
        </is>
      </c>
      <c r="L492" s="6" t="inlineStr">
        <is>
          <t>Main Process Heat Exchangers (MPHX)</t>
        </is>
      </c>
      <c r="M492" s="6" t="inlineStr">
        <is>
          <t>The QPS Contractor shall be responsible for the selection, sizing, and detailed design of all Main Process Heat Exchangers (MPHX) installed inside the QRB.</t>
        </is>
      </c>
      <c r="N492" s="6" t="inlineStr">
        <is>
          <t>The QPS Contractor shall be responsible for the selection, sizing, and detailed design of all Main Process Heat Exchangers (MPHX) installed inside the QRB.</t>
        </is>
      </c>
      <c r="O492" s="6" t="n">
        <v>0</v>
      </c>
      <c r="P492" s="6" t="n">
        <v>0</v>
      </c>
      <c r="Q492" s="6" t="n">
        <v>2</v>
      </c>
      <c r="R492" s="6" t="n">
        <v>2</v>
      </c>
      <c r="S492" s="6" t="n">
        <v>0</v>
      </c>
      <c r="T492" s="6" t="n">
        <v>0</v>
      </c>
      <c r="U492" s="6" t="n">
        <v>0</v>
      </c>
      <c r="V492" s="6" t="n">
        <v>24</v>
      </c>
      <c r="W492" s="6" t="n">
        <v>33.0791</v>
      </c>
      <c r="X492" s="6" t="n">
        <v>1.1664</v>
      </c>
      <c r="Y492" s="6" t="inlineStr">
        <is>
          <t>Performance</t>
        </is>
      </c>
      <c r="Z492" s="6" t="inlineStr">
        <is>
          <t>Frozen-weight composite; strongest contribution: Performance.</t>
        </is>
      </c>
      <c r="AA492" s="6" t="inlineStr">
        <is>
          <t>None explicitly named in this RTM</t>
        </is>
      </c>
      <c r="AB492" s="6" t="inlineStr">
        <is>
          <t>SCK CEN/90508872 §4.4.4.2.2; no named external code</t>
        </is>
      </c>
      <c r="AC492" s="6" t="inlineStr">
        <is>
          <t>Calculation/model plus calibrated measurement or recorded trend</t>
        </is>
      </c>
      <c r="AD492" s="6" t="inlineStr">
        <is>
          <t>No separate deliverable explicitly named</t>
        </is>
      </c>
      <c r="AE492" s="6" t="inlineStr">
        <is>
          <t>L2 Detailed Design; L1 Conceptual Design</t>
        </is>
      </c>
      <c r="AF492" s="6" t="inlineStr">
        <is>
          <t>Section/contract-derived reference; derived evidence route</t>
        </is>
      </c>
      <c r="AG492" s="58" t="inlineStr">
        <is>
          <t>OFFER-18 (Direct)</t>
        </is>
      </c>
    </row>
    <row r="493" ht="112" customHeight="1">
      <c r="A493" s="6" t="n">
        <v>488</v>
      </c>
      <c r="B493" s="6" t="inlineStr">
        <is>
          <t>RTM-204</t>
        </is>
      </c>
      <c r="C493" s="6" t="inlineStr">
        <is>
          <t>No</t>
        </is>
      </c>
      <c r="D493" s="6" t="inlineStr">
        <is>
          <t>T3 Contextual</t>
        </is>
      </c>
      <c r="E493" s="6" t="inlineStr">
        <is>
          <t>Subsystems</t>
        </is>
      </c>
      <c r="F493" s="82" t="inlineStr">
        <is>
          <t>SYSTEM</t>
        </is>
      </c>
      <c r="G493" s="83" t="inlineStr">
        <is>
          <t>Performance</t>
        </is>
      </c>
      <c r="H493" s="59" t="inlineStr">
        <is>
          <t>—</t>
        </is>
      </c>
      <c r="I493" s="58" t="inlineStr">
        <is>
          <t>C2 — Process Design</t>
        </is>
      </c>
      <c r="J493" s="6" t="n">
        <v>56</v>
      </c>
      <c r="K493" s="6" t="inlineStr">
        <is>
          <t>4.4.4.2.2</t>
        </is>
      </c>
      <c r="L493" s="6" t="inlineStr">
        <is>
          <t>Main Process Heat Exchangers (MPHX)</t>
        </is>
      </c>
      <c r="M493" s="6" t="inlineStr">
        <is>
          <t>The selected MPHX shall comply with the following manufacturing requirements:</t>
        </is>
      </c>
      <c r="N493" s="6" t="inlineStr">
        <is>
          <t>The selected MPHX shall comply with the following manufacturing requirements:
• If aluminium plate-fin heat exchangers are selected, they shall be
• vacuum brazed
• equipped with aluminium-to-stainless steel transition joints where applicable.
• If stainless steel heat exchangers are selected, they shall be of fully welded construction.</t>
        </is>
      </c>
      <c r="O493" s="6" t="n">
        <v>0</v>
      </c>
      <c r="P493" s="6" t="n">
        <v>0</v>
      </c>
      <c r="Q493" s="6" t="n">
        <v>2</v>
      </c>
      <c r="R493" s="6" t="n">
        <v>2</v>
      </c>
      <c r="S493" s="6" t="n">
        <v>0</v>
      </c>
      <c r="T493" s="6" t="n">
        <v>0</v>
      </c>
      <c r="U493" s="6" t="n">
        <v>0</v>
      </c>
      <c r="V493" s="6" t="n">
        <v>24</v>
      </c>
      <c r="W493" s="6" t="n">
        <v>33.0791</v>
      </c>
      <c r="X493" s="6" t="n">
        <v>1.1664</v>
      </c>
      <c r="Y493" s="6" t="inlineStr">
        <is>
          <t>Performance</t>
        </is>
      </c>
      <c r="Z493" s="6" t="inlineStr">
        <is>
          <t>Frozen-weight composite; strongest contribution: Performance.</t>
        </is>
      </c>
      <c r="AA493" s="6" t="inlineStr">
        <is>
          <t>None explicitly named in this RTM</t>
        </is>
      </c>
      <c r="AB493" s="6" t="inlineStr">
        <is>
          <t>SCK CEN/90508872 §4.4.4.2.2; no named external code</t>
        </is>
      </c>
      <c r="AC493" s="6" t="inlineStr">
        <is>
          <t>Calculation/model plus calibrated measurement or recorded trend</t>
        </is>
      </c>
      <c r="AD493" s="6" t="inlineStr">
        <is>
          <t>No separate deliverable explicitly named</t>
        </is>
      </c>
      <c r="AE493" s="6" t="inlineStr">
        <is>
          <t>L3 Procurement &amp; Manufacturing / FAT; L1 Conceptual Design; L2 Detailed Design</t>
        </is>
      </c>
      <c r="AF493" s="6" t="inlineStr">
        <is>
          <t>Section/contract-derived reference; derived evidence route</t>
        </is>
      </c>
      <c r="AG493" s="58" t="inlineStr">
        <is>
          <t>OFFER-18 (Direct)</t>
        </is>
      </c>
    </row>
    <row r="494" ht="47" customHeight="1">
      <c r="A494" s="6" t="n">
        <v>489</v>
      </c>
      <c r="B494" s="6" t="inlineStr">
        <is>
          <t>RTM-207</t>
        </is>
      </c>
      <c r="C494" s="6" t="inlineStr">
        <is>
          <t>No</t>
        </is>
      </c>
      <c r="D494" s="6" t="inlineStr">
        <is>
          <t>T3 Contextual</t>
        </is>
      </c>
      <c r="E494" s="6" t="inlineStr">
        <is>
          <t>Subsystems</t>
        </is>
      </c>
      <c r="F494" s="82" t="inlineStr">
        <is>
          <t>SYSTEM</t>
        </is>
      </c>
      <c r="G494" s="83" t="inlineStr">
        <is>
          <t>Control</t>
        </is>
      </c>
      <c r="H494" s="59" t="inlineStr">
        <is>
          <t>—</t>
        </is>
      </c>
      <c r="I494" s="58" t="inlineStr">
        <is>
          <t>C2 — Process Design</t>
        </is>
      </c>
      <c r="J494" s="6" t="n">
        <v>56</v>
      </c>
      <c r="K494" s="6" t="inlineStr">
        <is>
          <t>4.4.4.2.2</t>
        </is>
      </c>
      <c r="L494" s="6" t="inlineStr">
        <is>
          <t>Main Process Heat Exchangers (MPHX)</t>
        </is>
      </c>
      <c r="M494" s="6" t="inlineStr">
        <is>
          <t>Each MPHXs shall incorporate instrumentation to measure the differential pressure between inlet and outlet to monitor the evolution of pressure drop during operation.</t>
        </is>
      </c>
      <c r="N494" s="6" t="inlineStr">
        <is>
          <t>Each MPHXs shall incorporate instrumentation to measure the differential pressure between inlet and outlet to monitor the evolution of pressure drop during operation.</t>
        </is>
      </c>
      <c r="O494" s="6" t="n">
        <v>0</v>
      </c>
      <c r="P494" s="6" t="n">
        <v>0</v>
      </c>
      <c r="Q494" s="6" t="n">
        <v>2</v>
      </c>
      <c r="R494" s="6" t="n">
        <v>2</v>
      </c>
      <c r="S494" s="6" t="n">
        <v>0</v>
      </c>
      <c r="T494" s="6" t="n">
        <v>0</v>
      </c>
      <c r="U494" s="6" t="n">
        <v>0</v>
      </c>
      <c r="V494" s="6" t="n">
        <v>24</v>
      </c>
      <c r="W494" s="6" t="n">
        <v>33.0791</v>
      </c>
      <c r="X494" s="6" t="n">
        <v>1.1664</v>
      </c>
      <c r="Y494" s="6" t="inlineStr">
        <is>
          <t>Performance</t>
        </is>
      </c>
      <c r="Z494" s="6" t="inlineStr">
        <is>
          <t>Frozen-weight composite; strongest contribution: Performance.</t>
        </is>
      </c>
      <c r="AA494" s="6" t="inlineStr">
        <is>
          <t>None explicitly named in this RTM</t>
        </is>
      </c>
      <c r="AB494" s="6" t="inlineStr">
        <is>
          <t>SCK CEN/90508872 §4.4.4.2.2; no named external code</t>
        </is>
      </c>
      <c r="AC494" s="6" t="inlineStr">
        <is>
          <t>Calculation/model plus calibrated measurement or recorded trend</t>
        </is>
      </c>
      <c r="AD494" s="6" t="inlineStr">
        <is>
          <t>No separate deliverable explicitly named</t>
        </is>
      </c>
      <c r="AE494" s="6" t="inlineStr">
        <is>
          <t>L1 Conceptual Design; L2 Detailed Design</t>
        </is>
      </c>
      <c r="AF494" s="6" t="inlineStr">
        <is>
          <t>Section/contract-derived reference; derived evidence route</t>
        </is>
      </c>
      <c r="AG494" s="58" t="inlineStr">
        <is>
          <t>OFFER-18 (Direct)</t>
        </is>
      </c>
    </row>
    <row r="495" ht="34" customHeight="1">
      <c r="A495" s="6" t="n">
        <v>490</v>
      </c>
      <c r="B495" s="6" t="inlineStr">
        <is>
          <t>RTM-217</t>
        </is>
      </c>
      <c r="C495" s="6" t="inlineStr">
        <is>
          <t>No</t>
        </is>
      </c>
      <c r="D495" s="6" t="inlineStr">
        <is>
          <t>T3 Contextual</t>
        </is>
      </c>
      <c r="E495" s="6" t="inlineStr">
        <is>
          <t>Subsystems</t>
        </is>
      </c>
      <c r="F495" s="82" t="inlineStr">
        <is>
          <t>SYSTEM</t>
        </is>
      </c>
      <c r="G495" s="83" t="inlineStr">
        <is>
          <t>Performance</t>
        </is>
      </c>
      <c r="H495" s="59" t="inlineStr">
        <is>
          <t>—</t>
        </is>
      </c>
      <c r="I495" s="81" t="inlineStr">
        <is>
          <t>Inferred: C2 — Process Design (low conf.)</t>
        </is>
      </c>
      <c r="J495" s="6" t="n">
        <v>57</v>
      </c>
      <c r="K495" s="6" t="inlineStr">
        <is>
          <t>4.4.4.2.4</t>
        </is>
      </c>
      <c r="L495" s="6" t="inlineStr">
        <is>
          <t>Cold Compressors</t>
        </is>
      </c>
      <c r="M495" s="6" t="inlineStr">
        <is>
          <t>The cold compressors shall be of centrifugal type and be equipped with active magnetic bearings.</t>
        </is>
      </c>
      <c r="N495" s="6" t="inlineStr">
        <is>
          <t>The cold compressors shall be of centrifugal type and be equipped with active magnetic bearings.</t>
        </is>
      </c>
      <c r="O495" s="6" t="n">
        <v>0</v>
      </c>
      <c r="P495" s="6" t="n">
        <v>0</v>
      </c>
      <c r="Q495" s="6" t="n">
        <v>2</v>
      </c>
      <c r="R495" s="6" t="n">
        <v>2</v>
      </c>
      <c r="S495" s="6" t="n">
        <v>0</v>
      </c>
      <c r="T495" s="6" t="n">
        <v>0</v>
      </c>
      <c r="U495" s="6" t="n">
        <v>0</v>
      </c>
      <c r="V495" s="6" t="n">
        <v>24</v>
      </c>
      <c r="W495" s="6" t="n">
        <v>33.0791</v>
      </c>
      <c r="X495" s="6" t="n">
        <v>1.1664</v>
      </c>
      <c r="Y495" s="6" t="inlineStr">
        <is>
          <t>Performance</t>
        </is>
      </c>
      <c r="Z495" s="6" t="inlineStr">
        <is>
          <t>Frozen-weight composite; strongest contribution: Performance.</t>
        </is>
      </c>
      <c r="AA495" s="6" t="inlineStr">
        <is>
          <t>None explicitly named in this RTM</t>
        </is>
      </c>
      <c r="AB495" s="6" t="inlineStr">
        <is>
          <t>SCK CEN/90508872 §4.4.4.2.4; no named external code</t>
        </is>
      </c>
      <c r="AC495" s="6" t="inlineStr">
        <is>
          <t>Calculation/model plus calibrated measurement or recorded trend</t>
        </is>
      </c>
      <c r="AD495" s="6" t="inlineStr">
        <is>
          <t>No separate deliverable explicitly named</t>
        </is>
      </c>
      <c r="AE495" s="6" t="inlineStr">
        <is>
          <t>L1 Conceptual Design; L2 Detailed Design</t>
        </is>
      </c>
      <c r="AF495" s="6" t="inlineStr">
        <is>
          <t>Section/contract-derived reference; derived evidence route</t>
        </is>
      </c>
      <c r="AG495" s="58" t="inlineStr">
        <is>
          <t>Not linked to an OFFER item</t>
        </is>
      </c>
    </row>
    <row r="496" ht="73" customHeight="1">
      <c r="A496" s="6" t="n">
        <v>491</v>
      </c>
      <c r="B496" s="6" t="inlineStr">
        <is>
          <t>RTM-222</t>
        </is>
      </c>
      <c r="C496" s="6" t="inlineStr">
        <is>
          <t>No</t>
        </is>
      </c>
      <c r="D496" s="6" t="inlineStr">
        <is>
          <t>T3 Contextual</t>
        </is>
      </c>
      <c r="E496" s="6" t="inlineStr">
        <is>
          <t>Subsystems</t>
        </is>
      </c>
      <c r="F496" s="82" t="inlineStr">
        <is>
          <t>SYSTEM</t>
        </is>
      </c>
      <c r="G496" s="83" t="inlineStr">
        <is>
          <t>Performance</t>
        </is>
      </c>
      <c r="H496" s="59" t="inlineStr">
        <is>
          <t>—</t>
        </is>
      </c>
      <c r="I496" s="81" t="inlineStr">
        <is>
          <t>Inferred: C3 — Mechanical &amp; Equipment (medium conf.)</t>
        </is>
      </c>
      <c r="J496" s="6" t="n">
        <v>57</v>
      </c>
      <c r="K496" s="6" t="inlineStr">
        <is>
          <t>4.4.4.2.4</t>
        </is>
      </c>
      <c r="L496" s="6" t="inlineStr">
        <is>
          <t>Cold Compressors</t>
        </is>
      </c>
      <c r="M496" s="6" t="inlineStr">
        <is>
          <t>The design shall allow removal and replacement of each cold compressor without warming up the entire cold box. To this end, the design shall include, at minimum:</t>
        </is>
      </c>
      <c r="N496" s="6" t="inlineStr">
        <is>
          <t>The design shall allow removal and replacement of each cold compressor without warming up the entire cold box. To this end, the design shall include, at minimum:
• Provisions to isolate, warm up, purge, evacuate, and cool down the cold compressor independently from the main cold box.</t>
        </is>
      </c>
      <c r="O496" s="6" t="n">
        <v>0</v>
      </c>
      <c r="P496" s="6" t="n">
        <v>0</v>
      </c>
      <c r="Q496" s="6" t="n">
        <v>2</v>
      </c>
      <c r="R496" s="6" t="n">
        <v>2</v>
      </c>
      <c r="S496" s="6" t="n">
        <v>0</v>
      </c>
      <c r="T496" s="6" t="n">
        <v>0</v>
      </c>
      <c r="U496" s="6" t="n">
        <v>0</v>
      </c>
      <c r="V496" s="6" t="n">
        <v>24</v>
      </c>
      <c r="W496" s="6" t="n">
        <v>33.0791</v>
      </c>
      <c r="X496" s="6" t="n">
        <v>1.1664</v>
      </c>
      <c r="Y496" s="6" t="inlineStr">
        <is>
          <t>Performance</t>
        </is>
      </c>
      <c r="Z496" s="6" t="inlineStr">
        <is>
          <t>Frozen-weight composite; strongest contribution: Performance.</t>
        </is>
      </c>
      <c r="AA496" s="6" t="inlineStr">
        <is>
          <t>None explicitly named in this RTM</t>
        </is>
      </c>
      <c r="AB496" s="6" t="inlineStr">
        <is>
          <t>SCK CEN/90508872 §4.4.4.2.4; no named external code</t>
        </is>
      </c>
      <c r="AC496" s="6" t="inlineStr">
        <is>
          <t>Calculation/model plus calibrated measurement or recorded trend</t>
        </is>
      </c>
      <c r="AD496" s="6" t="inlineStr">
        <is>
          <t>No separate deliverable explicitly named</t>
        </is>
      </c>
      <c r="AE496" s="6" t="inlineStr">
        <is>
          <t>L1 Conceptual Design; L2 Detailed Design</t>
        </is>
      </c>
      <c r="AF496" s="6" t="inlineStr">
        <is>
          <t>Section/contract-derived reference; derived evidence route</t>
        </is>
      </c>
      <c r="AG496" s="58" t="inlineStr">
        <is>
          <t>Not linked to an OFFER item</t>
        </is>
      </c>
    </row>
    <row r="497" ht="47" customHeight="1">
      <c r="A497" s="6" t="n">
        <v>492</v>
      </c>
      <c r="B497" s="6" t="inlineStr">
        <is>
          <t>RTM-225</t>
        </is>
      </c>
      <c r="C497" s="6" t="inlineStr">
        <is>
          <t>No</t>
        </is>
      </c>
      <c r="D497" s="6" t="inlineStr">
        <is>
          <t>T3 Contextual</t>
        </is>
      </c>
      <c r="E497" s="6" t="inlineStr">
        <is>
          <t>Subsystems</t>
        </is>
      </c>
      <c r="F497" s="82" t="inlineStr">
        <is>
          <t>SYSTEM</t>
        </is>
      </c>
      <c r="G497" s="83" t="inlineStr">
        <is>
          <t>Performance</t>
        </is>
      </c>
      <c r="H497" s="59" t="inlineStr">
        <is>
          <t>—</t>
        </is>
      </c>
      <c r="I497" s="81" t="inlineStr">
        <is>
          <t>Inferred: C2 — Process Design (low conf.)</t>
        </is>
      </c>
      <c r="J497" s="6" t="n">
        <v>58</v>
      </c>
      <c r="K497" s="6" t="inlineStr">
        <is>
          <t>4.4.4.2.5</t>
        </is>
      </c>
      <c r="L497" s="6" t="inlineStr">
        <is>
          <t>Helium phase separators</t>
        </is>
      </c>
      <c r="M497" s="6" t="inlineStr">
        <is>
          <t>Each helium phase separator shall:</t>
        </is>
      </c>
      <c r="N497" s="6" t="inlineStr">
        <is>
          <t>Each helium phase separator shall:
• include a diffuser at the inlet.
• be insulated with at least 30 layers of Multi-Layer Insulation.</t>
        </is>
      </c>
      <c r="O497" s="6" t="n">
        <v>0</v>
      </c>
      <c r="P497" s="6" t="n">
        <v>0</v>
      </c>
      <c r="Q497" s="6" t="n">
        <v>2</v>
      </c>
      <c r="R497" s="6" t="n">
        <v>2</v>
      </c>
      <c r="S497" s="6" t="n">
        <v>0</v>
      </c>
      <c r="T497" s="6" t="n">
        <v>0</v>
      </c>
      <c r="U497" s="6" t="n">
        <v>0</v>
      </c>
      <c r="V497" s="6" t="n">
        <v>24</v>
      </c>
      <c r="W497" s="6" t="n">
        <v>33.0791</v>
      </c>
      <c r="X497" s="6" t="n">
        <v>1.1664</v>
      </c>
      <c r="Y497" s="6" t="inlineStr">
        <is>
          <t>Performance</t>
        </is>
      </c>
      <c r="Z497" s="6" t="inlineStr">
        <is>
          <t>Frozen-weight composite; strongest contribution: Performance.</t>
        </is>
      </c>
      <c r="AA497" s="6" t="inlineStr">
        <is>
          <t>None explicitly named in this RTM</t>
        </is>
      </c>
      <c r="AB497" s="6" t="inlineStr">
        <is>
          <t>SCK CEN/90508872 §4.4.4.2.5; no named external code</t>
        </is>
      </c>
      <c r="AC497" s="6" t="inlineStr">
        <is>
          <t>Calculation/model plus calibrated measurement or recorded trend</t>
        </is>
      </c>
      <c r="AD497" s="6" t="inlineStr">
        <is>
          <t>No separate deliverable explicitly named</t>
        </is>
      </c>
      <c r="AE497" s="6" t="inlineStr">
        <is>
          <t>L1 Conceptual Design; L2 Detailed Design</t>
        </is>
      </c>
      <c r="AF497" s="6" t="inlineStr">
        <is>
          <t>Section/contract-derived reference; derived evidence route</t>
        </is>
      </c>
      <c r="AG497" s="58" t="inlineStr">
        <is>
          <t>Not linked to an OFFER item</t>
        </is>
      </c>
    </row>
    <row r="498" ht="86" customHeight="1">
      <c r="A498" s="6" t="n">
        <v>493</v>
      </c>
      <c r="B498" s="6" t="inlineStr">
        <is>
          <t>RTM-229</t>
        </is>
      </c>
      <c r="C498" s="6" t="inlineStr">
        <is>
          <t>No</t>
        </is>
      </c>
      <c r="D498" s="6" t="inlineStr">
        <is>
          <t>T3 Contextual</t>
        </is>
      </c>
      <c r="E498" s="6" t="inlineStr">
        <is>
          <t>Subsystems</t>
        </is>
      </c>
      <c r="F498" s="82" t="inlineStr">
        <is>
          <t>SYSTEM</t>
        </is>
      </c>
      <c r="G498" s="83" t="inlineStr">
        <is>
          <t>Performance</t>
        </is>
      </c>
      <c r="H498" s="59" t="inlineStr">
        <is>
          <t>—</t>
        </is>
      </c>
      <c r="I498" s="81" t="inlineStr">
        <is>
          <t>Inferred: C2 — Process Design (low conf.)</t>
        </is>
      </c>
      <c r="J498" s="6" t="n">
        <v>58</v>
      </c>
      <c r="K498" s="6" t="inlineStr">
        <is>
          <t>4.4.4.2.7</t>
        </is>
      </c>
      <c r="L498" s="6" t="inlineStr">
        <is>
          <t>Filters</t>
        </is>
      </c>
      <c r="M498" s="6" t="inlineStr">
        <is>
          <t>The QRB shall include, at minimum, the following filters:</t>
        </is>
      </c>
      <c r="N498" s="6" t="inlineStr">
        <is>
          <t>The QRB shall include, at minimum, the following filters:
• A 10 µm wire mesh filter downstream of each adsorber.
• A filter with a 10 µm retention rating shall be installed at the inlet of turbines.
• A filter with a retention rating to be defined by the Contractor at the inlet of the cold compressors.</t>
        </is>
      </c>
      <c r="O498" s="6" t="n">
        <v>0</v>
      </c>
      <c r="P498" s="6" t="n">
        <v>0</v>
      </c>
      <c r="Q498" s="6" t="n">
        <v>2</v>
      </c>
      <c r="R498" s="6" t="n">
        <v>2</v>
      </c>
      <c r="S498" s="6" t="n">
        <v>0</v>
      </c>
      <c r="T498" s="6" t="n">
        <v>0</v>
      </c>
      <c r="U498" s="6" t="n">
        <v>0</v>
      </c>
      <c r="V498" s="6" t="n">
        <v>24</v>
      </c>
      <c r="W498" s="6" t="n">
        <v>33.0791</v>
      </c>
      <c r="X498" s="6" t="n">
        <v>1.1664</v>
      </c>
      <c r="Y498" s="6" t="inlineStr">
        <is>
          <t>Performance</t>
        </is>
      </c>
      <c r="Z498" s="6" t="inlineStr">
        <is>
          <t>Frozen-weight composite; strongest contribution: Performance.</t>
        </is>
      </c>
      <c r="AA498" s="6" t="inlineStr">
        <is>
          <t>None explicitly named in this RTM</t>
        </is>
      </c>
      <c r="AB498" s="6" t="inlineStr">
        <is>
          <t>SCK CEN/90508872 §4.4.4.2.7; no named external code</t>
        </is>
      </c>
      <c r="AC498" s="6" t="inlineStr">
        <is>
          <t>Calculation/model plus calibrated measurement or recorded trend</t>
        </is>
      </c>
      <c r="AD498" s="6" t="inlineStr">
        <is>
          <t>No separate deliverable explicitly named</t>
        </is>
      </c>
      <c r="AE498" s="6" t="inlineStr">
        <is>
          <t>L1 Conceptual Design; L2 Detailed Design</t>
        </is>
      </c>
      <c r="AF498" s="6" t="inlineStr">
        <is>
          <t>Section/contract-derived reference; derived evidence route</t>
        </is>
      </c>
      <c r="AG498" s="58" t="inlineStr">
        <is>
          <t>Not linked to an OFFER item</t>
        </is>
      </c>
    </row>
    <row r="499" ht="34" customHeight="1">
      <c r="A499" s="6" t="n">
        <v>494</v>
      </c>
      <c r="B499" s="6" t="inlineStr">
        <is>
          <t>RTM-231</t>
        </is>
      </c>
      <c r="C499" s="6" t="inlineStr">
        <is>
          <t>No</t>
        </is>
      </c>
      <c r="D499" s="6" t="inlineStr">
        <is>
          <t>T3 Contextual</t>
        </is>
      </c>
      <c r="E499" s="6" t="inlineStr">
        <is>
          <t>Subsystems</t>
        </is>
      </c>
      <c r="F499" s="82" t="inlineStr">
        <is>
          <t>SYSTEM</t>
        </is>
      </c>
      <c r="G499" s="83" t="inlineStr">
        <is>
          <t>Performance</t>
        </is>
      </c>
      <c r="H499" s="59" t="inlineStr">
        <is>
          <t>—</t>
        </is>
      </c>
      <c r="I499" s="81" t="inlineStr">
        <is>
          <t>Inferred: C2 — Process Design (low conf.)</t>
        </is>
      </c>
      <c r="J499" s="6" t="n">
        <v>58</v>
      </c>
      <c r="K499" s="6" t="inlineStr">
        <is>
          <t>4.4.4.3</t>
        </is>
      </c>
      <c r="L499" s="6" t="inlineStr">
        <is>
          <t>Dedicated insulation vacuum pumping system</t>
        </is>
      </c>
      <c r="M499" s="6" t="inlineStr">
        <is>
          <t>The QRB shall be equipped with a dedicated vacuum pumping system for its insulation vacuum.</t>
        </is>
      </c>
      <c r="N499" s="6" t="inlineStr">
        <is>
          <t>The QRB shall be equipped with a dedicated vacuum pumping system for its insulation vacuum.</t>
        </is>
      </c>
      <c r="O499" s="6" t="n">
        <v>0</v>
      </c>
      <c r="P499" s="6" t="n">
        <v>0</v>
      </c>
      <c r="Q499" s="6" t="n">
        <v>2</v>
      </c>
      <c r="R499" s="6" t="n">
        <v>2</v>
      </c>
      <c r="S499" s="6" t="n">
        <v>0</v>
      </c>
      <c r="T499" s="6" t="n">
        <v>0</v>
      </c>
      <c r="U499" s="6" t="n">
        <v>0</v>
      </c>
      <c r="V499" s="6" t="n">
        <v>24</v>
      </c>
      <c r="W499" s="6" t="n">
        <v>33.0791</v>
      </c>
      <c r="X499" s="6" t="n">
        <v>1.1664</v>
      </c>
      <c r="Y499" s="6" t="inlineStr">
        <is>
          <t>Performance</t>
        </is>
      </c>
      <c r="Z499" s="6" t="inlineStr">
        <is>
          <t>Frozen-weight composite; strongest contribution: Performance.</t>
        </is>
      </c>
      <c r="AA499" s="6" t="inlineStr">
        <is>
          <t>None explicitly named in this RTM</t>
        </is>
      </c>
      <c r="AB499" s="6" t="inlineStr">
        <is>
          <t>SCK CEN/90508872 §4.4.4.3; no named external code</t>
        </is>
      </c>
      <c r="AC499" s="6" t="inlineStr">
        <is>
          <t>Calculation/model plus calibrated measurement or recorded trend</t>
        </is>
      </c>
      <c r="AD499" s="6" t="inlineStr">
        <is>
          <t>No separate deliverable explicitly named</t>
        </is>
      </c>
      <c r="AE499" s="6" t="inlineStr">
        <is>
          <t>L1 Conceptual Design; L2 Detailed Design</t>
        </is>
      </c>
      <c r="AF499" s="6" t="inlineStr">
        <is>
          <t>Section/contract-derived reference; derived evidence route</t>
        </is>
      </c>
      <c r="AG499" s="58" t="inlineStr">
        <is>
          <t>Not linked to an OFFER item</t>
        </is>
      </c>
    </row>
    <row r="500" ht="47" customHeight="1">
      <c r="A500" s="6" t="n">
        <v>495</v>
      </c>
      <c r="B500" s="6" t="inlineStr">
        <is>
          <t>RTM-233</t>
        </is>
      </c>
      <c r="C500" s="6" t="inlineStr">
        <is>
          <t>No</t>
        </is>
      </c>
      <c r="D500" s="6" t="inlineStr">
        <is>
          <t>T3 Contextual</t>
        </is>
      </c>
      <c r="E500" s="6" t="inlineStr">
        <is>
          <t>Subsystems</t>
        </is>
      </c>
      <c r="F500" s="82" t="inlineStr">
        <is>
          <t>SYSTEM</t>
        </is>
      </c>
      <c r="G500" s="83" t="inlineStr">
        <is>
          <t>Performance</t>
        </is>
      </c>
      <c r="H500" s="59" t="inlineStr">
        <is>
          <t>—</t>
        </is>
      </c>
      <c r="I500" s="81" t="inlineStr">
        <is>
          <t>Inferred: C3 — Mechanical &amp; Equipment (medium conf.)</t>
        </is>
      </c>
      <c r="J500" s="6" t="n">
        <v>59</v>
      </c>
      <c r="K500" s="6" t="inlineStr">
        <is>
          <t>4.4.4.3</t>
        </is>
      </c>
      <c r="L500" s="6" t="inlineStr">
        <is>
          <t>Dedicated insulation vacuum pumping system</t>
        </is>
      </c>
      <c r="M500" s="6" t="inlineStr">
        <is>
          <t>The insulation vacuum shall be protected by a fast-acting isolation valve installed between the QRB vacuum vessel and the vacuum pumping system.</t>
        </is>
      </c>
      <c r="N500" s="6" t="inlineStr">
        <is>
          <t>The insulation vacuum shall be protected by a fast-acting isolation valve installed between the QRB vacuum vessel and the vacuum pumping system.</t>
        </is>
      </c>
      <c r="O500" s="6" t="n">
        <v>0</v>
      </c>
      <c r="P500" s="6" t="n">
        <v>0</v>
      </c>
      <c r="Q500" s="6" t="n">
        <v>2</v>
      </c>
      <c r="R500" s="6" t="n">
        <v>2</v>
      </c>
      <c r="S500" s="6" t="n">
        <v>0</v>
      </c>
      <c r="T500" s="6" t="n">
        <v>0</v>
      </c>
      <c r="U500" s="6" t="n">
        <v>0</v>
      </c>
      <c r="V500" s="6" t="n">
        <v>24</v>
      </c>
      <c r="W500" s="6" t="n">
        <v>33.0791</v>
      </c>
      <c r="X500" s="6" t="n">
        <v>1.1664</v>
      </c>
      <c r="Y500" s="6" t="inlineStr">
        <is>
          <t>Performance</t>
        </is>
      </c>
      <c r="Z500" s="6" t="inlineStr">
        <is>
          <t>Frozen-weight composite; strongest contribution: Performance.</t>
        </is>
      </c>
      <c r="AA500" s="6" t="inlineStr">
        <is>
          <t>None explicitly named in this RTM</t>
        </is>
      </c>
      <c r="AB500" s="6" t="inlineStr">
        <is>
          <t>SCK CEN/90508872 §4.4.4.3; no named external code</t>
        </is>
      </c>
      <c r="AC500" s="6" t="inlineStr">
        <is>
          <t>Calculation/model plus calibrated measurement or recorded trend</t>
        </is>
      </c>
      <c r="AD500" s="6" t="inlineStr">
        <is>
          <t>No separate deliverable explicitly named</t>
        </is>
      </c>
      <c r="AE500" s="6" t="inlineStr">
        <is>
          <t>L1 Conceptual Design; L2 Detailed Design</t>
        </is>
      </c>
      <c r="AF500" s="6" t="inlineStr">
        <is>
          <t>Section/contract-derived reference; derived evidence route</t>
        </is>
      </c>
      <c r="AG500" s="58" t="inlineStr">
        <is>
          <t>Not linked to an OFFER item</t>
        </is>
      </c>
    </row>
    <row r="501" ht="47" customHeight="1">
      <c r="A501" s="6" t="n">
        <v>496</v>
      </c>
      <c r="B501" s="6" t="inlineStr">
        <is>
          <t>RTM-234</t>
        </is>
      </c>
      <c r="C501" s="6" t="inlineStr">
        <is>
          <t>No</t>
        </is>
      </c>
      <c r="D501" s="6" t="inlineStr">
        <is>
          <t>T3 Contextual</t>
        </is>
      </c>
      <c r="E501" s="6" t="inlineStr">
        <is>
          <t>Subsystems</t>
        </is>
      </c>
      <c r="F501" s="82" t="inlineStr">
        <is>
          <t>SYSTEM</t>
        </is>
      </c>
      <c r="G501" s="83" t="inlineStr">
        <is>
          <t>Performance</t>
        </is>
      </c>
      <c r="H501" s="59" t="inlineStr">
        <is>
          <t>—</t>
        </is>
      </c>
      <c r="I501" s="81" t="inlineStr">
        <is>
          <t>Inferred: C3 — Mechanical &amp; Equipment (medium conf.)</t>
        </is>
      </c>
      <c r="J501" s="6" t="n">
        <v>59</v>
      </c>
      <c r="K501" s="6" t="inlineStr">
        <is>
          <t>4.4.4.3</t>
        </is>
      </c>
      <c r="L501" s="6" t="inlineStr">
        <is>
          <t>Dedicated insulation vacuum pumping system</t>
        </is>
      </c>
      <c r="M501" s="6" t="inlineStr">
        <is>
          <t>A dedicated connection point shall be provided between the turbo pump and the roughing pump for the connection of a helium leak detector.</t>
        </is>
      </c>
      <c r="N501" s="6" t="inlineStr">
        <is>
          <t>A dedicated connection point shall be provided between the turbo pump and the roughing pump for the connection of a helium leak detector.</t>
        </is>
      </c>
      <c r="O501" s="6" t="n">
        <v>0</v>
      </c>
      <c r="P501" s="6" t="n">
        <v>0</v>
      </c>
      <c r="Q501" s="6" t="n">
        <v>2</v>
      </c>
      <c r="R501" s="6" t="n">
        <v>2</v>
      </c>
      <c r="S501" s="6" t="n">
        <v>0</v>
      </c>
      <c r="T501" s="6" t="n">
        <v>0</v>
      </c>
      <c r="U501" s="6" t="n">
        <v>0</v>
      </c>
      <c r="V501" s="6" t="n">
        <v>24</v>
      </c>
      <c r="W501" s="6" t="n">
        <v>33.0791</v>
      </c>
      <c r="X501" s="6" t="n">
        <v>1.1664</v>
      </c>
      <c r="Y501" s="6" t="inlineStr">
        <is>
          <t>Performance</t>
        </is>
      </c>
      <c r="Z501" s="6" t="inlineStr">
        <is>
          <t>Frozen-weight composite; strongest contribution: Performance.</t>
        </is>
      </c>
      <c r="AA501" s="6" t="inlineStr">
        <is>
          <t>None explicitly named in this RTM</t>
        </is>
      </c>
      <c r="AB501" s="6" t="inlineStr">
        <is>
          <t>SCK CEN/90508872 §4.4.4.3; no named external code</t>
        </is>
      </c>
      <c r="AC501" s="6" t="inlineStr">
        <is>
          <t>Calculation/model plus calibrated measurement or recorded trend</t>
        </is>
      </c>
      <c r="AD501" s="6" t="inlineStr">
        <is>
          <t>No separate deliverable explicitly named</t>
        </is>
      </c>
      <c r="AE501" s="6" t="inlineStr">
        <is>
          <t>L1 Conceptual Design; L2 Detailed Design</t>
        </is>
      </c>
      <c r="AF501" s="6" t="inlineStr">
        <is>
          <t>Section/contract-derived reference; derived evidence route</t>
        </is>
      </c>
      <c r="AG501" s="58" t="inlineStr">
        <is>
          <t>Not linked to an OFFER item</t>
        </is>
      </c>
    </row>
    <row r="502" ht="34" customHeight="1">
      <c r="A502" s="6" t="n">
        <v>497</v>
      </c>
      <c r="B502" s="6" t="inlineStr">
        <is>
          <t>RTM-235</t>
        </is>
      </c>
      <c r="C502" s="6" t="inlineStr">
        <is>
          <t>No</t>
        </is>
      </c>
      <c r="D502" s="6" t="inlineStr">
        <is>
          <t>T3 Contextual</t>
        </is>
      </c>
      <c r="E502" s="6" t="inlineStr">
        <is>
          <t>Subsystems</t>
        </is>
      </c>
      <c r="F502" s="82" t="inlineStr">
        <is>
          <t>SYSTEM</t>
        </is>
      </c>
      <c r="G502" s="83" t="inlineStr">
        <is>
          <t>Performance</t>
        </is>
      </c>
      <c r="H502" s="59" t="inlineStr">
        <is>
          <t>—</t>
        </is>
      </c>
      <c r="I502" s="81" t="inlineStr">
        <is>
          <t>Inferred: C2 — Process Design (low conf.)</t>
        </is>
      </c>
      <c r="J502" s="6" t="n">
        <v>59</v>
      </c>
      <c r="K502" s="6" t="inlineStr">
        <is>
          <t>4.4.4.4</t>
        </is>
      </c>
      <c r="L502" s="6" t="inlineStr">
        <is>
          <t>Process Instrumentation</t>
        </is>
      </c>
      <c r="M502" s="6" t="inlineStr">
        <is>
          <t>The QRB shall include, at minimum, the process instrumentation defined in Table 15.</t>
        </is>
      </c>
      <c r="N502" s="6" t="inlineStr">
        <is>
          <t>The QRB shall include, at minimum, the process instrumentation defined in Table 15.</t>
        </is>
      </c>
      <c r="O502" s="6" t="n">
        <v>0</v>
      </c>
      <c r="P502" s="6" t="n">
        <v>0</v>
      </c>
      <c r="Q502" s="6" t="n">
        <v>2</v>
      </c>
      <c r="R502" s="6" t="n">
        <v>2</v>
      </c>
      <c r="S502" s="6" t="n">
        <v>0</v>
      </c>
      <c r="T502" s="6" t="n">
        <v>0</v>
      </c>
      <c r="U502" s="6" t="n">
        <v>0</v>
      </c>
      <c r="V502" s="6" t="n">
        <v>24</v>
      </c>
      <c r="W502" s="6" t="n">
        <v>33.0791</v>
      </c>
      <c r="X502" s="6" t="n">
        <v>1.1664</v>
      </c>
      <c r="Y502" s="6" t="inlineStr">
        <is>
          <t>Performance</t>
        </is>
      </c>
      <c r="Z502" s="6" t="inlineStr">
        <is>
          <t>Frozen-weight composite; strongest contribution: Performance.</t>
        </is>
      </c>
      <c r="AA502" s="6" t="inlineStr">
        <is>
          <t>None explicitly named in this RTM</t>
        </is>
      </c>
      <c r="AB502" s="6" t="inlineStr">
        <is>
          <t>SCK CEN/90508872 §4.4.4.4; no named external code</t>
        </is>
      </c>
      <c r="AC502" s="6" t="inlineStr">
        <is>
          <t>Calculation/model plus calibrated measurement or recorded trend</t>
        </is>
      </c>
      <c r="AD502" s="6" t="inlineStr">
        <is>
          <t>No separate deliverable explicitly named</t>
        </is>
      </c>
      <c r="AE502" s="6" t="inlineStr">
        <is>
          <t>L1 Conceptual Design; L2 Detailed Design</t>
        </is>
      </c>
      <c r="AF502" s="6" t="inlineStr">
        <is>
          <t>Section/contract-derived reference; derived evidence route</t>
        </is>
      </c>
      <c r="AG502" s="58" t="inlineStr">
        <is>
          <t>Not linked to an OFFER item</t>
        </is>
      </c>
    </row>
    <row r="503" ht="86" customHeight="1">
      <c r="A503" s="6" t="n">
        <v>498</v>
      </c>
      <c r="B503" s="6" t="inlineStr">
        <is>
          <t>RTM-236</t>
        </is>
      </c>
      <c r="C503" s="6" t="inlineStr">
        <is>
          <t>No</t>
        </is>
      </c>
      <c r="D503" s="6" t="inlineStr">
        <is>
          <t>T3 Contextual</t>
        </is>
      </c>
      <c r="E503" s="6" t="inlineStr">
        <is>
          <t>Subsystems</t>
        </is>
      </c>
      <c r="F503" s="82" t="inlineStr">
        <is>
          <t>SYSTEM</t>
        </is>
      </c>
      <c r="G503" s="83" t="inlineStr">
        <is>
          <t>Performance</t>
        </is>
      </c>
      <c r="H503" s="59" t="inlineStr">
        <is>
          <t>—</t>
        </is>
      </c>
      <c r="I503" s="58" t="inlineStr">
        <is>
          <t>C3 — Mechanical &amp; Equipment</t>
        </is>
      </c>
      <c r="J503" s="6" t="n">
        <v>59</v>
      </c>
      <c r="K503" s="6" t="inlineStr">
        <is>
          <t>4.4.5.1</t>
        </is>
      </c>
      <c r="L503" s="6" t="inlineStr">
        <is>
          <t>WSH Configuration</t>
        </is>
      </c>
      <c r="M503" s="6" t="inlineStr">
        <is>
          <t>The Contractor shall supply the Warm Helium Storage (WSH) (Figure 9). The WSH shall be implemented in one of the following configurations:</t>
        </is>
      </c>
      <c r="N503" s="6" t="inlineStr">
        <is>
          <t>The Contractor shall supply the Warm Helium Storage (WSH) (Figure 9). The WSH shall be implemented in one of the following configurations:
• WSH_FixedScope: fixed scope of supply, excluding the Helium gas storage vessels (Contingent Part #2).
• WSH_FullScope: full scope of supply, including the Helium gas storage vessels (Contingent Part #2).</t>
        </is>
      </c>
      <c r="O503" s="6" t="n">
        <v>0</v>
      </c>
      <c r="P503" s="6" t="n">
        <v>0</v>
      </c>
      <c r="Q503" s="6" t="n">
        <v>2</v>
      </c>
      <c r="R503" s="6" t="n">
        <v>2</v>
      </c>
      <c r="S503" s="6" t="n">
        <v>0</v>
      </c>
      <c r="T503" s="6" t="n">
        <v>0</v>
      </c>
      <c r="U503" s="6" t="n">
        <v>0</v>
      </c>
      <c r="V503" s="6" t="n">
        <v>24</v>
      </c>
      <c r="W503" s="6" t="n">
        <v>33.0791</v>
      </c>
      <c r="X503" s="6" t="n">
        <v>1.1664</v>
      </c>
      <c r="Y503" s="6" t="inlineStr">
        <is>
          <t>Performance</t>
        </is>
      </c>
      <c r="Z503" s="6" t="inlineStr">
        <is>
          <t>Frozen-weight composite; strongest contribution: Performance.</t>
        </is>
      </c>
      <c r="AA503" s="6" t="inlineStr">
        <is>
          <t>None explicitly named in this RTM</t>
        </is>
      </c>
      <c r="AB503" s="6" t="inlineStr">
        <is>
          <t>SCK CEN/90508872 §4.4.5.1; no named external code</t>
        </is>
      </c>
      <c r="AC503" s="6" t="inlineStr">
        <is>
          <t>Calculation/model plus calibrated measurement or recorded trend</t>
        </is>
      </c>
      <c r="AD503" s="6" t="inlineStr">
        <is>
          <t>No separate deliverable explicitly named</t>
        </is>
      </c>
      <c r="AE503" s="6" t="inlineStr">
        <is>
          <t>L1 Conceptual Design; L2 Detailed Design</t>
        </is>
      </c>
      <c r="AF503" s="6" t="inlineStr">
        <is>
          <t>Section/contract-derived reference; derived evidence route</t>
        </is>
      </c>
      <c r="AG503" s="58" t="inlineStr">
        <is>
          <t>OFFER-13 (Broad/contextual — main component specification)</t>
        </is>
      </c>
    </row>
    <row r="504" ht="86" customHeight="1">
      <c r="A504" s="6" t="n">
        <v>499</v>
      </c>
      <c r="B504" s="6" t="inlineStr">
        <is>
          <t>RTM-238</t>
        </is>
      </c>
      <c r="C504" s="6" t="inlineStr">
        <is>
          <t>No</t>
        </is>
      </c>
      <c r="D504" s="6" t="inlineStr">
        <is>
          <t>T3 Contextual</t>
        </is>
      </c>
      <c r="E504" s="6" t="inlineStr">
        <is>
          <t>Subsystems</t>
        </is>
      </c>
      <c r="F504" s="82" t="inlineStr">
        <is>
          <t>SYSTEM</t>
        </is>
      </c>
      <c r="G504" s="83" t="inlineStr">
        <is>
          <t>Performance</t>
        </is>
      </c>
      <c r="H504" s="59" t="inlineStr">
        <is>
          <t>—</t>
        </is>
      </c>
      <c r="I504" s="58" t="inlineStr">
        <is>
          <t>C3 — Mechanical &amp; Equipment</t>
        </is>
      </c>
      <c r="J504" s="6" t="n">
        <v>60</v>
      </c>
      <c r="K504" s="6" t="inlineStr">
        <is>
          <t>4.4.5.1</t>
        </is>
      </c>
      <c r="L504" s="6" t="inlineStr">
        <is>
          <t>WSH Configuration</t>
        </is>
      </c>
      <c r="M504" s="6" t="inlineStr">
        <is>
          <t>If WSH_FixedScope is implemented, the Contractor shall:</t>
        </is>
      </c>
      <c r="N504" s="6" t="inlineStr">
        <is>
          <t>If WSH_FixedScope is implemented, the Contractor shall:
• Specify the functional and technical requirements for the Helium storage vessels.
• Specify the manufacturing requirements of the Helium storage vessels, such as surface cleaning, corrosion protection, inner-surface treatment (e.g., Rustol/Owatrol or equivalent), outer-surface coating, etc.</t>
        </is>
      </c>
      <c r="O504" s="6" t="n">
        <v>0</v>
      </c>
      <c r="P504" s="6" t="n">
        <v>0</v>
      </c>
      <c r="Q504" s="6" t="n">
        <v>2</v>
      </c>
      <c r="R504" s="6" t="n">
        <v>2</v>
      </c>
      <c r="S504" s="6" t="n">
        <v>0</v>
      </c>
      <c r="T504" s="6" t="n">
        <v>0</v>
      </c>
      <c r="U504" s="6" t="n">
        <v>0</v>
      </c>
      <c r="V504" s="6" t="n">
        <v>24</v>
      </c>
      <c r="W504" s="6" t="n">
        <v>33.0791</v>
      </c>
      <c r="X504" s="6" t="n">
        <v>1.1664</v>
      </c>
      <c r="Y504" s="6" t="inlineStr">
        <is>
          <t>Performance</t>
        </is>
      </c>
      <c r="Z504" s="6" t="inlineStr">
        <is>
          <t>Frozen-weight composite; strongest contribution: Performance.</t>
        </is>
      </c>
      <c r="AA504" s="6" t="inlineStr">
        <is>
          <t>None explicitly named in this RTM</t>
        </is>
      </c>
      <c r="AB504" s="6" t="inlineStr">
        <is>
          <t>SCK CEN/90508872 §4.4.5.1; no named external code</t>
        </is>
      </c>
      <c r="AC504" s="6" t="inlineStr">
        <is>
          <t>Calculation/model plus calibrated measurement or recorded trend</t>
        </is>
      </c>
      <c r="AD504" s="6" t="inlineStr">
        <is>
          <t>No separate deliverable explicitly named</t>
        </is>
      </c>
      <c r="AE504" s="6" t="inlineStr">
        <is>
          <t>L3 Procurement &amp; Manufacturing / FAT; L1 Conceptual Design; L2 Detailed Design</t>
        </is>
      </c>
      <c r="AF504" s="6" t="inlineStr">
        <is>
          <t>Section/contract-derived reference; derived evidence route</t>
        </is>
      </c>
      <c r="AG504" s="58" t="inlineStr">
        <is>
          <t>OFFER-13 (Broad/contextual — main component specification)</t>
        </is>
      </c>
    </row>
    <row r="505" ht="60" customHeight="1">
      <c r="A505" s="6" t="n">
        <v>500</v>
      </c>
      <c r="B505" s="6" t="inlineStr">
        <is>
          <t>RTM-240</t>
        </is>
      </c>
      <c r="C505" s="6" t="inlineStr">
        <is>
          <t>No</t>
        </is>
      </c>
      <c r="D505" s="6" t="inlineStr">
        <is>
          <t>T3 Contextual</t>
        </is>
      </c>
      <c r="E505" s="6" t="inlineStr">
        <is>
          <t>Subsystems</t>
        </is>
      </c>
      <c r="F505" s="82" t="inlineStr">
        <is>
          <t>SYSTEM</t>
        </is>
      </c>
      <c r="G505" s="83" t="inlineStr">
        <is>
          <t>Control</t>
        </is>
      </c>
      <c r="H505" s="59" t="inlineStr">
        <is>
          <t>—</t>
        </is>
      </c>
      <c r="I505" s="58" t="inlineStr">
        <is>
          <t>C2 (+) — Process Design + others</t>
        </is>
      </c>
      <c r="J505" s="6" t="n">
        <v>61</v>
      </c>
      <c r="K505" s="6" t="inlineStr">
        <is>
          <t>4.4.5.2</t>
        </is>
      </c>
      <c r="L505" s="6" t="inlineStr">
        <is>
          <t>WSH Requirements</t>
        </is>
      </c>
      <c r="M505" s="6" t="inlineStr">
        <is>
          <t>The WSH shall include, at minimum:</t>
        </is>
      </c>
      <c r="N505" s="6" t="inlineStr">
        <is>
          <t>The WSH shall include, at minimum:
• Helium storage vessels (for configuration WSH_FullScope)
• All associated instrumentation, valves, and control equipment
• All necessary interfaces for external delivery of gaseous helium</t>
        </is>
      </c>
      <c r="O505" s="6" t="n">
        <v>0</v>
      </c>
      <c r="P505" s="6" t="n">
        <v>0</v>
      </c>
      <c r="Q505" s="6" t="n">
        <v>2</v>
      </c>
      <c r="R505" s="6" t="n">
        <v>2</v>
      </c>
      <c r="S505" s="6" t="n">
        <v>0</v>
      </c>
      <c r="T505" s="6" t="n">
        <v>0</v>
      </c>
      <c r="U505" s="6" t="n">
        <v>0</v>
      </c>
      <c r="V505" s="6" t="n">
        <v>24</v>
      </c>
      <c r="W505" s="6" t="n">
        <v>33.0791</v>
      </c>
      <c r="X505" s="6" t="n">
        <v>1.1664</v>
      </c>
      <c r="Y505" s="6" t="inlineStr">
        <is>
          <t>Performance</t>
        </is>
      </c>
      <c r="Z505" s="6" t="inlineStr">
        <is>
          <t>Frozen-weight composite; strongest contribution: Performance.</t>
        </is>
      </c>
      <c r="AA505" s="6" t="inlineStr">
        <is>
          <t>None explicitly named in this RTM</t>
        </is>
      </c>
      <c r="AB505" s="6" t="inlineStr">
        <is>
          <t>SCK CEN/90508872 §4.4.5.2; no named external code</t>
        </is>
      </c>
      <c r="AC505" s="6" t="inlineStr">
        <is>
          <t>Calculation/model plus calibrated measurement or recorded trend; Functional design/configuration review and sequence/interface demonstration</t>
        </is>
      </c>
      <c r="AD505" s="6" t="inlineStr">
        <is>
          <t>No separate deliverable explicitly named</t>
        </is>
      </c>
      <c r="AE505" s="6" t="inlineStr">
        <is>
          <t>PAC / Handover; L1 Conceptual Design; L2 Detailed Design</t>
        </is>
      </c>
      <c r="AF505" s="6" t="inlineStr">
        <is>
          <t>Section/contract-derived reference; derived evidence route</t>
        </is>
      </c>
      <c r="AG505" s="58" t="inlineStr">
        <is>
          <t>OFFER-13 (Broad/contextual — main component specification); OFFER-19 (Direct)</t>
        </is>
      </c>
    </row>
    <row r="506" ht="60" customHeight="1">
      <c r="A506" s="6" t="n">
        <v>501</v>
      </c>
      <c r="B506" s="6" t="inlineStr">
        <is>
          <t>RTM-244</t>
        </is>
      </c>
      <c r="C506" s="6" t="inlineStr">
        <is>
          <t>No</t>
        </is>
      </c>
      <c r="D506" s="6" t="inlineStr">
        <is>
          <t>T3 Contextual</t>
        </is>
      </c>
      <c r="E506" s="6" t="inlineStr">
        <is>
          <t>Subsystems</t>
        </is>
      </c>
      <c r="F506" s="82" t="inlineStr">
        <is>
          <t>SYSTEM</t>
        </is>
      </c>
      <c r="G506" s="83" t="inlineStr">
        <is>
          <t>Performance</t>
        </is>
      </c>
      <c r="H506" s="59" t="inlineStr">
        <is>
          <t>—</t>
        </is>
      </c>
      <c r="I506" s="58" t="inlineStr">
        <is>
          <t>C2 (+) — Process Design + others</t>
        </is>
      </c>
      <c r="J506" s="6" t="n">
        <v>61</v>
      </c>
      <c r="K506" s="6" t="inlineStr">
        <is>
          <t>4.4.5.2</t>
        </is>
      </c>
      <c r="L506" s="6" t="inlineStr">
        <is>
          <t>WSH Requirements</t>
        </is>
      </c>
      <c r="M506" s="6" t="inlineStr">
        <is>
          <t>Each Helium storage vessel shall be equipped with:</t>
        </is>
      </c>
      <c r="N506" s="6" t="inlineStr">
        <is>
          <t>Each Helium storage vessel shall be equipped with:
• A local pressure indicator
• Instrumentation for measurement of temperature, pressure, moisture, and nitrogen contents, with remote read-out via the QPS:CIS</t>
        </is>
      </c>
      <c r="O506" s="6" t="n">
        <v>0</v>
      </c>
      <c r="P506" s="6" t="n">
        <v>0</v>
      </c>
      <c r="Q506" s="6" t="n">
        <v>2</v>
      </c>
      <c r="R506" s="6" t="n">
        <v>2</v>
      </c>
      <c r="S506" s="6" t="n">
        <v>0</v>
      </c>
      <c r="T506" s="6" t="n">
        <v>0</v>
      </c>
      <c r="U506" s="6" t="n">
        <v>0</v>
      </c>
      <c r="V506" s="6" t="n">
        <v>24</v>
      </c>
      <c r="W506" s="6" t="n">
        <v>33.0791</v>
      </c>
      <c r="X506" s="6" t="n">
        <v>1.1664</v>
      </c>
      <c r="Y506" s="6" t="inlineStr">
        <is>
          <t>Performance</t>
        </is>
      </c>
      <c r="Z506" s="6" t="inlineStr">
        <is>
          <t>Frozen-weight composite; strongest contribution: Performance.</t>
        </is>
      </c>
      <c r="AA506" s="6" t="inlineStr">
        <is>
          <t>None explicitly named in this RTM</t>
        </is>
      </c>
      <c r="AB506" s="6" t="inlineStr">
        <is>
          <t>SCK CEN/90508872 §4.4.5.2; no named external code</t>
        </is>
      </c>
      <c r="AC506" s="6" t="inlineStr">
        <is>
          <t>Calculation/model plus calibrated measurement or recorded trend</t>
        </is>
      </c>
      <c r="AD506" s="6" t="inlineStr">
        <is>
          <t>No separate deliverable explicitly named</t>
        </is>
      </c>
      <c r="AE506" s="6" t="inlineStr">
        <is>
          <t>L1 Conceptual Design; L2 Detailed Design</t>
        </is>
      </c>
      <c r="AF506" s="6" t="inlineStr">
        <is>
          <t>Section/contract-derived reference; derived evidence route</t>
        </is>
      </c>
      <c r="AG506" s="58" t="inlineStr">
        <is>
          <t>OFFER-13 (Broad/contextual — main component specification); OFFER-19 (Direct)</t>
        </is>
      </c>
    </row>
    <row r="507" ht="60" customHeight="1">
      <c r="A507" s="6" t="n">
        <v>502</v>
      </c>
      <c r="B507" s="6" t="inlineStr">
        <is>
          <t>RTM-245</t>
        </is>
      </c>
      <c r="C507" s="6" t="inlineStr">
        <is>
          <t>No</t>
        </is>
      </c>
      <c r="D507" s="6" t="inlineStr">
        <is>
          <t>T3 Contextual</t>
        </is>
      </c>
      <c r="E507" s="6" t="inlineStr">
        <is>
          <t>Subsystems</t>
        </is>
      </c>
      <c r="F507" s="82" t="inlineStr">
        <is>
          <t>SYSTEM</t>
        </is>
      </c>
      <c r="G507" s="83" t="inlineStr">
        <is>
          <t>Performance</t>
        </is>
      </c>
      <c r="H507" s="59" t="inlineStr">
        <is>
          <t>—</t>
        </is>
      </c>
      <c r="I507" s="58" t="inlineStr">
        <is>
          <t>C2 (+) — Process Design + others</t>
        </is>
      </c>
      <c r="J507" s="6" t="n">
        <v>61</v>
      </c>
      <c r="K507" s="6" t="inlineStr">
        <is>
          <t>4.4.5.2</t>
        </is>
      </c>
      <c r="L507" s="6" t="inlineStr">
        <is>
          <t>WSH Requirements</t>
        </is>
      </c>
      <c r="M507" s="6" t="inlineStr">
        <is>
          <t>The WSH shall be equipped with:</t>
        </is>
      </c>
      <c r="N507" s="6" t="inlineStr">
        <is>
          <t>The WSH shall be equipped with:
• Instrumentation for measurement of Helium pressure in the common vessel manifolds, with remote read-out via the QPS:CIS
• Valves required for purging, conditioning, and gas analysis</t>
        </is>
      </c>
      <c r="O507" s="6" t="n">
        <v>0</v>
      </c>
      <c r="P507" s="6" t="n">
        <v>0</v>
      </c>
      <c r="Q507" s="6" t="n">
        <v>2</v>
      </c>
      <c r="R507" s="6" t="n">
        <v>2</v>
      </c>
      <c r="S507" s="6" t="n">
        <v>0</v>
      </c>
      <c r="T507" s="6" t="n">
        <v>0</v>
      </c>
      <c r="U507" s="6" t="n">
        <v>0</v>
      </c>
      <c r="V507" s="6" t="n">
        <v>24</v>
      </c>
      <c r="W507" s="6" t="n">
        <v>33.0791</v>
      </c>
      <c r="X507" s="6" t="n">
        <v>1.1664</v>
      </c>
      <c r="Y507" s="6" t="inlineStr">
        <is>
          <t>Performance</t>
        </is>
      </c>
      <c r="Z507" s="6" t="inlineStr">
        <is>
          <t>Frozen-weight composite; strongest contribution: Performance.</t>
        </is>
      </c>
      <c r="AA507" s="6" t="inlineStr">
        <is>
          <t>None explicitly named in this RTM</t>
        </is>
      </c>
      <c r="AB507" s="6" t="inlineStr">
        <is>
          <t>SCK CEN/90508872 §4.4.5.2; no named external code</t>
        </is>
      </c>
      <c r="AC507" s="6" t="inlineStr">
        <is>
          <t>Calculation/model plus calibrated measurement or recorded trend</t>
        </is>
      </c>
      <c r="AD507" s="6" t="inlineStr">
        <is>
          <t>No separate deliverable explicitly named</t>
        </is>
      </c>
      <c r="AE507" s="6" t="inlineStr">
        <is>
          <t>L1 Conceptual Design; L2 Detailed Design</t>
        </is>
      </c>
      <c r="AF507" s="6" t="inlineStr">
        <is>
          <t>Section/contract-derived reference; derived evidence route</t>
        </is>
      </c>
      <c r="AG507" s="58" t="inlineStr">
        <is>
          <t>OFFER-13 (Broad/contextual — main component specification); OFFER-19 (Direct)</t>
        </is>
      </c>
    </row>
    <row r="508" ht="73" customHeight="1">
      <c r="A508" s="6" t="n">
        <v>503</v>
      </c>
      <c r="B508" s="6" t="inlineStr">
        <is>
          <t>RTM-246</t>
        </is>
      </c>
      <c r="C508" s="6" t="inlineStr">
        <is>
          <t>No</t>
        </is>
      </c>
      <c r="D508" s="6" t="inlineStr">
        <is>
          <t>T3 Contextual</t>
        </is>
      </c>
      <c r="E508" s="6" t="inlineStr">
        <is>
          <t>Subsystems</t>
        </is>
      </c>
      <c r="F508" s="82" t="inlineStr">
        <is>
          <t>SYSTEM</t>
        </is>
      </c>
      <c r="G508" s="83" t="inlineStr">
        <is>
          <t>Performance</t>
        </is>
      </c>
      <c r="H508" s="59" t="inlineStr">
        <is>
          <t>—</t>
        </is>
      </c>
      <c r="I508" s="58" t="inlineStr">
        <is>
          <t>C2 (+) — Process Design + others</t>
        </is>
      </c>
      <c r="J508" s="6" t="n">
        <v>61</v>
      </c>
      <c r="K508" s="6" t="inlineStr">
        <is>
          <t>4.4.5.2</t>
        </is>
      </c>
      <c r="L508" s="6" t="inlineStr">
        <is>
          <t>WSH Requirements</t>
        </is>
      </c>
      <c r="M508" s="6" t="inlineStr">
        <is>
          <t>The WSH design shall allow for controlled connection to the WCS lines. This shall include the capability for:</t>
        </is>
      </c>
      <c r="N508" s="6" t="inlineStr">
        <is>
          <t>The WSH design shall allow for controlled connection to the WCS lines. This shall include the capability for:
• Automatic pressure regulation between compressor sides
• Isolation of individual storage vessels
• Selection and sequencing of storage vessels during operation</t>
        </is>
      </c>
      <c r="O508" s="6" t="n">
        <v>0</v>
      </c>
      <c r="P508" s="6" t="n">
        <v>0</v>
      </c>
      <c r="Q508" s="6" t="n">
        <v>2</v>
      </c>
      <c r="R508" s="6" t="n">
        <v>2</v>
      </c>
      <c r="S508" s="6" t="n">
        <v>0</v>
      </c>
      <c r="T508" s="6" t="n">
        <v>0</v>
      </c>
      <c r="U508" s="6" t="n">
        <v>0</v>
      </c>
      <c r="V508" s="6" t="n">
        <v>24</v>
      </c>
      <c r="W508" s="6" t="n">
        <v>33.0791</v>
      </c>
      <c r="X508" s="6" t="n">
        <v>1.1664</v>
      </c>
      <c r="Y508" s="6" t="inlineStr">
        <is>
          <t>Performance</t>
        </is>
      </c>
      <c r="Z508" s="6" t="inlineStr">
        <is>
          <t>Frozen-weight composite; strongest contribution: Performance.</t>
        </is>
      </c>
      <c r="AA508" s="6" t="inlineStr">
        <is>
          <t>None explicitly named in this RTM</t>
        </is>
      </c>
      <c r="AB508" s="6" t="inlineStr">
        <is>
          <t>SCK CEN/90508872 §4.4.5.2; no named external code</t>
        </is>
      </c>
      <c r="AC508" s="6" t="inlineStr">
        <is>
          <t>Calculation/model plus calibrated measurement or recorded trend; Functional design/configuration review and sequence/interface demonstration</t>
        </is>
      </c>
      <c r="AD508" s="6" t="inlineStr">
        <is>
          <t>No separate deliverable explicitly named</t>
        </is>
      </c>
      <c r="AE508" s="6" t="inlineStr">
        <is>
          <t>L1 Conceptual Design; L2 Detailed Design</t>
        </is>
      </c>
      <c r="AF508" s="6" t="inlineStr">
        <is>
          <t>Section/contract-derived reference; derived evidence route</t>
        </is>
      </c>
      <c r="AG508" s="58" t="inlineStr">
        <is>
          <t>OFFER-13 (Broad/contextual — main component specification); OFFER-19 (Direct)</t>
        </is>
      </c>
    </row>
    <row r="509" ht="60" customHeight="1">
      <c r="A509" s="6" t="n">
        <v>504</v>
      </c>
      <c r="B509" s="6" t="inlineStr">
        <is>
          <t>RTM-247</t>
        </is>
      </c>
      <c r="C509" s="6" t="inlineStr">
        <is>
          <t>No</t>
        </is>
      </c>
      <c r="D509" s="6" t="inlineStr">
        <is>
          <t>T3 Contextual</t>
        </is>
      </c>
      <c r="E509" s="6" t="inlineStr">
        <is>
          <t>Subsystems</t>
        </is>
      </c>
      <c r="F509" s="82" t="inlineStr">
        <is>
          <t>SYSTEM</t>
        </is>
      </c>
      <c r="G509" s="83" t="inlineStr">
        <is>
          <t>Control</t>
        </is>
      </c>
      <c r="H509" s="59" t="inlineStr">
        <is>
          <t>—</t>
        </is>
      </c>
      <c r="I509" s="58" t="inlineStr">
        <is>
          <t>C2 (+) — Process Design + others</t>
        </is>
      </c>
      <c r="J509" s="6" t="n">
        <v>61</v>
      </c>
      <c r="K509" s="6" t="inlineStr">
        <is>
          <t>4.4.5.2</t>
        </is>
      </c>
      <c r="L509" s="6" t="inlineStr">
        <is>
          <t>WSH Requirements</t>
        </is>
      </c>
      <c r="M509" s="6" t="inlineStr">
        <is>
          <t>The WSH shall include a gas-management warm panel.</t>
        </is>
      </c>
      <c r="N509" s="6" t="inlineStr">
        <is>
          <t>The WSH shall include a gas-management warm panel.
• The panel shall allow local operation of valve switching, isolation, and vessel selection functions associated with the helium storage system.
• The warm panel shall be integrated into the main control panel of the WCS.</t>
        </is>
      </c>
      <c r="O509" s="6" t="n">
        <v>0</v>
      </c>
      <c r="P509" s="6" t="n">
        <v>0</v>
      </c>
      <c r="Q509" s="6" t="n">
        <v>2</v>
      </c>
      <c r="R509" s="6" t="n">
        <v>2</v>
      </c>
      <c r="S509" s="6" t="n">
        <v>0</v>
      </c>
      <c r="T509" s="6" t="n">
        <v>0</v>
      </c>
      <c r="U509" s="6" t="n">
        <v>0</v>
      </c>
      <c r="V509" s="6" t="n">
        <v>24</v>
      </c>
      <c r="W509" s="6" t="n">
        <v>33.0791</v>
      </c>
      <c r="X509" s="6" t="n">
        <v>1.1664</v>
      </c>
      <c r="Y509" s="6" t="inlineStr">
        <is>
          <t>Performance</t>
        </is>
      </c>
      <c r="Z509" s="6" t="inlineStr">
        <is>
          <t>Frozen-weight composite; strongest contribution: Performance.</t>
        </is>
      </c>
      <c r="AA509" s="6" t="inlineStr">
        <is>
          <t>None explicitly named in this RTM</t>
        </is>
      </c>
      <c r="AB509" s="6" t="inlineStr">
        <is>
          <t>SCK CEN/90508872 §4.4.5.2; no named external code</t>
        </is>
      </c>
      <c r="AC509" s="6" t="inlineStr">
        <is>
          <t>Calculation/model plus calibrated measurement or recorded trend; Functional design/configuration review and sequence/interface demonstration</t>
        </is>
      </c>
      <c r="AD509" s="6" t="inlineStr">
        <is>
          <t>No separate deliverable explicitly named</t>
        </is>
      </c>
      <c r="AE509" s="6" t="inlineStr">
        <is>
          <t>L1 Conceptual Design; L2 Detailed Design</t>
        </is>
      </c>
      <c r="AF509" s="6" t="inlineStr">
        <is>
          <t>Section/contract-derived reference; derived evidence route</t>
        </is>
      </c>
      <c r="AG509" s="58" t="inlineStr">
        <is>
          <t>OFFER-13 (Broad/contextual — main component specification); OFFER-19 (Direct)</t>
        </is>
      </c>
    </row>
    <row r="510" ht="47" customHeight="1">
      <c r="A510" s="6" t="n">
        <v>505</v>
      </c>
      <c r="B510" s="6" t="inlineStr">
        <is>
          <t>RTM-248</t>
        </is>
      </c>
      <c r="C510" s="6" t="inlineStr">
        <is>
          <t>No</t>
        </is>
      </c>
      <c r="D510" s="6" t="inlineStr">
        <is>
          <t>T3 Contextual</t>
        </is>
      </c>
      <c r="E510" s="6" t="inlineStr">
        <is>
          <t>Subsystems</t>
        </is>
      </c>
      <c r="F510" s="82" t="inlineStr">
        <is>
          <t>SYSTEM</t>
        </is>
      </c>
      <c r="G510" s="83" t="inlineStr">
        <is>
          <t>Performance</t>
        </is>
      </c>
      <c r="H510" s="59" t="inlineStr">
        <is>
          <t>—</t>
        </is>
      </c>
      <c r="I510" s="58" t="inlineStr">
        <is>
          <t>C2 (+) — Process Design + others</t>
        </is>
      </c>
      <c r="J510" s="6" t="n">
        <v>61</v>
      </c>
      <c r="K510" s="6" t="inlineStr">
        <is>
          <t>4.4.5.2</t>
        </is>
      </c>
      <c r="L510" s="6" t="inlineStr">
        <is>
          <t>WSH Requirements</t>
        </is>
      </c>
      <c r="M510" s="6" t="inlineStr">
        <is>
          <t>The Contractor shall propose the final layout, volume, and positioning of the WSH during the Conceptual Design phase.</t>
        </is>
      </c>
      <c r="N510" s="6" t="inlineStr">
        <is>
          <t>The Contractor shall propose the final layout, volume, and positioning of the WSH during the Conceptual Design phase.</t>
        </is>
      </c>
      <c r="O510" s="6" t="n">
        <v>0</v>
      </c>
      <c r="P510" s="6" t="n">
        <v>0</v>
      </c>
      <c r="Q510" s="6" t="n">
        <v>2</v>
      </c>
      <c r="R510" s="6" t="n">
        <v>2</v>
      </c>
      <c r="S510" s="6" t="n">
        <v>0</v>
      </c>
      <c r="T510" s="6" t="n">
        <v>0</v>
      </c>
      <c r="U510" s="6" t="n">
        <v>0</v>
      </c>
      <c r="V510" s="6" t="n">
        <v>24</v>
      </c>
      <c r="W510" s="6" t="n">
        <v>33.0791</v>
      </c>
      <c r="X510" s="6" t="n">
        <v>1.1664</v>
      </c>
      <c r="Y510" s="6" t="inlineStr">
        <is>
          <t>Performance</t>
        </is>
      </c>
      <c r="Z510" s="6" t="inlineStr">
        <is>
          <t>Frozen-weight composite; strongest contribution: Performance.</t>
        </is>
      </c>
      <c r="AA510" s="6" t="inlineStr">
        <is>
          <t>None explicitly named in this RTM</t>
        </is>
      </c>
      <c r="AB510" s="6" t="inlineStr">
        <is>
          <t>SCK CEN/90508872 §4.4.5.2; no named external code</t>
        </is>
      </c>
      <c r="AC510" s="6" t="inlineStr">
        <is>
          <t>Calculation/model plus calibrated measurement or recorded trend</t>
        </is>
      </c>
      <c r="AD510" s="6" t="inlineStr">
        <is>
          <t>No separate deliverable explicitly named</t>
        </is>
      </c>
      <c r="AE510" s="6" t="inlineStr">
        <is>
          <t>L1 Conceptual Design; L2 Detailed Design</t>
        </is>
      </c>
      <c r="AF510" s="6" t="inlineStr">
        <is>
          <t>Section/contract-derived reference; derived evidence route</t>
        </is>
      </c>
      <c r="AG510" s="58" t="inlineStr">
        <is>
          <t>OFFER-13 (Broad/contextual — main component specification); OFFER-19 (Direct)</t>
        </is>
      </c>
    </row>
    <row r="511" ht="34" customHeight="1">
      <c r="A511" s="6" t="n">
        <v>506</v>
      </c>
      <c r="B511" s="6" t="inlineStr">
        <is>
          <t>RTM-249</t>
        </is>
      </c>
      <c r="C511" s="6" t="inlineStr">
        <is>
          <t>No</t>
        </is>
      </c>
      <c r="D511" s="6" t="inlineStr">
        <is>
          <t>T3 Contextual</t>
        </is>
      </c>
      <c r="E511" s="6" t="inlineStr">
        <is>
          <t>Subsystems</t>
        </is>
      </c>
      <c r="F511" s="82" t="inlineStr">
        <is>
          <t>SYSTEM</t>
        </is>
      </c>
      <c r="G511" s="83" t="inlineStr">
        <is>
          <t>Performance</t>
        </is>
      </c>
      <c r="H511" s="59" t="inlineStr">
        <is>
          <t>—</t>
        </is>
      </c>
      <c r="I511" s="58" t="inlineStr">
        <is>
          <t>C3 — Mechanical &amp; Equipment</t>
        </is>
      </c>
      <c r="J511" s="6" t="n">
        <v>62</v>
      </c>
      <c r="K511" s="6" t="inlineStr">
        <is>
          <t>4.4.6</t>
        </is>
      </c>
      <c r="L511" s="6" t="inlineStr">
        <is>
          <t>Liquid Nitrogen Storage (QSN)</t>
        </is>
      </c>
      <c r="M511" s="6" t="inlineStr">
        <is>
          <t>If LN2 Precooling is implemented (§4.2.5), the Contractor shall supply the Liquid Nitrogen Storage (QSN).</t>
        </is>
      </c>
      <c r="N511" s="6" t="inlineStr">
        <is>
          <t>If LN2 Precooling is implemented (§4.2.5), the Contractor shall supply the Liquid Nitrogen Storage (QSN).</t>
        </is>
      </c>
      <c r="O511" s="6" t="n">
        <v>0</v>
      </c>
      <c r="P511" s="6" t="n">
        <v>0</v>
      </c>
      <c r="Q511" s="6" t="n">
        <v>2</v>
      </c>
      <c r="R511" s="6" t="n">
        <v>2</v>
      </c>
      <c r="S511" s="6" t="n">
        <v>0</v>
      </c>
      <c r="T511" s="6" t="n">
        <v>0</v>
      </c>
      <c r="U511" s="6" t="n">
        <v>0</v>
      </c>
      <c r="V511" s="6" t="n">
        <v>24</v>
      </c>
      <c r="W511" s="6" t="n">
        <v>33.0791</v>
      </c>
      <c r="X511" s="6" t="n">
        <v>1.1664</v>
      </c>
      <c r="Y511" s="6" t="inlineStr">
        <is>
          <t>Performance</t>
        </is>
      </c>
      <c r="Z511" s="6" t="inlineStr">
        <is>
          <t>Frozen-weight composite; strongest contribution: Performance.</t>
        </is>
      </c>
      <c r="AA511" s="6" t="inlineStr">
        <is>
          <t>None explicitly named in this RTM</t>
        </is>
      </c>
      <c r="AB511" s="6" t="inlineStr">
        <is>
          <t>SCK CEN/90508872 §4.4.6; no named external code</t>
        </is>
      </c>
      <c r="AC511" s="6" t="inlineStr">
        <is>
          <t>Calculation/model plus calibrated measurement or recorded trend</t>
        </is>
      </c>
      <c r="AD511" s="6" t="inlineStr">
        <is>
          <t>No separate deliverable explicitly named</t>
        </is>
      </c>
      <c r="AE511" s="6" t="inlineStr">
        <is>
          <t>L1 Conceptual Design; L2 Detailed Design</t>
        </is>
      </c>
      <c r="AF511" s="6" t="inlineStr">
        <is>
          <t>Section/contract-derived reference; derived evidence route</t>
        </is>
      </c>
      <c r="AG511" s="58" t="inlineStr">
        <is>
          <t>OFFER-13 (Broad/contextual — main component specification)</t>
        </is>
      </c>
    </row>
    <row r="512" ht="34" customHeight="1">
      <c r="A512" s="6" t="n">
        <v>507</v>
      </c>
      <c r="B512" s="6" t="inlineStr">
        <is>
          <t>RTM-250</t>
        </is>
      </c>
      <c r="C512" s="6" t="inlineStr">
        <is>
          <t>No</t>
        </is>
      </c>
      <c r="D512" s="6" t="inlineStr">
        <is>
          <t>T3 Contextual</t>
        </is>
      </c>
      <c r="E512" s="6" t="inlineStr">
        <is>
          <t>Subsystems</t>
        </is>
      </c>
      <c r="F512" s="82" t="inlineStr">
        <is>
          <t>SYSTEM</t>
        </is>
      </c>
      <c r="G512" s="83" t="inlineStr">
        <is>
          <t>Performance</t>
        </is>
      </c>
      <c r="H512" s="59" t="inlineStr">
        <is>
          <t>—</t>
        </is>
      </c>
      <c r="I512" s="58" t="inlineStr">
        <is>
          <t>C3 — Mechanical &amp; Equipment</t>
        </is>
      </c>
      <c r="J512" s="6" t="n">
        <v>62</v>
      </c>
      <c r="K512" s="6" t="inlineStr">
        <is>
          <t>4.4.6</t>
        </is>
      </c>
      <c r="L512" s="6" t="inlineStr">
        <is>
          <t>Liquid Nitrogen Storage (QSN)</t>
        </is>
      </c>
      <c r="M512" s="6" t="inlineStr">
        <is>
          <t>The Contractor shall size the QSN.</t>
        </is>
      </c>
      <c r="N512" s="6" t="inlineStr">
        <is>
          <t>The Contractor shall size the QSN.
• The storage capacity shall comply with §4.2.5.</t>
        </is>
      </c>
      <c r="O512" s="6" t="n">
        <v>0</v>
      </c>
      <c r="P512" s="6" t="n">
        <v>0</v>
      </c>
      <c r="Q512" s="6" t="n">
        <v>2</v>
      </c>
      <c r="R512" s="6" t="n">
        <v>2</v>
      </c>
      <c r="S512" s="6" t="n">
        <v>0</v>
      </c>
      <c r="T512" s="6" t="n">
        <v>0</v>
      </c>
      <c r="U512" s="6" t="n">
        <v>0</v>
      </c>
      <c r="V512" s="6" t="n">
        <v>24</v>
      </c>
      <c r="W512" s="6" t="n">
        <v>33.0791</v>
      </c>
      <c r="X512" s="6" t="n">
        <v>1.1664</v>
      </c>
      <c r="Y512" s="6" t="inlineStr">
        <is>
          <t>Performance</t>
        </is>
      </c>
      <c r="Z512" s="6" t="inlineStr">
        <is>
          <t>Frozen-weight composite; strongest contribution: Performance.</t>
        </is>
      </c>
      <c r="AA512" s="6" t="inlineStr">
        <is>
          <t>None explicitly named in this RTM</t>
        </is>
      </c>
      <c r="AB512" s="6" t="inlineStr">
        <is>
          <t>SCK CEN/90508872 §4.4.6; no named external code</t>
        </is>
      </c>
      <c r="AC512" s="6" t="inlineStr">
        <is>
          <t>Calculation/model plus calibrated measurement or recorded trend</t>
        </is>
      </c>
      <c r="AD512" s="6" t="inlineStr">
        <is>
          <t>No separate deliverable explicitly named</t>
        </is>
      </c>
      <c r="AE512" s="6" t="inlineStr">
        <is>
          <t>L1 Conceptual Design; L2 Detailed Design</t>
        </is>
      </c>
      <c r="AF512" s="6" t="inlineStr">
        <is>
          <t>Section/contract-derived reference; derived evidence route</t>
        </is>
      </c>
      <c r="AG512" s="58" t="inlineStr">
        <is>
          <t>OFFER-13 (Broad/contextual — main component specification)</t>
        </is>
      </c>
    </row>
    <row r="513" ht="112" customHeight="1">
      <c r="A513" s="6" t="n">
        <v>508</v>
      </c>
      <c r="B513" s="6" t="inlineStr">
        <is>
          <t>RTM-251</t>
        </is>
      </c>
      <c r="C513" s="6" t="inlineStr">
        <is>
          <t>No</t>
        </is>
      </c>
      <c r="D513" s="6" t="inlineStr">
        <is>
          <t>T3 Contextual</t>
        </is>
      </c>
      <c r="E513" s="6" t="inlineStr">
        <is>
          <t>Subsystems</t>
        </is>
      </c>
      <c r="F513" s="82" t="inlineStr">
        <is>
          <t>SYSTEM</t>
        </is>
      </c>
      <c r="G513" s="83" t="inlineStr">
        <is>
          <t>Control</t>
        </is>
      </c>
      <c r="H513" s="59" t="inlineStr">
        <is>
          <t>—</t>
        </is>
      </c>
      <c r="I513" s="58" t="inlineStr">
        <is>
          <t>C3 — Mechanical &amp; Equipment</t>
        </is>
      </c>
      <c r="J513" s="6" t="n">
        <v>62</v>
      </c>
      <c r="K513" s="6" t="inlineStr">
        <is>
          <t>4.4.6</t>
        </is>
      </c>
      <c r="L513" s="6" t="inlineStr">
        <is>
          <t>Liquid Nitrogen Storage (QSN)</t>
        </is>
      </c>
      <c r="M513" s="6" t="inlineStr">
        <is>
          <t>The QSN shall include, at minimum:</t>
        </is>
      </c>
      <c r="N513" s="6" t="inlineStr">
        <is>
          <t>The QSN shall include, at minimum:
• liquid nitrogen storage tanks.
• vaporizers and heaters, where required.
• all interconnecting process lines and valves.
• instrumentation and control equipment.
• safety devices and pressure protection systems.
• filling interfaces for LN₂ delivery.
• all structural supports and ancillary equipment.</t>
        </is>
      </c>
      <c r="O513" s="6" t="n">
        <v>0</v>
      </c>
      <c r="P513" s="6" t="n">
        <v>0</v>
      </c>
      <c r="Q513" s="6" t="n">
        <v>2</v>
      </c>
      <c r="R513" s="6" t="n">
        <v>2</v>
      </c>
      <c r="S513" s="6" t="n">
        <v>0</v>
      </c>
      <c r="T513" s="6" t="n">
        <v>0</v>
      </c>
      <c r="U513" s="6" t="n">
        <v>0</v>
      </c>
      <c r="V513" s="6" t="n">
        <v>24</v>
      </c>
      <c r="W513" s="6" t="n">
        <v>33.0791</v>
      </c>
      <c r="X513" s="6" t="n">
        <v>1.1664</v>
      </c>
      <c r="Y513" s="6" t="inlineStr">
        <is>
          <t>Performance</t>
        </is>
      </c>
      <c r="Z513" s="6" t="inlineStr">
        <is>
          <t>Frozen-weight composite; strongest contribution: Performance.</t>
        </is>
      </c>
      <c r="AA513" s="6" t="inlineStr">
        <is>
          <t>None explicitly named in this RTM</t>
        </is>
      </c>
      <c r="AB513" s="6" t="inlineStr">
        <is>
          <t>SCK CEN/90508872 §4.4.6; no named external code</t>
        </is>
      </c>
      <c r="AC513" s="6" t="inlineStr">
        <is>
          <t>Calculation/model plus calibrated measurement or recorded trend; Functional design/configuration review and sequence/interface demonstration</t>
        </is>
      </c>
      <c r="AD513" s="6" t="inlineStr">
        <is>
          <t>No separate deliverable explicitly named</t>
        </is>
      </c>
      <c r="AE513" s="6" t="inlineStr">
        <is>
          <t>PAC / Handover; L1 Conceptual Design; L2 Detailed Design</t>
        </is>
      </c>
      <c r="AF513" s="6" t="inlineStr">
        <is>
          <t>Section/contract-derived reference; derived evidence route</t>
        </is>
      </c>
      <c r="AG513" s="58" t="inlineStr">
        <is>
          <t>OFFER-13 (Broad/contextual — main component specification)</t>
        </is>
      </c>
    </row>
    <row r="514" ht="34" customHeight="1">
      <c r="A514" s="6" t="n">
        <v>509</v>
      </c>
      <c r="B514" s="6" t="inlineStr">
        <is>
          <t>RTM-268</t>
        </is>
      </c>
      <c r="C514" s="6" t="inlineStr">
        <is>
          <t>No</t>
        </is>
      </c>
      <c r="D514" s="6" t="inlineStr">
        <is>
          <t>T3 Contextual</t>
        </is>
      </c>
      <c r="E514" s="6" t="inlineStr">
        <is>
          <t>Subsystems</t>
        </is>
      </c>
      <c r="F514" s="82" t="inlineStr">
        <is>
          <t>SYSTEM</t>
        </is>
      </c>
      <c r="G514" s="83" t="inlineStr">
        <is>
          <t>Performance</t>
        </is>
      </c>
      <c r="H514" s="59" t="inlineStr">
        <is>
          <t>—</t>
        </is>
      </c>
      <c r="I514" s="58" t="inlineStr">
        <is>
          <t>C1 — Performance</t>
        </is>
      </c>
      <c r="J514" s="6" t="n">
        <v>64</v>
      </c>
      <c r="K514" s="6" t="inlineStr">
        <is>
          <t>4.4.8.1</t>
        </is>
      </c>
      <c r="L514" s="6" t="inlineStr">
        <is>
          <t>Dewar Filling Station</t>
        </is>
      </c>
      <c r="M514" s="6" t="inlineStr">
        <is>
          <t>The Dewar Filling Station shall be designed to accommodate a mobile dewar with a nominal capacity of up to 500L.</t>
        </is>
      </c>
      <c r="N514" s="6" t="inlineStr">
        <is>
          <t>The Dewar Filling Station shall be designed to accommodate a mobile dewar with a nominal capacity of up to 500L.</t>
        </is>
      </c>
      <c r="O514" s="6" t="n">
        <v>0</v>
      </c>
      <c r="P514" s="6" t="n">
        <v>0</v>
      </c>
      <c r="Q514" s="6" t="n">
        <v>2</v>
      </c>
      <c r="R514" s="6" t="n">
        <v>2</v>
      </c>
      <c r="S514" s="6" t="n">
        <v>0</v>
      </c>
      <c r="T514" s="6" t="n">
        <v>0</v>
      </c>
      <c r="U514" s="6" t="n">
        <v>0</v>
      </c>
      <c r="V514" s="6" t="n">
        <v>24</v>
      </c>
      <c r="W514" s="6" t="n">
        <v>33.0791</v>
      </c>
      <c r="X514" s="6" t="n">
        <v>1.1664</v>
      </c>
      <c r="Y514" s="6" t="inlineStr">
        <is>
          <t>Performance</t>
        </is>
      </c>
      <c r="Z514" s="6" t="inlineStr">
        <is>
          <t>Frozen-weight composite; strongest contribution: Performance.</t>
        </is>
      </c>
      <c r="AA514" s="6" t="inlineStr">
        <is>
          <t>None explicitly named in this RTM</t>
        </is>
      </c>
      <c r="AB514" s="6" t="inlineStr">
        <is>
          <t>SCK CEN/90508872 §4.4.8.1; no named external code</t>
        </is>
      </c>
      <c r="AC514" s="6" t="inlineStr">
        <is>
          <t>Calculation/model plus calibrated measurement or recorded trend</t>
        </is>
      </c>
      <c r="AD514" s="6" t="inlineStr">
        <is>
          <t>No separate deliverable explicitly named</t>
        </is>
      </c>
      <c r="AE514" s="6" t="inlineStr">
        <is>
          <t>L1 Conceptual Design; L2 Detailed Design</t>
        </is>
      </c>
      <c r="AF514" s="6" t="inlineStr">
        <is>
          <t>Section/contract-derived reference; derived evidence route</t>
        </is>
      </c>
      <c r="AG514" s="58" t="inlineStr">
        <is>
          <t>OFFER-23 (Direct)</t>
        </is>
      </c>
    </row>
    <row r="515" ht="47" customHeight="1">
      <c r="A515" s="6" t="n">
        <v>510</v>
      </c>
      <c r="B515" s="6" t="inlineStr">
        <is>
          <t>RTM-306</t>
        </is>
      </c>
      <c r="C515" s="6" t="inlineStr">
        <is>
          <t>No</t>
        </is>
      </c>
      <c r="D515" s="6" t="inlineStr">
        <is>
          <t>T3 Contextual</t>
        </is>
      </c>
      <c r="E515" s="6" t="inlineStr">
        <is>
          <t>Control &amp; Interlock</t>
        </is>
      </c>
      <c r="F515" s="82" t="inlineStr">
        <is>
          <t>SYSTEM</t>
        </is>
      </c>
      <c r="G515" s="83" t="inlineStr">
        <is>
          <t>Performance</t>
        </is>
      </c>
      <c r="H515" s="59" t="inlineStr">
        <is>
          <t>—</t>
        </is>
      </c>
      <c r="I515" s="81" t="inlineStr">
        <is>
          <t>Inferred: C4 — Software &amp; Control (high conf.)</t>
        </is>
      </c>
      <c r="J515" s="6" t="n">
        <v>71</v>
      </c>
      <c r="K515" s="6" t="inlineStr">
        <is>
          <t>4.6.3</t>
        </is>
      </c>
      <c r="L515" s="6" t="inlineStr">
        <is>
          <t>General requirements</t>
        </is>
      </c>
      <c r="M515" s="6" t="inlineStr">
        <is>
          <t>The QPS:CIS should allow every actuator to be controlled manually in the event of a malfunction (for example a motor can have an automatic a manual override mode).</t>
        </is>
      </c>
      <c r="N515" s="6" t="inlineStr">
        <is>
          <t>The QPS:CIS should allow every actuator to be controlled manually in the event of a malfunction (for example a motor can have an automatic a manual override mode).</t>
        </is>
      </c>
      <c r="O515" s="6" t="n">
        <v>0</v>
      </c>
      <c r="P515" s="6" t="n">
        <v>0</v>
      </c>
      <c r="Q515" s="6" t="n">
        <v>0</v>
      </c>
      <c r="R515" s="6" t="n">
        <v>3</v>
      </c>
      <c r="S515" s="6" t="n">
        <v>2</v>
      </c>
      <c r="T515" s="6" t="n">
        <v>0</v>
      </c>
      <c r="U515" s="6" t="n">
        <v>0</v>
      </c>
      <c r="V515" s="6" t="n">
        <v>24</v>
      </c>
      <c r="W515" s="6" t="n">
        <v>33.0791</v>
      </c>
      <c r="X515" s="6" t="n">
        <v>1.1664</v>
      </c>
      <c r="Y515" s="6" t="inlineStr">
        <is>
          <t>Functional</t>
        </is>
      </c>
      <c r="Z515" s="6" t="inlineStr">
        <is>
          <t>Frozen-weight composite; strongest contribution: Functional.</t>
        </is>
      </c>
      <c r="AA515" s="6" t="inlineStr">
        <is>
          <t>None explicitly named in this RTM</t>
        </is>
      </c>
      <c r="AB515" s="6" t="inlineStr">
        <is>
          <t>SCK CEN/90508872 §4.6.3; no named external code</t>
        </is>
      </c>
      <c r="AC515" s="6" t="inlineStr">
        <is>
          <t>Functional design/configuration review and sequence/interface demonstration; Document review, inspection, certification, audit or traceable QC record</t>
        </is>
      </c>
      <c r="AD515" s="6" t="inlineStr">
        <is>
          <t>No separate deliverable explicitly named</t>
        </is>
      </c>
      <c r="AE515" s="6" t="inlineStr">
        <is>
          <t>L1 Conceptual Design; L2 Detailed Design</t>
        </is>
      </c>
      <c r="AF515" s="6" t="inlineStr">
        <is>
          <t>Section/contract-derived reference; derived evidence route</t>
        </is>
      </c>
      <c r="AG515" s="58" t="inlineStr">
        <is>
          <t>Not linked to an OFFER item</t>
        </is>
      </c>
    </row>
    <row r="516" ht="125" customHeight="1">
      <c r="A516" s="6" t="n">
        <v>511</v>
      </c>
      <c r="B516" s="6" t="inlineStr">
        <is>
          <t>RTM-323</t>
        </is>
      </c>
      <c r="C516" s="6" t="inlineStr">
        <is>
          <t>No</t>
        </is>
      </c>
      <c r="D516" s="6" t="inlineStr">
        <is>
          <t>T3 Contextual</t>
        </is>
      </c>
      <c r="E516" s="6" t="inlineStr">
        <is>
          <t>Control &amp; Interlock</t>
        </is>
      </c>
      <c r="F516" s="82" t="inlineStr">
        <is>
          <t>SYSTEM</t>
        </is>
      </c>
      <c r="G516" s="83" t="inlineStr">
        <is>
          <t>Performance</t>
        </is>
      </c>
      <c r="H516" s="59" t="inlineStr">
        <is>
          <t>—</t>
        </is>
      </c>
      <c r="I516" s="58" t="inlineStr">
        <is>
          <t>C8 — Commercial &amp; Execution</t>
        </is>
      </c>
      <c r="J516" s="6" t="n">
        <v>73</v>
      </c>
      <c r="K516" s="6" t="inlineStr">
        <is>
          <t>4.6.4.5</t>
        </is>
      </c>
      <c r="L516" s="6" t="inlineStr">
        <is>
          <t>Security</t>
        </is>
      </c>
      <c r="M516" s="6" t="inlineStr">
        <is>
          <t>Where the proposed delivered product and/or installed system is claimed to be certified to IEC 62443-3-3 Security Level (SL 2, 3 or 4 ), the Applicant shall provide with the offer (1) certification document(s) (certificate or assessment report) from a recognized scheme/provider, and (2) a version and configuration declaration confirming that any delivered version/configuration matches the IEC 62443-3-3 SL(2/3/4) certified scope or identification of deviations and their implications.</t>
        </is>
      </c>
      <c r="N516" s="6" t="inlineStr">
        <is>
          <t>Where the proposed delivered product and/or installed system is claimed to be certified to IEC 62443-3-3 Security Level (SL 2, 3 or 4 ), the Applicant shall provide with the offer (1) certification document(s) (certificate or assessment report) from a recognized scheme/provider, and (2) a version and configuration declaration confirming that any delivered version/configuration matches the IEC 62443-3-3 SL(2/3/4) certified scope or identification of deviations and their implications.</t>
        </is>
      </c>
      <c r="O516" s="6" t="n">
        <v>0</v>
      </c>
      <c r="P516" s="6" t="n">
        <v>0</v>
      </c>
      <c r="Q516" s="6" t="n">
        <v>0</v>
      </c>
      <c r="R516" s="6" t="n">
        <v>3</v>
      </c>
      <c r="S516" s="6" t="n">
        <v>2</v>
      </c>
      <c r="T516" s="6" t="n">
        <v>0</v>
      </c>
      <c r="U516" s="6" t="n">
        <v>0</v>
      </c>
      <c r="V516" s="6" t="n">
        <v>24</v>
      </c>
      <c r="W516" s="6" t="n">
        <v>33.0791</v>
      </c>
      <c r="X516" s="6" t="n">
        <v>1.1664</v>
      </c>
      <c r="Y516" s="6" t="inlineStr">
        <is>
          <t>Functional</t>
        </is>
      </c>
      <c r="Z516" s="6" t="inlineStr">
        <is>
          <t>Frozen-weight composite; strongest contribution: Functional.</t>
        </is>
      </c>
      <c r="AA516" s="6" t="inlineStr">
        <is>
          <t>IEC 62443-3-3</t>
        </is>
      </c>
      <c r="AB516" s="6" t="inlineStr">
        <is>
          <t>IEC 62443-3-3</t>
        </is>
      </c>
      <c r="AC516" s="6" t="inlineStr">
        <is>
          <t>Submit and review the named deliverable with RTM traceability and approval status; Document review, inspection, certification, audit or traceable QC record</t>
        </is>
      </c>
      <c r="AD516" s="6" t="inlineStr">
        <is>
          <t>Certificate / calibration evidence</t>
        </is>
      </c>
      <c r="AE516" s="6" t="inlineStr">
        <is>
          <t>L0 Tender / Offer; L1 Conceptual Design; L2 Detailed Design</t>
        </is>
      </c>
      <c r="AF516" s="6" t="inlineStr">
        <is>
          <t>Explicit/table-grounded standard; explicit deliverable/test wording</t>
        </is>
      </c>
      <c r="AG516" s="58" t="inlineStr">
        <is>
          <t>OFFER-25 (Direct)</t>
        </is>
      </c>
    </row>
    <row r="517" ht="60" customHeight="1">
      <c r="A517" s="6" t="n">
        <v>512</v>
      </c>
      <c r="B517" s="6" t="inlineStr">
        <is>
          <t>RTM-344</t>
        </is>
      </c>
      <c r="C517" s="6" t="inlineStr">
        <is>
          <t>No</t>
        </is>
      </c>
      <c r="D517" s="6" t="inlineStr">
        <is>
          <t>T3 Contextual</t>
        </is>
      </c>
      <c r="E517" s="6" t="inlineStr">
        <is>
          <t>Control &amp; Interlock</t>
        </is>
      </c>
      <c r="F517" s="82" t="inlineStr">
        <is>
          <t>SYSTEM</t>
        </is>
      </c>
      <c r="G517" s="83" t="inlineStr">
        <is>
          <t>Performance</t>
        </is>
      </c>
      <c r="H517" s="59" t="inlineStr">
        <is>
          <t>—</t>
        </is>
      </c>
      <c r="I517" s="58" t="inlineStr">
        <is>
          <t>C4 — Software &amp; Control</t>
        </is>
      </c>
      <c r="J517" s="6" t="n">
        <v>76</v>
      </c>
      <c r="K517" s="6" t="inlineStr">
        <is>
          <t>4.6.7</t>
        </is>
      </c>
      <c r="L517" s="6" t="inlineStr">
        <is>
          <t>Software development</t>
        </is>
      </c>
      <c r="M517" s="6" t="inlineStr">
        <is>
          <t>Configuration files and parameter sets shall be provided with version identification, configuration records, and change history sufficient to establish traceability of the delivered baseline.</t>
        </is>
      </c>
      <c r="N517" s="6" t="inlineStr">
        <is>
          <t>Configuration files and parameter sets shall be provided with version identification, configuration records, and change history sufficient to establish traceability of the delivered baseline.</t>
        </is>
      </c>
      <c r="O517" s="6" t="n">
        <v>0</v>
      </c>
      <c r="P517" s="6" t="n">
        <v>0</v>
      </c>
      <c r="Q517" s="6" t="n">
        <v>0</v>
      </c>
      <c r="R517" s="6" t="n">
        <v>3</v>
      </c>
      <c r="S517" s="6" t="n">
        <v>2</v>
      </c>
      <c r="T517" s="6" t="n">
        <v>0</v>
      </c>
      <c r="U517" s="6" t="n">
        <v>0</v>
      </c>
      <c r="V517" s="6" t="n">
        <v>24</v>
      </c>
      <c r="W517" s="6" t="n">
        <v>33.0791</v>
      </c>
      <c r="X517" s="6" t="n">
        <v>1.1664</v>
      </c>
      <c r="Y517" s="6" t="inlineStr">
        <is>
          <t>Functional</t>
        </is>
      </c>
      <c r="Z517" s="6" t="inlineStr">
        <is>
          <t>Frozen-weight composite; strongest contribution: Functional.</t>
        </is>
      </c>
      <c r="AA517" s="6" t="inlineStr">
        <is>
          <t>None explicitly named in this RTM</t>
        </is>
      </c>
      <c r="AB517" s="6" t="inlineStr">
        <is>
          <t>Section-level: IEC 61131-3</t>
        </is>
      </c>
      <c r="AC517" s="6" t="inlineStr">
        <is>
          <t>Document review, inspection, certification, audit or traceable QC record</t>
        </is>
      </c>
      <c r="AD517" s="6" t="inlineStr">
        <is>
          <t>No separate deliverable explicitly named</t>
        </is>
      </c>
      <c r="AE517" s="6" t="inlineStr">
        <is>
          <t>L1 Conceptual Design; L2 Detailed Design</t>
        </is>
      </c>
      <c r="AF517" s="6" t="inlineStr">
        <is>
          <t>Section/contract-derived reference; derived evidence route</t>
        </is>
      </c>
      <c r="AG517" s="58" t="inlineStr">
        <is>
          <t>OFFER-26 (Supporting); OFFER-27 (Direct); OFFER-28 (Supporting)</t>
        </is>
      </c>
    </row>
    <row r="518" ht="99" customHeight="1">
      <c r="A518" s="6" t="n">
        <v>513</v>
      </c>
      <c r="B518" s="6" t="inlineStr">
        <is>
          <t>RTM-347</t>
        </is>
      </c>
      <c r="C518" s="6" t="inlineStr">
        <is>
          <t>No</t>
        </is>
      </c>
      <c r="D518" s="6" t="inlineStr">
        <is>
          <t>T3 Contextual</t>
        </is>
      </c>
      <c r="E518" s="6" t="inlineStr">
        <is>
          <t>Control &amp; Interlock</t>
        </is>
      </c>
      <c r="F518" s="82" t="inlineStr">
        <is>
          <t>SYSTEM</t>
        </is>
      </c>
      <c r="G518" s="83" t="inlineStr">
        <is>
          <t>Performance</t>
        </is>
      </c>
      <c r="H518" s="59" t="inlineStr">
        <is>
          <t>—</t>
        </is>
      </c>
      <c r="I518" s="58" t="inlineStr">
        <is>
          <t>C4 — Software &amp; Control</t>
        </is>
      </c>
      <c r="J518" s="6" t="n">
        <v>76</v>
      </c>
      <c r="K518" s="6" t="inlineStr">
        <is>
          <t>4.6.8</t>
        </is>
      </c>
      <c r="L518" s="6" t="inlineStr">
        <is>
          <t>SCADA, HMI, and Data Historian Infrastructure</t>
        </is>
      </c>
      <c r="M518" s="6" t="inlineStr">
        <is>
          <t>The Contractor shall supply, configure, and commission a System-Dedicated SCADA system (QPS:SCADA) and data historian (QPS:HIS) for QPS:CIS. The dedicated SCADA system shall be designed such that future integration with a Site-Wide MINERVA SCADA system is technically feasible and not precluded by architectural, licensing, protocol, or data-model constraints.</t>
        </is>
      </c>
      <c r="N518" s="6" t="inlineStr">
        <is>
          <t>The Contractor shall supply, configure, and commission a System-Dedicated SCADA system (QPS:SCADA) and data historian (QPS:HIS) for QPS:CIS. The dedicated SCADA system shall be designed such that future integration with a Site-Wide MINERVA SCADA system is technically feasible and not precluded by architectural, licensing, protocol, or data-model constraints.</t>
        </is>
      </c>
      <c r="O518" s="6" t="n">
        <v>0</v>
      </c>
      <c r="P518" s="6" t="n">
        <v>0</v>
      </c>
      <c r="Q518" s="6" t="n">
        <v>0</v>
      </c>
      <c r="R518" s="6" t="n">
        <v>3</v>
      </c>
      <c r="S518" s="6" t="n">
        <v>2</v>
      </c>
      <c r="T518" s="6" t="n">
        <v>0</v>
      </c>
      <c r="U518" s="6" t="n">
        <v>0</v>
      </c>
      <c r="V518" s="6" t="n">
        <v>24</v>
      </c>
      <c r="W518" s="6" t="n">
        <v>33.0791</v>
      </c>
      <c r="X518" s="6" t="n">
        <v>1.1664</v>
      </c>
      <c r="Y518" s="6" t="inlineStr">
        <is>
          <t>Functional</t>
        </is>
      </c>
      <c r="Z518" s="6" t="inlineStr">
        <is>
          <t>Frozen-weight composite; strongest contribution: Functional.</t>
        </is>
      </c>
      <c r="AA518" s="6" t="inlineStr">
        <is>
          <t>None explicitly named in this RTM</t>
        </is>
      </c>
      <c r="AB518" s="6" t="inlineStr">
        <is>
          <t>SCK CEN/90508872 §4.6.8; no named external code</t>
        </is>
      </c>
      <c r="AC518" s="6" t="inlineStr">
        <is>
          <t>Document review, inspection, certification, audit or traceable QC record</t>
        </is>
      </c>
      <c r="AD518" s="6" t="inlineStr">
        <is>
          <t>No separate deliverable explicitly named</t>
        </is>
      </c>
      <c r="AE518" s="6" t="inlineStr">
        <is>
          <t>L1 Conceptual Design; L2 Detailed Design</t>
        </is>
      </c>
      <c r="AF518" s="6" t="inlineStr">
        <is>
          <t>Section/contract-derived reference; derived evidence route</t>
        </is>
      </c>
      <c r="AG518" s="58" t="inlineStr">
        <is>
          <t>OFFER-29 (Direct)</t>
        </is>
      </c>
    </row>
    <row r="519" ht="99" customHeight="1">
      <c r="A519" s="6" t="n">
        <v>514</v>
      </c>
      <c r="B519" s="6" t="inlineStr">
        <is>
          <t>RTM-391</t>
        </is>
      </c>
      <c r="C519" s="6" t="inlineStr">
        <is>
          <t>No</t>
        </is>
      </c>
      <c r="D519" s="6" t="inlineStr">
        <is>
          <t>T3 Contextual</t>
        </is>
      </c>
      <c r="E519" s="6" t="inlineStr">
        <is>
          <t>Buildings &amp; Utilities</t>
        </is>
      </c>
      <c r="F519" s="82" t="inlineStr">
        <is>
          <t>SYSTEM</t>
        </is>
      </c>
      <c r="G519" s="83" t="inlineStr">
        <is>
          <t>Performance</t>
        </is>
      </c>
      <c r="H519" s="59" t="inlineStr">
        <is>
          <t>—</t>
        </is>
      </c>
      <c r="I519" s="58" t="inlineStr">
        <is>
          <t>C5 — Infrastructure &amp; Integration</t>
        </is>
      </c>
      <c r="J519" s="6" t="n">
        <v>80</v>
      </c>
      <c r="K519" s="6" t="inlineStr">
        <is>
          <t>4.7.2</t>
        </is>
      </c>
      <c r="L519" s="6" t="inlineStr">
        <is>
          <t>Building</t>
        </is>
      </c>
      <c r="M519" s="6" t="inlineStr">
        <is>
          <t>If lifting infrastructure is required in a room, the Contractor shall specify:</t>
        </is>
      </c>
      <c r="N519" s="6" t="inlineStr">
        <is>
          <t>If lifting infrastructure is required in a room, the Contractor shall specify:
• required lifting capacity.
• hook height.
• runway length and coverage.
• structural load implications.
• operational constraints.</t>
        </is>
      </c>
      <c r="O519" s="6" t="n">
        <v>0</v>
      </c>
      <c r="P519" s="6" t="n">
        <v>0</v>
      </c>
      <c r="Q519" s="6" t="n">
        <v>2</v>
      </c>
      <c r="R519" s="6" t="n">
        <v>2</v>
      </c>
      <c r="S519" s="6" t="n">
        <v>0</v>
      </c>
      <c r="T519" s="6" t="n">
        <v>0</v>
      </c>
      <c r="U519" s="6" t="n">
        <v>0</v>
      </c>
      <c r="V519" s="6" t="n">
        <v>24</v>
      </c>
      <c r="W519" s="6" t="n">
        <v>33.0791</v>
      </c>
      <c r="X519" s="6" t="n">
        <v>1.1664</v>
      </c>
      <c r="Y519" s="6" t="inlineStr">
        <is>
          <t>Performance</t>
        </is>
      </c>
      <c r="Z519" s="6" t="inlineStr">
        <is>
          <t>Frozen-weight composite; strongest contribution: Performance.</t>
        </is>
      </c>
      <c r="AA519" s="6" t="inlineStr">
        <is>
          <t>None explicitly named in this RTM</t>
        </is>
      </c>
      <c r="AB519" s="6" t="inlineStr">
        <is>
          <t>SCK CEN/90508872 §4.7.2; no named external code</t>
        </is>
      </c>
      <c r="AC519" s="6" t="inlineStr">
        <is>
          <t>Calculation/model plus calibrated measurement or recorded trend; Functional design/configuration review and sequence/interface demonstration</t>
        </is>
      </c>
      <c r="AD519" s="6" t="inlineStr">
        <is>
          <t>No separate deliverable explicitly named</t>
        </is>
      </c>
      <c r="AE519" s="6" t="inlineStr">
        <is>
          <t>L1 Conceptual Design; L2 Detailed Design</t>
        </is>
      </c>
      <c r="AF519" s="6" t="inlineStr">
        <is>
          <t>Section/contract-derived reference; derived evidence route</t>
        </is>
      </c>
      <c r="AG519" s="58" t="inlineStr">
        <is>
          <t>OFFER-32 (Direct)</t>
        </is>
      </c>
    </row>
    <row r="520" ht="47" customHeight="1">
      <c r="A520" s="6" t="n">
        <v>515</v>
      </c>
      <c r="B520" s="6" t="inlineStr">
        <is>
          <t>RTM-395</t>
        </is>
      </c>
      <c r="C520" s="6" t="inlineStr">
        <is>
          <t>No</t>
        </is>
      </c>
      <c r="D520" s="6" t="inlineStr">
        <is>
          <t>T3 Contextual</t>
        </is>
      </c>
      <c r="E520" s="6" t="inlineStr">
        <is>
          <t>Buildings &amp; Utilities</t>
        </is>
      </c>
      <c r="F520" s="82" t="inlineStr">
        <is>
          <t>SYSTEM</t>
        </is>
      </c>
      <c r="G520" s="83" t="inlineStr">
        <is>
          <t>Performance</t>
        </is>
      </c>
      <c r="H520" s="59" t="inlineStr">
        <is>
          <t>—</t>
        </is>
      </c>
      <c r="I520" s="81" t="inlineStr">
        <is>
          <t>Inferred: C5 — Infrastructure &amp; Integration (high conf.)</t>
        </is>
      </c>
      <c r="J520" s="6" t="n">
        <v>81</v>
      </c>
      <c r="K520" s="6" t="inlineStr">
        <is>
          <t>4.7.3</t>
        </is>
      </c>
      <c r="L520" s="6" t="inlineStr">
        <is>
          <t>Electrical Interface</t>
        </is>
      </c>
      <c r="M520" s="6" t="inlineStr">
        <is>
          <t>The QPS shall connect to the electrical interface provided by SCK CEN at the following terminal points as per Table 19 and Table 20.</t>
        </is>
      </c>
      <c r="N520" s="6" t="inlineStr">
        <is>
          <t>The QPS shall connect to the electrical interface provided by SCK CEN at the following terminal points as per Table 19 and Table 20.</t>
        </is>
      </c>
      <c r="O520" s="6" t="n">
        <v>0</v>
      </c>
      <c r="P520" s="6" t="n">
        <v>0</v>
      </c>
      <c r="Q520" s="6" t="n">
        <v>2</v>
      </c>
      <c r="R520" s="6" t="n">
        <v>2</v>
      </c>
      <c r="S520" s="6" t="n">
        <v>0</v>
      </c>
      <c r="T520" s="6" t="n">
        <v>0</v>
      </c>
      <c r="U520" s="6" t="n">
        <v>0</v>
      </c>
      <c r="V520" s="6" t="n">
        <v>24</v>
      </c>
      <c r="W520" s="6" t="n">
        <v>33.0791</v>
      </c>
      <c r="X520" s="6" t="n">
        <v>1.1664</v>
      </c>
      <c r="Y520" s="6" t="inlineStr">
        <is>
          <t>Performance</t>
        </is>
      </c>
      <c r="Z520" s="6" t="inlineStr">
        <is>
          <t>Frozen-weight composite; strongest contribution: Performance.</t>
        </is>
      </c>
      <c r="AA520" s="6" t="inlineStr">
        <is>
          <t>None explicitly named in this RTM</t>
        </is>
      </c>
      <c r="AB520" s="6" t="inlineStr">
        <is>
          <t>Section-level: IEC 60364; IEC 61000; IEC 62305-3</t>
        </is>
      </c>
      <c r="AC520" s="6" t="inlineStr">
        <is>
          <t>Calculation/model plus calibrated measurement or recorded trend; Functional design/configuration review and sequence/interface demonstration</t>
        </is>
      </c>
      <c r="AD520" s="6" t="inlineStr">
        <is>
          <t>No separate deliverable explicitly named</t>
        </is>
      </c>
      <c r="AE520" s="6" t="inlineStr">
        <is>
          <t>L1 Conceptual Design; L2 Detailed Design</t>
        </is>
      </c>
      <c r="AF520" s="6" t="inlineStr">
        <is>
          <t>Section/contract-derived reference; derived evidence route</t>
        </is>
      </c>
      <c r="AG520" s="58" t="inlineStr">
        <is>
          <t>Not linked to an OFFER item</t>
        </is>
      </c>
    </row>
    <row r="521" ht="47" customHeight="1">
      <c r="A521" s="6" t="n">
        <v>516</v>
      </c>
      <c r="B521" s="6" t="inlineStr">
        <is>
          <t>RTM-396</t>
        </is>
      </c>
      <c r="C521" s="6" t="inlineStr">
        <is>
          <t>No</t>
        </is>
      </c>
      <c r="D521" s="6" t="inlineStr">
        <is>
          <t>T3 Contextual</t>
        </is>
      </c>
      <c r="E521" s="6" t="inlineStr">
        <is>
          <t>Buildings &amp; Utilities</t>
        </is>
      </c>
      <c r="F521" s="82" t="inlineStr">
        <is>
          <t>SYSTEM</t>
        </is>
      </c>
      <c r="G521" s="83" t="inlineStr">
        <is>
          <t>Performance</t>
        </is>
      </c>
      <c r="H521" s="59" t="inlineStr">
        <is>
          <t>—</t>
        </is>
      </c>
      <c r="I521" s="81" t="inlineStr">
        <is>
          <t>Inferred: C5 — Infrastructure &amp; Integration (high conf.)</t>
        </is>
      </c>
      <c r="J521" s="6" t="n">
        <v>82</v>
      </c>
      <c r="K521" s="6" t="inlineStr">
        <is>
          <t>4.7.3</t>
        </is>
      </c>
      <c r="L521" s="6" t="inlineStr">
        <is>
          <t>Electrical Interface</t>
        </is>
      </c>
      <c r="M521" s="6" t="inlineStr">
        <is>
          <t>The Contractor shall design and provide the complete Low Voltage (LV) distribution system for QPS, including e.g., LV cabinets, switchboards, and protection devices.</t>
        </is>
      </c>
      <c r="N521" s="6" t="inlineStr">
        <is>
          <t>The Contractor shall design and provide the complete Low Voltage (LV) distribution system for QPS, including e.g., LV cabinets, switchboards, and protection devices.</t>
        </is>
      </c>
      <c r="O521" s="6" t="n">
        <v>0</v>
      </c>
      <c r="P521" s="6" t="n">
        <v>0</v>
      </c>
      <c r="Q521" s="6" t="n">
        <v>2</v>
      </c>
      <c r="R521" s="6" t="n">
        <v>2</v>
      </c>
      <c r="S521" s="6" t="n">
        <v>0</v>
      </c>
      <c r="T521" s="6" t="n">
        <v>0</v>
      </c>
      <c r="U521" s="6" t="n">
        <v>0</v>
      </c>
      <c r="V521" s="6" t="n">
        <v>24</v>
      </c>
      <c r="W521" s="6" t="n">
        <v>33.0791</v>
      </c>
      <c r="X521" s="6" t="n">
        <v>1.1664</v>
      </c>
      <c r="Y521" s="6" t="inlineStr">
        <is>
          <t>Performance</t>
        </is>
      </c>
      <c r="Z521" s="6" t="inlineStr">
        <is>
          <t>Frozen-weight composite; strongest contribution: Performance.</t>
        </is>
      </c>
      <c r="AA521" s="6" t="inlineStr">
        <is>
          <t>None explicitly named in this RTM</t>
        </is>
      </c>
      <c r="AB521" s="6" t="inlineStr">
        <is>
          <t>Section-level: IEC 60364; IEC 61000; IEC 62305-3</t>
        </is>
      </c>
      <c r="AC521" s="6" t="inlineStr">
        <is>
          <t>Calculation/model plus calibrated measurement or recorded trend</t>
        </is>
      </c>
      <c r="AD521" s="6" t="inlineStr">
        <is>
          <t>No separate deliverable explicitly named</t>
        </is>
      </c>
      <c r="AE521" s="6" t="inlineStr">
        <is>
          <t>L1 Conceptual Design; L2 Detailed Design</t>
        </is>
      </c>
      <c r="AF521" s="6" t="inlineStr">
        <is>
          <t>Section/contract-derived reference; derived evidence route</t>
        </is>
      </c>
      <c r="AG521" s="58" t="inlineStr">
        <is>
          <t>Not linked to an OFFER item</t>
        </is>
      </c>
    </row>
    <row r="522" ht="60" customHeight="1">
      <c r="A522" s="6" t="n">
        <v>517</v>
      </c>
      <c r="B522" s="6" t="inlineStr">
        <is>
          <t>RTM-397</t>
        </is>
      </c>
      <c r="C522" s="6" t="inlineStr">
        <is>
          <t>No</t>
        </is>
      </c>
      <c r="D522" s="6" t="inlineStr">
        <is>
          <t>T3 Contextual</t>
        </is>
      </c>
      <c r="E522" s="6" t="inlineStr">
        <is>
          <t>Buildings &amp; Utilities</t>
        </is>
      </c>
      <c r="F522" s="82" t="inlineStr">
        <is>
          <t>SYSTEM</t>
        </is>
      </c>
      <c r="G522" s="83" t="inlineStr">
        <is>
          <t>Performance</t>
        </is>
      </c>
      <c r="H522" s="59" t="inlineStr">
        <is>
          <t>—</t>
        </is>
      </c>
      <c r="I522" s="81" t="inlineStr">
        <is>
          <t>Inferred: C5 — Infrastructure &amp; Integration (high conf.)</t>
        </is>
      </c>
      <c r="J522" s="6" t="n">
        <v>82</v>
      </c>
      <c r="K522" s="6" t="inlineStr">
        <is>
          <t>4.7.3</t>
        </is>
      </c>
      <c r="L522" s="6" t="inlineStr">
        <is>
          <t>Electrical Interface</t>
        </is>
      </c>
      <c r="M522" s="6" t="inlineStr">
        <is>
          <t>The Contractor shall route, install, and connect all electrical cabling, cable trays, and interfaces for the Compressor Room, Cold Box Room, and WSH area except for the terminal points provided by SCK CEN as stated above.</t>
        </is>
      </c>
      <c r="N522" s="6" t="inlineStr">
        <is>
          <t>The Contractor shall route, install, and connect all electrical cabling, cable trays, and interfaces for the Compressor Room, Cold Box Room, and WSH area except for the terminal points provided by SCK CEN as stated above.</t>
        </is>
      </c>
      <c r="O522" s="6" t="n">
        <v>0</v>
      </c>
      <c r="P522" s="6" t="n">
        <v>0</v>
      </c>
      <c r="Q522" s="6" t="n">
        <v>2</v>
      </c>
      <c r="R522" s="6" t="n">
        <v>2</v>
      </c>
      <c r="S522" s="6" t="n">
        <v>0</v>
      </c>
      <c r="T522" s="6" t="n">
        <v>0</v>
      </c>
      <c r="U522" s="6" t="n">
        <v>0</v>
      </c>
      <c r="V522" s="6" t="n">
        <v>24</v>
      </c>
      <c r="W522" s="6" t="n">
        <v>33.0791</v>
      </c>
      <c r="X522" s="6" t="n">
        <v>1.1664</v>
      </c>
      <c r="Y522" s="6" t="inlineStr">
        <is>
          <t>Performance</t>
        </is>
      </c>
      <c r="Z522" s="6" t="inlineStr">
        <is>
          <t>Frozen-weight composite; strongest contribution: Performance.</t>
        </is>
      </c>
      <c r="AA522" s="6" t="inlineStr">
        <is>
          <t>None explicitly named in this RTM</t>
        </is>
      </c>
      <c r="AB522" s="6" t="inlineStr">
        <is>
          <t>Section-level: IEC 60364; IEC 61000; IEC 62305-3</t>
        </is>
      </c>
      <c r="AC522" s="6" t="inlineStr">
        <is>
          <t>Calculation/model plus calibrated measurement or recorded trend; Functional design/configuration review and sequence/interface demonstration</t>
        </is>
      </c>
      <c r="AD522" s="6" t="inlineStr">
        <is>
          <t>No separate deliverable explicitly named</t>
        </is>
      </c>
      <c r="AE522" s="6" t="inlineStr">
        <is>
          <t>L1 Conceptual Design; L2 Detailed Design</t>
        </is>
      </c>
      <c r="AF522" s="6" t="inlineStr">
        <is>
          <t>Section/contract-derived reference; derived evidence route</t>
        </is>
      </c>
      <c r="AG522" s="58" t="inlineStr">
        <is>
          <t>Not linked to an OFFER item</t>
        </is>
      </c>
    </row>
    <row r="523" ht="47" customHeight="1">
      <c r="A523" s="6" t="n">
        <v>518</v>
      </c>
      <c r="B523" s="6" t="inlineStr">
        <is>
          <t>RTM-398</t>
        </is>
      </c>
      <c r="C523" s="6" t="inlineStr">
        <is>
          <t>No</t>
        </is>
      </c>
      <c r="D523" s="6" t="inlineStr">
        <is>
          <t>T3 Contextual</t>
        </is>
      </c>
      <c r="E523" s="6" t="inlineStr">
        <is>
          <t>Buildings &amp; Utilities</t>
        </is>
      </c>
      <c r="F523" s="82" t="inlineStr">
        <is>
          <t>SYSTEM</t>
        </is>
      </c>
      <c r="G523" s="83" t="inlineStr">
        <is>
          <t>Performance</t>
        </is>
      </c>
      <c r="H523" s="59" t="inlineStr">
        <is>
          <t>—</t>
        </is>
      </c>
      <c r="I523" s="81" t="inlineStr">
        <is>
          <t>Inferred: C5 — Infrastructure &amp; Integration (high conf.)</t>
        </is>
      </c>
      <c r="J523" s="6" t="n">
        <v>82</v>
      </c>
      <c r="K523" s="6" t="inlineStr">
        <is>
          <t>4.7.3</t>
        </is>
      </c>
      <c r="L523" s="6" t="inlineStr">
        <is>
          <t>Electrical Interface</t>
        </is>
      </c>
      <c r="M523" s="6" t="inlineStr">
        <is>
          <t>All electrical design files - including one-line diagrams, layout plans, and protection studies - shall be submitted for SCK CEN approval.</t>
        </is>
      </c>
      <c r="N523" s="6" t="inlineStr">
        <is>
          <t>All electrical design files - including one-line diagrams, layout plans, and protection studies - shall be submitted for SCK CEN approval.</t>
        </is>
      </c>
      <c r="O523" s="6" t="n">
        <v>0</v>
      </c>
      <c r="P523" s="6" t="n">
        <v>0</v>
      </c>
      <c r="Q523" s="6" t="n">
        <v>2</v>
      </c>
      <c r="R523" s="6" t="n">
        <v>2</v>
      </c>
      <c r="S523" s="6" t="n">
        <v>0</v>
      </c>
      <c r="T523" s="6" t="n">
        <v>0</v>
      </c>
      <c r="U523" s="6" t="n">
        <v>0</v>
      </c>
      <c r="V523" s="6" t="n">
        <v>24</v>
      </c>
      <c r="W523" s="6" t="n">
        <v>33.0791</v>
      </c>
      <c r="X523" s="6" t="n">
        <v>1.1664</v>
      </c>
      <c r="Y523" s="6" t="inlineStr">
        <is>
          <t>Performance</t>
        </is>
      </c>
      <c r="Z523" s="6" t="inlineStr">
        <is>
          <t>Frozen-weight composite; strongest contribution: Performance.</t>
        </is>
      </c>
      <c r="AA523" s="6" t="inlineStr">
        <is>
          <t>None explicitly named in this RTM</t>
        </is>
      </c>
      <c r="AB523" s="6" t="inlineStr">
        <is>
          <t>Section-level: IEC 60364; IEC 61000; IEC 62305-3</t>
        </is>
      </c>
      <c r="AC523" s="6" t="inlineStr">
        <is>
          <t>Submit and review the named deliverable with RTM traceability and approval status; Calculation/model plus calibrated measurement or recorded trend</t>
        </is>
      </c>
      <c r="AD523" s="6" t="inlineStr">
        <is>
          <t>Drawing / diagram</t>
        </is>
      </c>
      <c r="AE523" s="6" t="inlineStr">
        <is>
          <t>L1 Conceptual Design; L2 Detailed Design</t>
        </is>
      </c>
      <c r="AF523" s="6" t="inlineStr">
        <is>
          <t>Section/contract-derived reference; explicit deliverable/test wording</t>
        </is>
      </c>
      <c r="AG523" s="58" t="inlineStr">
        <is>
          <t>Not linked to an OFFER item</t>
        </is>
      </c>
    </row>
    <row r="524" ht="60" customHeight="1">
      <c r="A524" s="6" t="n">
        <v>519</v>
      </c>
      <c r="B524" s="6" t="inlineStr">
        <is>
          <t>RTM-399</t>
        </is>
      </c>
      <c r="C524" s="6" t="inlineStr">
        <is>
          <t>No</t>
        </is>
      </c>
      <c r="D524" s="6" t="inlineStr">
        <is>
          <t>T3 Contextual</t>
        </is>
      </c>
      <c r="E524" s="6" t="inlineStr">
        <is>
          <t>Buildings &amp; Utilities</t>
        </is>
      </c>
      <c r="F524" s="82" t="inlineStr">
        <is>
          <t>SYSTEM</t>
        </is>
      </c>
      <c r="G524" s="83" t="inlineStr">
        <is>
          <t>Performance</t>
        </is>
      </c>
      <c r="H524" s="59" t="inlineStr">
        <is>
          <t>—</t>
        </is>
      </c>
      <c r="I524" s="81" t="inlineStr">
        <is>
          <t>Inferred: C5 — Infrastructure &amp; Integration (high conf.)</t>
        </is>
      </c>
      <c r="J524" s="6" t="n">
        <v>82</v>
      </c>
      <c r="K524" s="6" t="inlineStr">
        <is>
          <t>4.7.3</t>
        </is>
      </c>
      <c r="L524" s="6" t="inlineStr">
        <is>
          <t>Electrical Interface</t>
        </is>
      </c>
      <c r="M524" s="6" t="inlineStr">
        <is>
          <t>The Contractor shall ensure all QPS equipment is connected to the respective building earthing network (provided by SCK CEN), fully compliant with IEC 60364 and IEC 61000 EMC requirements.</t>
        </is>
      </c>
      <c r="N524" s="6" t="inlineStr">
        <is>
          <t>The Contractor shall ensure all QPS equipment is connected to the respective building earthing network (provided by SCK CEN), fully compliant with IEC 60364 and IEC 61000 EMC requirements.</t>
        </is>
      </c>
      <c r="O524" s="6" t="n">
        <v>0</v>
      </c>
      <c r="P524" s="6" t="n">
        <v>0</v>
      </c>
      <c r="Q524" s="6" t="n">
        <v>2</v>
      </c>
      <c r="R524" s="6" t="n">
        <v>2</v>
      </c>
      <c r="S524" s="6" t="n">
        <v>0</v>
      </c>
      <c r="T524" s="6" t="n">
        <v>0</v>
      </c>
      <c r="U524" s="6" t="n">
        <v>0</v>
      </c>
      <c r="V524" s="6" t="n">
        <v>24</v>
      </c>
      <c r="W524" s="6" t="n">
        <v>33.0791</v>
      </c>
      <c r="X524" s="6" t="n">
        <v>1.1664</v>
      </c>
      <c r="Y524" s="6" t="inlineStr">
        <is>
          <t>Performance</t>
        </is>
      </c>
      <c r="Z524" s="6" t="inlineStr">
        <is>
          <t>Frozen-weight composite; strongest contribution: Performance.</t>
        </is>
      </c>
      <c r="AA524" s="6" t="inlineStr">
        <is>
          <t>IEC 60364; IEC 61000</t>
        </is>
      </c>
      <c r="AB524" s="6" t="inlineStr">
        <is>
          <t>IEC 60364; IEC 61000</t>
        </is>
      </c>
      <c r="AC524" s="6" t="inlineStr">
        <is>
          <t>Calculation/model plus calibrated measurement or recorded trend</t>
        </is>
      </c>
      <c r="AD524" s="6" t="inlineStr">
        <is>
          <t>No separate deliverable explicitly named</t>
        </is>
      </c>
      <c r="AE524" s="6" t="inlineStr">
        <is>
          <t>L1 Conceptual Design; L2 Detailed Design</t>
        </is>
      </c>
      <c r="AF524" s="6" t="inlineStr">
        <is>
          <t>Explicit/table-grounded standard; derived evidence route</t>
        </is>
      </c>
      <c r="AG524" s="58" t="inlineStr">
        <is>
          <t>Not linked to an OFFER item</t>
        </is>
      </c>
    </row>
    <row r="525" ht="60" customHeight="1">
      <c r="A525" s="6" t="n">
        <v>520</v>
      </c>
      <c r="B525" s="6" t="inlineStr">
        <is>
          <t>RTM-400</t>
        </is>
      </c>
      <c r="C525" s="6" t="inlineStr">
        <is>
          <t>No</t>
        </is>
      </c>
      <c r="D525" s="6" t="inlineStr">
        <is>
          <t>T3 Contextual</t>
        </is>
      </c>
      <c r="E525" s="6" t="inlineStr">
        <is>
          <t>Buildings &amp; Utilities</t>
        </is>
      </c>
      <c r="F525" s="82" t="inlineStr">
        <is>
          <t>SYSTEM</t>
        </is>
      </c>
      <c r="G525" s="83" t="inlineStr">
        <is>
          <t>Performance</t>
        </is>
      </c>
      <c r="H525" s="59" t="inlineStr">
        <is>
          <t>—</t>
        </is>
      </c>
      <c r="I525" s="81" t="inlineStr">
        <is>
          <t>Inferred: C5 — Infrastructure &amp; Integration (high conf.)</t>
        </is>
      </c>
      <c r="J525" s="6" t="n">
        <v>82</v>
      </c>
      <c r="K525" s="6" t="inlineStr">
        <is>
          <t>4.7.3</t>
        </is>
      </c>
      <c r="L525" s="6" t="inlineStr">
        <is>
          <t>Electrical Interface</t>
        </is>
      </c>
      <c r="M525" s="6" t="inlineStr">
        <is>
          <t>EMC best practices shall apply as per as per IEC 62305-3.</t>
        </is>
      </c>
      <c r="N525" s="6" t="inlineStr">
        <is>
          <t>EMC best practices shall apply as per as per IEC 62305-3.
• All helium piping, water, air lines, and LV cabling entering each building shall pass through a single shared feedthrough and be connected to equipotential bonding systems.</t>
        </is>
      </c>
      <c r="O525" s="6" t="n">
        <v>0</v>
      </c>
      <c r="P525" s="6" t="n">
        <v>0</v>
      </c>
      <c r="Q525" s="6" t="n">
        <v>2</v>
      </c>
      <c r="R525" s="6" t="n">
        <v>2</v>
      </c>
      <c r="S525" s="6" t="n">
        <v>0</v>
      </c>
      <c r="T525" s="6" t="n">
        <v>0</v>
      </c>
      <c r="U525" s="6" t="n">
        <v>0</v>
      </c>
      <c r="V525" s="6" t="n">
        <v>24</v>
      </c>
      <c r="W525" s="6" t="n">
        <v>33.0791</v>
      </c>
      <c r="X525" s="6" t="n">
        <v>1.1664</v>
      </c>
      <c r="Y525" s="6" t="inlineStr">
        <is>
          <t>Performance</t>
        </is>
      </c>
      <c r="Z525" s="6" t="inlineStr">
        <is>
          <t>Frozen-weight composite; strongest contribution: Performance.</t>
        </is>
      </c>
      <c r="AA525" s="6" t="inlineStr">
        <is>
          <t>IEC 62305-3</t>
        </is>
      </c>
      <c r="AB525" s="6" t="inlineStr">
        <is>
          <t>IEC 62305-3</t>
        </is>
      </c>
      <c r="AC525" s="6" t="inlineStr">
        <is>
          <t>Calculation/model plus calibrated measurement or recorded trend</t>
        </is>
      </c>
      <c r="AD525" s="6" t="inlineStr">
        <is>
          <t>No separate deliverable explicitly named</t>
        </is>
      </c>
      <c r="AE525" s="6" t="inlineStr">
        <is>
          <t>L1 Conceptual Design; L2 Detailed Design</t>
        </is>
      </c>
      <c r="AF525" s="6" t="inlineStr">
        <is>
          <t>Explicit/table-grounded standard; derived evidence route</t>
        </is>
      </c>
      <c r="AG525" s="58" t="inlineStr">
        <is>
          <t>Not linked to an OFFER item</t>
        </is>
      </c>
    </row>
    <row r="526" ht="47" customHeight="1">
      <c r="A526" s="6" t="n">
        <v>521</v>
      </c>
      <c r="B526" s="6" t="inlineStr">
        <is>
          <t>RTM-403</t>
        </is>
      </c>
      <c r="C526" s="6" t="inlineStr">
        <is>
          <t>No</t>
        </is>
      </c>
      <c r="D526" s="6" t="inlineStr">
        <is>
          <t>T3 Contextual</t>
        </is>
      </c>
      <c r="E526" s="6" t="inlineStr">
        <is>
          <t>Buildings &amp; Utilities</t>
        </is>
      </c>
      <c r="F526" s="82" t="inlineStr">
        <is>
          <t>SYSTEM</t>
        </is>
      </c>
      <c r="G526" s="83" t="inlineStr">
        <is>
          <t>Performance</t>
        </is>
      </c>
      <c r="H526" s="59" t="inlineStr">
        <is>
          <t>—</t>
        </is>
      </c>
      <c r="I526" s="81" t="inlineStr">
        <is>
          <t>Inferred: C5 — Infrastructure &amp; Integration (high conf.)</t>
        </is>
      </c>
      <c r="J526" s="6" t="n">
        <v>82</v>
      </c>
      <c r="K526" s="6" t="inlineStr">
        <is>
          <t>4.7.4.1</t>
        </is>
      </c>
      <c r="L526" s="6" t="inlineStr">
        <is>
          <t>General cooling water interfaces</t>
        </is>
      </c>
      <c r="M526" s="6" t="inlineStr">
        <is>
          <t>The QPS design shall comply with the following water provisions supplied by SCK CEN:</t>
        </is>
      </c>
      <c r="N526" s="6" t="inlineStr">
        <is>
          <t>The QPS design shall comply with the following water provisions supplied by SCK CEN:
• One terminal point pair (supply/return) per room by cooling water type.</t>
        </is>
      </c>
      <c r="O526" s="6" t="n">
        <v>0</v>
      </c>
      <c r="P526" s="6" t="n">
        <v>0</v>
      </c>
      <c r="Q526" s="6" t="n">
        <v>2</v>
      </c>
      <c r="R526" s="6" t="n">
        <v>2</v>
      </c>
      <c r="S526" s="6" t="n">
        <v>0</v>
      </c>
      <c r="T526" s="6" t="n">
        <v>0</v>
      </c>
      <c r="U526" s="6" t="n">
        <v>0</v>
      </c>
      <c r="V526" s="6" t="n">
        <v>24</v>
      </c>
      <c r="W526" s="6" t="n">
        <v>33.0791</v>
      </c>
      <c r="X526" s="6" t="n">
        <v>1.1664</v>
      </c>
      <c r="Y526" s="6" t="inlineStr">
        <is>
          <t>Performance</t>
        </is>
      </c>
      <c r="Z526" s="6" t="inlineStr">
        <is>
          <t>Frozen-weight composite; strongest contribution: Performance.</t>
        </is>
      </c>
      <c r="AA526" s="6" t="inlineStr">
        <is>
          <t>None explicitly named in this RTM</t>
        </is>
      </c>
      <c r="AB526" s="6" t="inlineStr">
        <is>
          <t>Section-level: ISO 10628</t>
        </is>
      </c>
      <c r="AC526" s="6" t="inlineStr">
        <is>
          <t>Calculation/model plus calibrated measurement or recorded trend</t>
        </is>
      </c>
      <c r="AD526" s="6" t="inlineStr">
        <is>
          <t>No separate deliverable explicitly named</t>
        </is>
      </c>
      <c r="AE526" s="6" t="inlineStr">
        <is>
          <t>L1 Conceptual Design; L2 Detailed Design</t>
        </is>
      </c>
      <c r="AF526" s="6" t="inlineStr">
        <is>
          <t>Section/contract-derived reference; derived evidence route</t>
        </is>
      </c>
      <c r="AG526" s="58" t="inlineStr">
        <is>
          <t>Not linked to an OFFER item</t>
        </is>
      </c>
    </row>
    <row r="527" ht="47" customHeight="1">
      <c r="A527" s="6" t="n">
        <v>522</v>
      </c>
      <c r="B527" s="6" t="inlineStr">
        <is>
          <t>RTM-404</t>
        </is>
      </c>
      <c r="C527" s="6" t="inlineStr">
        <is>
          <t>No</t>
        </is>
      </c>
      <c r="D527" s="6" t="inlineStr">
        <is>
          <t>T3 Contextual</t>
        </is>
      </c>
      <c r="E527" s="6" t="inlineStr">
        <is>
          <t>Buildings &amp; Utilities</t>
        </is>
      </c>
      <c r="F527" s="82" t="inlineStr">
        <is>
          <t>SYSTEM</t>
        </is>
      </c>
      <c r="G527" s="83" t="inlineStr">
        <is>
          <t>Performance</t>
        </is>
      </c>
      <c r="H527" s="59" t="inlineStr">
        <is>
          <t>—</t>
        </is>
      </c>
      <c r="I527" s="81" t="inlineStr">
        <is>
          <t>Inferred: C5 — Infrastructure &amp; Integration (high conf.)</t>
        </is>
      </c>
      <c r="J527" s="6" t="n">
        <v>82</v>
      </c>
      <c r="K527" s="6" t="inlineStr">
        <is>
          <t>4.7.4.1</t>
        </is>
      </c>
      <c r="L527" s="6" t="inlineStr">
        <is>
          <t>General cooling water interfaces</t>
        </is>
      </c>
      <c r="M527" s="6" t="inlineStr">
        <is>
          <t>The Contractor shall use the drain infrastructure provided in the rooms.</t>
        </is>
      </c>
      <c r="N527" s="6" t="inlineStr">
        <is>
          <t>The Contractor shall use the drain infrastructure provided in the rooms.
• Both rooms are equipped with a drainage pit for PCW.
• The WCS room is also equipped with a PCW drainage pit.</t>
        </is>
      </c>
      <c r="O527" s="6" t="n">
        <v>0</v>
      </c>
      <c r="P527" s="6" t="n">
        <v>0</v>
      </c>
      <c r="Q527" s="6" t="n">
        <v>2</v>
      </c>
      <c r="R527" s="6" t="n">
        <v>2</v>
      </c>
      <c r="S527" s="6" t="n">
        <v>0</v>
      </c>
      <c r="T527" s="6" t="n">
        <v>0</v>
      </c>
      <c r="U527" s="6" t="n">
        <v>0</v>
      </c>
      <c r="V527" s="6" t="n">
        <v>24</v>
      </c>
      <c r="W527" s="6" t="n">
        <v>33.0791</v>
      </c>
      <c r="X527" s="6" t="n">
        <v>1.1664</v>
      </c>
      <c r="Y527" s="6" t="inlineStr">
        <is>
          <t>Performance</t>
        </is>
      </c>
      <c r="Z527" s="6" t="inlineStr">
        <is>
          <t>Frozen-weight composite; strongest contribution: Performance.</t>
        </is>
      </c>
      <c r="AA527" s="6" t="inlineStr">
        <is>
          <t>None explicitly named in this RTM</t>
        </is>
      </c>
      <c r="AB527" s="6" t="inlineStr">
        <is>
          <t>Section-level: ISO 10628</t>
        </is>
      </c>
      <c r="AC527" s="6" t="inlineStr">
        <is>
          <t>Calculation/model plus calibrated measurement or recorded trend</t>
        </is>
      </c>
      <c r="AD527" s="6" t="inlineStr">
        <is>
          <t>No separate deliverable explicitly named</t>
        </is>
      </c>
      <c r="AE527" s="6" t="inlineStr">
        <is>
          <t>L1 Conceptual Design; L2 Detailed Design</t>
        </is>
      </c>
      <c r="AF527" s="6" t="inlineStr">
        <is>
          <t>Section/contract-derived reference; derived evidence route</t>
        </is>
      </c>
      <c r="AG527" s="58" t="inlineStr">
        <is>
          <t>Not linked to an OFFER item</t>
        </is>
      </c>
    </row>
    <row r="528" ht="60" customHeight="1">
      <c r="A528" s="6" t="n">
        <v>523</v>
      </c>
      <c r="B528" s="6" t="inlineStr">
        <is>
          <t>RTM-405</t>
        </is>
      </c>
      <c r="C528" s="6" t="inlineStr">
        <is>
          <t>No</t>
        </is>
      </c>
      <c r="D528" s="6" t="inlineStr">
        <is>
          <t>T3 Contextual</t>
        </is>
      </c>
      <c r="E528" s="6" t="inlineStr">
        <is>
          <t>Buildings &amp; Utilities</t>
        </is>
      </c>
      <c r="F528" s="82" t="inlineStr">
        <is>
          <t>SYSTEM</t>
        </is>
      </c>
      <c r="G528" s="83" t="inlineStr">
        <is>
          <t>Control</t>
        </is>
      </c>
      <c r="H528" s="59" t="inlineStr">
        <is>
          <t>—</t>
        </is>
      </c>
      <c r="I528" s="81" t="inlineStr">
        <is>
          <t>Inferred: C5 — Infrastructure &amp; Integration (high conf.)</t>
        </is>
      </c>
      <c r="J528" s="6" t="n">
        <v>82</v>
      </c>
      <c r="K528" s="6" t="inlineStr">
        <is>
          <t>4.7.4.1</t>
        </is>
      </c>
      <c r="L528" s="6" t="inlineStr">
        <is>
          <t>General cooling water interfaces</t>
        </is>
      </c>
      <c r="M528" s="6" t="inlineStr">
        <is>
          <t>The Contractor shall implement the complete internal distribution system from the building terminal points to the individual points of use.</t>
        </is>
      </c>
      <c r="N528" s="6" t="inlineStr">
        <is>
          <t>The Contractor shall implement the complete internal distribution system from the building terminal points to the individual points of use.
• This shall include all piping, supports, valves, sensors, and electrical/control cabling.</t>
        </is>
      </c>
      <c r="O528" s="6" t="n">
        <v>0</v>
      </c>
      <c r="P528" s="6" t="n">
        <v>0</v>
      </c>
      <c r="Q528" s="6" t="n">
        <v>2</v>
      </c>
      <c r="R528" s="6" t="n">
        <v>2</v>
      </c>
      <c r="S528" s="6" t="n">
        <v>0</v>
      </c>
      <c r="T528" s="6" t="n">
        <v>0</v>
      </c>
      <c r="U528" s="6" t="n">
        <v>0</v>
      </c>
      <c r="V528" s="6" t="n">
        <v>24</v>
      </c>
      <c r="W528" s="6" t="n">
        <v>33.0791</v>
      </c>
      <c r="X528" s="6" t="n">
        <v>1.1664</v>
      </c>
      <c r="Y528" s="6" t="inlineStr">
        <is>
          <t>Performance</t>
        </is>
      </c>
      <c r="Z528" s="6" t="inlineStr">
        <is>
          <t>Frozen-weight composite; strongest contribution: Performance.</t>
        </is>
      </c>
      <c r="AA528" s="6" t="inlineStr">
        <is>
          <t>None explicitly named in this RTM</t>
        </is>
      </c>
      <c r="AB528" s="6" t="inlineStr">
        <is>
          <t>Section-level: ISO 10628</t>
        </is>
      </c>
      <c r="AC528" s="6" t="inlineStr">
        <is>
          <t>Calculation/model plus calibrated measurement or recorded trend; Functional design/configuration review and sequence/interface demonstration</t>
        </is>
      </c>
      <c r="AD528" s="6" t="inlineStr">
        <is>
          <t>No separate deliverable explicitly named</t>
        </is>
      </c>
      <c r="AE528" s="6" t="inlineStr">
        <is>
          <t>L1 Conceptual Design; L2 Detailed Design</t>
        </is>
      </c>
      <c r="AF528" s="6" t="inlineStr">
        <is>
          <t>Section/contract-derived reference; derived evidence route</t>
        </is>
      </c>
      <c r="AG528" s="58" t="inlineStr">
        <is>
          <t>Not linked to an OFFER item</t>
        </is>
      </c>
    </row>
    <row r="529" ht="60" customHeight="1">
      <c r="A529" s="6" t="n">
        <v>524</v>
      </c>
      <c r="B529" s="6" t="inlineStr">
        <is>
          <t>RTM-406</t>
        </is>
      </c>
      <c r="C529" s="6" t="inlineStr">
        <is>
          <t>No</t>
        </is>
      </c>
      <c r="D529" s="6" t="inlineStr">
        <is>
          <t>T3 Contextual</t>
        </is>
      </c>
      <c r="E529" s="6" t="inlineStr">
        <is>
          <t>Buildings &amp; Utilities</t>
        </is>
      </c>
      <c r="F529" s="82" t="inlineStr">
        <is>
          <t>SYSTEM</t>
        </is>
      </c>
      <c r="G529" s="83" t="inlineStr">
        <is>
          <t>Performance</t>
        </is>
      </c>
      <c r="H529" s="59" t="inlineStr">
        <is>
          <t>—</t>
        </is>
      </c>
      <c r="I529" s="81" t="inlineStr">
        <is>
          <t>Inferred: C5 — Infrastructure &amp; Integration (high conf.)</t>
        </is>
      </c>
      <c r="J529" s="6" t="n">
        <v>82</v>
      </c>
      <c r="K529" s="6" t="inlineStr">
        <is>
          <t>4.7.4.1</t>
        </is>
      </c>
      <c r="L529" s="6" t="inlineStr">
        <is>
          <t>General cooling water interfaces</t>
        </is>
      </c>
      <c r="M529" s="6" t="inlineStr">
        <is>
          <t>All internal distribution details, tagging, and symbology shall conform to ISO 10628 and ISA-5.1.</t>
        </is>
      </c>
      <c r="N529" s="6" t="inlineStr">
        <is>
          <t>All internal distribution details, tagging, and symbology shall conform to ISO 10628 and ISA-5.1.
• Relaxation may be evaluated for specific subcontractor package plants, provided they interface correctly with the Support System.</t>
        </is>
      </c>
      <c r="O529" s="6" t="n">
        <v>0</v>
      </c>
      <c r="P529" s="6" t="n">
        <v>0</v>
      </c>
      <c r="Q529" s="6" t="n">
        <v>2</v>
      </c>
      <c r="R529" s="6" t="n">
        <v>2</v>
      </c>
      <c r="S529" s="6" t="n">
        <v>0</v>
      </c>
      <c r="T529" s="6" t="n">
        <v>0</v>
      </c>
      <c r="U529" s="6" t="n">
        <v>0</v>
      </c>
      <c r="V529" s="6" t="n">
        <v>24</v>
      </c>
      <c r="W529" s="6" t="n">
        <v>33.0791</v>
      </c>
      <c r="X529" s="6" t="n">
        <v>1.1664</v>
      </c>
      <c r="Y529" s="6" t="inlineStr">
        <is>
          <t>Performance</t>
        </is>
      </c>
      <c r="Z529" s="6" t="inlineStr">
        <is>
          <t>Frozen-weight composite; strongest contribution: Performance.</t>
        </is>
      </c>
      <c r="AA529" s="6" t="inlineStr">
        <is>
          <t>ISO 10628</t>
        </is>
      </c>
      <c r="AB529" s="6" t="inlineStr">
        <is>
          <t>ISO 10628</t>
        </is>
      </c>
      <c r="AC529" s="6" t="inlineStr">
        <is>
          <t>Calculation/model plus calibrated measurement or recorded trend; Functional design/configuration review and sequence/interface demonstration</t>
        </is>
      </c>
      <c r="AD529" s="6" t="inlineStr">
        <is>
          <t>No separate deliverable explicitly named</t>
        </is>
      </c>
      <c r="AE529" s="6" t="inlineStr">
        <is>
          <t>L1 Conceptual Design; L2 Detailed Design</t>
        </is>
      </c>
      <c r="AF529" s="6" t="inlineStr">
        <is>
          <t>Explicit/table-grounded standard; derived evidence route</t>
        </is>
      </c>
      <c r="AG529" s="58" t="inlineStr">
        <is>
          <t>Not linked to an OFFER item</t>
        </is>
      </c>
    </row>
    <row r="530" ht="47" customHeight="1">
      <c r="A530" s="6" t="n">
        <v>525</v>
      </c>
      <c r="B530" s="6" t="inlineStr">
        <is>
          <t>RTM-408</t>
        </is>
      </c>
      <c r="C530" s="6" t="inlineStr">
        <is>
          <t>No</t>
        </is>
      </c>
      <c r="D530" s="6" t="inlineStr">
        <is>
          <t>T3 Contextual</t>
        </is>
      </c>
      <c r="E530" s="6" t="inlineStr">
        <is>
          <t>Buildings &amp; Utilities</t>
        </is>
      </c>
      <c r="F530" s="82" t="inlineStr">
        <is>
          <t>SYSTEM</t>
        </is>
      </c>
      <c r="G530" s="83" t="inlineStr">
        <is>
          <t>Performance</t>
        </is>
      </c>
      <c r="H530" s="59" t="inlineStr">
        <is>
          <t>—</t>
        </is>
      </c>
      <c r="I530" s="81" t="inlineStr">
        <is>
          <t>Inferred: C5 — Infrastructure &amp; Integration (high conf.)</t>
        </is>
      </c>
      <c r="J530" s="6" t="n">
        <v>83</v>
      </c>
      <c r="K530" s="6" t="inlineStr">
        <is>
          <t>4.7.4.1</t>
        </is>
      </c>
      <c r="L530" s="6" t="inlineStr">
        <is>
          <t>General cooling water interfaces</t>
        </is>
      </c>
      <c r="M530" s="6" t="inlineStr">
        <is>
          <t>The system shall be capable of filling via the supply system.</t>
        </is>
      </c>
      <c r="N530" s="6" t="inlineStr">
        <is>
          <t>The system shall be capable of filling via the supply system.
• No explicit provision for separate make-up terminal points is required as this is managed via the Support System.</t>
        </is>
      </c>
      <c r="O530" s="6" t="n">
        <v>0</v>
      </c>
      <c r="P530" s="6" t="n">
        <v>0</v>
      </c>
      <c r="Q530" s="6" t="n">
        <v>2</v>
      </c>
      <c r="R530" s="6" t="n">
        <v>2</v>
      </c>
      <c r="S530" s="6" t="n">
        <v>0</v>
      </c>
      <c r="T530" s="6" t="n">
        <v>0</v>
      </c>
      <c r="U530" s="6" t="n">
        <v>0</v>
      </c>
      <c r="V530" s="6" t="n">
        <v>24</v>
      </c>
      <c r="W530" s="6" t="n">
        <v>33.0791</v>
      </c>
      <c r="X530" s="6" t="n">
        <v>1.1664</v>
      </c>
      <c r="Y530" s="6" t="inlineStr">
        <is>
          <t>Performance</t>
        </is>
      </c>
      <c r="Z530" s="6" t="inlineStr">
        <is>
          <t>Frozen-weight composite; strongest contribution: Performance.</t>
        </is>
      </c>
      <c r="AA530" s="6" t="inlineStr">
        <is>
          <t>None explicitly named in this RTM</t>
        </is>
      </c>
      <c r="AB530" s="6" t="inlineStr">
        <is>
          <t>Section-level: ISO 10628</t>
        </is>
      </c>
      <c r="AC530" s="6" t="inlineStr">
        <is>
          <t>Calculation/model plus calibrated measurement or recorded trend</t>
        </is>
      </c>
      <c r="AD530" s="6" t="inlineStr">
        <is>
          <t>No separate deliverable explicitly named</t>
        </is>
      </c>
      <c r="AE530" s="6" t="inlineStr">
        <is>
          <t>L1 Conceptual Design; L2 Detailed Design</t>
        </is>
      </c>
      <c r="AF530" s="6" t="inlineStr">
        <is>
          <t>Section/contract-derived reference; derived evidence route</t>
        </is>
      </c>
      <c r="AG530" s="58" t="inlineStr">
        <is>
          <t>Not linked to an OFFER item</t>
        </is>
      </c>
    </row>
    <row r="531" ht="47" customHeight="1">
      <c r="A531" s="6" t="n">
        <v>526</v>
      </c>
      <c r="B531" s="6" t="inlineStr">
        <is>
          <t>RTM-410</t>
        </is>
      </c>
      <c r="C531" s="6" t="inlineStr">
        <is>
          <t>No</t>
        </is>
      </c>
      <c r="D531" s="6" t="inlineStr">
        <is>
          <t>T3 Contextual</t>
        </is>
      </c>
      <c r="E531" s="6" t="inlineStr">
        <is>
          <t>Buildings &amp; Utilities</t>
        </is>
      </c>
      <c r="F531" s="82" t="inlineStr">
        <is>
          <t>SYSTEM</t>
        </is>
      </c>
      <c r="G531" s="83" t="inlineStr">
        <is>
          <t>Constraint</t>
        </is>
      </c>
      <c r="H531" s="59" t="inlineStr">
        <is>
          <t>—</t>
        </is>
      </c>
      <c r="I531" s="81" t="inlineStr">
        <is>
          <t>Inferred: C5 — Infrastructure &amp; Integration (high conf.)</t>
        </is>
      </c>
      <c r="J531" s="6" t="n">
        <v>83</v>
      </c>
      <c r="K531" s="6" t="inlineStr">
        <is>
          <t>4.7.4.2</t>
        </is>
      </c>
      <c r="L531" s="6" t="inlineStr">
        <is>
          <t>Process cooling water general</t>
        </is>
      </c>
      <c r="M531" s="6" t="inlineStr">
        <is>
          <t>The QPS material compatibility for closed-loop operation (PCW and RCW) shall comply with the SCK CEN provided water per Table 21.</t>
        </is>
      </c>
      <c r="N531" s="6" t="inlineStr">
        <is>
          <t>The QPS material compatibility for closed-loop operation (PCW and RCW) shall comply with the SCK CEN provided water per Table 21.</t>
        </is>
      </c>
      <c r="O531" s="6" t="n">
        <v>0</v>
      </c>
      <c r="P531" s="6" t="n">
        <v>0</v>
      </c>
      <c r="Q531" s="6" t="n">
        <v>2</v>
      </c>
      <c r="R531" s="6" t="n">
        <v>2</v>
      </c>
      <c r="S531" s="6" t="n">
        <v>0</v>
      </c>
      <c r="T531" s="6" t="n">
        <v>0</v>
      </c>
      <c r="U531" s="6" t="n">
        <v>0</v>
      </c>
      <c r="V531" s="6" t="n">
        <v>24</v>
      </c>
      <c r="W531" s="6" t="n">
        <v>33.0791</v>
      </c>
      <c r="X531" s="6" t="n">
        <v>1.1664</v>
      </c>
      <c r="Y531" s="6" t="inlineStr">
        <is>
          <t>Performance</t>
        </is>
      </c>
      <c r="Z531" s="6" t="inlineStr">
        <is>
          <t>Frozen-weight composite; strongest contribution: Performance.</t>
        </is>
      </c>
      <c r="AA531" s="6" t="inlineStr">
        <is>
          <t>None explicitly named in this RTM</t>
        </is>
      </c>
      <c r="AB531" s="6" t="inlineStr">
        <is>
          <t>SCK CEN/90508872 §4.7.4.2; no named external code</t>
        </is>
      </c>
      <c r="AC531" s="6" t="inlineStr">
        <is>
          <t>Calculation/model plus calibrated measurement or recorded trend</t>
        </is>
      </c>
      <c r="AD531" s="6" t="inlineStr">
        <is>
          <t>No separate deliverable explicitly named</t>
        </is>
      </c>
      <c r="AE531" s="6" t="inlineStr">
        <is>
          <t>L1 Conceptual Design; L2 Detailed Design</t>
        </is>
      </c>
      <c r="AF531" s="6" t="inlineStr">
        <is>
          <t>Section/contract-derived reference; derived evidence route</t>
        </is>
      </c>
      <c r="AG531" s="58" t="inlineStr">
        <is>
          <t>Not linked to an OFFER item</t>
        </is>
      </c>
    </row>
    <row r="532" ht="60" customHeight="1">
      <c r="A532" s="6" t="n">
        <v>527</v>
      </c>
      <c r="B532" s="6" t="inlineStr">
        <is>
          <t>RTM-415</t>
        </is>
      </c>
      <c r="C532" s="6" t="inlineStr">
        <is>
          <t>No</t>
        </is>
      </c>
      <c r="D532" s="6" t="inlineStr">
        <is>
          <t>T3 Contextual</t>
        </is>
      </c>
      <c r="E532" s="6" t="inlineStr">
        <is>
          <t>Buildings &amp; Utilities</t>
        </is>
      </c>
      <c r="F532" s="82" t="inlineStr">
        <is>
          <t>SYSTEM</t>
        </is>
      </c>
      <c r="G532" s="83" t="inlineStr">
        <is>
          <t>Performance</t>
        </is>
      </c>
      <c r="H532" s="59" t="inlineStr">
        <is>
          <t>—</t>
        </is>
      </c>
      <c r="I532" s="81" t="inlineStr">
        <is>
          <t>Inferred: C5 — Infrastructure &amp; Integration (high conf.)</t>
        </is>
      </c>
      <c r="J532" s="6" t="n">
        <v>83</v>
      </c>
      <c r="K532" s="6" t="inlineStr">
        <is>
          <t>4.7.4.3</t>
        </is>
      </c>
      <c r="L532" s="6" t="inlineStr">
        <is>
          <t>Water Heat exchangers</t>
        </is>
      </c>
      <c r="M532" s="6" t="inlineStr">
        <is>
          <t>The heat exchangers shall be counter current welded or semi-welded plate heat exchangers.</t>
        </is>
      </c>
      <c r="N532" s="6" t="inlineStr">
        <is>
          <t>The heat exchangers shall be counter current welded or semi-welded plate heat exchangers.
• The design shall allow easy access for servicing without major disassembly of connected piping.</t>
        </is>
      </c>
      <c r="O532" s="6" t="n">
        <v>0</v>
      </c>
      <c r="P532" s="6" t="n">
        <v>0</v>
      </c>
      <c r="Q532" s="6" t="n">
        <v>2</v>
      </c>
      <c r="R532" s="6" t="n">
        <v>2</v>
      </c>
      <c r="S532" s="6" t="n">
        <v>0</v>
      </c>
      <c r="T532" s="6" t="n">
        <v>0</v>
      </c>
      <c r="U532" s="6" t="n">
        <v>0</v>
      </c>
      <c r="V532" s="6" t="n">
        <v>24</v>
      </c>
      <c r="W532" s="6" t="n">
        <v>33.0791</v>
      </c>
      <c r="X532" s="6" t="n">
        <v>1.1664</v>
      </c>
      <c r="Y532" s="6" t="inlineStr">
        <is>
          <t>Performance</t>
        </is>
      </c>
      <c r="Z532" s="6" t="inlineStr">
        <is>
          <t>Frozen-weight composite; strongest contribution: Performance.</t>
        </is>
      </c>
      <c r="AA532" s="6" t="inlineStr">
        <is>
          <t>None explicitly named in this RTM</t>
        </is>
      </c>
      <c r="AB532" s="6" t="inlineStr">
        <is>
          <t>SCK CEN/90508872 §4.7.4.3; no named external code</t>
        </is>
      </c>
      <c r="AC532" s="6" t="inlineStr">
        <is>
          <t>Calculation/model plus calibrated measurement or recorded trend</t>
        </is>
      </c>
      <c r="AD532" s="6" t="inlineStr">
        <is>
          <t>No separate deliverable explicitly named</t>
        </is>
      </c>
      <c r="AE532" s="6" t="inlineStr">
        <is>
          <t>L1 Conceptual Design; L2 Detailed Design</t>
        </is>
      </c>
      <c r="AF532" s="6" t="inlineStr">
        <is>
          <t>Section/contract-derived reference; derived evidence route</t>
        </is>
      </c>
      <c r="AG532" s="58" t="inlineStr">
        <is>
          <t>Not linked to an OFFER item</t>
        </is>
      </c>
    </row>
    <row r="533" ht="60" customHeight="1">
      <c r="A533" s="6" t="n">
        <v>528</v>
      </c>
      <c r="B533" s="6" t="inlineStr">
        <is>
          <t>RTM-418</t>
        </is>
      </c>
      <c r="C533" s="6" t="inlineStr">
        <is>
          <t>No</t>
        </is>
      </c>
      <c r="D533" s="6" t="inlineStr">
        <is>
          <t>T3 Contextual</t>
        </is>
      </c>
      <c r="E533" s="6" t="inlineStr">
        <is>
          <t>Buildings &amp; Utilities</t>
        </is>
      </c>
      <c r="F533" s="82" t="inlineStr">
        <is>
          <t>SYSTEM</t>
        </is>
      </c>
      <c r="G533" s="83" t="inlineStr">
        <is>
          <t>Performance</t>
        </is>
      </c>
      <c r="H533" s="59" t="inlineStr">
        <is>
          <t>—</t>
        </is>
      </c>
      <c r="I533" s="81" t="inlineStr">
        <is>
          <t>Inferred: C5 — Infrastructure &amp; Integration (high conf.)</t>
        </is>
      </c>
      <c r="J533" s="6" t="n">
        <v>84</v>
      </c>
      <c r="K533" s="6" t="inlineStr">
        <is>
          <t>4.7.4.3</t>
        </is>
      </c>
      <c r="L533" s="6" t="inlineStr">
        <is>
          <t>Water Heat exchangers</t>
        </is>
      </c>
      <c r="M533" s="6" t="inlineStr">
        <is>
          <t>The design temperature of the heat exchanger shall be the maximum design temperature of the oil circuit.</t>
        </is>
      </c>
      <c r="N533" s="6" t="inlineStr">
        <is>
          <t>The design temperature of the heat exchanger shall be the maximum design temperature of the oil circuit.
• At the cooling side, the design shall consider water with 40 wt.% glycol or water.</t>
        </is>
      </c>
      <c r="O533" s="6" t="n">
        <v>0</v>
      </c>
      <c r="P533" s="6" t="n">
        <v>0</v>
      </c>
      <c r="Q533" s="6" t="n">
        <v>2</v>
      </c>
      <c r="R533" s="6" t="n">
        <v>2</v>
      </c>
      <c r="S533" s="6" t="n">
        <v>0</v>
      </c>
      <c r="T533" s="6" t="n">
        <v>0</v>
      </c>
      <c r="U533" s="6" t="n">
        <v>0</v>
      </c>
      <c r="V533" s="6" t="n">
        <v>24</v>
      </c>
      <c r="W533" s="6" t="n">
        <v>33.0791</v>
      </c>
      <c r="X533" s="6" t="n">
        <v>1.1664</v>
      </c>
      <c r="Y533" s="6" t="inlineStr">
        <is>
          <t>Performance</t>
        </is>
      </c>
      <c r="Z533" s="6" t="inlineStr">
        <is>
          <t>Frozen-weight composite; strongest contribution: Performance.</t>
        </is>
      </c>
      <c r="AA533" s="6" t="inlineStr">
        <is>
          <t>None explicitly named in this RTM</t>
        </is>
      </c>
      <c r="AB533" s="6" t="inlineStr">
        <is>
          <t>SCK CEN/90508872 §4.7.4.3; no named external code</t>
        </is>
      </c>
      <c r="AC533" s="6" t="inlineStr">
        <is>
          <t>Calculation/model plus calibrated measurement or recorded trend</t>
        </is>
      </c>
      <c r="AD533" s="6" t="inlineStr">
        <is>
          <t>No separate deliverable explicitly named</t>
        </is>
      </c>
      <c r="AE533" s="6" t="inlineStr">
        <is>
          <t>L1 Conceptual Design; L2 Detailed Design</t>
        </is>
      </c>
      <c r="AF533" s="6" t="inlineStr">
        <is>
          <t>Section/contract-derived reference; derived evidence route</t>
        </is>
      </c>
      <c r="AG533" s="58" t="inlineStr">
        <is>
          <t>Not linked to an OFFER item</t>
        </is>
      </c>
    </row>
    <row r="534" ht="47" customHeight="1">
      <c r="A534" s="6" t="n">
        <v>529</v>
      </c>
      <c r="B534" s="6" t="inlineStr">
        <is>
          <t>RTM-419</t>
        </is>
      </c>
      <c r="C534" s="6" t="inlineStr">
        <is>
          <t>No</t>
        </is>
      </c>
      <c r="D534" s="6" t="inlineStr">
        <is>
          <t>T3 Contextual</t>
        </is>
      </c>
      <c r="E534" s="6" t="inlineStr">
        <is>
          <t>Buildings &amp; Utilities</t>
        </is>
      </c>
      <c r="F534" s="82" t="inlineStr">
        <is>
          <t>SYSTEM</t>
        </is>
      </c>
      <c r="G534" s="83" t="inlineStr">
        <is>
          <t>Performance</t>
        </is>
      </c>
      <c r="H534" s="59" t="inlineStr">
        <is>
          <t>—</t>
        </is>
      </c>
      <c r="I534" s="81" t="inlineStr">
        <is>
          <t>Inferred: C5 — Infrastructure &amp; Integration (high conf.)</t>
        </is>
      </c>
      <c r="J534" s="6" t="n">
        <v>84</v>
      </c>
      <c r="K534" s="6" t="inlineStr">
        <is>
          <t>4.7.4.3</t>
        </is>
      </c>
      <c r="L534" s="6" t="inlineStr">
        <is>
          <t>Water Heat exchangers</t>
        </is>
      </c>
      <c r="M534" s="6" t="inlineStr">
        <is>
          <t>All wetter materials (e.g., seals, and gaskets) shall be specified by the Contractor and subject to SCK CEN approval.</t>
        </is>
      </c>
      <c r="N534" s="6" t="inlineStr">
        <is>
          <t>All wetter materials (e.g., seals, and gaskets) shall be specified by the Contractor and subject to SCK CEN approval.</t>
        </is>
      </c>
      <c r="O534" s="6" t="n">
        <v>0</v>
      </c>
      <c r="P534" s="6" t="n">
        <v>0</v>
      </c>
      <c r="Q534" s="6" t="n">
        <v>2</v>
      </c>
      <c r="R534" s="6" t="n">
        <v>2</v>
      </c>
      <c r="S534" s="6" t="n">
        <v>0</v>
      </c>
      <c r="T534" s="6" t="n">
        <v>0</v>
      </c>
      <c r="U534" s="6" t="n">
        <v>0</v>
      </c>
      <c r="V534" s="6" t="n">
        <v>24</v>
      </c>
      <c r="W534" s="6" t="n">
        <v>33.0791</v>
      </c>
      <c r="X534" s="6" t="n">
        <v>1.1664</v>
      </c>
      <c r="Y534" s="6" t="inlineStr">
        <is>
          <t>Performance</t>
        </is>
      </c>
      <c r="Z534" s="6" t="inlineStr">
        <is>
          <t>Frozen-weight composite; strongest contribution: Performance.</t>
        </is>
      </c>
      <c r="AA534" s="6" t="inlineStr">
        <is>
          <t>None explicitly named in this RTM</t>
        </is>
      </c>
      <c r="AB534" s="6" t="inlineStr">
        <is>
          <t>SCK CEN/90508872 §4.7.4.3; no named external code</t>
        </is>
      </c>
      <c r="AC534" s="6" t="inlineStr">
        <is>
          <t>Calculation/model plus calibrated measurement or recorded trend</t>
        </is>
      </c>
      <c r="AD534" s="6" t="inlineStr">
        <is>
          <t>No separate deliverable explicitly named</t>
        </is>
      </c>
      <c r="AE534" s="6" t="inlineStr">
        <is>
          <t>L1 Conceptual Design; L2 Detailed Design</t>
        </is>
      </c>
      <c r="AF534" s="6" t="inlineStr">
        <is>
          <t>Section/contract-derived reference; derived evidence route</t>
        </is>
      </c>
      <c r="AG534" s="58" t="inlineStr">
        <is>
          <t>Not linked to an OFFER item</t>
        </is>
      </c>
    </row>
    <row r="535" ht="86" customHeight="1">
      <c r="A535" s="6" t="n">
        <v>530</v>
      </c>
      <c r="B535" s="6" t="inlineStr">
        <is>
          <t>RTM-434</t>
        </is>
      </c>
      <c r="C535" s="6" t="inlineStr">
        <is>
          <t>No</t>
        </is>
      </c>
      <c r="D535" s="6" t="inlineStr">
        <is>
          <t>T3 Contextual</t>
        </is>
      </c>
      <c r="E535" s="6" t="inlineStr">
        <is>
          <t>Buildings &amp; Utilities</t>
        </is>
      </c>
      <c r="F535" s="82" t="inlineStr">
        <is>
          <t>SYSTEM</t>
        </is>
      </c>
      <c r="G535" s="83" t="inlineStr">
        <is>
          <t>Control</t>
        </is>
      </c>
      <c r="H535" s="59" t="inlineStr">
        <is>
          <t>—</t>
        </is>
      </c>
      <c r="I535" s="58" t="inlineStr">
        <is>
          <t>C5 — Infrastructure &amp; Integration</t>
        </is>
      </c>
      <c r="J535" s="6" t="n">
        <v>85</v>
      </c>
      <c r="K535" s="6" t="inlineStr">
        <is>
          <t>4.7.6</t>
        </is>
      </c>
      <c r="L535" s="6" t="inlineStr">
        <is>
          <t>Interfaces with HVAC</t>
        </is>
      </c>
      <c r="M535" s="6" t="inlineStr">
        <is>
          <t>The QPS design shall comply with the following HVAC provisions supplied by SCK CEN:</t>
        </is>
      </c>
      <c r="N535" s="6" t="inlineStr">
        <is>
          <t>The QPS design shall comply with the following HVAC provisions supplied by SCK CEN:
• Ambient heat removal in the Compressor Room and in the Cold-Box Room.
• Dedicated exhaust-air ducts connected to the top of each HP compressor.
• No active equipment shall be assumed in the exhaust-air ducts for the purpose of heat removal. (e.g. any fans, dampers, or control devices)</t>
        </is>
      </c>
      <c r="O535" s="6" t="n">
        <v>0</v>
      </c>
      <c r="P535" s="6" t="n">
        <v>0</v>
      </c>
      <c r="Q535" s="6" t="n">
        <v>2</v>
      </c>
      <c r="R535" s="6" t="n">
        <v>2</v>
      </c>
      <c r="S535" s="6" t="n">
        <v>0</v>
      </c>
      <c r="T535" s="6" t="n">
        <v>0</v>
      </c>
      <c r="U535" s="6" t="n">
        <v>0</v>
      </c>
      <c r="V535" s="6" t="n">
        <v>24</v>
      </c>
      <c r="W535" s="6" t="n">
        <v>33.0791</v>
      </c>
      <c r="X535" s="6" t="n">
        <v>1.1664</v>
      </c>
      <c r="Y535" s="6" t="inlineStr">
        <is>
          <t>Performance</t>
        </is>
      </c>
      <c r="Z535" s="6" t="inlineStr">
        <is>
          <t>Frozen-weight composite; strongest contribution: Performance.</t>
        </is>
      </c>
      <c r="AA535" s="6" t="inlineStr">
        <is>
          <t>None explicitly named in this RTM</t>
        </is>
      </c>
      <c r="AB535" s="6" t="inlineStr">
        <is>
          <t>SCK CEN/90508872 §4.7.6; no named external code</t>
        </is>
      </c>
      <c r="AC535" s="6" t="inlineStr">
        <is>
          <t>Calculation/model plus calibrated measurement or recorded trend; Functional design/configuration review and sequence/interface demonstration</t>
        </is>
      </c>
      <c r="AD535" s="6" t="inlineStr">
        <is>
          <t>No separate deliverable explicitly named</t>
        </is>
      </c>
      <c r="AE535" s="6" t="inlineStr">
        <is>
          <t>L1 Conceptual Design; L2 Detailed Design</t>
        </is>
      </c>
      <c r="AF535" s="6" t="inlineStr">
        <is>
          <t>Section/contract-derived reference; derived evidence route</t>
        </is>
      </c>
      <c r="AG535" s="58" t="inlineStr">
        <is>
          <t>OFFER-35 (Direct)</t>
        </is>
      </c>
    </row>
    <row r="536" ht="99" customHeight="1">
      <c r="A536" s="6" t="n">
        <v>531</v>
      </c>
      <c r="B536" s="6" t="inlineStr">
        <is>
          <t>RTM-617</t>
        </is>
      </c>
      <c r="C536" s="6" t="inlineStr">
        <is>
          <t>No</t>
        </is>
      </c>
      <c r="D536" s="6" t="inlineStr">
        <is>
          <t>T3 Contextual</t>
        </is>
      </c>
      <c r="E536" s="6" t="inlineStr">
        <is>
          <t>Schedule</t>
        </is>
      </c>
      <c r="F536" s="82" t="inlineStr">
        <is>
          <t>PROJECT</t>
        </is>
      </c>
      <c r="G536" s="83" t="inlineStr">
        <is>
          <t>Governance &amp; Responsibility</t>
        </is>
      </c>
      <c r="H536" s="59" t="inlineStr">
        <is>
          <t>—</t>
        </is>
      </c>
      <c r="I536" s="58" t="inlineStr">
        <is>
          <t>C8 — Commercial &amp; Execution</t>
        </is>
      </c>
      <c r="J536" s="6" t="n">
        <v>116</v>
      </c>
      <c r="K536" s="6" t="inlineStr">
        <is>
          <t>6.1.3</t>
        </is>
      </c>
      <c r="L536" s="6" t="inlineStr">
        <is>
          <t>Construction (L3)</t>
        </is>
      </c>
      <c r="M536" s="6" t="inlineStr">
        <is>
          <t>In this phase, the Contractor shall, at least, perform the following activities:</t>
        </is>
      </c>
      <c r="N536" s="6" t="inlineStr">
        <is>
          <t>In this phase, the Contractor shall, at least, perform the following activities:
• Perform the procurement, assembly, and manufacturing of all components and services necessary for performing the Contract
• Prepare final plans and procedures for Phases L3 to L6
• Execute tests and inspections,
• Execute the FAT</t>
        </is>
      </c>
      <c r="O536" s="6" t="n">
        <v>0</v>
      </c>
      <c r="P536" s="6" t="n">
        <v>0</v>
      </c>
      <c r="Q536" s="6" t="n">
        <v>0</v>
      </c>
      <c r="R536" s="6" t="n">
        <v>2</v>
      </c>
      <c r="S536" s="6" t="n">
        <v>3</v>
      </c>
      <c r="T536" s="6" t="n">
        <v>0</v>
      </c>
      <c r="U536" s="6" t="n">
        <v>1</v>
      </c>
      <c r="V536" s="6" t="n">
        <v>23.666667</v>
      </c>
      <c r="W536" s="6" t="n">
        <v>26.491</v>
      </c>
      <c r="X536" s="6" t="n">
        <v>0.7883</v>
      </c>
      <c r="Y536" s="6" t="inlineStr">
        <is>
          <t>Quality / Verifiability</t>
        </is>
      </c>
      <c r="Z536" s="6" t="inlineStr">
        <is>
          <t>Frozen-weight composite; strongest contribution: Quality / Verifiability.</t>
        </is>
      </c>
      <c r="AA536" s="6" t="inlineStr">
        <is>
          <t>None explicitly named in this RTM</t>
        </is>
      </c>
      <c r="AB536" s="6" t="inlineStr">
        <is>
          <t>SCK CEN/90508872 §6.1.3; no named external code</t>
        </is>
      </c>
      <c r="AC536" s="6" t="inlineStr">
        <is>
          <t>Submit and review the named deliverable with RTM traceability and approval status; Witnessed FAT/SAT/commissioning test against stated acceptance criteria; Functional design/configuration review and sequence/interface demonstration</t>
        </is>
      </c>
      <c r="AD536" s="6" t="inlineStr">
        <is>
          <t>Procedure / work instruction</t>
        </is>
      </c>
      <c r="AE536" s="6" t="inlineStr">
        <is>
          <t>L3 Procurement &amp; Manufacturing / FAT; L0 Tender / Offer; L1 Conceptual Design; L2 Detailed Design; L4 Installation; L5 Standalone Commissioning; L6 Site Acceptance Testing</t>
        </is>
      </c>
      <c r="AF536" s="6" t="inlineStr">
        <is>
          <t>Section/contract-derived reference; explicit deliverable/test wording</t>
        </is>
      </c>
      <c r="AG536" s="58" t="inlineStr">
        <is>
          <t>OFFER-44 (Supporting)</t>
        </is>
      </c>
    </row>
    <row r="537" ht="60" customHeight="1">
      <c r="A537" s="6" t="n">
        <v>532</v>
      </c>
      <c r="B537" s="6" t="inlineStr">
        <is>
          <t>RTM-302</t>
        </is>
      </c>
      <c r="C537" s="6" t="inlineStr">
        <is>
          <t>No</t>
        </is>
      </c>
      <c r="D537" s="6" t="inlineStr">
        <is>
          <t>T3 Contextual</t>
        </is>
      </c>
      <c r="E537" s="6" t="inlineStr">
        <is>
          <t>Control &amp; Interlock</t>
        </is>
      </c>
      <c r="F537" s="82" t="inlineStr">
        <is>
          <t>SYSTEM</t>
        </is>
      </c>
      <c r="G537" s="83" t="inlineStr">
        <is>
          <t>Performance</t>
        </is>
      </c>
      <c r="H537" s="59" t="inlineStr">
        <is>
          <t>—</t>
        </is>
      </c>
      <c r="I537" s="81" t="inlineStr">
        <is>
          <t>Inferred: C4 — Software &amp; Control (high conf.)</t>
        </is>
      </c>
      <c r="J537" s="6" t="n">
        <v>71</v>
      </c>
      <c r="K537" s="6" t="inlineStr">
        <is>
          <t>4.6.3</t>
        </is>
      </c>
      <c r="L537" s="6" t="inlineStr">
        <is>
          <t>General requirements</t>
        </is>
      </c>
      <c r="M537" s="6" t="inlineStr">
        <is>
          <t>The QPS:CIS shall support real-time monitoring of instrument health (e.g.: drift, dropout, deviation from expected range) with alarms and diagnostic flags for early fault detection.</t>
        </is>
      </c>
      <c r="N537" s="6" t="inlineStr">
        <is>
          <t>The QPS:CIS shall support real-time monitoring of instrument health (e.g.: drift, dropout, deviation from expected range) with alarms and diagnostic flags for early fault detection.</t>
        </is>
      </c>
      <c r="O537" s="6" t="n">
        <v>0</v>
      </c>
      <c r="P537" s="6" t="n">
        <v>1</v>
      </c>
      <c r="Q537" s="6" t="n">
        <v>0</v>
      </c>
      <c r="R537" s="6" t="n">
        <v>3</v>
      </c>
      <c r="S537" s="6" t="n">
        <v>0</v>
      </c>
      <c r="T537" s="6" t="n">
        <v>0</v>
      </c>
      <c r="U537" s="6" t="n">
        <v>0</v>
      </c>
      <c r="V537" s="6" t="n">
        <v>23.333333</v>
      </c>
      <c r="W537" s="6" t="n">
        <v>25.0347</v>
      </c>
      <c r="X537" s="6" t="n">
        <v>0.7206</v>
      </c>
      <c r="Y537" s="6" t="inlineStr">
        <is>
          <t>Functional</t>
        </is>
      </c>
      <c r="Z537" s="6" t="inlineStr">
        <is>
          <t>Frozen-weight composite; strongest contribution: Functional.</t>
        </is>
      </c>
      <c r="AA537" s="6" t="inlineStr">
        <is>
          <t>None explicitly named in this RTM</t>
        </is>
      </c>
      <c r="AB537" s="6" t="inlineStr">
        <is>
          <t>SCK CEN/90508872 §4.6.3; no named external code</t>
        </is>
      </c>
      <c r="AC537" s="6" t="inlineStr">
        <is>
          <t>Design review plus final inspection/acceptance evidence</t>
        </is>
      </c>
      <c r="AD537" s="6" t="inlineStr">
        <is>
          <t>No separate deliverable explicitly named</t>
        </is>
      </c>
      <c r="AE537" s="6" t="inlineStr">
        <is>
          <t>L1 Conceptual Design; L2 Detailed Design</t>
        </is>
      </c>
      <c r="AF537" s="6" t="inlineStr">
        <is>
          <t>Section/contract-derived reference; derived evidence route</t>
        </is>
      </c>
      <c r="AG537" s="58" t="inlineStr">
        <is>
          <t>Not linked to an OFFER item</t>
        </is>
      </c>
    </row>
    <row r="538" ht="60" customHeight="1">
      <c r="A538" s="6" t="n">
        <v>533</v>
      </c>
      <c r="B538" s="6" t="inlineStr">
        <is>
          <t>RTM-314</t>
        </is>
      </c>
      <c r="C538" s="6" t="inlineStr">
        <is>
          <t>No</t>
        </is>
      </c>
      <c r="D538" s="6" t="inlineStr">
        <is>
          <t>T3 Contextual</t>
        </is>
      </c>
      <c r="E538" s="6" t="inlineStr">
        <is>
          <t>Control &amp; Interlock</t>
        </is>
      </c>
      <c r="F538" s="82" t="inlineStr">
        <is>
          <t>SYSTEM</t>
        </is>
      </c>
      <c r="G538" s="83" t="inlineStr">
        <is>
          <t>Performance</t>
        </is>
      </c>
      <c r="H538" s="59" t="inlineStr">
        <is>
          <t>—</t>
        </is>
      </c>
      <c r="I538" s="81" t="inlineStr">
        <is>
          <t>Inferred: C4 — Software &amp; Control (high conf.)</t>
        </is>
      </c>
      <c r="J538" s="6" t="n">
        <v>72</v>
      </c>
      <c r="K538" s="6" t="inlineStr">
        <is>
          <t>4.6.4.3</t>
        </is>
      </c>
      <c r="L538" s="6" t="inlineStr">
        <is>
          <t>MIT Services Integration</t>
        </is>
      </c>
      <c r="M538" s="6" t="inlineStr">
        <is>
          <t>Where the system has an operating system, the System shall support monitoring by at least one of the protocols mentioned in the MIT interface catalogue chapter "Monitoring" [AD_05.01].</t>
        </is>
      </c>
      <c r="N538" s="6" t="inlineStr">
        <is>
          <t>Where the system has an operating system, the System shall support monitoring by at least one of the protocols mentioned in the MIT interface catalogue chapter "Monitoring" [AD_05.01].</t>
        </is>
      </c>
      <c r="O538" s="6" t="n">
        <v>0</v>
      </c>
      <c r="P538" s="6" t="n">
        <v>1</v>
      </c>
      <c r="Q538" s="6" t="n">
        <v>0</v>
      </c>
      <c r="R538" s="6" t="n">
        <v>3</v>
      </c>
      <c r="S538" s="6" t="n">
        <v>0</v>
      </c>
      <c r="T538" s="6" t="n">
        <v>0</v>
      </c>
      <c r="U538" s="6" t="n">
        <v>0</v>
      </c>
      <c r="V538" s="6" t="n">
        <v>23.333333</v>
      </c>
      <c r="W538" s="6" t="n">
        <v>25.0347</v>
      </c>
      <c r="X538" s="6" t="n">
        <v>0.7206</v>
      </c>
      <c r="Y538" s="6" t="inlineStr">
        <is>
          <t>Functional</t>
        </is>
      </c>
      <c r="Z538" s="6" t="inlineStr">
        <is>
          <t>Frozen-weight composite; strongest contribution: Functional.</t>
        </is>
      </c>
      <c r="AA538" s="6" t="inlineStr">
        <is>
          <t>None explicitly named in this RTM</t>
        </is>
      </c>
      <c r="AB538" s="6" t="inlineStr">
        <is>
          <t>SCK CEN/90508872 §4.6.4.3; no named external code</t>
        </is>
      </c>
      <c r="AC538" s="6" t="inlineStr">
        <is>
          <t>Functional design/configuration review and sequence/interface demonstration</t>
        </is>
      </c>
      <c r="AD538" s="6" t="inlineStr">
        <is>
          <t>No separate deliverable explicitly named</t>
        </is>
      </c>
      <c r="AE538" s="6" t="inlineStr">
        <is>
          <t>L1 Conceptual Design; L2 Detailed Design</t>
        </is>
      </c>
      <c r="AF538" s="6" t="inlineStr">
        <is>
          <t>Section/contract-derived reference; derived evidence route</t>
        </is>
      </c>
      <c r="AG538" s="58" t="inlineStr">
        <is>
          <t>Not linked to an OFFER item</t>
        </is>
      </c>
    </row>
    <row r="539" ht="99" customHeight="1">
      <c r="A539" s="6" t="n">
        <v>534</v>
      </c>
      <c r="B539" s="6" t="inlineStr">
        <is>
          <t>RTM-325</t>
        </is>
      </c>
      <c r="C539" s="6" t="inlineStr">
        <is>
          <t>No</t>
        </is>
      </c>
      <c r="D539" s="6" t="inlineStr">
        <is>
          <t>T3 Contextual</t>
        </is>
      </c>
      <c r="E539" s="6" t="inlineStr">
        <is>
          <t>Control &amp; Interlock</t>
        </is>
      </c>
      <c r="F539" s="82" t="inlineStr">
        <is>
          <t>SYSTEM</t>
        </is>
      </c>
      <c r="G539" s="83" t="inlineStr">
        <is>
          <t>Performance</t>
        </is>
      </c>
      <c r="H539" s="59" t="inlineStr">
        <is>
          <t>—</t>
        </is>
      </c>
      <c r="I539" s="58" t="inlineStr">
        <is>
          <t>C8 — Commercial &amp; Execution</t>
        </is>
      </c>
      <c r="J539" s="6" t="n">
        <v>74</v>
      </c>
      <c r="K539" s="6" t="inlineStr">
        <is>
          <t>4.6.4.5</t>
        </is>
      </c>
      <c r="L539" s="6" t="inlineStr">
        <is>
          <t>Security</t>
        </is>
      </c>
      <c r="M539" s="6" t="inlineStr">
        <is>
          <t>Where infrastructure or tools are required for, or related to, the security of the system, the Contractor shall work with the SCK CEN to integrate with SCK CEN’s existing infrastructure and tooling. This includes, but is not limited to, tools and infrastructure for: Network security, Endpoint security, Identity and access management, Monitoring and analysis, or Data security.</t>
        </is>
      </c>
      <c r="N539" s="6" t="inlineStr">
        <is>
          <t>Where infrastructure or tools are required for, or related to, the security of the system, the Contractor shall work with the SCK CEN to integrate with SCK CEN’s existing infrastructure and tooling. This includes, but is not limited to, tools and infrastructure for: Network security, Endpoint security, Identity and access management, Monitoring and analysis, or Data security.</t>
        </is>
      </c>
      <c r="O539" s="6" t="n">
        <v>0</v>
      </c>
      <c r="P539" s="6" t="n">
        <v>1</v>
      </c>
      <c r="Q539" s="6" t="n">
        <v>0</v>
      </c>
      <c r="R539" s="6" t="n">
        <v>3</v>
      </c>
      <c r="S539" s="6" t="n">
        <v>0</v>
      </c>
      <c r="T539" s="6" t="n">
        <v>0</v>
      </c>
      <c r="U539" s="6" t="n">
        <v>0</v>
      </c>
      <c r="V539" s="6" t="n">
        <v>23.333333</v>
      </c>
      <c r="W539" s="6" t="n">
        <v>25.0347</v>
      </c>
      <c r="X539" s="6" t="n">
        <v>0.7206</v>
      </c>
      <c r="Y539" s="6" t="inlineStr">
        <is>
          <t>Functional</t>
        </is>
      </c>
      <c r="Z539" s="6" t="inlineStr">
        <is>
          <t>Frozen-weight composite; strongest contribution: Functional.</t>
        </is>
      </c>
      <c r="AA539" s="6" t="inlineStr">
        <is>
          <t>None explicitly named in this RTM</t>
        </is>
      </c>
      <c r="AB539" s="6" t="inlineStr">
        <is>
          <t>Section-level: ISO 27001; IEC 62443-3-3; EU Cyber Resilience Act (CRA); CE marking</t>
        </is>
      </c>
      <c r="AC539" s="6" t="inlineStr">
        <is>
          <t>Design review plus final inspection/acceptance evidence</t>
        </is>
      </c>
      <c r="AD539" s="6" t="inlineStr">
        <is>
          <t>No separate deliverable explicitly named</t>
        </is>
      </c>
      <c r="AE539" s="6" t="inlineStr">
        <is>
          <t>L1 Conceptual Design; L2 Detailed Design</t>
        </is>
      </c>
      <c r="AF539" s="6" t="inlineStr">
        <is>
          <t>Section/contract-derived reference; derived evidence route</t>
        </is>
      </c>
      <c r="AG539" s="58" t="inlineStr">
        <is>
          <t>OFFER-25 (Direct)</t>
        </is>
      </c>
    </row>
    <row r="540" ht="99" customHeight="1">
      <c r="A540" s="6" t="n">
        <v>535</v>
      </c>
      <c r="B540" s="6" t="inlineStr">
        <is>
          <t>RTM-330</t>
        </is>
      </c>
      <c r="C540" s="6" t="inlineStr">
        <is>
          <t>No</t>
        </is>
      </c>
      <c r="D540" s="6" t="inlineStr">
        <is>
          <t>T3 Contextual</t>
        </is>
      </c>
      <c r="E540" s="6" t="inlineStr">
        <is>
          <t>Control &amp; Interlock</t>
        </is>
      </c>
      <c r="F540" s="82" t="inlineStr">
        <is>
          <t>SYSTEM</t>
        </is>
      </c>
      <c r="G540" s="83" t="inlineStr">
        <is>
          <t>Control</t>
        </is>
      </c>
      <c r="H540" s="59" t="inlineStr">
        <is>
          <t>—</t>
        </is>
      </c>
      <c r="I540" s="81" t="inlineStr">
        <is>
          <t>Inferred: C4 — Software &amp; Control (high conf.)</t>
        </is>
      </c>
      <c r="J540" s="6" t="n">
        <v>74</v>
      </c>
      <c r="K540" s="6" t="inlineStr">
        <is>
          <t>4.6.5</t>
        </is>
      </c>
      <c r="L540" s="6" t="inlineStr">
        <is>
          <t>MCS Integration</t>
        </is>
      </c>
      <c r="M540" s="6" t="inlineStr">
        <is>
          <t>The QPS:CIS shall implement a Control and Monitoring interface with the Concentrator PLC (refer to Figure 11 and items 20 and 33), exchanging real-time operational and control signals at an update rate of 1 Hz. This will be used by Concentrator PLC, implemented within MCS, to actively control and enforce this temperature change rate by issuing setpoints to the QPLANT.</t>
        </is>
      </c>
      <c r="N540" s="6" t="inlineStr">
        <is>
          <t>The QPS:CIS shall implement a Control and Monitoring interface with the Concentrator PLC (refer to Figure 11 and items 20 and 33), exchanging real-time operational and control signals at an update rate of 1 Hz. This will be used by Concentrator PLC, implemented within MCS, to actively control and enforce this temperature change rate by issuing setpoints to the QPLANT.</t>
        </is>
      </c>
      <c r="O540" s="6" t="n">
        <v>0</v>
      </c>
      <c r="P540" s="6" t="n">
        <v>1</v>
      </c>
      <c r="Q540" s="6" t="n">
        <v>0</v>
      </c>
      <c r="R540" s="6" t="n">
        <v>3</v>
      </c>
      <c r="S540" s="6" t="n">
        <v>0</v>
      </c>
      <c r="T540" s="6" t="n">
        <v>0</v>
      </c>
      <c r="U540" s="6" t="n">
        <v>0</v>
      </c>
      <c r="V540" s="6" t="n">
        <v>23.333333</v>
      </c>
      <c r="W540" s="6" t="n">
        <v>25.0347</v>
      </c>
      <c r="X540" s="6" t="n">
        <v>0.7206</v>
      </c>
      <c r="Y540" s="6" t="inlineStr">
        <is>
          <t>Functional</t>
        </is>
      </c>
      <c r="Z540" s="6" t="inlineStr">
        <is>
          <t>Frozen-weight composite; strongest contribution: Functional.</t>
        </is>
      </c>
      <c r="AA540" s="6" t="inlineStr">
        <is>
          <t>None explicitly named in this RTM</t>
        </is>
      </c>
      <c r="AB540" s="6" t="inlineStr">
        <is>
          <t>SCK CEN/90508872 §4.6.5; no named external code</t>
        </is>
      </c>
      <c r="AC540" s="6" t="inlineStr">
        <is>
          <t>Functional design/configuration review and sequence/interface demonstration</t>
        </is>
      </c>
      <c r="AD540" s="6" t="inlineStr">
        <is>
          <t>No separate deliverable explicitly named</t>
        </is>
      </c>
      <c r="AE540" s="6" t="inlineStr">
        <is>
          <t>L1 Conceptual Design; L2 Detailed Design</t>
        </is>
      </c>
      <c r="AF540" s="6" t="inlineStr">
        <is>
          <t>Section/contract-derived reference; derived evidence route</t>
        </is>
      </c>
      <c r="AG540" s="58" t="inlineStr">
        <is>
          <t>Not linked to an OFFER item</t>
        </is>
      </c>
    </row>
    <row r="541" ht="60" customHeight="1">
      <c r="A541" s="6" t="n">
        <v>536</v>
      </c>
      <c r="B541" s="6" t="inlineStr">
        <is>
          <t>RTM-332</t>
        </is>
      </c>
      <c r="C541" s="6" t="inlineStr">
        <is>
          <t>No</t>
        </is>
      </c>
      <c r="D541" s="6" t="inlineStr">
        <is>
          <t>T3 Contextual</t>
        </is>
      </c>
      <c r="E541" s="6" t="inlineStr">
        <is>
          <t>Control &amp; Interlock</t>
        </is>
      </c>
      <c r="F541" s="82" t="inlineStr">
        <is>
          <t>SYSTEM</t>
        </is>
      </c>
      <c r="G541" s="83" t="inlineStr">
        <is>
          <t>Control</t>
        </is>
      </c>
      <c r="H541" s="59" t="inlineStr">
        <is>
          <t>—</t>
        </is>
      </c>
      <c r="I541" s="81" t="inlineStr">
        <is>
          <t>Inferred: C4 — Software &amp; Control (high conf.)</t>
        </is>
      </c>
      <c r="J541" s="6" t="n">
        <v>74</v>
      </c>
      <c r="K541" s="6" t="inlineStr">
        <is>
          <t>4.6.5</t>
        </is>
      </c>
      <c r="L541" s="6" t="inlineStr">
        <is>
          <t>MCS Integration</t>
        </is>
      </c>
      <c r="M541" s="6" t="inlineStr">
        <is>
          <t>All the control parameters relevant for User Integration (QCELL’s) (e.g.: setpoints and thresholds), including calibration data shall be available to the control and monitoring interface with MCS.</t>
        </is>
      </c>
      <c r="N541" s="6" t="inlineStr">
        <is>
          <t>All the control parameters relevant for User Integration (QCELL’s) (e.g.: setpoints and thresholds), including calibration data shall be available to the control and monitoring interface with MCS.</t>
        </is>
      </c>
      <c r="O541" s="6" t="n">
        <v>0</v>
      </c>
      <c r="P541" s="6" t="n">
        <v>1</v>
      </c>
      <c r="Q541" s="6" t="n">
        <v>0</v>
      </c>
      <c r="R541" s="6" t="n">
        <v>3</v>
      </c>
      <c r="S541" s="6" t="n">
        <v>0</v>
      </c>
      <c r="T541" s="6" t="n">
        <v>0</v>
      </c>
      <c r="U541" s="6" t="n">
        <v>0</v>
      </c>
      <c r="V541" s="6" t="n">
        <v>23.333333</v>
      </c>
      <c r="W541" s="6" t="n">
        <v>25.0347</v>
      </c>
      <c r="X541" s="6" t="n">
        <v>0.7206</v>
      </c>
      <c r="Y541" s="6" t="inlineStr">
        <is>
          <t>Functional</t>
        </is>
      </c>
      <c r="Z541" s="6" t="inlineStr">
        <is>
          <t>Frozen-weight composite; strongest contribution: Functional.</t>
        </is>
      </c>
      <c r="AA541" s="6" t="inlineStr">
        <is>
          <t>None explicitly named in this RTM</t>
        </is>
      </c>
      <c r="AB541" s="6" t="inlineStr">
        <is>
          <t>SCK CEN/90508872 §4.6.5; no named external code</t>
        </is>
      </c>
      <c r="AC541" s="6" t="inlineStr">
        <is>
          <t>Functional design/configuration review and sequence/interface demonstration</t>
        </is>
      </c>
      <c r="AD541" s="6" t="inlineStr">
        <is>
          <t>No separate deliverable explicitly named</t>
        </is>
      </c>
      <c r="AE541" s="6" t="inlineStr">
        <is>
          <t>L1 Conceptual Design; L2 Detailed Design</t>
        </is>
      </c>
      <c r="AF541" s="6" t="inlineStr">
        <is>
          <t>Section/contract-derived reference; derived evidence route</t>
        </is>
      </c>
      <c r="AG541" s="58" t="inlineStr">
        <is>
          <t>Not linked to an OFFER item</t>
        </is>
      </c>
    </row>
    <row r="542" ht="86" customHeight="1">
      <c r="A542" s="6" t="n">
        <v>537</v>
      </c>
      <c r="B542" s="6" t="inlineStr">
        <is>
          <t>RTM-350</t>
        </is>
      </c>
      <c r="C542" s="6" t="inlineStr">
        <is>
          <t>No</t>
        </is>
      </c>
      <c r="D542" s="6" t="inlineStr">
        <is>
          <t>T3 Contextual</t>
        </is>
      </c>
      <c r="E542" s="6" t="inlineStr">
        <is>
          <t>Control &amp; Interlock</t>
        </is>
      </c>
      <c r="F542" s="82" t="inlineStr">
        <is>
          <t>SYSTEM</t>
        </is>
      </c>
      <c r="G542" s="83" t="inlineStr">
        <is>
          <t>Performance</t>
        </is>
      </c>
      <c r="H542" s="59" t="inlineStr">
        <is>
          <t>—</t>
        </is>
      </c>
      <c r="I542" s="58" t="inlineStr">
        <is>
          <t>C4 — Software &amp; Control</t>
        </is>
      </c>
      <c r="J542" s="6" t="n">
        <v>76</v>
      </c>
      <c r="K542" s="6" t="inlineStr">
        <is>
          <t>4.6.8</t>
        </is>
      </c>
      <c r="L542" s="6" t="inlineStr">
        <is>
          <t>SCADA, HMI, and Data Historian Infrastructure</t>
        </is>
      </c>
      <c r="M542" s="6" t="inlineStr">
        <is>
          <t>The Contractor shall optionally support later integration of QPS:CIS with the MINERVA SCADA System. This support shall include, at minimum:</t>
        </is>
      </c>
      <c r="N542" s="6" t="inlineStr">
        <is>
          <t>The Contractor shall optionally support later integration of QPS:CIS with the MINERVA SCADA System. This support shall include, at minimum:
• operator screen design support
• communication protocol provision
• coordination for tag/alarm consistency
• provision of all technical documentation</t>
        </is>
      </c>
      <c r="O542" s="6" t="n">
        <v>0</v>
      </c>
      <c r="P542" s="6" t="n">
        <v>1</v>
      </c>
      <c r="Q542" s="6" t="n">
        <v>0</v>
      </c>
      <c r="R542" s="6" t="n">
        <v>3</v>
      </c>
      <c r="S542" s="6" t="n">
        <v>0</v>
      </c>
      <c r="T542" s="6" t="n">
        <v>0</v>
      </c>
      <c r="U542" s="6" t="n">
        <v>0</v>
      </c>
      <c r="V542" s="6" t="n">
        <v>23.333333</v>
      </c>
      <c r="W542" s="6" t="n">
        <v>25.0347</v>
      </c>
      <c r="X542" s="6" t="n">
        <v>0.7206</v>
      </c>
      <c r="Y542" s="6" t="inlineStr">
        <is>
          <t>Functional</t>
        </is>
      </c>
      <c r="Z542" s="6" t="inlineStr">
        <is>
          <t>Frozen-weight composite; strongest contribution: Functional.</t>
        </is>
      </c>
      <c r="AA542" s="6" t="inlineStr">
        <is>
          <t>None explicitly named in this RTM</t>
        </is>
      </c>
      <c r="AB542" s="6" t="inlineStr">
        <is>
          <t>SCK CEN/90508872 §4.6.8; no named external code</t>
        </is>
      </c>
      <c r="AC542" s="6" t="inlineStr">
        <is>
          <t>Design review plus final inspection/acceptance evidence</t>
        </is>
      </c>
      <c r="AD542" s="6" t="inlineStr">
        <is>
          <t>No separate deliverable explicitly named</t>
        </is>
      </c>
      <c r="AE542" s="6" t="inlineStr">
        <is>
          <t>L1 Conceptual Design; L2 Detailed Design</t>
        </is>
      </c>
      <c r="AF542" s="6" t="inlineStr">
        <is>
          <t>Section/contract-derived reference; derived evidence route</t>
        </is>
      </c>
      <c r="AG542" s="58" t="inlineStr">
        <is>
          <t>OFFER-29 (Direct)</t>
        </is>
      </c>
    </row>
    <row r="543" ht="47" customHeight="1">
      <c r="A543" s="6" t="n">
        <v>538</v>
      </c>
      <c r="B543" s="6" t="inlineStr">
        <is>
          <t>RTM-356</t>
        </is>
      </c>
      <c r="C543" s="6" t="inlineStr">
        <is>
          <t>No</t>
        </is>
      </c>
      <c r="D543" s="6" t="inlineStr">
        <is>
          <t>T3 Contextual</t>
        </is>
      </c>
      <c r="E543" s="6" t="inlineStr">
        <is>
          <t>Control &amp; Interlock</t>
        </is>
      </c>
      <c r="F543" s="82" t="inlineStr">
        <is>
          <t>SYSTEM</t>
        </is>
      </c>
      <c r="G543" s="83" t="inlineStr">
        <is>
          <t>Control</t>
        </is>
      </c>
      <c r="H543" s="59" t="inlineStr">
        <is>
          <t>—</t>
        </is>
      </c>
      <c r="I543" s="58" t="inlineStr">
        <is>
          <t>C4 — Software &amp; Control</t>
        </is>
      </c>
      <c r="J543" s="6" t="n">
        <v>77</v>
      </c>
      <c r="K543" s="6" t="inlineStr">
        <is>
          <t>4.6.8</t>
        </is>
      </c>
      <c r="L543" s="6" t="inlineStr">
        <is>
          <t>SCADA, HMI, and Data Historian Infrastructure</t>
        </is>
      </c>
      <c r="M543" s="6" t="inlineStr">
        <is>
          <t>The Operator Station HMI shall not host real-time or safety-critical control functions. It shall be limited to monitoring, visualization, and local interaction.</t>
        </is>
      </c>
      <c r="N543" s="6" t="inlineStr">
        <is>
          <t>The Operator Station HMI shall not host real-time or safety-critical control functions. It shall be limited to monitoring, visualization, and local interaction.</t>
        </is>
      </c>
      <c r="O543" s="6" t="n">
        <v>0</v>
      </c>
      <c r="P543" s="6" t="n">
        <v>1</v>
      </c>
      <c r="Q543" s="6" t="n">
        <v>0</v>
      </c>
      <c r="R543" s="6" t="n">
        <v>3</v>
      </c>
      <c r="S543" s="6" t="n">
        <v>0</v>
      </c>
      <c r="T543" s="6" t="n">
        <v>0</v>
      </c>
      <c r="U543" s="6" t="n">
        <v>0</v>
      </c>
      <c r="V543" s="6" t="n">
        <v>23.333333</v>
      </c>
      <c r="W543" s="6" t="n">
        <v>25.0347</v>
      </c>
      <c r="X543" s="6" t="n">
        <v>0.7206</v>
      </c>
      <c r="Y543" s="6" t="inlineStr">
        <is>
          <t>Functional</t>
        </is>
      </c>
      <c r="Z543" s="6" t="inlineStr">
        <is>
          <t>Frozen-weight composite; strongest contribution: Functional.</t>
        </is>
      </c>
      <c r="AA543" s="6" t="inlineStr">
        <is>
          <t>None explicitly named in this RTM</t>
        </is>
      </c>
      <c r="AB543" s="6" t="inlineStr">
        <is>
          <t>SCK CEN/90508872 §4.6.8; no named external code</t>
        </is>
      </c>
      <c r="AC543" s="6" t="inlineStr">
        <is>
          <t>Functional design/configuration review and sequence/interface demonstration</t>
        </is>
      </c>
      <c r="AD543" s="6" t="inlineStr">
        <is>
          <t>No separate deliverable explicitly named</t>
        </is>
      </c>
      <c r="AE543" s="6" t="inlineStr">
        <is>
          <t>L1 Conceptual Design; L2 Detailed Design</t>
        </is>
      </c>
      <c r="AF543" s="6" t="inlineStr">
        <is>
          <t>Section/contract-derived reference; derived evidence route</t>
        </is>
      </c>
      <c r="AG543" s="58" t="inlineStr">
        <is>
          <t>OFFER-29 (Direct)</t>
        </is>
      </c>
    </row>
    <row r="544" ht="60" customHeight="1">
      <c r="A544" s="6" t="n">
        <v>539</v>
      </c>
      <c r="B544" s="6" t="inlineStr">
        <is>
          <t>RTM-357</t>
        </is>
      </c>
      <c r="C544" s="6" t="inlineStr">
        <is>
          <t>No</t>
        </is>
      </c>
      <c r="D544" s="6" t="inlineStr">
        <is>
          <t>T3 Contextual</t>
        </is>
      </c>
      <c r="E544" s="6" t="inlineStr">
        <is>
          <t>Control &amp; Interlock</t>
        </is>
      </c>
      <c r="F544" s="82" t="inlineStr">
        <is>
          <t>SYSTEM</t>
        </is>
      </c>
      <c r="G544" s="83" t="inlineStr">
        <is>
          <t>Performance</t>
        </is>
      </c>
      <c r="H544" s="59" t="inlineStr">
        <is>
          <t>—</t>
        </is>
      </c>
      <c r="I544" s="58" t="inlineStr">
        <is>
          <t>C4 — Software &amp; Control</t>
        </is>
      </c>
      <c r="J544" s="6" t="n">
        <v>77</v>
      </c>
      <c r="K544" s="6" t="inlineStr">
        <is>
          <t>4.6.8</t>
        </is>
      </c>
      <c r="L544" s="6" t="inlineStr">
        <is>
          <t>SCADA, HMI, and Data Historian Infrastructure</t>
        </is>
      </c>
      <c r="M544" s="6" t="inlineStr">
        <is>
          <t>The Operator Station HMI shall store operational data (trends, alarms) only for short-term analysis. Local data shall not be backed up and may be overwritten after the configured retention period.</t>
        </is>
      </c>
      <c r="N544" s="6" t="inlineStr">
        <is>
          <t>The Operator Station HMI shall store operational data (trends, alarms) only for short-term analysis. Local data shall not be backed up and may be overwritten after the configured retention period.</t>
        </is>
      </c>
      <c r="O544" s="6" t="n">
        <v>0</v>
      </c>
      <c r="P544" s="6" t="n">
        <v>1</v>
      </c>
      <c r="Q544" s="6" t="n">
        <v>0</v>
      </c>
      <c r="R544" s="6" t="n">
        <v>3</v>
      </c>
      <c r="S544" s="6" t="n">
        <v>0</v>
      </c>
      <c r="T544" s="6" t="n">
        <v>0</v>
      </c>
      <c r="U544" s="6" t="n">
        <v>0</v>
      </c>
      <c r="V544" s="6" t="n">
        <v>23.333333</v>
      </c>
      <c r="W544" s="6" t="n">
        <v>25.0347</v>
      </c>
      <c r="X544" s="6" t="n">
        <v>0.7206</v>
      </c>
      <c r="Y544" s="6" t="inlineStr">
        <is>
          <t>Functional</t>
        </is>
      </c>
      <c r="Z544" s="6" t="inlineStr">
        <is>
          <t>Frozen-weight composite; strongest contribution: Functional.</t>
        </is>
      </c>
      <c r="AA544" s="6" t="inlineStr">
        <is>
          <t>None explicitly named in this RTM</t>
        </is>
      </c>
      <c r="AB544" s="6" t="inlineStr">
        <is>
          <t>SCK CEN/90508872 §4.6.8; no named external code</t>
        </is>
      </c>
      <c r="AC544" s="6" t="inlineStr">
        <is>
          <t>Functional design/configuration review and sequence/interface demonstration</t>
        </is>
      </c>
      <c r="AD544" s="6" t="inlineStr">
        <is>
          <t>No separate deliverable explicitly named</t>
        </is>
      </c>
      <c r="AE544" s="6" t="inlineStr">
        <is>
          <t>L1 Conceptual Design; L2 Detailed Design</t>
        </is>
      </c>
      <c r="AF544" s="6" t="inlineStr">
        <is>
          <t>Section/contract-derived reference; derived evidence route</t>
        </is>
      </c>
      <c r="AG544" s="58" t="inlineStr">
        <is>
          <t>OFFER-29 (Direct)</t>
        </is>
      </c>
    </row>
    <row r="545" ht="34" customHeight="1">
      <c r="A545" s="6" t="n">
        <v>540</v>
      </c>
      <c r="B545" s="6" t="inlineStr">
        <is>
          <t>RTM-359</t>
        </is>
      </c>
      <c r="C545" s="6" t="inlineStr">
        <is>
          <t>No</t>
        </is>
      </c>
      <c r="D545" s="6" t="inlineStr">
        <is>
          <t>T3 Contextual</t>
        </is>
      </c>
      <c r="E545" s="6" t="inlineStr">
        <is>
          <t>Control &amp; Interlock</t>
        </is>
      </c>
      <c r="F545" s="82" t="inlineStr">
        <is>
          <t>SYSTEM</t>
        </is>
      </c>
      <c r="G545" s="83" t="inlineStr">
        <is>
          <t>Performance</t>
        </is>
      </c>
      <c r="H545" s="59" t="inlineStr">
        <is>
          <t>—</t>
        </is>
      </c>
      <c r="I545" s="58" t="inlineStr">
        <is>
          <t>C4 — Software &amp; Control</t>
        </is>
      </c>
      <c r="J545" s="6" t="n">
        <v>77</v>
      </c>
      <c r="K545" s="6" t="inlineStr">
        <is>
          <t>4.6.8</t>
        </is>
      </c>
      <c r="L545" s="6" t="inlineStr">
        <is>
          <t>SCADA, HMI, and Data Historian Infrastructure</t>
        </is>
      </c>
      <c r="M545" s="6" t="inlineStr">
        <is>
          <t>The Operator Station HMI shall include graphical process views for monitoring equipment states and process flows.</t>
        </is>
      </c>
      <c r="N545" s="6" t="inlineStr">
        <is>
          <t>The Operator Station HMI shall include graphical process views for monitoring equipment states and process flows.</t>
        </is>
      </c>
      <c r="O545" s="6" t="n">
        <v>0</v>
      </c>
      <c r="P545" s="6" t="n">
        <v>1</v>
      </c>
      <c r="Q545" s="6" t="n">
        <v>0</v>
      </c>
      <c r="R545" s="6" t="n">
        <v>3</v>
      </c>
      <c r="S545" s="6" t="n">
        <v>0</v>
      </c>
      <c r="T545" s="6" t="n">
        <v>0</v>
      </c>
      <c r="U545" s="6" t="n">
        <v>0</v>
      </c>
      <c r="V545" s="6" t="n">
        <v>23.333333</v>
      </c>
      <c r="W545" s="6" t="n">
        <v>25.0347</v>
      </c>
      <c r="X545" s="6" t="n">
        <v>0.7206</v>
      </c>
      <c r="Y545" s="6" t="inlineStr">
        <is>
          <t>Functional</t>
        </is>
      </c>
      <c r="Z545" s="6" t="inlineStr">
        <is>
          <t>Frozen-weight composite; strongest contribution: Functional.</t>
        </is>
      </c>
      <c r="AA545" s="6" t="inlineStr">
        <is>
          <t>None explicitly named in this RTM</t>
        </is>
      </c>
      <c r="AB545" s="6" t="inlineStr">
        <is>
          <t>SCK CEN/90508872 §4.6.8; no named external code</t>
        </is>
      </c>
      <c r="AC545" s="6" t="inlineStr">
        <is>
          <t>Design review plus final inspection/acceptance evidence</t>
        </is>
      </c>
      <c r="AD545" s="6" t="inlineStr">
        <is>
          <t>No separate deliverable explicitly named</t>
        </is>
      </c>
      <c r="AE545" s="6" t="inlineStr">
        <is>
          <t>L1 Conceptual Design; L2 Detailed Design</t>
        </is>
      </c>
      <c r="AF545" s="6" t="inlineStr">
        <is>
          <t>Section/contract-derived reference; derived evidence route</t>
        </is>
      </c>
      <c r="AG545" s="58" t="inlineStr">
        <is>
          <t>OFFER-29 (Direct)</t>
        </is>
      </c>
    </row>
    <row r="546" ht="60" customHeight="1">
      <c r="A546" s="6" t="n">
        <v>541</v>
      </c>
      <c r="B546" s="6" t="inlineStr">
        <is>
          <t>RTM-360</t>
        </is>
      </c>
      <c r="C546" s="6" t="inlineStr">
        <is>
          <t>No</t>
        </is>
      </c>
      <c r="D546" s="6" t="inlineStr">
        <is>
          <t>T3 Contextual</t>
        </is>
      </c>
      <c r="E546" s="6" t="inlineStr">
        <is>
          <t>Control &amp; Interlock</t>
        </is>
      </c>
      <c r="F546" s="82" t="inlineStr">
        <is>
          <t>SYSTEM</t>
        </is>
      </c>
      <c r="G546" s="83" t="inlineStr">
        <is>
          <t>Performance</t>
        </is>
      </c>
      <c r="H546" s="59" t="inlineStr">
        <is>
          <t>—</t>
        </is>
      </c>
      <c r="I546" s="58" t="inlineStr">
        <is>
          <t>C4 — Software &amp; Control</t>
        </is>
      </c>
      <c r="J546" s="6" t="n">
        <v>77</v>
      </c>
      <c r="K546" s="6" t="inlineStr">
        <is>
          <t>4.6.8</t>
        </is>
      </c>
      <c r="L546" s="6" t="inlineStr">
        <is>
          <t>SCADA, HMI, and Data Historian Infrastructure</t>
        </is>
      </c>
      <c r="M546" s="6" t="inlineStr">
        <is>
          <t>The Operator Station HMI shall display and log alarms and events for operator awareness. Alarm acknowledgement shall not be implemented at the Operator Station if no authentication of the user is possible.</t>
        </is>
      </c>
      <c r="N546" s="6" t="inlineStr">
        <is>
          <t>The Operator Station HMI shall display and log alarms and events for operator awareness. Alarm acknowledgement shall not be implemented at the Operator Station if no authentication of the user is possible.</t>
        </is>
      </c>
      <c r="O546" s="6" t="n">
        <v>0</v>
      </c>
      <c r="P546" s="6" t="n">
        <v>1</v>
      </c>
      <c r="Q546" s="6" t="n">
        <v>0</v>
      </c>
      <c r="R546" s="6" t="n">
        <v>3</v>
      </c>
      <c r="S546" s="6" t="n">
        <v>0</v>
      </c>
      <c r="T546" s="6" t="n">
        <v>0</v>
      </c>
      <c r="U546" s="6" t="n">
        <v>0</v>
      </c>
      <c r="V546" s="6" t="n">
        <v>23.333333</v>
      </c>
      <c r="W546" s="6" t="n">
        <v>25.0347</v>
      </c>
      <c r="X546" s="6" t="n">
        <v>0.7206</v>
      </c>
      <c r="Y546" s="6" t="inlineStr">
        <is>
          <t>Functional</t>
        </is>
      </c>
      <c r="Z546" s="6" t="inlineStr">
        <is>
          <t>Frozen-weight composite; strongest contribution: Functional.</t>
        </is>
      </c>
      <c r="AA546" s="6" t="inlineStr">
        <is>
          <t>None explicitly named in this RTM</t>
        </is>
      </c>
      <c r="AB546" s="6" t="inlineStr">
        <is>
          <t>SCK CEN/90508872 §4.6.8; no named external code</t>
        </is>
      </c>
      <c r="AC546" s="6" t="inlineStr">
        <is>
          <t>Design review plus final inspection/acceptance evidence</t>
        </is>
      </c>
      <c r="AD546" s="6" t="inlineStr">
        <is>
          <t>No separate deliverable explicitly named</t>
        </is>
      </c>
      <c r="AE546" s="6" t="inlineStr">
        <is>
          <t>L1 Conceptual Design; L2 Detailed Design</t>
        </is>
      </c>
      <c r="AF546" s="6" t="inlineStr">
        <is>
          <t>Section/contract-derived reference; derived evidence route</t>
        </is>
      </c>
      <c r="AG546" s="58" t="inlineStr">
        <is>
          <t>OFFER-29 (Direct)</t>
        </is>
      </c>
    </row>
    <row r="547" ht="60" customHeight="1">
      <c r="A547" s="6" t="n">
        <v>542</v>
      </c>
      <c r="B547" s="6" t="inlineStr">
        <is>
          <t>RTM-371</t>
        </is>
      </c>
      <c r="C547" s="6" t="inlineStr">
        <is>
          <t>No</t>
        </is>
      </c>
      <c r="D547" s="6" t="inlineStr">
        <is>
          <t>T3 Contextual</t>
        </is>
      </c>
      <c r="E547" s="6" t="inlineStr">
        <is>
          <t>Control &amp; Interlock</t>
        </is>
      </c>
      <c r="F547" s="82" t="inlineStr">
        <is>
          <t>SYSTEM</t>
        </is>
      </c>
      <c r="G547" s="83" t="inlineStr">
        <is>
          <t>Control</t>
        </is>
      </c>
      <c r="H547" s="59" t="inlineStr">
        <is>
          <t>—</t>
        </is>
      </c>
      <c r="I547" s="81" t="inlineStr">
        <is>
          <t>Inferred: C4 — Software &amp; Control (high conf.)</t>
        </is>
      </c>
      <c r="J547" s="6" t="n">
        <v>78</v>
      </c>
      <c r="K547" s="6" t="inlineStr">
        <is>
          <t>4.6.10.1</t>
        </is>
      </c>
      <c r="L547" s="6" t="inlineStr">
        <is>
          <t>Interfaces with MCS</t>
        </is>
      </c>
      <c r="M547" s="6" t="inlineStr">
        <is>
          <t>The interface between QPS (Contractor) and Control System (ICS) shall comply to the Slow Fieldbus Control and Monitoring Interfaces type C as listed in MCS Interface Catalogue [AD_05.04].</t>
        </is>
      </c>
      <c r="N547" s="6" t="inlineStr">
        <is>
          <t>The interface between QPS (Contractor) and Control System (ICS) shall comply to the Slow Fieldbus Control and Monitoring Interfaces type C as listed in MCS Interface Catalogue [AD_05.04].</t>
        </is>
      </c>
      <c r="O547" s="6" t="n">
        <v>0</v>
      </c>
      <c r="P547" s="6" t="n">
        <v>1</v>
      </c>
      <c r="Q547" s="6" t="n">
        <v>0</v>
      </c>
      <c r="R547" s="6" t="n">
        <v>3</v>
      </c>
      <c r="S547" s="6" t="n">
        <v>0</v>
      </c>
      <c r="T547" s="6" t="n">
        <v>0</v>
      </c>
      <c r="U547" s="6" t="n">
        <v>0</v>
      </c>
      <c r="V547" s="6" t="n">
        <v>23.333333</v>
      </c>
      <c r="W547" s="6" t="n">
        <v>25.0347</v>
      </c>
      <c r="X547" s="6" t="n">
        <v>0.7206</v>
      </c>
      <c r="Y547" s="6" t="inlineStr">
        <is>
          <t>Functional</t>
        </is>
      </c>
      <c r="Z547" s="6" t="inlineStr">
        <is>
          <t>Frozen-weight composite; strongest contribution: Functional.</t>
        </is>
      </c>
      <c r="AA547" s="6" t="inlineStr">
        <is>
          <t>None explicitly named in this RTM</t>
        </is>
      </c>
      <c r="AB547" s="6" t="inlineStr">
        <is>
          <t>SCK CEN/90508872 §4.6.10.1; no named external code</t>
        </is>
      </c>
      <c r="AC547" s="6" t="inlineStr">
        <is>
          <t>Functional design/configuration review and sequence/interface demonstration</t>
        </is>
      </c>
      <c r="AD547" s="6" t="inlineStr">
        <is>
          <t>No separate deliverable explicitly named</t>
        </is>
      </c>
      <c r="AE547" s="6" t="inlineStr">
        <is>
          <t>L1 Conceptual Design; L2 Detailed Design</t>
        </is>
      </c>
      <c r="AF547" s="6" t="inlineStr">
        <is>
          <t>Section/contract-derived reference; derived evidence route</t>
        </is>
      </c>
      <c r="AG547" s="58" t="inlineStr">
        <is>
          <t>Not linked to an OFFER item</t>
        </is>
      </c>
    </row>
    <row r="548" ht="86" customHeight="1">
      <c r="A548" s="6" t="n">
        <v>543</v>
      </c>
      <c r="B548" s="6" t="inlineStr">
        <is>
          <t>RTM-566</t>
        </is>
      </c>
      <c r="C548" s="6" t="inlineStr">
        <is>
          <t>No</t>
        </is>
      </c>
      <c r="D548" s="6" t="inlineStr">
        <is>
          <t>T3 Contextual</t>
        </is>
      </c>
      <c r="E548" s="6" t="inlineStr">
        <is>
          <t>Technical Documentation</t>
        </is>
      </c>
      <c r="F548" s="82" t="inlineStr">
        <is>
          <t>PROJECT</t>
        </is>
      </c>
      <c r="G548" s="83" t="inlineStr">
        <is>
          <t>Documentation &amp; Compliance</t>
        </is>
      </c>
      <c r="H548" s="59" t="inlineStr">
        <is>
          <t>—</t>
        </is>
      </c>
      <c r="I548" s="58" t="inlineStr">
        <is>
          <t>Not linked to an OFFER item</t>
        </is>
      </c>
      <c r="J548" s="6" t="n">
        <v>109</v>
      </c>
      <c r="K548" s="6" t="inlineStr">
        <is>
          <t>4.16</t>
        </is>
      </c>
      <c r="L548" s="6" t="inlineStr">
        <is>
          <t>Technical Documentation</t>
        </is>
      </c>
      <c r="M548" s="6" t="inlineStr">
        <is>
          <t>The Contractor shall supply all documentation related to this Contract. To this end, the Contractor shall produce technical “Files”.</t>
        </is>
      </c>
      <c r="N548" s="6" t="inlineStr">
        <is>
          <t>The Contractor shall supply all documentation related to this Contract. To this end, the Contractor shall produce technical “Files”.
• Files shall function as structured repositories for documentation and substantiating evidence.
• Where a requirement specifies substantiation, demonstration, or verification, the corresponding documentation shall be included in the relevant File.</t>
        </is>
      </c>
      <c r="O548" s="6" t="n">
        <v>1</v>
      </c>
      <c r="P548" s="6" t="n">
        <v>0</v>
      </c>
      <c r="Q548" s="6" t="n">
        <v>0</v>
      </c>
      <c r="R548" s="6" t="n">
        <v>0</v>
      </c>
      <c r="S548" s="6" t="n">
        <v>3</v>
      </c>
      <c r="T548" s="6" t="n">
        <v>2</v>
      </c>
      <c r="U548" s="6" t="n">
        <v>0</v>
      </c>
      <c r="V548" s="6" t="n">
        <v>23.333333</v>
      </c>
      <c r="W548" s="6" t="n">
        <v>25.0347</v>
      </c>
      <c r="X548" s="6" t="n">
        <v>0.7206</v>
      </c>
      <c r="Y548" s="6" t="inlineStr">
        <is>
          <t>Quality / Verifiability</t>
        </is>
      </c>
      <c r="Z548" s="6" t="inlineStr">
        <is>
          <t>Frozen-weight composite; strongest contribution: Quality / Verifiability.</t>
        </is>
      </c>
      <c r="AA548" s="6" t="inlineStr">
        <is>
          <t>None explicitly named in this RTM</t>
        </is>
      </c>
      <c r="AB548" s="6" t="inlineStr">
        <is>
          <t>SCK CEN/90508872 §4.16; no named external code</t>
        </is>
      </c>
      <c r="AC548" s="6" t="inlineStr">
        <is>
          <t>Document review, inspection, certification, audit or traceable QC record</t>
        </is>
      </c>
      <c r="AD548" s="6" t="inlineStr">
        <is>
          <t>No separate deliverable explicitly named</t>
        </is>
      </c>
      <c r="AE548" s="6" t="inlineStr">
        <is>
          <t>L1 Conceptual Design; L2 Detailed Design</t>
        </is>
      </c>
      <c r="AF548" s="6" t="inlineStr">
        <is>
          <t>Section/contract-derived reference; derived evidence route</t>
        </is>
      </c>
      <c r="AG548" s="58" t="inlineStr">
        <is>
          <t>Not linked to an OFFER item</t>
        </is>
      </c>
    </row>
    <row r="549" ht="47" customHeight="1">
      <c r="A549" s="6" t="n">
        <v>544</v>
      </c>
      <c r="B549" s="6" t="inlineStr">
        <is>
          <t>RTM-580</t>
        </is>
      </c>
      <c r="C549" s="6" t="inlineStr">
        <is>
          <t>No</t>
        </is>
      </c>
      <c r="D549" s="6" t="inlineStr">
        <is>
          <t>T3 Contextual</t>
        </is>
      </c>
      <c r="E549" s="6" t="inlineStr">
        <is>
          <t>Technical Documentation</t>
        </is>
      </c>
      <c r="F549" s="82" t="inlineStr">
        <is>
          <t>PROJECT</t>
        </is>
      </c>
      <c r="G549" s="83" t="inlineStr">
        <is>
          <t>Documentation &amp; Compliance</t>
        </is>
      </c>
      <c r="H549" s="59" t="inlineStr">
        <is>
          <t>—</t>
        </is>
      </c>
      <c r="I549" s="58" t="inlineStr">
        <is>
          <t>Not linked to an OFFER item</t>
        </is>
      </c>
      <c r="J549" s="6" t="n">
        <v>111</v>
      </c>
      <c r="K549" s="6" t="inlineStr">
        <is>
          <t>4.16.4</t>
        </is>
      </c>
      <c r="L549" s="6" t="inlineStr">
        <is>
          <t>Quality Control Report</t>
        </is>
      </c>
      <c r="M549" s="6" t="inlineStr">
        <is>
          <t>The Contractor shall produce a Quality Control Report (QCR)</t>
        </is>
      </c>
      <c r="N549" s="6" t="inlineStr">
        <is>
          <t>The Contractor shall produce a Quality Control Report (QCR)
• The QCR shall include the quality-control records, traceability information, and deviation records applicable to the QPS.</t>
        </is>
      </c>
      <c r="O549" s="6" t="n">
        <v>1</v>
      </c>
      <c r="P549" s="6" t="n">
        <v>0</v>
      </c>
      <c r="Q549" s="6" t="n">
        <v>0</v>
      </c>
      <c r="R549" s="6" t="n">
        <v>0</v>
      </c>
      <c r="S549" s="6" t="n">
        <v>3</v>
      </c>
      <c r="T549" s="6" t="n">
        <v>2</v>
      </c>
      <c r="U549" s="6" t="n">
        <v>0</v>
      </c>
      <c r="V549" s="6" t="n">
        <v>23.333333</v>
      </c>
      <c r="W549" s="6" t="n">
        <v>25.0347</v>
      </c>
      <c r="X549" s="6" t="n">
        <v>0.7206</v>
      </c>
      <c r="Y549" s="6" t="inlineStr">
        <is>
          <t>Quality / Verifiability</t>
        </is>
      </c>
      <c r="Z549" s="6" t="inlineStr">
        <is>
          <t>Frozen-weight composite; strongest contribution: Quality / Verifiability.</t>
        </is>
      </c>
      <c r="AA549" s="6" t="inlineStr">
        <is>
          <t>None explicitly named in this RTM</t>
        </is>
      </c>
      <c r="AB549" s="6" t="inlineStr">
        <is>
          <t>Section-level: EN 10204</t>
        </is>
      </c>
      <c r="AC549" s="6" t="inlineStr">
        <is>
          <t>Submit and review the named deliverable with RTM traceability and approval status; Document review, inspection, certification, audit or traceable QC record</t>
        </is>
      </c>
      <c r="AD549" s="6" t="inlineStr">
        <is>
          <t>Quality Control Report</t>
        </is>
      </c>
      <c r="AE549" s="6" t="inlineStr">
        <is>
          <t>L1 Conceptual Design; L2 Detailed Design</t>
        </is>
      </c>
      <c r="AF549" s="6" t="inlineStr">
        <is>
          <t>Section/contract-derived reference; explicit deliverable/test wording</t>
        </is>
      </c>
      <c r="AG549" s="58" t="inlineStr">
        <is>
          <t>Not linked to an OFFER item</t>
        </is>
      </c>
    </row>
    <row r="550" ht="125" customHeight="1">
      <c r="A550" s="6" t="n">
        <v>545</v>
      </c>
      <c r="B550" s="6" t="inlineStr">
        <is>
          <t>RTM-581</t>
        </is>
      </c>
      <c r="C550" s="6" t="inlineStr">
        <is>
          <t>No</t>
        </is>
      </c>
      <c r="D550" s="6" t="inlineStr">
        <is>
          <t>T3 Contextual</t>
        </is>
      </c>
      <c r="E550" s="6" t="inlineStr">
        <is>
          <t>Technical Documentation</t>
        </is>
      </c>
      <c r="F550" s="82" t="inlineStr">
        <is>
          <t>PROJECT</t>
        </is>
      </c>
      <c r="G550" s="83" t="inlineStr">
        <is>
          <t>Documentation &amp; Compliance</t>
        </is>
      </c>
      <c r="H550" s="59" t="inlineStr">
        <is>
          <t>—</t>
        </is>
      </c>
      <c r="I550" s="58" t="inlineStr">
        <is>
          <t>Not linked to an OFFER item</t>
        </is>
      </c>
      <c r="J550" s="6" t="n">
        <v>111</v>
      </c>
      <c r="K550" s="6" t="inlineStr">
        <is>
          <t>4.16.4</t>
        </is>
      </c>
      <c r="L550" s="6" t="inlineStr">
        <is>
          <t>Quality Control Report</t>
        </is>
      </c>
      <c r="M550" s="6" t="inlineStr">
        <is>
          <t>The Quality Control Report shall include, at minimum:</t>
        </is>
      </c>
      <c r="N550" s="6" t="inlineStr">
        <is>
          <t>The Quality Control Report shall include, at minimum:
• All results and records of all conducted QC activities, including tests, measurements, and inspections.
• A complete report of all identified deviations arising during the Contractual Phases, including the related processes and their resolution status.
• For the purpose of the QCR, the term installation shall also include the establishment of all Internal and External Interfaces of the Instance. For Internal Interfaces, the corresponding information shall be included in the QCR of both affected Instances.</t>
        </is>
      </c>
      <c r="O550" s="6" t="n">
        <v>1</v>
      </c>
      <c r="P550" s="6" t="n">
        <v>0</v>
      </c>
      <c r="Q550" s="6" t="n">
        <v>0</v>
      </c>
      <c r="R550" s="6" t="n">
        <v>0</v>
      </c>
      <c r="S550" s="6" t="n">
        <v>3</v>
      </c>
      <c r="T550" s="6" t="n">
        <v>2</v>
      </c>
      <c r="U550" s="6" t="n">
        <v>0</v>
      </c>
      <c r="V550" s="6" t="n">
        <v>23.333333</v>
      </c>
      <c r="W550" s="6" t="n">
        <v>25.0347</v>
      </c>
      <c r="X550" s="6" t="n">
        <v>0.7206</v>
      </c>
      <c r="Y550" s="6" t="inlineStr">
        <is>
          <t>Quality / Verifiability</t>
        </is>
      </c>
      <c r="Z550" s="6" t="inlineStr">
        <is>
          <t>Frozen-weight composite; strongest contribution: Quality / Verifiability.</t>
        </is>
      </c>
      <c r="AA550" s="6" t="inlineStr">
        <is>
          <t>None explicitly named in this RTM</t>
        </is>
      </c>
      <c r="AB550" s="6" t="inlineStr">
        <is>
          <t>Section-level: EN 10204</t>
        </is>
      </c>
      <c r="AC550" s="6" t="inlineStr">
        <is>
          <t>Submit and review the named deliverable with RTM traceability and approval status; Witnessed FAT/SAT/commissioning test against stated acceptance criteria</t>
        </is>
      </c>
      <c r="AD550" s="6" t="inlineStr">
        <is>
          <t>Quality Control Report</t>
        </is>
      </c>
      <c r="AE550" s="6" t="inlineStr">
        <is>
          <t>L4 Installation; L1 Conceptual Design; L2 Detailed Design</t>
        </is>
      </c>
      <c r="AF550" s="6" t="inlineStr">
        <is>
          <t>Section/contract-derived reference; explicit deliverable/test wording</t>
        </is>
      </c>
      <c r="AG550" s="58" t="inlineStr">
        <is>
          <t>Not linked to an OFFER item</t>
        </is>
      </c>
    </row>
    <row r="551" ht="34" customHeight="1">
      <c r="A551" s="6" t="n">
        <v>546</v>
      </c>
      <c r="B551" s="6" t="inlineStr">
        <is>
          <t>RTM-583</t>
        </is>
      </c>
      <c r="C551" s="6" t="inlineStr">
        <is>
          <t>No</t>
        </is>
      </c>
      <c r="D551" s="6" t="inlineStr">
        <is>
          <t>T3 Contextual</t>
        </is>
      </c>
      <c r="E551" s="6" t="inlineStr">
        <is>
          <t>Technical Documentation</t>
        </is>
      </c>
      <c r="F551" s="82" t="inlineStr">
        <is>
          <t>PROJECT</t>
        </is>
      </c>
      <c r="G551" s="83" t="inlineStr">
        <is>
          <t>Documentation &amp; Compliance</t>
        </is>
      </c>
      <c r="H551" s="59" t="inlineStr">
        <is>
          <t>—</t>
        </is>
      </c>
      <c r="I551" s="58" t="inlineStr">
        <is>
          <t>Not linked to an OFFER item</t>
        </is>
      </c>
      <c r="J551" s="6" t="n">
        <v>112</v>
      </c>
      <c r="K551" s="6" t="inlineStr">
        <is>
          <t>4.16.4</t>
        </is>
      </c>
      <c r="L551" s="6" t="inlineStr">
        <is>
          <t>Quality Control Report</t>
        </is>
      </c>
      <c r="M551" s="6" t="inlineStr">
        <is>
          <t>SCK CEN shall have the right to access the QCR at any time during Contract performance.</t>
        </is>
      </c>
      <c r="N551" s="6" t="inlineStr">
        <is>
          <t>SCK CEN shall have the right to access the QCR at any time during Contract performance.</t>
        </is>
      </c>
      <c r="O551" s="6" t="n">
        <v>1</v>
      </c>
      <c r="P551" s="6" t="n">
        <v>0</v>
      </c>
      <c r="Q551" s="6" t="n">
        <v>0</v>
      </c>
      <c r="R551" s="6" t="n">
        <v>0</v>
      </c>
      <c r="S551" s="6" t="n">
        <v>3</v>
      </c>
      <c r="T551" s="6" t="n">
        <v>2</v>
      </c>
      <c r="U551" s="6" t="n">
        <v>0</v>
      </c>
      <c r="V551" s="6" t="n">
        <v>23.333333</v>
      </c>
      <c r="W551" s="6" t="n">
        <v>25.0347</v>
      </c>
      <c r="X551" s="6" t="n">
        <v>0.7206</v>
      </c>
      <c r="Y551" s="6" t="inlineStr">
        <is>
          <t>Quality / Verifiability</t>
        </is>
      </c>
      <c r="Z551" s="6" t="inlineStr">
        <is>
          <t>Frozen-weight composite; strongest contribution: Quality / Verifiability.</t>
        </is>
      </c>
      <c r="AA551" s="6" t="inlineStr">
        <is>
          <t>None explicitly named in this RTM</t>
        </is>
      </c>
      <c r="AB551" s="6" t="inlineStr">
        <is>
          <t>Section-level: EN 10204</t>
        </is>
      </c>
      <c r="AC551" s="6" t="inlineStr">
        <is>
          <t>Document review, inspection, certification, audit or traceable QC record</t>
        </is>
      </c>
      <c r="AD551" s="6" t="inlineStr">
        <is>
          <t>No separate deliverable explicitly named</t>
        </is>
      </c>
      <c r="AE551" s="6" t="inlineStr">
        <is>
          <t>L1 Conceptual Design; L2 Detailed Design</t>
        </is>
      </c>
      <c r="AF551" s="6" t="inlineStr">
        <is>
          <t>Section/contract-derived reference; derived evidence route</t>
        </is>
      </c>
      <c r="AG551" s="58" t="inlineStr">
        <is>
          <t>Not linked to an OFFER item</t>
        </is>
      </c>
    </row>
    <row r="552" ht="47" customHeight="1">
      <c r="A552" s="6" t="n">
        <v>547</v>
      </c>
      <c r="B552" s="6" t="inlineStr">
        <is>
          <t>RTM-584</t>
        </is>
      </c>
      <c r="C552" s="6" t="inlineStr">
        <is>
          <t>No</t>
        </is>
      </c>
      <c r="D552" s="6" t="inlineStr">
        <is>
          <t>T3 Contextual</t>
        </is>
      </c>
      <c r="E552" s="6" t="inlineStr">
        <is>
          <t>Technical Documentation</t>
        </is>
      </c>
      <c r="F552" s="82" t="inlineStr">
        <is>
          <t>PROJECT</t>
        </is>
      </c>
      <c r="G552" s="83" t="inlineStr">
        <is>
          <t>Documentation &amp; Compliance</t>
        </is>
      </c>
      <c r="H552" s="59" t="inlineStr">
        <is>
          <t>—</t>
        </is>
      </c>
      <c r="I552" s="58" t="inlineStr">
        <is>
          <t>Not linked to an OFFER item</t>
        </is>
      </c>
      <c r="J552" s="6" t="n">
        <v>112</v>
      </c>
      <c r="K552" s="6" t="inlineStr">
        <is>
          <t>4.16.4</t>
        </is>
      </c>
      <c r="L552" s="6" t="inlineStr">
        <is>
          <t>Quality Control Report</t>
        </is>
      </c>
      <c r="M552" s="6" t="inlineStr">
        <is>
          <t>The results of each QC activity shall be uploaded to SCK CEN’s designated document-management system within 5 Business Days after performance of the activity.</t>
        </is>
      </c>
      <c r="N552" s="6" t="inlineStr">
        <is>
          <t>The results of each QC activity shall be uploaded to SCK CEN’s designated document-management system within 5 Business Days after performance of the activity.</t>
        </is>
      </c>
      <c r="O552" s="6" t="n">
        <v>1</v>
      </c>
      <c r="P552" s="6" t="n">
        <v>0</v>
      </c>
      <c r="Q552" s="6" t="n">
        <v>0</v>
      </c>
      <c r="R552" s="6" t="n">
        <v>0</v>
      </c>
      <c r="S552" s="6" t="n">
        <v>3</v>
      </c>
      <c r="T552" s="6" t="n">
        <v>2</v>
      </c>
      <c r="U552" s="6" t="n">
        <v>0</v>
      </c>
      <c r="V552" s="6" t="n">
        <v>23.333333</v>
      </c>
      <c r="W552" s="6" t="n">
        <v>25.0347</v>
      </c>
      <c r="X552" s="6" t="n">
        <v>0.7206</v>
      </c>
      <c r="Y552" s="6" t="inlineStr">
        <is>
          <t>Quality / Verifiability</t>
        </is>
      </c>
      <c r="Z552" s="6" t="inlineStr">
        <is>
          <t>Frozen-weight composite; strongest contribution: Quality / Verifiability.</t>
        </is>
      </c>
      <c r="AA552" s="6" t="inlineStr">
        <is>
          <t>None explicitly named in this RTM</t>
        </is>
      </c>
      <c r="AB552" s="6" t="inlineStr">
        <is>
          <t>Section-level: EN 10204</t>
        </is>
      </c>
      <c r="AC552" s="6" t="inlineStr">
        <is>
          <t>Document review, inspection, certification, audit or traceable QC record</t>
        </is>
      </c>
      <c r="AD552" s="6" t="inlineStr">
        <is>
          <t>No separate deliverable explicitly named</t>
        </is>
      </c>
      <c r="AE552" s="6" t="inlineStr">
        <is>
          <t>L1 Conceptual Design; L2 Detailed Design</t>
        </is>
      </c>
      <c r="AF552" s="6" t="inlineStr">
        <is>
          <t>Section/contract-derived reference; derived evidence route</t>
        </is>
      </c>
      <c r="AG552" s="58" t="inlineStr">
        <is>
          <t>Not linked to an OFFER item</t>
        </is>
      </c>
    </row>
    <row r="553" ht="60" customHeight="1">
      <c r="A553" s="6" t="n">
        <v>548</v>
      </c>
      <c r="B553" s="6" t="inlineStr">
        <is>
          <t>RTM-585</t>
        </is>
      </c>
      <c r="C553" s="6" t="inlineStr">
        <is>
          <t>No</t>
        </is>
      </c>
      <c r="D553" s="6" t="inlineStr">
        <is>
          <t>T3 Contextual</t>
        </is>
      </c>
      <c r="E553" s="6" t="inlineStr">
        <is>
          <t>Technical Documentation</t>
        </is>
      </c>
      <c r="F553" s="82" t="inlineStr">
        <is>
          <t>PROJECT</t>
        </is>
      </c>
      <c r="G553" s="83" t="inlineStr">
        <is>
          <t>Documentation &amp; Compliance</t>
        </is>
      </c>
      <c r="H553" s="59" t="inlineStr">
        <is>
          <t>—</t>
        </is>
      </c>
      <c r="I553" s="58" t="inlineStr">
        <is>
          <t>Not linked to an OFFER item</t>
        </is>
      </c>
      <c r="J553" s="6" t="n">
        <v>112</v>
      </c>
      <c r="K553" s="6" t="inlineStr">
        <is>
          <t>4.16.5</t>
        </is>
      </c>
      <c r="L553" s="6" t="inlineStr">
        <is>
          <t>FAT Report</t>
        </is>
      </c>
      <c r="M553" s="6" t="inlineStr">
        <is>
          <t>The FAT Report shall include, at minimum:</t>
        </is>
      </c>
      <c r="N553" s="6" t="inlineStr">
        <is>
          <t>The FAT Report shall include, at minimum:
• The Manufacturing File version(s) according to which each FAT test has been performed.
• The results and records of each individual test.</t>
        </is>
      </c>
      <c r="O553" s="6" t="n">
        <v>1</v>
      </c>
      <c r="P553" s="6" t="n">
        <v>0</v>
      </c>
      <c r="Q553" s="6" t="n">
        <v>0</v>
      </c>
      <c r="R553" s="6" t="n">
        <v>0</v>
      </c>
      <c r="S553" s="6" t="n">
        <v>3</v>
      </c>
      <c r="T553" s="6" t="n">
        <v>2</v>
      </c>
      <c r="U553" s="6" t="n">
        <v>0</v>
      </c>
      <c r="V553" s="6" t="n">
        <v>23.333333</v>
      </c>
      <c r="W553" s="6" t="n">
        <v>25.0347</v>
      </c>
      <c r="X553" s="6" t="n">
        <v>0.7206</v>
      </c>
      <c r="Y553" s="6" t="inlineStr">
        <is>
          <t>Quality / Verifiability</t>
        </is>
      </c>
      <c r="Z553" s="6" t="inlineStr">
        <is>
          <t>Frozen-weight composite; strongest contribution: Quality / Verifiability.</t>
        </is>
      </c>
      <c r="AA553" s="6" t="inlineStr">
        <is>
          <t>None explicitly named in this RTM</t>
        </is>
      </c>
      <c r="AB553" s="6" t="inlineStr">
        <is>
          <t>SCK CEN/90508872 §4.16.5; no named external code</t>
        </is>
      </c>
      <c r="AC553" s="6" t="inlineStr">
        <is>
          <t>Submit and review the named deliverable with RTM traceability and approval status; Witnessed FAT/SAT/commissioning test against stated acceptance criteria</t>
        </is>
      </c>
      <c r="AD553" s="6" t="inlineStr">
        <is>
          <t>Manufacturing File; FAT Report</t>
        </is>
      </c>
      <c r="AE553" s="6" t="inlineStr">
        <is>
          <t>L3 Procurement &amp; Manufacturing / FAT; L1 Conceptual Design; L2 Detailed Design</t>
        </is>
      </c>
      <c r="AF553" s="6" t="inlineStr">
        <is>
          <t>Section/contract-derived reference; explicit deliverable/test wording</t>
        </is>
      </c>
      <c r="AG553" s="58" t="inlineStr">
        <is>
          <t>Not linked to an OFFER item</t>
        </is>
      </c>
    </row>
    <row r="554" ht="47" customHeight="1">
      <c r="A554" s="6" t="n">
        <v>549</v>
      </c>
      <c r="B554" s="6" t="inlineStr">
        <is>
          <t>RTM-586</t>
        </is>
      </c>
      <c r="C554" s="6" t="inlineStr">
        <is>
          <t>No</t>
        </is>
      </c>
      <c r="D554" s="6" t="inlineStr">
        <is>
          <t>T3 Contextual</t>
        </is>
      </c>
      <c r="E554" s="6" t="inlineStr">
        <is>
          <t>Technical Documentation</t>
        </is>
      </c>
      <c r="F554" s="82" t="inlineStr">
        <is>
          <t>PROJECT</t>
        </is>
      </c>
      <c r="G554" s="83" t="inlineStr">
        <is>
          <t>Documentation &amp; Compliance</t>
        </is>
      </c>
      <c r="H554" s="59" t="inlineStr">
        <is>
          <t>—</t>
        </is>
      </c>
      <c r="I554" s="58" t="inlineStr">
        <is>
          <t>Not linked to an OFFER item</t>
        </is>
      </c>
      <c r="J554" s="6" t="n">
        <v>112</v>
      </c>
      <c r="K554" s="6" t="inlineStr">
        <is>
          <t>4.16.6</t>
        </is>
      </c>
      <c r="L554" s="6" t="inlineStr">
        <is>
          <t>SAT Report</t>
        </is>
      </c>
      <c r="M554" s="6" t="inlineStr">
        <is>
          <t>The SAT Report shall document the execution and results of each individual test stipulated in the applicable SAT Program.</t>
        </is>
      </c>
      <c r="N554" s="6" t="inlineStr">
        <is>
          <t>The SAT Report shall document the execution and results of each individual test stipulated in the applicable SAT Program.</t>
        </is>
      </c>
      <c r="O554" s="6" t="n">
        <v>1</v>
      </c>
      <c r="P554" s="6" t="n">
        <v>0</v>
      </c>
      <c r="Q554" s="6" t="n">
        <v>0</v>
      </c>
      <c r="R554" s="6" t="n">
        <v>0</v>
      </c>
      <c r="S554" s="6" t="n">
        <v>3</v>
      </c>
      <c r="T554" s="6" t="n">
        <v>2</v>
      </c>
      <c r="U554" s="6" t="n">
        <v>0</v>
      </c>
      <c r="V554" s="6" t="n">
        <v>23.333333</v>
      </c>
      <c r="W554" s="6" t="n">
        <v>25.0347</v>
      </c>
      <c r="X554" s="6" t="n">
        <v>0.7206</v>
      </c>
      <c r="Y554" s="6" t="inlineStr">
        <is>
          <t>Quality / Verifiability</t>
        </is>
      </c>
      <c r="Z554" s="6" t="inlineStr">
        <is>
          <t>Frozen-weight composite; strongest contribution: Quality / Verifiability.</t>
        </is>
      </c>
      <c r="AA554" s="6" t="inlineStr">
        <is>
          <t>None explicitly named in this RTM</t>
        </is>
      </c>
      <c r="AB554" s="6" t="inlineStr">
        <is>
          <t>SCK CEN/90508872 §4.16.6; no named external code</t>
        </is>
      </c>
      <c r="AC554" s="6" t="inlineStr">
        <is>
          <t>Submit and review the named deliverable with RTM traceability and approval status; Witnessed FAT/SAT/commissioning test against stated acceptance criteria</t>
        </is>
      </c>
      <c r="AD554" s="6" t="inlineStr">
        <is>
          <t>SAT Report</t>
        </is>
      </c>
      <c r="AE554" s="6" t="inlineStr">
        <is>
          <t>L6 Site Acceptance Testing; L1 Conceptual Design; L2 Detailed Design</t>
        </is>
      </c>
      <c r="AF554" s="6" t="inlineStr">
        <is>
          <t>Section/contract-derived reference; explicit deliverable/test wording</t>
        </is>
      </c>
      <c r="AG554" s="58" t="inlineStr">
        <is>
          <t>Not linked to an OFFER item</t>
        </is>
      </c>
    </row>
    <row r="555" ht="47" customHeight="1">
      <c r="A555" s="6" t="n">
        <v>550</v>
      </c>
      <c r="B555" s="6" t="inlineStr">
        <is>
          <t>RTM-589</t>
        </is>
      </c>
      <c r="C555" s="6" t="inlineStr">
        <is>
          <t>No</t>
        </is>
      </c>
      <c r="D555" s="6" t="inlineStr">
        <is>
          <t>T3 Contextual</t>
        </is>
      </c>
      <c r="E555" s="6" t="inlineStr">
        <is>
          <t>Technical Documentation</t>
        </is>
      </c>
      <c r="F555" s="82" t="inlineStr">
        <is>
          <t>PROJECT</t>
        </is>
      </c>
      <c r="G555" s="83" t="inlineStr">
        <is>
          <t>Documentation &amp; Compliance</t>
        </is>
      </c>
      <c r="H555" s="59" t="inlineStr">
        <is>
          <t>—</t>
        </is>
      </c>
      <c r="I555" s="58" t="inlineStr">
        <is>
          <t>Not linked to an OFFER item</t>
        </is>
      </c>
      <c r="J555" s="6" t="n">
        <v>113</v>
      </c>
      <c r="K555" s="6" t="inlineStr">
        <is>
          <t>4.16.9</t>
        </is>
      </c>
      <c r="L555" s="6" t="inlineStr">
        <is>
          <t>As-built File</t>
        </is>
      </c>
      <c r="M555" s="6" t="inlineStr">
        <is>
          <t>The As-Built File shall consolidate the complete final “as-is” implementation of the QPS at the MINERVA site and shall form part of the SAT deliverables.</t>
        </is>
      </c>
      <c r="N555" s="6" t="inlineStr">
        <is>
          <t>The As-Built File shall consolidate the complete final “as-is” implementation of the QPS at the MINERVA site and shall form part of the SAT deliverables.</t>
        </is>
      </c>
      <c r="O555" s="6" t="n">
        <v>1</v>
      </c>
      <c r="P555" s="6" t="n">
        <v>0</v>
      </c>
      <c r="Q555" s="6" t="n">
        <v>0</v>
      </c>
      <c r="R555" s="6" t="n">
        <v>0</v>
      </c>
      <c r="S555" s="6" t="n">
        <v>3</v>
      </c>
      <c r="T555" s="6" t="n">
        <v>2</v>
      </c>
      <c r="U555" s="6" t="n">
        <v>0</v>
      </c>
      <c r="V555" s="6" t="n">
        <v>23.333333</v>
      </c>
      <c r="W555" s="6" t="n">
        <v>25.0347</v>
      </c>
      <c r="X555" s="6" t="n">
        <v>0.7206</v>
      </c>
      <c r="Y555" s="6" t="inlineStr">
        <is>
          <t>Quality / Verifiability</t>
        </is>
      </c>
      <c r="Z555" s="6" t="inlineStr">
        <is>
          <t>Frozen-weight composite; strongest contribution: Quality / Verifiability.</t>
        </is>
      </c>
      <c r="AA555" s="6" t="inlineStr">
        <is>
          <t>None explicitly named in this RTM</t>
        </is>
      </c>
      <c r="AB555" s="6" t="inlineStr">
        <is>
          <t>SCK CEN/90508872 §4.16.9; no named external code</t>
        </is>
      </c>
      <c r="AC555" s="6" t="inlineStr">
        <is>
          <t>Submit and review the named deliverable with RTM traceability and approval status; Witnessed FAT/SAT/commissioning test against stated acceptance criteria</t>
        </is>
      </c>
      <c r="AD555" s="6" t="inlineStr">
        <is>
          <t>As-built File</t>
        </is>
      </c>
      <c r="AE555" s="6" t="inlineStr">
        <is>
          <t>L6 Site Acceptance Testing; L1 Conceptual Design; L2 Detailed Design</t>
        </is>
      </c>
      <c r="AF555" s="6" t="inlineStr">
        <is>
          <t>Section/contract-derived reference; explicit deliverable/test wording</t>
        </is>
      </c>
      <c r="AG555" s="58" t="inlineStr">
        <is>
          <t>Not linked to an OFFER item</t>
        </is>
      </c>
    </row>
    <row r="556" ht="47" customHeight="1">
      <c r="A556" s="6" t="n">
        <v>551</v>
      </c>
      <c r="B556" s="6" t="inlineStr">
        <is>
          <t>RTM-591</t>
        </is>
      </c>
      <c r="C556" s="6" t="inlineStr">
        <is>
          <t>No</t>
        </is>
      </c>
      <c r="D556" s="6" t="inlineStr">
        <is>
          <t>T3 Contextual</t>
        </is>
      </c>
      <c r="E556" s="6" t="inlineStr">
        <is>
          <t>Technical Documentation</t>
        </is>
      </c>
      <c r="F556" s="82" t="inlineStr">
        <is>
          <t>PROJECT</t>
        </is>
      </c>
      <c r="G556" s="83" t="inlineStr">
        <is>
          <t>Documentation &amp; Compliance</t>
        </is>
      </c>
      <c r="H556" s="59" t="inlineStr">
        <is>
          <t>—</t>
        </is>
      </c>
      <c r="I556" s="58" t="inlineStr">
        <is>
          <t>Not linked to an OFFER item</t>
        </is>
      </c>
      <c r="J556" s="6" t="n">
        <v>113</v>
      </c>
      <c r="K556" s="6" t="inlineStr">
        <is>
          <t>4.16.9</t>
        </is>
      </c>
      <c r="L556" s="6" t="inlineStr">
        <is>
          <t>As-built File</t>
        </is>
      </c>
      <c r="M556" s="6" t="inlineStr">
        <is>
          <t>The Contractor shall submit the As-built File as part of the SAT.</t>
        </is>
      </c>
      <c r="N556" s="6" t="inlineStr">
        <is>
          <t>The Contractor shall submit the As-built File as part of the SAT.</t>
        </is>
      </c>
      <c r="O556" s="6" t="n">
        <v>1</v>
      </c>
      <c r="P556" s="6" t="n">
        <v>0</v>
      </c>
      <c r="Q556" s="6" t="n">
        <v>0</v>
      </c>
      <c r="R556" s="6" t="n">
        <v>0</v>
      </c>
      <c r="S556" s="6" t="n">
        <v>3</v>
      </c>
      <c r="T556" s="6" t="n">
        <v>2</v>
      </c>
      <c r="U556" s="6" t="n">
        <v>0</v>
      </c>
      <c r="V556" s="6" t="n">
        <v>23.333333</v>
      </c>
      <c r="W556" s="6" t="n">
        <v>25.0347</v>
      </c>
      <c r="X556" s="6" t="n">
        <v>0.7206</v>
      </c>
      <c r="Y556" s="6" t="inlineStr">
        <is>
          <t>Quality / Verifiability</t>
        </is>
      </c>
      <c r="Z556" s="6" t="inlineStr">
        <is>
          <t>Frozen-weight composite; strongest contribution: Quality / Verifiability.</t>
        </is>
      </c>
      <c r="AA556" s="6" t="inlineStr">
        <is>
          <t>None explicitly named in this RTM</t>
        </is>
      </c>
      <c r="AB556" s="6" t="inlineStr">
        <is>
          <t>SCK CEN/90508872 §4.16.9; no named external code</t>
        </is>
      </c>
      <c r="AC556" s="6" t="inlineStr">
        <is>
          <t>Submit and review the named deliverable with RTM traceability and approval status; Witnessed FAT/SAT/commissioning test against stated acceptance criteria</t>
        </is>
      </c>
      <c r="AD556" s="6" t="inlineStr">
        <is>
          <t>As-built File</t>
        </is>
      </c>
      <c r="AE556" s="6" t="inlineStr">
        <is>
          <t>L6 Site Acceptance Testing; L1 Conceptual Design; L2 Detailed Design</t>
        </is>
      </c>
      <c r="AF556" s="6" t="inlineStr">
        <is>
          <t>Section/contract-derived reference; explicit deliverable/test wording</t>
        </is>
      </c>
      <c r="AG556" s="58" t="inlineStr">
        <is>
          <t>Not linked to an OFFER item</t>
        </is>
      </c>
    </row>
    <row r="557" ht="164" customHeight="1">
      <c r="A557" s="6" t="n">
        <v>552</v>
      </c>
      <c r="B557" s="6" t="inlineStr">
        <is>
          <t>RTM-453</t>
        </is>
      </c>
      <c r="C557" s="6" t="inlineStr">
        <is>
          <t>No</t>
        </is>
      </c>
      <c r="D557" s="6" t="inlineStr">
        <is>
          <t>T3 Contextual</t>
        </is>
      </c>
      <c r="E557" s="6" t="inlineStr">
        <is>
          <t>Design &amp; Fabrication</t>
        </is>
      </c>
      <c r="F557" s="82" t="inlineStr">
        <is>
          <t>SYSTEM</t>
        </is>
      </c>
      <c r="G557" s="83" t="inlineStr">
        <is>
          <t>Performance</t>
        </is>
      </c>
      <c r="H557" s="59" t="inlineStr">
        <is>
          <t>—</t>
        </is>
      </c>
      <c r="I557" s="81" t="inlineStr">
        <is>
          <t>Inferred: C5 — Infrastructure &amp; Integration (medium conf.)</t>
        </is>
      </c>
      <c r="J557" s="6" t="n">
        <v>89</v>
      </c>
      <c r="K557" s="6" t="inlineStr">
        <is>
          <t>4.8.3.2</t>
        </is>
      </c>
      <c r="L557" s="6" t="inlineStr">
        <is>
          <t>Cleaning and surface treatment</t>
        </is>
      </c>
      <c r="M557" s="6" t="inlineStr">
        <is>
          <t>All Parts exposed to Insulation Vacuum shall be systematically protected from any substances that might impair the ability to establish and maintain the required vacuum.</t>
        </is>
      </c>
      <c r="N557" s="6" t="inlineStr">
        <is>
          <t>All Parts exposed to Insulation Vacuum shall be systematically protected from any substances that might impair the ability to establish and maintain the required vacuum.
• All the components shall be cleaned and made free from any contamination, oxidation, welding spatters, grease, dust, traces of fingerprints, and hydrocarbons in accordance with EN 12300;
• The cleanliness verification shall be performed in accordance with method A.5 of EN 12300;
• Only cleaning products, appropriate for use for a high vacuum environment, shall be used;
• The application of shot peening is strictly prohibited on all components operating in a vacuum.</t>
        </is>
      </c>
      <c r="O557" s="6" t="n">
        <v>0</v>
      </c>
      <c r="P557" s="6" t="n">
        <v>0</v>
      </c>
      <c r="Q557" s="6" t="n">
        <v>0</v>
      </c>
      <c r="R557" s="6" t="n">
        <v>2</v>
      </c>
      <c r="S557" s="6" t="n">
        <v>3</v>
      </c>
      <c r="T557" s="6" t="n">
        <v>0</v>
      </c>
      <c r="U557" s="6" t="n">
        <v>0</v>
      </c>
      <c r="V557" s="6" t="n">
        <v>22.666667</v>
      </c>
      <c r="W557" s="6" t="n">
        <v>23.0929</v>
      </c>
      <c r="X557" s="6" t="n">
        <v>0.6377</v>
      </c>
      <c r="Y557" s="6" t="inlineStr">
        <is>
          <t>Quality / Verifiability</t>
        </is>
      </c>
      <c r="Z557" s="6" t="inlineStr">
        <is>
          <t>Frozen-weight composite; strongest contribution: Quality / Verifiability.</t>
        </is>
      </c>
      <c r="AA557" s="6" t="inlineStr">
        <is>
          <t>EN 12300</t>
        </is>
      </c>
      <c r="AB557" s="6" t="inlineStr">
        <is>
          <t>EN 12300</t>
        </is>
      </c>
      <c r="AC557" s="6" t="inlineStr">
        <is>
          <t>Document review, inspection, certification, audit or traceable QC record</t>
        </is>
      </c>
      <c r="AD557" s="6" t="inlineStr">
        <is>
          <t>No separate deliverable explicitly named</t>
        </is>
      </c>
      <c r="AE557" s="6" t="inlineStr">
        <is>
          <t>L1 Conceptual Design; L2 Detailed Design</t>
        </is>
      </c>
      <c r="AF557" s="6" t="inlineStr">
        <is>
          <t>Explicit/table-grounded standard; derived evidence route</t>
        </is>
      </c>
      <c r="AG557" s="58" t="inlineStr">
        <is>
          <t>Not linked to an OFFER item</t>
        </is>
      </c>
    </row>
    <row r="558" ht="73" customHeight="1">
      <c r="A558" s="6" t="n">
        <v>553</v>
      </c>
      <c r="B558" s="6" t="inlineStr">
        <is>
          <t>RTM-458</t>
        </is>
      </c>
      <c r="C558" s="6" t="inlineStr">
        <is>
          <t>No</t>
        </is>
      </c>
      <c r="D558" s="6" t="inlineStr">
        <is>
          <t>T3 Contextual</t>
        </is>
      </c>
      <c r="E558" s="6" t="inlineStr">
        <is>
          <t>Design &amp; Fabrication</t>
        </is>
      </c>
      <c r="F558" s="82" t="inlineStr">
        <is>
          <t>SYSTEM</t>
        </is>
      </c>
      <c r="G558" s="83" t="inlineStr">
        <is>
          <t>Performance</t>
        </is>
      </c>
      <c r="H558" s="59" t="inlineStr">
        <is>
          <t>—</t>
        </is>
      </c>
      <c r="I558" s="81" t="inlineStr">
        <is>
          <t>Inferred: C5 — Infrastructure &amp; Integration (medium conf.)</t>
        </is>
      </c>
      <c r="J558" s="6" t="n">
        <v>89</v>
      </c>
      <c r="K558" s="6" t="inlineStr">
        <is>
          <t>4.8.4.1</t>
        </is>
      </c>
      <c r="L558" s="6" t="inlineStr">
        <is>
          <t>Certification and Qualification</t>
        </is>
      </c>
      <c r="M558" s="6" t="inlineStr">
        <is>
          <t>The Contractor shall qualify the different welding procedures to the maximum extent possible.</t>
        </is>
      </c>
      <c r="N558" s="6" t="inlineStr">
        <is>
          <t>The Contractor shall qualify the different welding procedures to the maximum extent possible.
• In case qualification of a welding procedure is not reasonably possible, the Contractor shall implement and adhere to a welding procedure validation plan.</t>
        </is>
      </c>
      <c r="O558" s="6" t="n">
        <v>0</v>
      </c>
      <c r="P558" s="6" t="n">
        <v>0</v>
      </c>
      <c r="Q558" s="6" t="n">
        <v>0</v>
      </c>
      <c r="R558" s="6" t="n">
        <v>2</v>
      </c>
      <c r="S558" s="6" t="n">
        <v>3</v>
      </c>
      <c r="T558" s="6" t="n">
        <v>0</v>
      </c>
      <c r="U558" s="6" t="n">
        <v>0</v>
      </c>
      <c r="V558" s="6" t="n">
        <v>22.666667</v>
      </c>
      <c r="W558" s="6" t="n">
        <v>23.0929</v>
      </c>
      <c r="X558" s="6" t="n">
        <v>0.6377</v>
      </c>
      <c r="Y558" s="6" t="inlineStr">
        <is>
          <t>Quality / Verifiability</t>
        </is>
      </c>
      <c r="Z558" s="6" t="inlineStr">
        <is>
          <t>Frozen-weight composite; strongest contribution: Quality / Verifiability.</t>
        </is>
      </c>
      <c r="AA558" s="6" t="inlineStr">
        <is>
          <t>None explicitly named in this RTM</t>
        </is>
      </c>
      <c r="AB558" s="6" t="inlineStr">
        <is>
          <t>Section-level: EN 287-1; EN ISO 9606-1; EN ISO 14732; EN ISO 15614-1</t>
        </is>
      </c>
      <c r="AC558" s="6" t="inlineStr">
        <is>
          <t>Submit and review the named deliverable with RTM traceability and approval status; Functional design/configuration review and sequence/interface demonstration; Document review, inspection, certification, audit or traceable QC record</t>
        </is>
      </c>
      <c r="AD558" s="6" t="inlineStr">
        <is>
          <t>Procedure / work instruction</t>
        </is>
      </c>
      <c r="AE558" s="6" t="inlineStr">
        <is>
          <t>L1 Conceptual Design; L2 Detailed Design</t>
        </is>
      </c>
      <c r="AF558" s="6" t="inlineStr">
        <is>
          <t>Section/contract-derived reference; explicit deliverable/test wording</t>
        </is>
      </c>
      <c r="AG558" s="58" t="inlineStr">
        <is>
          <t>Not linked to an OFFER item</t>
        </is>
      </c>
    </row>
    <row r="559" ht="164" customHeight="1">
      <c r="A559" s="6" t="n">
        <v>554</v>
      </c>
      <c r="B559" s="6" t="inlineStr">
        <is>
          <t>RTM-460</t>
        </is>
      </c>
      <c r="C559" s="6" t="inlineStr">
        <is>
          <t>No</t>
        </is>
      </c>
      <c r="D559" s="6" t="inlineStr">
        <is>
          <t>T3 Contextual</t>
        </is>
      </c>
      <c r="E559" s="6" t="inlineStr">
        <is>
          <t>Design &amp; Fabrication</t>
        </is>
      </c>
      <c r="F559" s="82" t="inlineStr">
        <is>
          <t>SYSTEM</t>
        </is>
      </c>
      <c r="G559" s="83" t="inlineStr">
        <is>
          <t>Constraint</t>
        </is>
      </c>
      <c r="H559" s="59" t="inlineStr">
        <is>
          <t>—</t>
        </is>
      </c>
      <c r="I559" s="81" t="inlineStr">
        <is>
          <t>Inferred: C5 — Infrastructure &amp; Integration (medium conf.)</t>
        </is>
      </c>
      <c r="J559" s="6" t="n">
        <v>89</v>
      </c>
      <c r="K559" s="6" t="inlineStr">
        <is>
          <t>4.8.4.2</t>
        </is>
      </c>
      <c r="L559" s="6" t="inlineStr">
        <is>
          <t>Welding procedures</t>
        </is>
      </c>
      <c r="M559" s="6" t="inlineStr">
        <is>
          <t>For any weld, the Contractor shall:</t>
        </is>
      </c>
      <c r="N559" s="6" t="inlineStr">
        <is>
          <t>For any weld, the Contractor shall:
• Ensure that the parts to be welded are clean and free from dust, any traces of cutting fluids, grease and other hydrocarbon contaminants;
• Have the surfaces which are subjected to the welding operations, inspected by competent staff and ensure that these surfaces are free from any cracks and porosity;
• Implement all necessary means to minimize heat transfer from the welding seams to the existing brazed/soldered sections to avoid damage;
• Anticipate the effects of shrinkage after welding, and hence take into account sufficient material to compensate;
• Carry out intermediate and final tests on all “seal welds” to validate tightness against leakage.</t>
        </is>
      </c>
      <c r="O559" s="6" t="n">
        <v>0</v>
      </c>
      <c r="P559" s="6" t="n">
        <v>0</v>
      </c>
      <c r="Q559" s="6" t="n">
        <v>0</v>
      </c>
      <c r="R559" s="6" t="n">
        <v>2</v>
      </c>
      <c r="S559" s="6" t="n">
        <v>3</v>
      </c>
      <c r="T559" s="6" t="n">
        <v>0</v>
      </c>
      <c r="U559" s="6" t="n">
        <v>0</v>
      </c>
      <c r="V559" s="6" t="n">
        <v>22.666667</v>
      </c>
      <c r="W559" s="6" t="n">
        <v>23.0929</v>
      </c>
      <c r="X559" s="6" t="n">
        <v>0.6377</v>
      </c>
      <c r="Y559" s="6" t="inlineStr">
        <is>
          <t>Quality / Verifiability</t>
        </is>
      </c>
      <c r="Z559" s="6" t="inlineStr">
        <is>
          <t>Frozen-weight composite; strongest contribution: Quality / Verifiability.</t>
        </is>
      </c>
      <c r="AA559" s="6" t="inlineStr">
        <is>
          <t>None explicitly named in this RTM</t>
        </is>
      </c>
      <c r="AB559" s="6" t="inlineStr">
        <is>
          <t>Section-level: EN 15614-1</t>
        </is>
      </c>
      <c r="AC559" s="6" t="inlineStr">
        <is>
          <t>Witnessed FAT/SAT/commissioning test against stated acceptance criteria</t>
        </is>
      </c>
      <c r="AD559" s="6" t="inlineStr">
        <is>
          <t>No separate deliverable explicitly named</t>
        </is>
      </c>
      <c r="AE559" s="6" t="inlineStr">
        <is>
          <t>L6 Site Acceptance Testing; L1 Conceptual Design; L2 Detailed Design</t>
        </is>
      </c>
      <c r="AF559" s="6" t="inlineStr">
        <is>
          <t>Section/contract-derived reference; explicit deliverable/test wording</t>
        </is>
      </c>
      <c r="AG559" s="58" t="inlineStr">
        <is>
          <t>Not linked to an OFFER item</t>
        </is>
      </c>
    </row>
    <row r="560" ht="125" customHeight="1">
      <c r="A560" s="6" t="n">
        <v>555</v>
      </c>
      <c r="B560" s="6" t="inlineStr">
        <is>
          <t>RTM-463</t>
        </is>
      </c>
      <c r="C560" s="6" t="inlineStr">
        <is>
          <t>No</t>
        </is>
      </c>
      <c r="D560" s="6" t="inlineStr">
        <is>
          <t>T3 Contextual</t>
        </is>
      </c>
      <c r="E560" s="6" t="inlineStr">
        <is>
          <t>Design &amp; Fabrication</t>
        </is>
      </c>
      <c r="F560" s="82" t="inlineStr">
        <is>
          <t>SYSTEM</t>
        </is>
      </c>
      <c r="G560" s="83" t="inlineStr">
        <is>
          <t>Performance</t>
        </is>
      </c>
      <c r="H560" s="59" t="inlineStr">
        <is>
          <t>—</t>
        </is>
      </c>
      <c r="I560" s="81" t="inlineStr">
        <is>
          <t>Inferred: C5 — Infrastructure &amp; Integration (medium conf.)</t>
        </is>
      </c>
      <c r="J560" s="6" t="n">
        <v>90</v>
      </c>
      <c r="K560" s="6" t="inlineStr">
        <is>
          <t>4.8.4.3</t>
        </is>
      </c>
      <c r="L560" s="6" t="inlineStr">
        <is>
          <t>Weld testing &amp; inspections</t>
        </is>
      </c>
      <c r="M560" s="6" t="inlineStr">
        <is>
          <t>The Contractor shall perform, at least, the following inspections:</t>
        </is>
      </c>
      <c r="N560" s="6" t="inlineStr">
        <is>
          <t>The Contractor shall perform, at least, the following inspections:
• All welds shall be visually inspected.  All hidden welds shall be inspected with an endoscope;
• For helium seal welds:
• Radiographic inspection on 25% of circular welds. The sampling shall be evenly distributed per welder across the circular welds performed by this welder.
• Welds shall undergo thermal shocking (e.g., liquid nitrogen spray) prior to final leak testing.</t>
        </is>
      </c>
      <c r="O560" s="6" t="n">
        <v>0</v>
      </c>
      <c r="P560" s="6" t="n">
        <v>0</v>
      </c>
      <c r="Q560" s="6" t="n">
        <v>0</v>
      </c>
      <c r="R560" s="6" t="n">
        <v>2</v>
      </c>
      <c r="S560" s="6" t="n">
        <v>3</v>
      </c>
      <c r="T560" s="6" t="n">
        <v>0</v>
      </c>
      <c r="U560" s="6" t="n">
        <v>0</v>
      </c>
      <c r="V560" s="6" t="n">
        <v>22.666667</v>
      </c>
      <c r="W560" s="6" t="n">
        <v>23.0929</v>
      </c>
      <c r="X560" s="6" t="n">
        <v>0.6377</v>
      </c>
      <c r="Y560" s="6" t="inlineStr">
        <is>
          <t>Quality / Verifiability</t>
        </is>
      </c>
      <c r="Z560" s="6" t="inlineStr">
        <is>
          <t>Frozen-weight composite; strongest contribution: Quality / Verifiability.</t>
        </is>
      </c>
      <c r="AA560" s="6" t="inlineStr">
        <is>
          <t>None explicitly named in this RTM</t>
        </is>
      </c>
      <c r="AB560" s="6" t="inlineStr">
        <is>
          <t>Section-level: ISO 9712; EN 17636; ISO 5817</t>
        </is>
      </c>
      <c r="AC560" s="6" t="inlineStr">
        <is>
          <t>Witnessed FAT/SAT/commissioning test against stated acceptance criteria</t>
        </is>
      </c>
      <c r="AD560" s="6" t="inlineStr">
        <is>
          <t>No separate deliverable explicitly named</t>
        </is>
      </c>
      <c r="AE560" s="6" t="inlineStr">
        <is>
          <t>L1 Conceptual Design; L2 Detailed Design</t>
        </is>
      </c>
      <c r="AF560" s="6" t="inlineStr">
        <is>
          <t>Section/contract-derived reference; explicit deliverable/test wording</t>
        </is>
      </c>
      <c r="AG560" s="58" t="inlineStr">
        <is>
          <t>Not linked to an OFFER item</t>
        </is>
      </c>
    </row>
    <row r="561" ht="34" customHeight="1">
      <c r="A561" s="6" t="n">
        <v>556</v>
      </c>
      <c r="B561" s="6" t="inlineStr">
        <is>
          <t>RTM-476</t>
        </is>
      </c>
      <c r="C561" s="6" t="inlineStr">
        <is>
          <t>No</t>
        </is>
      </c>
      <c r="D561" s="6" t="inlineStr">
        <is>
          <t>T3 Contextual</t>
        </is>
      </c>
      <c r="E561" s="6" t="inlineStr">
        <is>
          <t>Installation</t>
        </is>
      </c>
      <c r="F561" s="82" t="inlineStr">
        <is>
          <t>PROJECT</t>
        </is>
      </c>
      <c r="G561" s="83" t="inlineStr">
        <is>
          <t>Governance &amp; Responsibility</t>
        </is>
      </c>
      <c r="H561" s="59" t="inlineStr">
        <is>
          <t>—</t>
        </is>
      </c>
      <c r="I561" s="58" t="inlineStr">
        <is>
          <t>Not linked to an OFFER item</t>
        </is>
      </c>
      <c r="J561" s="6" t="n">
        <v>91</v>
      </c>
      <c r="K561" s="6" t="inlineStr">
        <is>
          <t>4.10</t>
        </is>
      </c>
      <c r="L561" s="6" t="inlineStr">
        <is>
          <t>Installation Requirements</t>
        </is>
      </c>
      <c r="M561" s="6" t="inlineStr">
        <is>
          <t>The Contractor shall perform the installation of all equipment within its scope.</t>
        </is>
      </c>
      <c r="N561" s="6" t="inlineStr">
        <is>
          <t>The Contractor shall perform the installation of all equipment within its scope.</t>
        </is>
      </c>
      <c r="O561" s="6" t="n">
        <v>1</v>
      </c>
      <c r="P561" s="6" t="n">
        <v>0</v>
      </c>
      <c r="Q561" s="6" t="n">
        <v>0</v>
      </c>
      <c r="R561" s="6" t="n">
        <v>3</v>
      </c>
      <c r="S561" s="6" t="n">
        <v>0</v>
      </c>
      <c r="T561" s="6" t="n">
        <v>0</v>
      </c>
      <c r="U561" s="6" t="n">
        <v>0</v>
      </c>
      <c r="V561" s="6" t="n">
        <v>22.666667</v>
      </c>
      <c r="W561" s="6" t="n">
        <v>23.0929</v>
      </c>
      <c r="X561" s="6" t="n">
        <v>0.6377</v>
      </c>
      <c r="Y561" s="6" t="inlineStr">
        <is>
          <t>Functional</t>
        </is>
      </c>
      <c r="Z561" s="6" t="inlineStr">
        <is>
          <t>Frozen-weight composite; strongest contribution: Functional.</t>
        </is>
      </c>
      <c r="AA561" s="6" t="inlineStr">
        <is>
          <t>None explicitly named in this RTM</t>
        </is>
      </c>
      <c r="AB561" s="6" t="inlineStr">
        <is>
          <t>SCK CEN/90508872 §4.10; no named external code</t>
        </is>
      </c>
      <c r="AC561" s="6" t="inlineStr">
        <is>
          <t>Design review plus final inspection/acceptance evidence</t>
        </is>
      </c>
      <c r="AD561" s="6" t="inlineStr">
        <is>
          <t>No separate deliverable explicitly named</t>
        </is>
      </c>
      <c r="AE561" s="6" t="inlineStr">
        <is>
          <t>L4 Installation; L1 Conceptual Design; L2 Detailed Design</t>
        </is>
      </c>
      <c r="AF561" s="6" t="inlineStr">
        <is>
          <t>Section/contract-derived reference; derived evidence route</t>
        </is>
      </c>
      <c r="AG561" s="58" t="inlineStr">
        <is>
          <t>Not linked to an OFFER item</t>
        </is>
      </c>
    </row>
    <row r="562" ht="60" customHeight="1">
      <c r="A562" s="6" t="n">
        <v>557</v>
      </c>
      <c r="B562" s="6" t="inlineStr">
        <is>
          <t>RTM-477</t>
        </is>
      </c>
      <c r="C562" s="6" t="inlineStr">
        <is>
          <t>No</t>
        </is>
      </c>
      <c r="D562" s="6" t="inlineStr">
        <is>
          <t>T3 Contextual</t>
        </is>
      </c>
      <c r="E562" s="6" t="inlineStr">
        <is>
          <t>Installation</t>
        </is>
      </c>
      <c r="F562" s="82" t="inlineStr">
        <is>
          <t>PROJECT</t>
        </is>
      </c>
      <c r="G562" s="83" t="inlineStr">
        <is>
          <t>Governance &amp; Responsibility</t>
        </is>
      </c>
      <c r="H562" s="59" t="inlineStr">
        <is>
          <t>—</t>
        </is>
      </c>
      <c r="I562" s="58" t="inlineStr">
        <is>
          <t>Not linked to an OFFER item</t>
        </is>
      </c>
      <c r="J562" s="6" t="n">
        <v>91</v>
      </c>
      <c r="K562" s="6" t="inlineStr">
        <is>
          <t>4.10</t>
        </is>
      </c>
      <c r="L562" s="6" t="inlineStr">
        <is>
          <t>Installation Requirements</t>
        </is>
      </c>
      <c r="M562" s="6" t="inlineStr">
        <is>
          <t>The Contractor shall provide all tooling, machinery, temporary equipment, and other means required for the execution of the installation activities.</t>
        </is>
      </c>
      <c r="N562" s="6" t="inlineStr">
        <is>
          <t>The Contractor shall provide all tooling, machinery, temporary equipment, and other means required for the execution of the installation activities.
• The Contractor shall not rely on SCK CEN for such means unless explicitly agreed otherwise in the Contract.</t>
        </is>
      </c>
      <c r="O562" s="6" t="n">
        <v>1</v>
      </c>
      <c r="P562" s="6" t="n">
        <v>0</v>
      </c>
      <c r="Q562" s="6" t="n">
        <v>0</v>
      </c>
      <c r="R562" s="6" t="n">
        <v>3</v>
      </c>
      <c r="S562" s="6" t="n">
        <v>0</v>
      </c>
      <c r="T562" s="6" t="n">
        <v>0</v>
      </c>
      <c r="U562" s="6" t="n">
        <v>0</v>
      </c>
      <c r="V562" s="6" t="n">
        <v>22.666667</v>
      </c>
      <c r="W562" s="6" t="n">
        <v>23.0929</v>
      </c>
      <c r="X562" s="6" t="n">
        <v>0.6377</v>
      </c>
      <c r="Y562" s="6" t="inlineStr">
        <is>
          <t>Functional</t>
        </is>
      </c>
      <c r="Z562" s="6" t="inlineStr">
        <is>
          <t>Frozen-weight composite; strongest contribution: Functional.</t>
        </is>
      </c>
      <c r="AA562" s="6" t="inlineStr">
        <is>
          <t>None explicitly named in this RTM</t>
        </is>
      </c>
      <c r="AB562" s="6" t="inlineStr">
        <is>
          <t>SCK CEN/90508872 §4.10; no named external code</t>
        </is>
      </c>
      <c r="AC562" s="6" t="inlineStr">
        <is>
          <t>Design review plus final inspection/acceptance evidence</t>
        </is>
      </c>
      <c r="AD562" s="6" t="inlineStr">
        <is>
          <t>No separate deliverable explicitly named</t>
        </is>
      </c>
      <c r="AE562" s="6" t="inlineStr">
        <is>
          <t>L4 Installation; L1 Conceptual Design; L2 Detailed Design</t>
        </is>
      </c>
      <c r="AF562" s="6" t="inlineStr">
        <is>
          <t>Section/contract-derived reference; derived evidence route</t>
        </is>
      </c>
      <c r="AG562" s="58" t="inlineStr">
        <is>
          <t>Not linked to an OFFER item</t>
        </is>
      </c>
    </row>
    <row r="563" ht="47" customHeight="1">
      <c r="A563" s="6" t="n">
        <v>558</v>
      </c>
      <c r="B563" s="6" t="inlineStr">
        <is>
          <t>RTM-479</t>
        </is>
      </c>
      <c r="C563" s="6" t="inlineStr">
        <is>
          <t>No</t>
        </is>
      </c>
      <c r="D563" s="6" t="inlineStr">
        <is>
          <t>T3 Contextual</t>
        </is>
      </c>
      <c r="E563" s="6" t="inlineStr">
        <is>
          <t>Commissioning</t>
        </is>
      </c>
      <c r="F563" s="82" t="inlineStr">
        <is>
          <t>PROJECT</t>
        </is>
      </c>
      <c r="G563" s="83" t="inlineStr">
        <is>
          <t>Governance &amp; Responsibility</t>
        </is>
      </c>
      <c r="H563" s="59" t="inlineStr">
        <is>
          <t>—</t>
        </is>
      </c>
      <c r="I563" s="58" t="inlineStr">
        <is>
          <t>Not linked to an OFFER item</t>
        </is>
      </c>
      <c r="J563" s="6" t="n">
        <v>92</v>
      </c>
      <c r="K563" s="6" t="inlineStr">
        <is>
          <t>4.11</t>
        </is>
      </c>
      <c r="L563" s="6" t="inlineStr">
        <is>
          <t>Commissioning Requirements</t>
        </is>
      </c>
      <c r="M563" s="6" t="inlineStr">
        <is>
          <t>The Contractor shall perform the Standalone Commissioning of the QPS to achieve full operational readiness matching the stated requirements.</t>
        </is>
      </c>
      <c r="N563" s="6" t="inlineStr">
        <is>
          <t>The Contractor shall perform the Standalone Commissioning of the QPS to achieve full operational readiness matching the stated requirements.
• The Standalone Commissioning shall be without connection to the QLM.</t>
        </is>
      </c>
      <c r="O563" s="6" t="n">
        <v>1</v>
      </c>
      <c r="P563" s="6" t="n">
        <v>0</v>
      </c>
      <c r="Q563" s="6" t="n">
        <v>0</v>
      </c>
      <c r="R563" s="6" t="n">
        <v>3</v>
      </c>
      <c r="S563" s="6" t="n">
        <v>0</v>
      </c>
      <c r="T563" s="6" t="n">
        <v>0</v>
      </c>
      <c r="U563" s="6" t="n">
        <v>0</v>
      </c>
      <c r="V563" s="6" t="n">
        <v>22.666667</v>
      </c>
      <c r="W563" s="6" t="n">
        <v>23.0929</v>
      </c>
      <c r="X563" s="6" t="n">
        <v>0.6377</v>
      </c>
      <c r="Y563" s="6" t="inlineStr">
        <is>
          <t>Functional</t>
        </is>
      </c>
      <c r="Z563" s="6" t="inlineStr">
        <is>
          <t>Frozen-weight composite; strongest contribution: Functional.</t>
        </is>
      </c>
      <c r="AA563" s="6" t="inlineStr">
        <is>
          <t>None explicitly named in this RTM</t>
        </is>
      </c>
      <c r="AB563" s="6" t="inlineStr">
        <is>
          <t>SCK CEN/90508872 §4.11; no named external code</t>
        </is>
      </c>
      <c r="AC563" s="6" t="inlineStr">
        <is>
          <t>Witnessed FAT/SAT/commissioning test against stated acceptance criteria; Functional design/configuration review and sequence/interface demonstration</t>
        </is>
      </c>
      <c r="AD563" s="6" t="inlineStr">
        <is>
          <t>No separate deliverable explicitly named</t>
        </is>
      </c>
      <c r="AE563" s="6" t="inlineStr">
        <is>
          <t>L5 Standalone Commissioning; L1 Conceptual Design; L2 Detailed Design</t>
        </is>
      </c>
      <c r="AF563" s="6" t="inlineStr">
        <is>
          <t>Section/contract-derived reference; derived evidence route</t>
        </is>
      </c>
      <c r="AG563" s="58" t="inlineStr">
        <is>
          <t>Not linked to an OFFER item</t>
        </is>
      </c>
    </row>
    <row r="564" ht="99" customHeight="1">
      <c r="A564" s="6" t="n">
        <v>559</v>
      </c>
      <c r="B564" s="6" t="inlineStr">
        <is>
          <t>RTM-480</t>
        </is>
      </c>
      <c r="C564" s="6" t="inlineStr">
        <is>
          <t>No</t>
        </is>
      </c>
      <c r="D564" s="6" t="inlineStr">
        <is>
          <t>T3 Contextual</t>
        </is>
      </c>
      <c r="E564" s="6" t="inlineStr">
        <is>
          <t>Commissioning</t>
        </is>
      </c>
      <c r="F564" s="82" t="inlineStr">
        <is>
          <t>PROJECT</t>
        </is>
      </c>
      <c r="G564" s="83" t="inlineStr">
        <is>
          <t>Governance &amp; Responsibility</t>
        </is>
      </c>
      <c r="H564" s="59" t="inlineStr">
        <is>
          <t>—</t>
        </is>
      </c>
      <c r="I564" s="58" t="inlineStr">
        <is>
          <t>Not linked to an OFFER item</t>
        </is>
      </c>
      <c r="J564" s="6" t="n">
        <v>92</v>
      </c>
      <c r="K564" s="6" t="inlineStr">
        <is>
          <t>4.11</t>
        </is>
      </c>
      <c r="L564" s="6" t="inlineStr">
        <is>
          <t>Commissioning Requirements</t>
        </is>
      </c>
      <c r="M564" s="6" t="inlineStr">
        <is>
          <t>For the Standalone Commissioning, the Contractor shall supply and deploy the test equipment and arrangements required to close the cryogenic circuits and to emulate the representative user-side operating conditions during Standalone Commissioning.</t>
        </is>
      </c>
      <c r="N564" s="6" t="inlineStr">
        <is>
          <t>For the Standalone Commissioning, the Contractor shall supply and deploy the test equipment and arrangements required to close the cryogenic circuits and to emulate the representative user-side operating conditions during Standalone Commissioning.
• This shall include, where applicable, test caps, temporary piping, valves, heaters, instrumentation, and any other means necessary to emulate the required thermal loads, mass-flow demands, and pressure-drop conditions.</t>
        </is>
      </c>
      <c r="O564" s="6" t="n">
        <v>1</v>
      </c>
      <c r="P564" s="6" t="n">
        <v>0</v>
      </c>
      <c r="Q564" s="6" t="n">
        <v>0</v>
      </c>
      <c r="R564" s="6" t="n">
        <v>3</v>
      </c>
      <c r="S564" s="6" t="n">
        <v>0</v>
      </c>
      <c r="T564" s="6" t="n">
        <v>0</v>
      </c>
      <c r="U564" s="6" t="n">
        <v>0</v>
      </c>
      <c r="V564" s="6" t="n">
        <v>22.666667</v>
      </c>
      <c r="W564" s="6" t="n">
        <v>23.0929</v>
      </c>
      <c r="X564" s="6" t="n">
        <v>0.6377</v>
      </c>
      <c r="Y564" s="6" t="inlineStr">
        <is>
          <t>Functional</t>
        </is>
      </c>
      <c r="Z564" s="6" t="inlineStr">
        <is>
          <t>Frozen-weight composite; strongest contribution: Functional.</t>
        </is>
      </c>
      <c r="AA564" s="6" t="inlineStr">
        <is>
          <t>None explicitly named in this RTM</t>
        </is>
      </c>
      <c r="AB564" s="6" t="inlineStr">
        <is>
          <t>SCK CEN/90508872 §4.11; no named external code</t>
        </is>
      </c>
      <c r="AC564" s="6" t="inlineStr">
        <is>
          <t>Witnessed FAT/SAT/commissioning test against stated acceptance criteria</t>
        </is>
      </c>
      <c r="AD564" s="6" t="inlineStr">
        <is>
          <t>No separate deliverable explicitly named</t>
        </is>
      </c>
      <c r="AE564" s="6" t="inlineStr">
        <is>
          <t>L5 Standalone Commissioning; L1 Conceptual Design; L2 Detailed Design</t>
        </is>
      </c>
      <c r="AF564" s="6" t="inlineStr">
        <is>
          <t>Section/contract-derived reference; explicit deliverable/test wording</t>
        </is>
      </c>
      <c r="AG564" s="58" t="inlineStr">
        <is>
          <t>Not linked to an OFFER item</t>
        </is>
      </c>
    </row>
    <row r="565" ht="73" customHeight="1">
      <c r="A565" s="6" t="n">
        <v>560</v>
      </c>
      <c r="B565" s="6" t="inlineStr">
        <is>
          <t>RTM-069</t>
        </is>
      </c>
      <c r="C565" s="6" t="inlineStr">
        <is>
          <t>No</t>
        </is>
      </c>
      <c r="D565" s="6" t="inlineStr">
        <is>
          <t>T3 Contextual</t>
        </is>
      </c>
      <c r="E565" s="6" t="inlineStr">
        <is>
          <t>Global Design Criteria</t>
        </is>
      </c>
      <c r="F565" s="82" t="inlineStr">
        <is>
          <t>SYSTEM</t>
        </is>
      </c>
      <c r="G565" s="83" t="inlineStr">
        <is>
          <t>Performance</t>
        </is>
      </c>
      <c r="H565" s="59" t="inlineStr">
        <is>
          <t>—</t>
        </is>
      </c>
      <c r="I565" s="58" t="inlineStr">
        <is>
          <t>C1 — Performance</t>
        </is>
      </c>
      <c r="J565" s="6" t="n">
        <v>40</v>
      </c>
      <c r="K565" s="6" t="inlineStr">
        <is>
          <t>4.3.4</t>
        </is>
      </c>
      <c r="L565" s="6" t="inlineStr">
        <is>
          <t>Energy-efficiency</t>
        </is>
      </c>
      <c r="M565" s="6" t="inlineStr">
        <is>
          <t>The Contractor shall quantify the energy efficiency of the QPS by means of the inverse Coefficient of Performance (invCOP), as defined in §4.3.4.1. To this end, the Contractor shall:</t>
        </is>
      </c>
      <c r="N565" s="6" t="inlineStr">
        <is>
          <t>The Contractor shall quantify the energy efficiency of the QPS by means of the inverse Coefficient of Performance (invCOP), as defined in §4.3.4.1. To this end, the Contractor shall:
• Define and document the invCOP determination methodology
• Document and substantiate the results</t>
        </is>
      </c>
      <c r="O565" s="6" t="n">
        <v>0</v>
      </c>
      <c r="P565" s="6" t="n">
        <v>0</v>
      </c>
      <c r="Q565" s="6" t="n">
        <v>3</v>
      </c>
      <c r="R565" s="6" t="n">
        <v>0</v>
      </c>
      <c r="S565" s="6" t="n">
        <v>0</v>
      </c>
      <c r="T565" s="6" t="n">
        <v>0</v>
      </c>
      <c r="U565" s="6" t="n">
        <v>2</v>
      </c>
      <c r="V565" s="6" t="n">
        <v>22</v>
      </c>
      <c r="W565" s="6" t="n">
        <v>22.4688</v>
      </c>
      <c r="X565" s="6" t="n">
        <v>0.6128</v>
      </c>
      <c r="Y565" s="6" t="inlineStr">
        <is>
          <t>Performance</t>
        </is>
      </c>
      <c r="Z565" s="6" t="inlineStr">
        <is>
          <t>Frozen-weight composite; strongest contribution: Performance.</t>
        </is>
      </c>
      <c r="AA565" s="6" t="inlineStr">
        <is>
          <t>None explicitly named in this RTM</t>
        </is>
      </c>
      <c r="AB565" s="6" t="inlineStr">
        <is>
          <t>SCK CEN/90508872 §4.3.4; no named external code</t>
        </is>
      </c>
      <c r="AC565" s="6" t="inlineStr">
        <is>
          <t>Calculation/model plus calibrated measurement or recorded trend</t>
        </is>
      </c>
      <c r="AD565" s="6" t="inlineStr">
        <is>
          <t>No separate deliverable explicitly named</t>
        </is>
      </c>
      <c r="AE565" s="6" t="inlineStr">
        <is>
          <t>L1 Conceptual Design; L2 Detailed Design</t>
        </is>
      </c>
      <c r="AF565" s="6" t="inlineStr">
        <is>
          <t>Section/contract-derived reference; derived evidence route</t>
        </is>
      </c>
      <c r="AG565" s="58" t="inlineStr">
        <is>
          <t>OFFER-12 (Direct)</t>
        </is>
      </c>
    </row>
    <row r="566" ht="112" customHeight="1">
      <c r="A566" s="6" t="n">
        <v>561</v>
      </c>
      <c r="B566" s="6" t="inlineStr">
        <is>
          <t>RTM-063</t>
        </is>
      </c>
      <c r="C566" s="6" t="inlineStr">
        <is>
          <t>No</t>
        </is>
      </c>
      <c r="D566" s="6" t="inlineStr">
        <is>
          <t>T3 Contextual</t>
        </is>
      </c>
      <c r="E566" s="6" t="inlineStr">
        <is>
          <t>Global Design Criteria</t>
        </is>
      </c>
      <c r="F566" s="82" t="inlineStr">
        <is>
          <t>SYSTEM</t>
        </is>
      </c>
      <c r="G566" s="83" t="inlineStr">
        <is>
          <t>Performance</t>
        </is>
      </c>
      <c r="H566" s="59" t="inlineStr">
        <is>
          <t>—</t>
        </is>
      </c>
      <c r="I566" s="58" t="inlineStr">
        <is>
          <t>C6 — Reliability &amp; Maintenance</t>
        </is>
      </c>
      <c r="J566" s="6" t="n">
        <v>38</v>
      </c>
      <c r="K566" s="6" t="inlineStr">
        <is>
          <t>4.3.2</t>
        </is>
      </c>
      <c r="L566" s="6" t="inlineStr">
        <is>
          <t>Availability &amp; Reliability</t>
        </is>
      </c>
      <c r="M566" s="6" t="inlineStr">
        <is>
          <t>The QPS design shall comply with the reliability requirements defined in Table 10.</t>
        </is>
      </c>
      <c r="N566" s="6" t="inlineStr">
        <is>
          <t>The QPS design shall comply with the reliability requirements defined in Table 10.
• The reference period shall be the cumulative duration during which the QPS operates under the operational condition specified in the table.
• The maximum allowable events represent the maximum number of failures permitted within the corresponding cumulative reference period.
• Each failure event shall be assigned to one failure class only, based on the highest severity reached during the event.</t>
        </is>
      </c>
      <c r="O566" s="6" t="n">
        <v>0</v>
      </c>
      <c r="P566" s="6" t="n">
        <v>3</v>
      </c>
      <c r="Q566" s="6" t="n">
        <v>0</v>
      </c>
      <c r="R566" s="6" t="n">
        <v>0</v>
      </c>
      <c r="S566" s="6" t="n">
        <v>0</v>
      </c>
      <c r="T566" s="6" t="n">
        <v>0</v>
      </c>
      <c r="U566" s="6" t="n">
        <v>0</v>
      </c>
      <c r="V566" s="6" t="n">
        <v>22</v>
      </c>
      <c r="W566" s="6" t="n">
        <v>22.3301</v>
      </c>
      <c r="X566" s="6" t="n">
        <v>0.6074000000000001</v>
      </c>
      <c r="Y566" s="6" t="inlineStr">
        <is>
          <t>Reliability</t>
        </is>
      </c>
      <c r="Z566" s="6" t="inlineStr">
        <is>
          <t>Frozen-weight composite; strongest contribution: Reliability.</t>
        </is>
      </c>
      <c r="AA566" s="6" t="inlineStr">
        <is>
          <t>None explicitly named in this RTM</t>
        </is>
      </c>
      <c r="AB566" s="6" t="inlineStr">
        <is>
          <t>SCK CEN/90508872 §4.3.2; no named external code</t>
        </is>
      </c>
      <c r="AC566" s="6" t="inlineStr">
        <is>
          <t>RAM/maintenance substantiation and recovery/failure-response evidence</t>
        </is>
      </c>
      <c r="AD566" s="6" t="inlineStr">
        <is>
          <t>No separate deliverable explicitly named</t>
        </is>
      </c>
      <c r="AE566" s="6" t="inlineStr">
        <is>
          <t>L1 Conceptual Design; L2 Detailed Design</t>
        </is>
      </c>
      <c r="AF566" s="6" t="inlineStr">
        <is>
          <t>Section/contract-derived reference; derived evidence route</t>
        </is>
      </c>
      <c r="AG566" s="58" t="inlineStr">
        <is>
          <t>OFFER-11 (Direct)</t>
        </is>
      </c>
    </row>
    <row r="567" ht="99" customHeight="1">
      <c r="A567" s="6" t="n">
        <v>562</v>
      </c>
      <c r="B567" s="6" t="inlineStr">
        <is>
          <t>RTM-067</t>
        </is>
      </c>
      <c r="C567" s="6" t="inlineStr">
        <is>
          <t>No</t>
        </is>
      </c>
      <c r="D567" s="6" t="inlineStr">
        <is>
          <t>T3 Contextual</t>
        </is>
      </c>
      <c r="E567" s="6" t="inlineStr">
        <is>
          <t>Global Design Criteria</t>
        </is>
      </c>
      <c r="F567" s="82" t="inlineStr">
        <is>
          <t>SYSTEM</t>
        </is>
      </c>
      <c r="G567" s="83" t="inlineStr">
        <is>
          <t>Performance</t>
        </is>
      </c>
      <c r="H567" s="59" t="inlineStr">
        <is>
          <t>—</t>
        </is>
      </c>
      <c r="I567" s="81" t="inlineStr">
        <is>
          <t>Inferred: C1 — Performance (medium conf.)</t>
        </is>
      </c>
      <c r="J567" s="6" t="n">
        <v>39</v>
      </c>
      <c r="K567" s="6" t="inlineStr">
        <is>
          <t>4.3.3</t>
        </is>
      </c>
      <c r="L567" s="6" t="inlineStr">
        <is>
          <t>Maintenance strategy</t>
        </is>
      </c>
      <c r="M567" s="6" t="inlineStr">
        <is>
          <t>The Maintenance Plan may include “online interventions” performed while maintaining the QPS within the applicable cold operational state and without requiring Warm Stop (WSTOP). Where such online interventions are proposed, the Contractor shall:</t>
        </is>
      </c>
      <c r="N567" s="6" t="inlineStr">
        <is>
          <t>The Maintenance Plan may include “online interventions” performed while maintaining the QPS within the applicable cold operational state and without requiring Warm Stop (WSTOP). Where such online interventions are proposed, the Contractor shall:
• Identify all applicable components
• Specify the operational state during which the online intervention is possible</t>
        </is>
      </c>
      <c r="O567" s="6" t="n">
        <v>0</v>
      </c>
      <c r="P567" s="6" t="n">
        <v>2</v>
      </c>
      <c r="Q567" s="6" t="n">
        <v>0</v>
      </c>
      <c r="R567" s="6" t="n">
        <v>0</v>
      </c>
      <c r="S567" s="6" t="n">
        <v>0</v>
      </c>
      <c r="T567" s="6" t="n">
        <v>3</v>
      </c>
      <c r="U567" s="6" t="n">
        <v>0</v>
      </c>
      <c r="V567" s="6" t="n">
        <v>21.666667</v>
      </c>
      <c r="W567" s="6" t="n">
        <v>22.1221</v>
      </c>
      <c r="X567" s="6" t="n">
        <v>0.5993000000000001</v>
      </c>
      <c r="Y567" s="6" t="inlineStr">
        <is>
          <t>Reliability</t>
        </is>
      </c>
      <c r="Z567" s="6" t="inlineStr">
        <is>
          <t>Frozen-weight composite; strongest contribution: Reliability.</t>
        </is>
      </c>
      <c r="AA567" s="6" t="inlineStr">
        <is>
          <t>None explicitly named in this RTM</t>
        </is>
      </c>
      <c r="AB567" s="6" t="inlineStr">
        <is>
          <t>Section-level: ISO 55000; ISO 14224</t>
        </is>
      </c>
      <c r="AC567" s="6" t="inlineStr">
        <is>
          <t>Submit and review the named deliverable with RTM traceability and approval status; RAM/maintenance substantiation and recovery/failure-response evidence</t>
        </is>
      </c>
      <c r="AD567" s="6" t="inlineStr">
        <is>
          <t>Maintenance / RCM Plan</t>
        </is>
      </c>
      <c r="AE567" s="6" t="inlineStr">
        <is>
          <t>L1 Conceptual Design; L2 Detailed Design</t>
        </is>
      </c>
      <c r="AF567" s="6" t="inlineStr">
        <is>
          <t>Section/contract-derived reference; explicit deliverable/test wording</t>
        </is>
      </c>
      <c r="AG567" s="58" t="inlineStr">
        <is>
          <t>Not linked to an OFFER item</t>
        </is>
      </c>
    </row>
    <row r="568" ht="60" customHeight="1">
      <c r="A568" s="6" t="n">
        <v>563</v>
      </c>
      <c r="B568" s="6" t="inlineStr">
        <is>
          <t>RTM-619</t>
        </is>
      </c>
      <c r="C568" s="6" t="inlineStr">
        <is>
          <t>No</t>
        </is>
      </c>
      <c r="D568" s="6" t="inlineStr">
        <is>
          <t>T3 Contextual</t>
        </is>
      </c>
      <c r="E568" s="6" t="inlineStr">
        <is>
          <t>Schedule</t>
        </is>
      </c>
      <c r="F568" s="82" t="inlineStr">
        <is>
          <t>PROJECT</t>
        </is>
      </c>
      <c r="G568" s="83" t="inlineStr">
        <is>
          <t>Governance &amp; Responsibility</t>
        </is>
      </c>
      <c r="H568" s="59" t="inlineStr">
        <is>
          <t>—</t>
        </is>
      </c>
      <c r="I568" s="58" t="inlineStr">
        <is>
          <t>C8 — Commercial &amp; Execution</t>
        </is>
      </c>
      <c r="J568" s="6" t="n">
        <v>116</v>
      </c>
      <c r="K568" s="6" t="inlineStr">
        <is>
          <t>6.1.5</t>
        </is>
      </c>
      <c r="L568" s="6" t="inlineStr">
        <is>
          <t>Standalone Commissioning (L5)</t>
        </is>
      </c>
      <c r="M568" s="6" t="inlineStr">
        <is>
          <t>In this phase, the Contractor shall, at least, perform the following activities:</t>
        </is>
      </c>
      <c r="N568" s="6" t="inlineStr">
        <is>
          <t>In this phase, the Contractor shall, at least, perform the following activities:
• Stand-alone commissioning of the QPS
• Training of SCK CEN staff</t>
        </is>
      </c>
      <c r="O568" s="6" t="n">
        <v>0</v>
      </c>
      <c r="P568" s="6" t="n">
        <v>0</v>
      </c>
      <c r="Q568" s="6" t="n">
        <v>0</v>
      </c>
      <c r="R568" s="6" t="n">
        <v>3</v>
      </c>
      <c r="S568" s="6" t="n">
        <v>0</v>
      </c>
      <c r="T568" s="6" t="n">
        <v>2</v>
      </c>
      <c r="U568" s="6" t="n">
        <v>1</v>
      </c>
      <c r="V568" s="6" t="n">
        <v>21.666667</v>
      </c>
      <c r="W568" s="6" t="n">
        <v>22.1221</v>
      </c>
      <c r="X568" s="6" t="n">
        <v>0.5993000000000001</v>
      </c>
      <c r="Y568" s="6" t="inlineStr">
        <is>
          <t>Functional</t>
        </is>
      </c>
      <c r="Z568" s="6" t="inlineStr">
        <is>
          <t>Frozen-weight composite; strongest contribution: Functional.</t>
        </is>
      </c>
      <c r="AA568" s="6" t="inlineStr">
        <is>
          <t>None explicitly named in this RTM</t>
        </is>
      </c>
      <c r="AB568" s="6" t="inlineStr">
        <is>
          <t>SCK CEN/90508872 §6.1.5; no named external code</t>
        </is>
      </c>
      <c r="AC568" s="6" t="inlineStr">
        <is>
          <t>Witnessed FAT/SAT/commissioning test against stated acceptance criteria</t>
        </is>
      </c>
      <c r="AD568" s="6" t="inlineStr">
        <is>
          <t>No separate deliverable explicitly named</t>
        </is>
      </c>
      <c r="AE568" s="6" t="inlineStr">
        <is>
          <t>L0 Tender / Offer; L1 Conceptual Design; L2 Detailed Design; L3 Procurement &amp; Manufacturing / FAT; L4 Installation; L5 Standalone Commissioning; L6 Site Acceptance Testing</t>
        </is>
      </c>
      <c r="AF568" s="6" t="inlineStr">
        <is>
          <t>Section/contract-derived reference; derived evidence route</t>
        </is>
      </c>
      <c r="AG568" s="58" t="inlineStr">
        <is>
          <t>OFFER-44 (Supporting)</t>
        </is>
      </c>
    </row>
    <row r="569" ht="138" customHeight="1">
      <c r="A569" s="6" t="n">
        <v>564</v>
      </c>
      <c r="B569" s="6" t="inlineStr">
        <is>
          <t>RTM-005</t>
        </is>
      </c>
      <c r="C569" s="6" t="inlineStr">
        <is>
          <t>No</t>
        </is>
      </c>
      <c r="D569" s="6" t="inlineStr">
        <is>
          <t>T3 Contextual</t>
        </is>
      </c>
      <c r="E569" s="6" t="inlineStr">
        <is>
          <t>General / Compliance</t>
        </is>
      </c>
      <c r="F569" s="82" t="inlineStr">
        <is>
          <t>PROJECT</t>
        </is>
      </c>
      <c r="G569" s="83" t="inlineStr">
        <is>
          <t>Documentation &amp; Compliance</t>
        </is>
      </c>
      <c r="H569" s="59" t="inlineStr">
        <is>
          <t>—</t>
        </is>
      </c>
      <c r="I569" s="81" t="inlineStr">
        <is>
          <t>Inferred: C8 — Commercial &amp; Execution (high conf.)</t>
        </is>
      </c>
      <c r="J569" s="6" t="n">
        <v>25</v>
      </c>
      <c r="K569" s="6" t="inlineStr">
        <is>
          <t>4.1.1</t>
        </is>
      </c>
      <c r="L569" s="6" t="inlineStr">
        <is>
          <t>Applicable Units</t>
        </is>
      </c>
      <c r="M569" s="6" t="inlineStr">
        <is>
          <t>All technical documentation, calculations, drawings, and performance data submitted under this Contract shall:</t>
        </is>
      </c>
      <c r="N569" s="6" t="inlineStr">
        <is>
          <t>All technical documentation, calculations, drawings, and performance data submitted under this Contract shall:
• Use SI units for all performance data, calculations, and operating parameters.
• State all pressure values as absolute pressure in bar(a).
• If alternative units are used, provide the corresponding values in SI units, which shall prevail in case of discrepancy.
• Component nominal sizes and internationally recognised standard designations (e.g. NPS, ANSI ratings) may be stated in their standard form.
• Use alternative units only with prior written approval by SCK CEN.</t>
        </is>
      </c>
      <c r="O569" s="6" t="n">
        <v>2</v>
      </c>
      <c r="P569" s="6" t="n">
        <v>0</v>
      </c>
      <c r="Q569" s="6" t="n">
        <v>0</v>
      </c>
      <c r="R569" s="6" t="n">
        <v>0</v>
      </c>
      <c r="S569" s="6" t="n">
        <v>2</v>
      </c>
      <c r="T569" s="6" t="n">
        <v>0</v>
      </c>
      <c r="U569" s="6" t="n">
        <v>0</v>
      </c>
      <c r="V569" s="6" t="n">
        <v>21.333333</v>
      </c>
      <c r="W569" s="6" t="n">
        <v>21.8447</v>
      </c>
      <c r="X569" s="6" t="n">
        <v>0.5886</v>
      </c>
      <c r="Y569" s="6" t="inlineStr">
        <is>
          <t>Safety / Legal</t>
        </is>
      </c>
      <c r="Z569" s="6" t="inlineStr">
        <is>
          <t>Frozen-weight composite; strongest contribution: Safety / Legal.</t>
        </is>
      </c>
      <c r="AA569" s="6" t="inlineStr">
        <is>
          <t>None explicitly named in this RTM</t>
        </is>
      </c>
      <c r="AB569" s="6" t="inlineStr">
        <is>
          <t>SCK CEN/90508872 §4.1.1; no named external code</t>
        </is>
      </c>
      <c r="AC569" s="6" t="inlineStr">
        <is>
          <t>Submit and review the named deliverable with RTM traceability and approval status; Document review, inspection, certification, audit or traceable QC record</t>
        </is>
      </c>
      <c r="AD569" s="6" t="inlineStr">
        <is>
          <t>Drawing / diagram</t>
        </is>
      </c>
      <c r="AE569" s="6" t="inlineStr">
        <is>
          <t>L1 Conceptual Design; L2 Detailed Design</t>
        </is>
      </c>
      <c r="AF569" s="6" t="inlineStr">
        <is>
          <t>Section/contract-derived reference; explicit deliverable/test wording</t>
        </is>
      </c>
      <c r="AG569" s="58" t="inlineStr">
        <is>
          <t>Not linked to an OFFER item</t>
        </is>
      </c>
    </row>
    <row r="570" ht="151" customHeight="1">
      <c r="A570" s="6" t="n">
        <v>565</v>
      </c>
      <c r="B570" s="6" t="inlineStr">
        <is>
          <t>RTM-285</t>
        </is>
      </c>
      <c r="C570" s="6" t="inlineStr">
        <is>
          <t>No</t>
        </is>
      </c>
      <c r="D570" s="6" t="inlineStr">
        <is>
          <t>T3 Contextual</t>
        </is>
      </c>
      <c r="E570" s="6" t="inlineStr">
        <is>
          <t>Cryogenic Interfaces</t>
        </is>
      </c>
      <c r="F570" s="82" t="inlineStr">
        <is>
          <t>SYSTEM</t>
        </is>
      </c>
      <c r="G570" s="83" t="inlineStr">
        <is>
          <t>Performance</t>
        </is>
      </c>
      <c r="H570" s="59" t="inlineStr">
        <is>
          <t>—</t>
        </is>
      </c>
      <c r="I570" s="58" t="inlineStr">
        <is>
          <t>Not linked to an OFFER item</t>
        </is>
      </c>
      <c r="J570" s="6" t="n">
        <v>67</v>
      </c>
      <c r="K570" s="6" t="inlineStr">
        <is>
          <t>4.5.1</t>
        </is>
      </c>
      <c r="L570" s="6" t="inlineStr">
        <is>
          <t>Cryogenic Distribution Backbone (QDB)</t>
        </is>
      </c>
      <c r="M570" s="6" t="inlineStr">
        <is>
          <t>The QRB–QLM connection shall be defined and frozen as follows:</t>
        </is>
      </c>
      <c r="N570" s="6" t="inlineStr">
        <is>
          <t>The QRB–QLM connection shall be defined and frozen as follows:
• The arrangement shall be defined during the Conceptual Design phase.
• The interfaces, including pipe sizes, shall be frozen no later than the end of the Detailed Design phase.
• The preliminary arrangement of the QRB–QLM connection is illustrated in Figure 10.
• Vacuum jacket: ~400 mm
• Header A: ~30 mm
• Header B: ~150 mm
• Header D: ~50 mm
• Header E: ~50 mm</t>
        </is>
      </c>
      <c r="O570" s="6" t="n">
        <v>0</v>
      </c>
      <c r="P570" s="6" t="n">
        <v>0</v>
      </c>
      <c r="Q570" s="6" t="n">
        <v>1</v>
      </c>
      <c r="R570" s="6" t="n">
        <v>2</v>
      </c>
      <c r="S570" s="6" t="n">
        <v>1</v>
      </c>
      <c r="T570" s="6" t="n">
        <v>0</v>
      </c>
      <c r="U570" s="6" t="n">
        <v>0</v>
      </c>
      <c r="V570" s="6" t="n">
        <v>21.333333</v>
      </c>
      <c r="W570" s="6" t="n">
        <v>21.8447</v>
      </c>
      <c r="X570" s="6" t="n">
        <v>0.5886</v>
      </c>
      <c r="Y570" s="6" t="inlineStr">
        <is>
          <t>Functional</t>
        </is>
      </c>
      <c r="Z570" s="6" t="inlineStr">
        <is>
          <t>Frozen-weight composite; strongest contribution: Functional.</t>
        </is>
      </c>
      <c r="AA570" s="6" t="inlineStr">
        <is>
          <t>None explicitly named in this RTM</t>
        </is>
      </c>
      <c r="AB570" s="6" t="inlineStr">
        <is>
          <t>SCK CEN/90508872 §4.5.1; no named external code</t>
        </is>
      </c>
      <c r="AC570" s="6" t="inlineStr">
        <is>
          <t>Calculation/model plus calibrated measurement or recorded trend; Functional design/configuration review and sequence/interface demonstration</t>
        </is>
      </c>
      <c r="AD570" s="6" t="inlineStr">
        <is>
          <t>No separate deliverable explicitly named</t>
        </is>
      </c>
      <c r="AE570" s="6" t="inlineStr">
        <is>
          <t>L1 Conceptual Design; L2 Detailed Design</t>
        </is>
      </c>
      <c r="AF570" s="6" t="inlineStr">
        <is>
          <t>Section/contract-derived reference; derived evidence route</t>
        </is>
      </c>
      <c r="AG570" s="58" t="inlineStr">
        <is>
          <t>Not linked to an OFFER item</t>
        </is>
      </c>
    </row>
    <row r="571" ht="112" customHeight="1">
      <c r="A571" s="6" t="n">
        <v>566</v>
      </c>
      <c r="B571" s="6" t="inlineStr">
        <is>
          <t>RTM-437</t>
        </is>
      </c>
      <c r="C571" s="6" t="inlineStr">
        <is>
          <t>No</t>
        </is>
      </c>
      <c r="D571" s="6" t="inlineStr">
        <is>
          <t>T3 Contextual</t>
        </is>
      </c>
      <c r="E571" s="6" t="inlineStr">
        <is>
          <t>Design &amp; Fabrication</t>
        </is>
      </c>
      <c r="F571" s="82" t="inlineStr">
        <is>
          <t>SYSTEM</t>
        </is>
      </c>
      <c r="G571" s="83" t="inlineStr">
        <is>
          <t>Performance</t>
        </is>
      </c>
      <c r="H571" s="59" t="inlineStr">
        <is>
          <t>—</t>
        </is>
      </c>
      <c r="I571" s="81" t="inlineStr">
        <is>
          <t>Inferred: C5 — Infrastructure &amp; Integration (medium conf.)</t>
        </is>
      </c>
      <c r="J571" s="6" t="n">
        <v>86</v>
      </c>
      <c r="K571" s="6" t="inlineStr">
        <is>
          <t>4.8.1</t>
        </is>
      </c>
      <c r="L571" s="6" t="inlineStr">
        <is>
          <t>Drawings and CAD models</t>
        </is>
      </c>
      <c r="M571" s="6" t="inlineStr">
        <is>
          <t>The Contractor shall:</t>
        </is>
      </c>
      <c r="N571" s="6" t="inlineStr">
        <is>
          <t>The Contractor shall:
• Develop all 2D manufacturing drawings and the corresponding 3D CAD models;
• Develop the as-built PIDs per Element in accordance with ISA 5.1;
• Integrate all applicable Instrumentation into the 3D CAD model;
• Supply the 2D manufacturing drawings;
• Supply the corresponding 3D CAD model(s) in multiple Levels of Representation (LoR), in accordance with §4.8.1.1;
• Supply the CAD source file(s) of the 3D model(s).</t>
        </is>
      </c>
      <c r="O571" s="6" t="n">
        <v>0</v>
      </c>
      <c r="P571" s="6" t="n">
        <v>0</v>
      </c>
      <c r="Q571" s="6" t="n">
        <v>0</v>
      </c>
      <c r="R571" s="6" t="n">
        <v>2</v>
      </c>
      <c r="S571" s="6" t="n">
        <v>2</v>
      </c>
      <c r="T571" s="6" t="n">
        <v>1</v>
      </c>
      <c r="U571" s="6" t="n">
        <v>0</v>
      </c>
      <c r="V571" s="6" t="n">
        <v>21</v>
      </c>
      <c r="W571" s="6" t="n">
        <v>21.5673</v>
      </c>
      <c r="X571" s="6" t="n">
        <v>0.5782</v>
      </c>
      <c r="Y571" s="6" t="inlineStr">
        <is>
          <t>Functional</t>
        </is>
      </c>
      <c r="Z571" s="6" t="inlineStr">
        <is>
          <t>Frozen-weight composite; strongest contribution: Functional.</t>
        </is>
      </c>
      <c r="AA571" s="6" t="inlineStr">
        <is>
          <t>ISA 5.1</t>
        </is>
      </c>
      <c r="AB571" s="6" t="inlineStr">
        <is>
          <t>ISA 5.1</t>
        </is>
      </c>
      <c r="AC571" s="6" t="inlineStr">
        <is>
          <t>Submit and review the named deliverable with RTM traceability and approval status; Document review, inspection, certification, audit or traceable QC record</t>
        </is>
      </c>
      <c r="AD571" s="6" t="inlineStr">
        <is>
          <t>3D / CAD Model; Drawing / diagram</t>
        </is>
      </c>
      <c r="AE571" s="6" t="inlineStr">
        <is>
          <t>L3 Procurement &amp; Manufacturing / FAT; L1 Conceptual Design; L2 Detailed Design</t>
        </is>
      </c>
      <c r="AF571" s="6" t="inlineStr">
        <is>
          <t>Explicit/table-grounded standard; explicit deliverable/test wording</t>
        </is>
      </c>
      <c r="AG571" s="58" t="inlineStr">
        <is>
          <t>Not linked to an OFFER item</t>
        </is>
      </c>
    </row>
    <row r="572" ht="99" customHeight="1">
      <c r="A572" s="6" t="n">
        <v>567</v>
      </c>
      <c r="B572" s="6" t="inlineStr">
        <is>
          <t>RTM-635</t>
        </is>
      </c>
      <c r="C572" s="6" t="inlineStr">
        <is>
          <t>No</t>
        </is>
      </c>
      <c r="D572" s="6" t="inlineStr">
        <is>
          <t>T3 Contextual</t>
        </is>
      </c>
      <c r="E572" s="6" t="inlineStr">
        <is>
          <t>Contract Performance</t>
        </is>
      </c>
      <c r="F572" s="82" t="inlineStr">
        <is>
          <t>PROJECT</t>
        </is>
      </c>
      <c r="G572" s="83" t="inlineStr">
        <is>
          <t>Governance &amp; Responsibility</t>
        </is>
      </c>
      <c r="H572" s="59" t="inlineStr">
        <is>
          <t>—</t>
        </is>
      </c>
      <c r="I572" s="81" t="inlineStr">
        <is>
          <t>Inferred: C8 — Commercial &amp; Execution (medium conf.)</t>
        </is>
      </c>
      <c r="J572" s="6" t="n">
        <v>120</v>
      </c>
      <c r="K572" s="6" t="inlineStr">
        <is>
          <t>7.4.2</t>
        </is>
      </c>
      <c r="L572" s="6" t="inlineStr">
        <is>
          <t>Meetings</t>
        </is>
      </c>
      <c r="M572" s="6" t="inlineStr">
        <is>
          <t>The Contractor shall ensure that all relevant information for these meeting is made available to SCK CEN at least three Business Days in advance including, but not limited to, meeting agenda, reports, and presentations. The Contractor shall draft the minutes of these meetings and submit them to SCK CEN for review and approval within 5 Business Days following the meeting.</t>
        </is>
      </c>
      <c r="N572" s="6" t="inlineStr">
        <is>
          <t>The Contractor shall ensure that all relevant information for these meeting is made available to SCK CEN at least three Business Days in advance including, but not limited to, meeting agenda, reports, and presentations. The Contractor shall draft the minutes of these meetings and submit them to SCK CEN for review and approval within 5 Business Days following the meeting.</t>
        </is>
      </c>
      <c r="O572" s="6" t="n">
        <v>1</v>
      </c>
      <c r="P572" s="6" t="n">
        <v>0</v>
      </c>
      <c r="Q572" s="6" t="n">
        <v>0</v>
      </c>
      <c r="R572" s="6" t="n">
        <v>1</v>
      </c>
      <c r="S572" s="6" t="n">
        <v>2</v>
      </c>
      <c r="T572" s="6" t="n">
        <v>0</v>
      </c>
      <c r="U572" s="6" t="n">
        <v>1</v>
      </c>
      <c r="V572" s="6" t="n">
        <v>21</v>
      </c>
      <c r="W572" s="6" t="n">
        <v>21.5673</v>
      </c>
      <c r="X572" s="6" t="n">
        <v>0.5782</v>
      </c>
      <c r="Y572" s="6" t="inlineStr">
        <is>
          <t>Quality / Verifiability</t>
        </is>
      </c>
      <c r="Z572" s="6" t="inlineStr">
        <is>
          <t>Frozen-weight composite; strongest contribution: Quality / Verifiability.</t>
        </is>
      </c>
      <c r="AA572" s="6" t="inlineStr">
        <is>
          <t>None explicitly named in this RTM</t>
        </is>
      </c>
      <c r="AB572" s="6" t="inlineStr">
        <is>
          <t>SCK CEN/90508872 §7.4.2; no named external code</t>
        </is>
      </c>
      <c r="AC572" s="6" t="inlineStr">
        <is>
          <t>Document review, inspection, certification, audit or traceable QC record</t>
        </is>
      </c>
      <c r="AD572" s="6" t="inlineStr">
        <is>
          <t>No separate deliverable explicitly named</t>
        </is>
      </c>
      <c r="AE572" s="6" t="inlineStr">
        <is>
          <t>L0 Tender / Offer; L1 Conceptual Design; L2 Detailed Design; L3 Procurement &amp; Manufacturing / FAT; L4 Installation; L5 Standalone Commissioning; L6 Site Acceptance Testing</t>
        </is>
      </c>
      <c r="AF572" s="6" t="inlineStr">
        <is>
          <t>Section/contract-derived reference; derived evidence route</t>
        </is>
      </c>
      <c r="AG572" s="58" t="inlineStr">
        <is>
          <t>Not linked to an OFFER item</t>
        </is>
      </c>
    </row>
    <row r="573" ht="60" customHeight="1">
      <c r="A573" s="6" t="n">
        <v>568</v>
      </c>
      <c r="B573" s="6" t="inlineStr">
        <is>
          <t>RTM-701</t>
        </is>
      </c>
      <c r="C573" s="6" t="inlineStr">
        <is>
          <t>No</t>
        </is>
      </c>
      <c r="D573" s="6" t="inlineStr">
        <is>
          <t>T3 Contextual</t>
        </is>
      </c>
      <c r="E573" s="6" t="inlineStr">
        <is>
          <t>Codes &amp; Standards</t>
        </is>
      </c>
      <c r="F573" s="82" t="inlineStr">
        <is>
          <t>SYSTEM</t>
        </is>
      </c>
      <c r="G573" s="83" t="inlineStr">
        <is>
          <t>Constraint</t>
        </is>
      </c>
      <c r="H573" s="59" t="inlineStr">
        <is>
          <t>—</t>
        </is>
      </c>
      <c r="I573" s="58" t="inlineStr">
        <is>
          <t>C7 — Quality, Testing &amp; Risk</t>
        </is>
      </c>
      <c r="J573" s="6" t="n">
        <v>129</v>
      </c>
      <c r="K573" s="6" t="inlineStr">
        <is>
          <t>9.3</t>
        </is>
      </c>
      <c r="L573" s="6" t="inlineStr">
        <is>
          <t>Electromagnetic interference</t>
        </is>
      </c>
      <c r="M573" s="6" t="inlineStr">
        <is>
          <t>To ease diagnostic and checking of measurement chains, knife-switch type terminal blocks or similar cabling interface shall be fitted for input and output signals connections with the QPS:CIS.</t>
        </is>
      </c>
      <c r="N573" s="6" t="inlineStr">
        <is>
          <t>To ease diagnostic and checking of measurement chains, knife-switch type terminal blocks or similar cabling interface shall be fitted for input and output signals connections with the QPS:CIS.</t>
        </is>
      </c>
      <c r="O573" s="6" t="n">
        <v>2</v>
      </c>
      <c r="P573" s="6" t="n">
        <v>1</v>
      </c>
      <c r="Q573" s="6" t="n">
        <v>0</v>
      </c>
      <c r="R573" s="6" t="n">
        <v>0</v>
      </c>
      <c r="S573" s="6" t="n">
        <v>0</v>
      </c>
      <c r="T573" s="6" t="n">
        <v>0</v>
      </c>
      <c r="U573" s="6" t="n">
        <v>0</v>
      </c>
      <c r="V573" s="6" t="n">
        <v>20.666667</v>
      </c>
      <c r="W573" s="6" t="n">
        <v>21.3592</v>
      </c>
      <c r="X573" s="6" t="n">
        <v>0.5704</v>
      </c>
      <c r="Y573" s="6" t="inlineStr">
        <is>
          <t>Safety / Legal</t>
        </is>
      </c>
      <c r="Z573" s="6" t="inlineStr">
        <is>
          <t>Frozen-weight composite; strongest contribution: Safety / Legal.</t>
        </is>
      </c>
      <c r="AA573" s="6" t="inlineStr">
        <is>
          <t>None explicitly named in this RTM</t>
        </is>
      </c>
      <c r="AB573" s="6" t="inlineStr">
        <is>
          <t>Section-level: EN 61000-6-2; EN 61000-6-4</t>
        </is>
      </c>
      <c r="AC573" s="6" t="inlineStr">
        <is>
          <t>Design review plus final inspection/acceptance evidence</t>
        </is>
      </c>
      <c r="AD573" s="6" t="inlineStr">
        <is>
          <t>No separate deliverable explicitly named</t>
        </is>
      </c>
      <c r="AE573" s="6" t="inlineStr">
        <is>
          <t>L0 Tender / Offer; L1 Conceptual Design; L2 Detailed Design; L3 Procurement &amp; Manufacturing / FAT; L4 Installation; L5 Standalone Commissioning; L6 Site Acceptance Testing</t>
        </is>
      </c>
      <c r="AF573" s="6" t="inlineStr">
        <is>
          <t>Section/contract-derived reference; derived evidence route</t>
        </is>
      </c>
      <c r="AG573" s="58" t="inlineStr">
        <is>
          <t>OFFER-49 (Supporting)</t>
        </is>
      </c>
    </row>
    <row r="574" ht="60" customHeight="1">
      <c r="A574" s="6" t="n">
        <v>569</v>
      </c>
      <c r="B574" s="6" t="inlineStr">
        <is>
          <t>RTM-706</t>
        </is>
      </c>
      <c r="C574" s="6" t="inlineStr">
        <is>
          <t>No</t>
        </is>
      </c>
      <c r="D574" s="6" t="inlineStr">
        <is>
          <t>T3 Contextual</t>
        </is>
      </c>
      <c r="E574" s="6" t="inlineStr">
        <is>
          <t>Acceptance &amp; Warranty</t>
        </is>
      </c>
      <c r="F574" s="82" t="inlineStr">
        <is>
          <t>PROJECT</t>
        </is>
      </c>
      <c r="G574" s="83" t="inlineStr">
        <is>
          <t>Governance &amp; Responsibility</t>
        </is>
      </c>
      <c r="H574" s="59" t="inlineStr">
        <is>
          <t>—</t>
        </is>
      </c>
      <c r="I574" s="81" t="inlineStr">
        <is>
          <t>Inferred: C6 — Reliability &amp; Maintenance (high conf.)</t>
        </is>
      </c>
      <c r="J574" s="6" t="n">
        <v>130</v>
      </c>
      <c r="K574" s="6" t="inlineStr">
        <is>
          <t>10.1</t>
        </is>
      </c>
      <c r="L574" s="6" t="inlineStr">
        <is>
          <t>Provisional Acceptance</t>
        </is>
      </c>
      <c r="M574" s="6" t="inlineStr">
        <is>
          <t>A Provisional Acceptance Certificate shall be issued by SCK CEN for each deliverable (together with the required documentation), provided that no shortcomings are identified during the provisional acceptance.</t>
        </is>
      </c>
      <c r="N574" s="6" t="inlineStr">
        <is>
          <t>A Provisional Acceptance Certificate shall be issued by SCK CEN for each deliverable (together with the required documentation), provided that no shortcomings are identified during the provisional acceptance.</t>
        </is>
      </c>
      <c r="O574" s="6" t="n">
        <v>2</v>
      </c>
      <c r="P574" s="6" t="n">
        <v>0</v>
      </c>
      <c r="Q574" s="6" t="n">
        <v>0</v>
      </c>
      <c r="R574" s="6" t="n">
        <v>0</v>
      </c>
      <c r="S574" s="6" t="n">
        <v>0</v>
      </c>
      <c r="T574" s="6" t="n">
        <v>3</v>
      </c>
      <c r="U574" s="6" t="n">
        <v>0</v>
      </c>
      <c r="V574" s="6" t="n">
        <v>20.333333</v>
      </c>
      <c r="W574" s="6" t="n">
        <v>21.0125</v>
      </c>
      <c r="X574" s="6" t="n">
        <v>0.5576</v>
      </c>
      <c r="Y574" s="6" t="inlineStr">
        <is>
          <t>Safety / Legal</t>
        </is>
      </c>
      <c r="Z574" s="6" t="inlineStr">
        <is>
          <t>Frozen-weight composite; strongest contribution: Safety / Legal.</t>
        </is>
      </c>
      <c r="AA574" s="6" t="inlineStr">
        <is>
          <t>None explicitly named in this RTM</t>
        </is>
      </c>
      <c r="AB574" s="6" t="inlineStr">
        <is>
          <t>SCK CEN/90508872 §10.1; no named external code</t>
        </is>
      </c>
      <c r="AC574" s="6" t="inlineStr">
        <is>
          <t>Submit and review the named deliverable with RTM traceability and approval status</t>
        </is>
      </c>
      <c r="AD574" s="6" t="inlineStr">
        <is>
          <t>Certificate / calibration evidence</t>
        </is>
      </c>
      <c r="AE574" s="6" t="inlineStr">
        <is>
          <t>PAC / Handover; Warranty; FAC</t>
        </is>
      </c>
      <c r="AF574" s="6" t="inlineStr">
        <is>
          <t>Section/contract-derived reference; explicit deliverable/test wording</t>
        </is>
      </c>
      <c r="AG574" s="58" t="inlineStr">
        <is>
          <t>Not linked to an OFFER item</t>
        </is>
      </c>
    </row>
    <row r="575" ht="60" customHeight="1">
      <c r="A575" s="6" t="n">
        <v>570</v>
      </c>
      <c r="B575" s="6" t="inlineStr">
        <is>
          <t>RTM-711</t>
        </is>
      </c>
      <c r="C575" s="6" t="inlineStr">
        <is>
          <t>No</t>
        </is>
      </c>
      <c r="D575" s="6" t="inlineStr">
        <is>
          <t>T3 Contextual</t>
        </is>
      </c>
      <c r="E575" s="6" t="inlineStr">
        <is>
          <t>Acceptance &amp; Warranty</t>
        </is>
      </c>
      <c r="F575" s="82" t="inlineStr">
        <is>
          <t>PROJECT</t>
        </is>
      </c>
      <c r="G575" s="83" t="inlineStr">
        <is>
          <t>Governance &amp; Responsibility</t>
        </is>
      </c>
      <c r="H575" s="59" t="inlineStr">
        <is>
          <t>—</t>
        </is>
      </c>
      <c r="I575" s="81" t="inlineStr">
        <is>
          <t>Inferred: C6 — Reliability &amp; Maintenance (high conf.)</t>
        </is>
      </c>
      <c r="J575" s="6" t="n">
        <v>130</v>
      </c>
      <c r="K575" s="6" t="inlineStr">
        <is>
          <t>10.3</t>
        </is>
      </c>
      <c r="L575" s="6" t="inlineStr">
        <is>
          <t>Warranty Conditions</t>
        </is>
      </c>
      <c r="M575" s="6" t="inlineStr">
        <is>
          <t>During the warranty period, the Contractor shall at its own risk and expense remedy any outstanding issues, as well as any shortcomings and defects that were not visible during the acceptance tests.</t>
        </is>
      </c>
      <c r="N575" s="6" t="inlineStr">
        <is>
          <t>During the warranty period, the Contractor shall at its own risk and expense remedy any outstanding issues, as well as any shortcomings and defects that were not visible during the acceptance tests.</t>
        </is>
      </c>
      <c r="O575" s="6" t="n">
        <v>2</v>
      </c>
      <c r="P575" s="6" t="n">
        <v>0</v>
      </c>
      <c r="Q575" s="6" t="n">
        <v>0</v>
      </c>
      <c r="R575" s="6" t="n">
        <v>0</v>
      </c>
      <c r="S575" s="6" t="n">
        <v>0</v>
      </c>
      <c r="T575" s="6" t="n">
        <v>3</v>
      </c>
      <c r="U575" s="6" t="n">
        <v>0</v>
      </c>
      <c r="V575" s="6" t="n">
        <v>20.333333</v>
      </c>
      <c r="W575" s="6" t="n">
        <v>21.0125</v>
      </c>
      <c r="X575" s="6" t="n">
        <v>0.5576</v>
      </c>
      <c r="Y575" s="6" t="inlineStr">
        <is>
          <t>Safety / Legal</t>
        </is>
      </c>
      <c r="Z575" s="6" t="inlineStr">
        <is>
          <t>Frozen-weight composite; strongest contribution: Safety / Legal.</t>
        </is>
      </c>
      <c r="AA575" s="6" t="inlineStr">
        <is>
          <t>None explicitly named in this RTM</t>
        </is>
      </c>
      <c r="AB575" s="6" t="inlineStr">
        <is>
          <t>SCK CEN/90508872 §10.3; no named external code</t>
        </is>
      </c>
      <c r="AC575" s="6" t="inlineStr">
        <is>
          <t>Witnessed FAT/SAT/commissioning test against stated acceptance criteria</t>
        </is>
      </c>
      <c r="AD575" s="6" t="inlineStr">
        <is>
          <t>No separate deliverable explicitly named</t>
        </is>
      </c>
      <c r="AE575" s="6" t="inlineStr">
        <is>
          <t>Warranty; PAC / Handover; FAC</t>
        </is>
      </c>
      <c r="AF575" s="6" t="inlineStr">
        <is>
          <t>Section/contract-derived reference; explicit deliverable/test wording</t>
        </is>
      </c>
      <c r="AG575" s="58" t="inlineStr">
        <is>
          <t>Not linked to an OFFER item</t>
        </is>
      </c>
    </row>
    <row r="576" ht="60" customHeight="1">
      <c r="A576" s="6" t="n">
        <v>571</v>
      </c>
      <c r="B576" s="6" t="inlineStr">
        <is>
          <t>RTM-717</t>
        </is>
      </c>
      <c r="C576" s="6" t="inlineStr">
        <is>
          <t>No</t>
        </is>
      </c>
      <c r="D576" s="6" t="inlineStr">
        <is>
          <t>T3 Contextual</t>
        </is>
      </c>
      <c r="E576" s="6" t="inlineStr">
        <is>
          <t>Acceptance &amp; Warranty</t>
        </is>
      </c>
      <c r="F576" s="82" t="inlineStr">
        <is>
          <t>PROJECT</t>
        </is>
      </c>
      <c r="G576" s="83" t="inlineStr">
        <is>
          <t>Governance &amp; Responsibility</t>
        </is>
      </c>
      <c r="H576" s="59" t="inlineStr">
        <is>
          <t>—</t>
        </is>
      </c>
      <c r="I576" s="81" t="inlineStr">
        <is>
          <t>Inferred: C6 — Reliability &amp; Maintenance (high conf.)</t>
        </is>
      </c>
      <c r="J576" s="6" t="n">
        <v>131</v>
      </c>
      <c r="K576" s="6" t="inlineStr">
        <is>
          <t>10.3</t>
        </is>
      </c>
      <c r="L576" s="6" t="inlineStr">
        <is>
          <t>Warranty Conditions</t>
        </is>
      </c>
      <c r="M576" s="6" t="inlineStr">
        <is>
          <t>Notwithstanding the foregoing, the warranty period is suspended for the duration between formal notice by SCK CEN to the Contractor on the defect and resolving of said defect by the Contractor.</t>
        </is>
      </c>
      <c r="N576" s="6" t="inlineStr">
        <is>
          <t>Notwithstanding the foregoing, the warranty period is suspended for the duration between formal notice by SCK CEN to the Contractor on the defect and resolving of said defect by the Contractor.</t>
        </is>
      </c>
      <c r="O576" s="6" t="n">
        <v>2</v>
      </c>
      <c r="P576" s="6" t="n">
        <v>0</v>
      </c>
      <c r="Q576" s="6" t="n">
        <v>0</v>
      </c>
      <c r="R576" s="6" t="n">
        <v>0</v>
      </c>
      <c r="S576" s="6" t="n">
        <v>0</v>
      </c>
      <c r="T576" s="6" t="n">
        <v>3</v>
      </c>
      <c r="U576" s="6" t="n">
        <v>0</v>
      </c>
      <c r="V576" s="6" t="n">
        <v>20.333333</v>
      </c>
      <c r="W576" s="6" t="n">
        <v>21.0125</v>
      </c>
      <c r="X576" s="6" t="n">
        <v>0.5576</v>
      </c>
      <c r="Y576" s="6" t="inlineStr">
        <is>
          <t>Safety / Legal</t>
        </is>
      </c>
      <c r="Z576" s="6" t="inlineStr">
        <is>
          <t>Frozen-weight composite; strongest contribution: Safety / Legal.</t>
        </is>
      </c>
      <c r="AA576" s="6" t="inlineStr">
        <is>
          <t>None explicitly named in this RTM</t>
        </is>
      </c>
      <c r="AB576" s="6" t="inlineStr">
        <is>
          <t>SCK CEN/90508872 §10.3; no named external code</t>
        </is>
      </c>
      <c r="AC576" s="6" t="inlineStr">
        <is>
          <t>Design review plus final inspection/acceptance evidence</t>
        </is>
      </c>
      <c r="AD576" s="6" t="inlineStr">
        <is>
          <t>No separate deliverable explicitly named</t>
        </is>
      </c>
      <c r="AE576" s="6" t="inlineStr">
        <is>
          <t>Warranty; PAC / Handover; FAC</t>
        </is>
      </c>
      <c r="AF576" s="6" t="inlineStr">
        <is>
          <t>Section/contract-derived reference; derived evidence route</t>
        </is>
      </c>
      <c r="AG576" s="58" t="inlineStr">
        <is>
          <t>Not linked to an OFFER item</t>
        </is>
      </c>
    </row>
    <row r="577" ht="47" customHeight="1">
      <c r="A577" s="6" t="n">
        <v>572</v>
      </c>
      <c r="B577" s="6" t="inlineStr">
        <is>
          <t>RTM-721</t>
        </is>
      </c>
      <c r="C577" s="6" t="inlineStr">
        <is>
          <t>No</t>
        </is>
      </c>
      <c r="D577" s="6" t="inlineStr">
        <is>
          <t>T3 Contextual</t>
        </is>
      </c>
      <c r="E577" s="6" t="inlineStr">
        <is>
          <t>Acceptance &amp; Warranty</t>
        </is>
      </c>
      <c r="F577" s="82" t="inlineStr">
        <is>
          <t>PROJECT</t>
        </is>
      </c>
      <c r="G577" s="83" t="inlineStr">
        <is>
          <t>Governance &amp; Responsibility</t>
        </is>
      </c>
      <c r="H577" s="59" t="inlineStr">
        <is>
          <t>—</t>
        </is>
      </c>
      <c r="I577" s="81" t="inlineStr">
        <is>
          <t>Inferred: C6 — Reliability &amp; Maintenance (high conf.)</t>
        </is>
      </c>
      <c r="J577" s="6" t="n">
        <v>131</v>
      </c>
      <c r="K577" s="6" t="inlineStr">
        <is>
          <t>10.3</t>
        </is>
      </c>
      <c r="L577" s="6" t="inlineStr">
        <is>
          <t>Warranty Conditions</t>
        </is>
      </c>
      <c r="M577" s="6" t="inlineStr">
        <is>
          <t>The warranty as described in this section shall in no way constitute a restriction on the applicable Belgian statutory regulations on hidden defects.</t>
        </is>
      </c>
      <c r="N577" s="6" t="inlineStr">
        <is>
          <t>The warranty as described in this section shall in no way constitute a restriction on the applicable Belgian statutory regulations on hidden defects.</t>
        </is>
      </c>
      <c r="O577" s="6" t="n">
        <v>2</v>
      </c>
      <c r="P577" s="6" t="n">
        <v>0</v>
      </c>
      <c r="Q577" s="6" t="n">
        <v>0</v>
      </c>
      <c r="R577" s="6" t="n">
        <v>0</v>
      </c>
      <c r="S577" s="6" t="n">
        <v>0</v>
      </c>
      <c r="T577" s="6" t="n">
        <v>3</v>
      </c>
      <c r="U577" s="6" t="n">
        <v>0</v>
      </c>
      <c r="V577" s="6" t="n">
        <v>20.333333</v>
      </c>
      <c r="W577" s="6" t="n">
        <v>21.0125</v>
      </c>
      <c r="X577" s="6" t="n">
        <v>0.5576</v>
      </c>
      <c r="Y577" s="6" t="inlineStr">
        <is>
          <t>Safety / Legal</t>
        </is>
      </c>
      <c r="Z577" s="6" t="inlineStr">
        <is>
          <t>Frozen-weight composite; strongest contribution: Safety / Legal.</t>
        </is>
      </c>
      <c r="AA577" s="6" t="inlineStr">
        <is>
          <t>None explicitly named in this RTM</t>
        </is>
      </c>
      <c r="AB577" s="6" t="inlineStr">
        <is>
          <t>SCK CEN/90508872 §10.3; no named external code</t>
        </is>
      </c>
      <c r="AC577" s="6" t="inlineStr">
        <is>
          <t>Design review plus final inspection/acceptance evidence</t>
        </is>
      </c>
      <c r="AD577" s="6" t="inlineStr">
        <is>
          <t>No separate deliverable explicitly named</t>
        </is>
      </c>
      <c r="AE577" s="6" t="inlineStr">
        <is>
          <t>Warranty; PAC / Handover; FAC</t>
        </is>
      </c>
      <c r="AF577" s="6" t="inlineStr">
        <is>
          <t>Section/contract-derived reference; derived evidence route</t>
        </is>
      </c>
      <c r="AG577" s="58" t="inlineStr">
        <is>
          <t>Not linked to an OFFER item</t>
        </is>
      </c>
    </row>
    <row r="578" ht="99" customHeight="1">
      <c r="A578" s="6" t="n">
        <v>573</v>
      </c>
      <c r="B578" s="6" t="inlineStr">
        <is>
          <t>RTM-006</t>
        </is>
      </c>
      <c r="C578" s="6" t="inlineStr">
        <is>
          <t>No</t>
        </is>
      </c>
      <c r="D578" s="6" t="inlineStr">
        <is>
          <t>T3 Contextual</t>
        </is>
      </c>
      <c r="E578" s="6" t="inlineStr">
        <is>
          <t>Process &amp; Functional</t>
        </is>
      </c>
      <c r="F578" s="82" t="inlineStr">
        <is>
          <t>SYSTEM</t>
        </is>
      </c>
      <c r="G578" s="83" t="inlineStr">
        <is>
          <t>Performance</t>
        </is>
      </c>
      <c r="H578" s="59" t="inlineStr">
        <is>
          <t>—</t>
        </is>
      </c>
      <c r="I578" s="81" t="inlineStr">
        <is>
          <t>Inferred: C2 — Process Design (low conf.)</t>
        </is>
      </c>
      <c r="J578" s="6" t="n">
        <v>26</v>
      </c>
      <c r="K578" s="6" t="inlineStr">
        <is>
          <t>4.2.1</t>
        </is>
      </c>
      <c r="L578" s="6" t="inlineStr">
        <is>
          <t>Design and Operational Conditions</t>
        </is>
      </c>
      <c r="M578" s="6" t="inlineStr">
        <is>
          <t>The QPS design shall comply with the specified Design Conditions and Operational Conditions (flow, heat loads, etc), as defined in this document. These are defined as follows:</t>
        </is>
      </c>
      <c r="N578" s="6" t="inlineStr">
        <is>
          <t>The QPS design shall comply with the specified Design Conditions and Operational Conditions (flow, heat loads, etc), as defined in this document. These are defined as follows:
• Operational Conditions: Conditions expected during actual operation of the system, derived from cryogenic process specifications.
• Design Conditions: Conservative or hypothetical conditions to be used for sizing purposes, which may differ from actual operational conditions.</t>
        </is>
      </c>
      <c r="O578" s="6" t="n">
        <v>0</v>
      </c>
      <c r="P578" s="6" t="n">
        <v>0</v>
      </c>
      <c r="Q578" s="6" t="n">
        <v>3</v>
      </c>
      <c r="R578" s="6" t="n">
        <v>0</v>
      </c>
      <c r="S578" s="6" t="n">
        <v>0</v>
      </c>
      <c r="T578" s="6" t="n">
        <v>0</v>
      </c>
      <c r="U578" s="6" t="n">
        <v>0</v>
      </c>
      <c r="V578" s="6" t="n">
        <v>20</v>
      </c>
      <c r="W578" s="6" t="n">
        <v>19.8336</v>
      </c>
      <c r="X578" s="6" t="n">
        <v>0.5159</v>
      </c>
      <c r="Y578" s="6" t="inlineStr">
        <is>
          <t>Performance</t>
        </is>
      </c>
      <c r="Z578" s="6" t="inlineStr">
        <is>
          <t>Frozen-weight composite; strongest contribution: Performance.</t>
        </is>
      </c>
      <c r="AA578" s="6" t="inlineStr">
        <is>
          <t>None explicitly named in this RTM</t>
        </is>
      </c>
      <c r="AB578" s="6" t="inlineStr">
        <is>
          <t>SCK CEN/90508872 §4.2.1; no named external code</t>
        </is>
      </c>
      <c r="AC578" s="6" t="inlineStr">
        <is>
          <t>Calculation/model plus calibrated measurement or recorded trend</t>
        </is>
      </c>
      <c r="AD578" s="6" t="inlineStr">
        <is>
          <t>No separate deliverable explicitly named</t>
        </is>
      </c>
      <c r="AE578" s="6" t="inlineStr">
        <is>
          <t>L1 Conceptual Design; L2 Detailed Design</t>
        </is>
      </c>
      <c r="AF578" s="6" t="inlineStr">
        <is>
          <t>Section/contract-derived reference; derived evidence route</t>
        </is>
      </c>
      <c r="AG578" s="58" t="inlineStr">
        <is>
          <t>Not linked to an OFFER item</t>
        </is>
      </c>
    </row>
    <row r="579" ht="47" customHeight="1">
      <c r="A579" s="6" t="n">
        <v>574</v>
      </c>
      <c r="B579" s="6" t="inlineStr">
        <is>
          <t>RTM-009</t>
        </is>
      </c>
      <c r="C579" s="6" t="inlineStr">
        <is>
          <t>No</t>
        </is>
      </c>
      <c r="D579" s="6" t="inlineStr">
        <is>
          <t>T3 Contextual</t>
        </is>
      </c>
      <c r="E579" s="6" t="inlineStr">
        <is>
          <t>Process &amp; Functional</t>
        </is>
      </c>
      <c r="F579" s="82" t="inlineStr">
        <is>
          <t>SYSTEM</t>
        </is>
      </c>
      <c r="G579" s="83" t="inlineStr">
        <is>
          <t>Performance</t>
        </is>
      </c>
      <c r="H579" s="59" t="inlineStr">
        <is>
          <t>—</t>
        </is>
      </c>
      <c r="I579" s="81" t="inlineStr">
        <is>
          <t>Inferred: C2 — Process Design (low conf.)</t>
        </is>
      </c>
      <c r="J579" s="6" t="n">
        <v>26</v>
      </c>
      <c r="K579" s="6" t="inlineStr">
        <is>
          <t>4.2.1</t>
        </is>
      </c>
      <c r="L579" s="6" t="inlineStr">
        <is>
          <t>Design and Operational Conditions</t>
        </is>
      </c>
      <c r="M579" s="6" t="inlineStr">
        <is>
          <t>The Contractor shall determine the QPLANT Maximal Point for the QPS, in accordance with RTM-044, §4.2.4 “Cooling Capacity”.</t>
        </is>
      </c>
      <c r="N579" s="6" t="inlineStr">
        <is>
          <t>The Contractor shall determine the QPLANT Maximal Point for the QPS, in accordance with RTM-044, §4.2.4 “Cooling Capacity”.</t>
        </is>
      </c>
      <c r="O579" s="6" t="n">
        <v>0</v>
      </c>
      <c r="P579" s="6" t="n">
        <v>0</v>
      </c>
      <c r="Q579" s="6" t="n">
        <v>3</v>
      </c>
      <c r="R579" s="6" t="n">
        <v>0</v>
      </c>
      <c r="S579" s="6" t="n">
        <v>0</v>
      </c>
      <c r="T579" s="6" t="n">
        <v>0</v>
      </c>
      <c r="U579" s="6" t="n">
        <v>0</v>
      </c>
      <c r="V579" s="6" t="n">
        <v>20</v>
      </c>
      <c r="W579" s="6" t="n">
        <v>19.8336</v>
      </c>
      <c r="X579" s="6" t="n">
        <v>0.5159</v>
      </c>
      <c r="Y579" s="6" t="inlineStr">
        <is>
          <t>Performance</t>
        </is>
      </c>
      <c r="Z579" s="6" t="inlineStr">
        <is>
          <t>Frozen-weight composite; strongest contribution: Performance.</t>
        </is>
      </c>
      <c r="AA579" s="6" t="inlineStr">
        <is>
          <t>None explicitly named in this RTM</t>
        </is>
      </c>
      <c r="AB579" s="6" t="inlineStr">
        <is>
          <t>SCK CEN/90508872 §4.2.1; no named external code</t>
        </is>
      </c>
      <c r="AC579" s="6" t="inlineStr">
        <is>
          <t>Calculation/model plus calibrated measurement or recorded trend</t>
        </is>
      </c>
      <c r="AD579" s="6" t="inlineStr">
        <is>
          <t>No separate deliverable explicitly named</t>
        </is>
      </c>
      <c r="AE579" s="6" t="inlineStr">
        <is>
          <t>L1 Conceptual Design; L2 Detailed Design</t>
        </is>
      </c>
      <c r="AF579" s="6" t="inlineStr">
        <is>
          <t>Section/contract-derived reference; derived evidence route</t>
        </is>
      </c>
      <c r="AG579" s="58" t="inlineStr">
        <is>
          <t>Not linked to an OFFER item</t>
        </is>
      </c>
    </row>
    <row r="580" ht="47" customHeight="1">
      <c r="A580" s="6" t="n">
        <v>575</v>
      </c>
      <c r="B580" s="6" t="inlineStr">
        <is>
          <t>RTM-037</t>
        </is>
      </c>
      <c r="C580" s="6" t="inlineStr">
        <is>
          <t>No</t>
        </is>
      </c>
      <c r="D580" s="6" t="inlineStr">
        <is>
          <t>T3 Contextual</t>
        </is>
      </c>
      <c r="E580" s="6" t="inlineStr">
        <is>
          <t>Process &amp; Functional</t>
        </is>
      </c>
      <c r="F580" s="82" t="inlineStr">
        <is>
          <t>SYSTEM</t>
        </is>
      </c>
      <c r="G580" s="83" t="inlineStr">
        <is>
          <t>Performance</t>
        </is>
      </c>
      <c r="H580" s="59" t="inlineStr">
        <is>
          <t>—</t>
        </is>
      </c>
      <c r="I580" s="81" t="inlineStr">
        <is>
          <t>Inferred: C2 — Process Design (low conf.)</t>
        </is>
      </c>
      <c r="J580" s="6" t="n">
        <v>32</v>
      </c>
      <c r="K580" s="6" t="inlineStr">
        <is>
          <t>4.2.3</t>
        </is>
      </c>
      <c r="L580" s="6" t="inlineStr">
        <is>
          <t>Operational Condition Ranges</t>
        </is>
      </c>
      <c r="M580" s="6" t="inlineStr">
        <is>
          <t>The Contractor shall confirm and refine the Operational Conditions during Basic and Detailed Design based on the final QPS design.</t>
        </is>
      </c>
      <c r="N580" s="6" t="inlineStr">
        <is>
          <t>The Contractor shall confirm and refine the Operational Conditions during Basic and Detailed Design based on the final QPS design.
• Any refinement shall remain within the specified enveloping ranges.</t>
        </is>
      </c>
      <c r="O580" s="6" t="n">
        <v>0</v>
      </c>
      <c r="P580" s="6" t="n">
        <v>0</v>
      </c>
      <c r="Q580" s="6" t="n">
        <v>3</v>
      </c>
      <c r="R580" s="6" t="n">
        <v>0</v>
      </c>
      <c r="S580" s="6" t="n">
        <v>0</v>
      </c>
      <c r="T580" s="6" t="n">
        <v>0</v>
      </c>
      <c r="U580" s="6" t="n">
        <v>0</v>
      </c>
      <c r="V580" s="6" t="n">
        <v>20</v>
      </c>
      <c r="W580" s="6" t="n">
        <v>19.8336</v>
      </c>
      <c r="X580" s="6" t="n">
        <v>0.5159</v>
      </c>
      <c r="Y580" s="6" t="inlineStr">
        <is>
          <t>Performance</t>
        </is>
      </c>
      <c r="Z580" s="6" t="inlineStr">
        <is>
          <t>Frozen-weight composite; strongest contribution: Performance.</t>
        </is>
      </c>
      <c r="AA580" s="6" t="inlineStr">
        <is>
          <t>None explicitly named in this RTM</t>
        </is>
      </c>
      <c r="AB580" s="6" t="inlineStr">
        <is>
          <t>SCK CEN/90508872 §4.2.3; no named external code</t>
        </is>
      </c>
      <c r="AC580" s="6" t="inlineStr">
        <is>
          <t>Calculation/model plus calibrated measurement or recorded trend</t>
        </is>
      </c>
      <c r="AD580" s="6" t="inlineStr">
        <is>
          <t>No separate deliverable explicitly named</t>
        </is>
      </c>
      <c r="AE580" s="6" t="inlineStr">
        <is>
          <t>L2 Detailed Design; L1 Conceptual Design</t>
        </is>
      </c>
      <c r="AF580" s="6" t="inlineStr">
        <is>
          <t>Section/contract-derived reference; derived evidence route</t>
        </is>
      </c>
      <c r="AG580" s="58" t="inlineStr">
        <is>
          <t>Not linked to an OFFER item</t>
        </is>
      </c>
    </row>
    <row r="581" ht="177" customHeight="1">
      <c r="A581" s="6" t="n">
        <v>576</v>
      </c>
      <c r="B581" s="6" t="inlineStr">
        <is>
          <t>RTM-038</t>
        </is>
      </c>
      <c r="C581" s="6" t="inlineStr">
        <is>
          <t>No</t>
        </is>
      </c>
      <c r="D581" s="6" t="inlineStr">
        <is>
          <t>T3 Contextual</t>
        </is>
      </c>
      <c r="E581" s="6" t="inlineStr">
        <is>
          <t>Process &amp; Functional</t>
        </is>
      </c>
      <c r="F581" s="82" t="inlineStr">
        <is>
          <t>SYSTEM</t>
        </is>
      </c>
      <c r="G581" s="83" t="inlineStr">
        <is>
          <t>Control</t>
        </is>
      </c>
      <c r="H581" s="59" t="inlineStr">
        <is>
          <t>—</t>
        </is>
      </c>
      <c r="I581" s="81" t="inlineStr">
        <is>
          <t>Inferred: C2 — Process Design (low conf.)</t>
        </is>
      </c>
      <c r="J581" s="6" t="n">
        <v>32</v>
      </c>
      <c r="K581" s="6" t="inlineStr">
        <is>
          <t>4.2.3</t>
        </is>
      </c>
      <c r="L581" s="6" t="inlineStr">
        <is>
          <t>Operational Condition Ranges</t>
        </is>
      </c>
      <c r="M581" s="6" t="inlineStr">
        <is>
          <t>The Contractor shall comply with the following definitions regarding the Operational Conditions:</t>
        </is>
      </c>
      <c r="N581" s="6" t="inlineStr">
        <is>
          <t>The Contractor shall comply with the following definitions regarding the Operational Conditions:
• Range requirement
• The specified ranges correspond to the expected operating envelope. This shall not be interpreted as requirements for installed cooling capacity, which is specified separately in §4.2.4.
• Stability requirement
• The specified stability corresponds to the maximum deviation from the operating value, measured at the location used for scenario control and state declaration. The Cryogenic Users shall be assumed to be in steady state.
• Heat Load Range requirement
• The lower bound excludes contingency margins
• The upper bound includes contingency margins</t>
        </is>
      </c>
      <c r="O581" s="6" t="n">
        <v>0</v>
      </c>
      <c r="P581" s="6" t="n">
        <v>0</v>
      </c>
      <c r="Q581" s="6" t="n">
        <v>3</v>
      </c>
      <c r="R581" s="6" t="n">
        <v>0</v>
      </c>
      <c r="S581" s="6" t="n">
        <v>0</v>
      </c>
      <c r="T581" s="6" t="n">
        <v>0</v>
      </c>
      <c r="U581" s="6" t="n">
        <v>0</v>
      </c>
      <c r="V581" s="6" t="n">
        <v>20</v>
      </c>
      <c r="W581" s="6" t="n">
        <v>19.8336</v>
      </c>
      <c r="X581" s="6" t="n">
        <v>0.5159</v>
      </c>
      <c r="Y581" s="6" t="inlineStr">
        <is>
          <t>Performance</t>
        </is>
      </c>
      <c r="Z581" s="6" t="inlineStr">
        <is>
          <t>Frozen-weight composite; strongest contribution: Performance.</t>
        </is>
      </c>
      <c r="AA581" s="6" t="inlineStr">
        <is>
          <t>None explicitly named in this RTM</t>
        </is>
      </c>
      <c r="AB581" s="6" t="inlineStr">
        <is>
          <t>SCK CEN/90508872 §4.2.3; no named external code</t>
        </is>
      </c>
      <c r="AC581" s="6" t="inlineStr">
        <is>
          <t>Calculation/model plus calibrated measurement or recorded trend</t>
        </is>
      </c>
      <c r="AD581" s="6" t="inlineStr">
        <is>
          <t>No separate deliverable explicitly named</t>
        </is>
      </c>
      <c r="AE581" s="6" t="inlineStr">
        <is>
          <t>L1 Conceptual Design; L2 Detailed Design</t>
        </is>
      </c>
      <c r="AF581" s="6" t="inlineStr">
        <is>
          <t>Section/contract-derived reference; derived evidence route</t>
        </is>
      </c>
      <c r="AG581" s="58" t="inlineStr">
        <is>
          <t>Not linked to an OFFER item</t>
        </is>
      </c>
    </row>
    <row r="582" ht="47" customHeight="1">
      <c r="A582" s="6" t="n">
        <v>577</v>
      </c>
      <c r="B582" s="6" t="inlineStr">
        <is>
          <t>RTM-045</t>
        </is>
      </c>
      <c r="C582" s="6" t="inlineStr">
        <is>
          <t>No</t>
        </is>
      </c>
      <c r="D582" s="6" t="inlineStr">
        <is>
          <t>T3 Contextual</t>
        </is>
      </c>
      <c r="E582" s="6" t="inlineStr">
        <is>
          <t>Process &amp; Functional</t>
        </is>
      </c>
      <c r="F582" s="82" t="inlineStr">
        <is>
          <t>SYSTEM</t>
        </is>
      </c>
      <c r="G582" s="83" t="inlineStr">
        <is>
          <t>Performance</t>
        </is>
      </c>
      <c r="H582" s="59" t="inlineStr">
        <is>
          <t>—</t>
        </is>
      </c>
      <c r="I582" s="58" t="inlineStr">
        <is>
          <t>C2 — Process Design</t>
        </is>
      </c>
      <c r="J582" s="6" t="n">
        <v>34</v>
      </c>
      <c r="K582" s="6" t="inlineStr">
        <is>
          <t>4.2.5</t>
        </is>
      </c>
      <c r="L582" s="6" t="inlineStr">
        <is>
          <t>Liquid Nitrogen Precooling (Optional)</t>
        </is>
      </c>
      <c r="M582" s="6" t="inlineStr">
        <is>
          <t>The QPS design may include integration of liquid nitrogen precooling (LN2 Precooling) within the thermodynamic cycle of the QRB.</t>
        </is>
      </c>
      <c r="N582" s="6" t="inlineStr">
        <is>
          <t>The QPS design may include integration of liquid nitrogen precooling (LN2 Precooling) within the thermodynamic cycle of the QRB.</t>
        </is>
      </c>
      <c r="O582" s="6" t="n">
        <v>0</v>
      </c>
      <c r="P582" s="6" t="n">
        <v>0</v>
      </c>
      <c r="Q582" s="6" t="n">
        <v>3</v>
      </c>
      <c r="R582" s="6" t="n">
        <v>0</v>
      </c>
      <c r="S582" s="6" t="n">
        <v>0</v>
      </c>
      <c r="T582" s="6" t="n">
        <v>0</v>
      </c>
      <c r="U582" s="6" t="n">
        <v>0</v>
      </c>
      <c r="V582" s="6" t="n">
        <v>20</v>
      </c>
      <c r="W582" s="6" t="n">
        <v>19.8336</v>
      </c>
      <c r="X582" s="6" t="n">
        <v>0.5159</v>
      </c>
      <c r="Y582" s="6" t="inlineStr">
        <is>
          <t>Performance</t>
        </is>
      </c>
      <c r="Z582" s="6" t="inlineStr">
        <is>
          <t>Frozen-weight composite; strongest contribution: Performance.</t>
        </is>
      </c>
      <c r="AA582" s="6" t="inlineStr">
        <is>
          <t>None explicitly named in this RTM</t>
        </is>
      </c>
      <c r="AB582" s="6" t="inlineStr">
        <is>
          <t>SCK CEN/90508872 §4.2.5; no named external code</t>
        </is>
      </c>
      <c r="AC582" s="6" t="inlineStr">
        <is>
          <t>Calculation/model plus calibrated measurement or recorded trend</t>
        </is>
      </c>
      <c r="AD582" s="6" t="inlineStr">
        <is>
          <t>No separate deliverable explicitly named</t>
        </is>
      </c>
      <c r="AE582" s="6" t="inlineStr">
        <is>
          <t>L1 Conceptual Design; L2 Detailed Design</t>
        </is>
      </c>
      <c r="AF582" s="6" t="inlineStr">
        <is>
          <t>Section/contract-derived reference; derived evidence route</t>
        </is>
      </c>
      <c r="AG582" s="58" t="inlineStr">
        <is>
          <t>OFFER-08 (Direct); OFFER-09 (Contextual — offer-only comparative justification); OFFER-10 (Supporting)</t>
        </is>
      </c>
    </row>
    <row r="583" ht="151" customHeight="1">
      <c r="A583" s="6" t="n">
        <v>578</v>
      </c>
      <c r="B583" s="6" t="inlineStr">
        <is>
          <t>RTM-046</t>
        </is>
      </c>
      <c r="C583" s="6" t="inlineStr">
        <is>
          <t>No</t>
        </is>
      </c>
      <c r="D583" s="6" t="inlineStr">
        <is>
          <t>T3 Contextual</t>
        </is>
      </c>
      <c r="E583" s="6" t="inlineStr">
        <is>
          <t>Process &amp; Functional</t>
        </is>
      </c>
      <c r="F583" s="82" t="inlineStr">
        <is>
          <t>SYSTEM</t>
        </is>
      </c>
      <c r="G583" s="83" t="inlineStr">
        <is>
          <t>Control</t>
        </is>
      </c>
      <c r="H583" s="59" t="inlineStr">
        <is>
          <t>—</t>
        </is>
      </c>
      <c r="I583" s="58" t="inlineStr">
        <is>
          <t>C2 — Process Design</t>
        </is>
      </c>
      <c r="J583" s="6" t="n">
        <v>34</v>
      </c>
      <c r="K583" s="6" t="inlineStr">
        <is>
          <t>4.2.5</t>
        </is>
      </c>
      <c r="L583" s="6" t="inlineStr">
        <is>
          <t>Liquid Nitrogen Precooling (Optional)</t>
        </is>
      </c>
      <c r="M583" s="6" t="inlineStr">
        <is>
          <t>If LN2 Precooling is implemented, the Contractor shall be responsible to:</t>
        </is>
      </c>
      <c r="N583" s="6" t="inlineStr">
        <is>
          <t>If LN2 Precooling is implemented, the Contractor shall be responsible to:
• define all required LN2 interfaces with the site infrastructure.
• provide all necessary mechanical, process, control, and safety interfaces.
• fully design and supply the Liquid Nitrogen Storage System (QSN) in accordance with §4.4.6.
• specify the expected LN2 consumption, including average, peak, and transient demand
• specify the requirements for LN2 replenishment logistics, including filling interfaces, delivery conditions, and operational constraints.
• include all associated equipment, instrumentation, control functions, and safety provisions within the QPS scope.</t>
        </is>
      </c>
      <c r="O583" s="6" t="n">
        <v>0</v>
      </c>
      <c r="P583" s="6" t="n">
        <v>0</v>
      </c>
      <c r="Q583" s="6" t="n">
        <v>3</v>
      </c>
      <c r="R583" s="6" t="n">
        <v>0</v>
      </c>
      <c r="S583" s="6" t="n">
        <v>0</v>
      </c>
      <c r="T583" s="6" t="n">
        <v>0</v>
      </c>
      <c r="U583" s="6" t="n">
        <v>0</v>
      </c>
      <c r="V583" s="6" t="n">
        <v>20</v>
      </c>
      <c r="W583" s="6" t="n">
        <v>19.8336</v>
      </c>
      <c r="X583" s="6" t="n">
        <v>0.5159</v>
      </c>
      <c r="Y583" s="6" t="inlineStr">
        <is>
          <t>Performance</t>
        </is>
      </c>
      <c r="Z583" s="6" t="inlineStr">
        <is>
          <t>Frozen-weight composite; strongest contribution: Performance.</t>
        </is>
      </c>
      <c r="AA583" s="6" t="inlineStr">
        <is>
          <t>None explicitly named in this RTM</t>
        </is>
      </c>
      <c r="AB583" s="6" t="inlineStr">
        <is>
          <t>SCK CEN/90508872 §4.2.5; no named external code</t>
        </is>
      </c>
      <c r="AC583" s="6" t="inlineStr">
        <is>
          <t>Calculation/model plus calibrated measurement or recorded trend</t>
        </is>
      </c>
      <c r="AD583" s="6" t="inlineStr">
        <is>
          <t>No separate deliverable explicitly named</t>
        </is>
      </c>
      <c r="AE583" s="6" t="inlineStr">
        <is>
          <t>PAC / Handover; L1 Conceptual Design; L2 Detailed Design</t>
        </is>
      </c>
      <c r="AF583" s="6" t="inlineStr">
        <is>
          <t>Section/contract-derived reference; derived evidence route</t>
        </is>
      </c>
      <c r="AG583" s="58" t="inlineStr">
        <is>
          <t>OFFER-08 (Supporting); OFFER-09 (Contextual — offer-only comparative justification); OFFER-10 (Direct)</t>
        </is>
      </c>
    </row>
    <row r="584" ht="99" customHeight="1">
      <c r="A584" s="6" t="n">
        <v>579</v>
      </c>
      <c r="B584" s="6" t="inlineStr">
        <is>
          <t>RTM-047</t>
        </is>
      </c>
      <c r="C584" s="6" t="inlineStr">
        <is>
          <t>No</t>
        </is>
      </c>
      <c r="D584" s="6" t="inlineStr">
        <is>
          <t>T3 Contextual</t>
        </is>
      </c>
      <c r="E584" s="6" t="inlineStr">
        <is>
          <t>Process &amp; Functional</t>
        </is>
      </c>
      <c r="F584" s="82" t="inlineStr">
        <is>
          <t>SYSTEM</t>
        </is>
      </c>
      <c r="G584" s="83" t="inlineStr">
        <is>
          <t>Performance</t>
        </is>
      </c>
      <c r="H584" s="59" t="inlineStr">
        <is>
          <t>—</t>
        </is>
      </c>
      <c r="I584" s="58" t="inlineStr">
        <is>
          <t>C2 — Process Design</t>
        </is>
      </c>
      <c r="J584" s="6" t="n">
        <v>35</v>
      </c>
      <c r="K584" s="6" t="inlineStr">
        <is>
          <t>4.2.5</t>
        </is>
      </c>
      <c r="L584" s="6" t="inlineStr">
        <is>
          <t>Liquid Nitrogen Precooling (Optional)</t>
        </is>
      </c>
      <c r="M584" s="6" t="inlineStr">
        <is>
          <t>If LN2 Precooling is implemented, it shall:</t>
        </is>
      </c>
      <c r="N584" s="6" t="inlineStr">
        <is>
          <t>If LN2 Precooling is implemented, it shall:
• Not compromise the ability of the QPS to remain safe under loss of LN2 supply.
• Account for LN2 supply logistics, including delivery interruptions and pressure instabilities.
• Provide an autonomy (e.g. storage capacity) of at least 14 days at the QPLANT Design Point.</t>
        </is>
      </c>
      <c r="O584" s="6" t="n">
        <v>0</v>
      </c>
      <c r="P584" s="6" t="n">
        <v>0</v>
      </c>
      <c r="Q584" s="6" t="n">
        <v>3</v>
      </c>
      <c r="R584" s="6" t="n">
        <v>0</v>
      </c>
      <c r="S584" s="6" t="n">
        <v>0</v>
      </c>
      <c r="T584" s="6" t="n">
        <v>0</v>
      </c>
      <c r="U584" s="6" t="n">
        <v>0</v>
      </c>
      <c r="V584" s="6" t="n">
        <v>20</v>
      </c>
      <c r="W584" s="6" t="n">
        <v>19.8336</v>
      </c>
      <c r="X584" s="6" t="n">
        <v>0.5159</v>
      </c>
      <c r="Y584" s="6" t="inlineStr">
        <is>
          <t>Performance</t>
        </is>
      </c>
      <c r="Z584" s="6" t="inlineStr">
        <is>
          <t>Frozen-weight composite; strongest contribution: Performance.</t>
        </is>
      </c>
      <c r="AA584" s="6" t="inlineStr">
        <is>
          <t>None explicitly named in this RTM</t>
        </is>
      </c>
      <c r="AB584" s="6" t="inlineStr">
        <is>
          <t>SCK CEN/90508872 §4.2.5; no named external code</t>
        </is>
      </c>
      <c r="AC584" s="6" t="inlineStr">
        <is>
          <t>Calculation/model plus calibrated measurement or recorded trend</t>
        </is>
      </c>
      <c r="AD584" s="6" t="inlineStr">
        <is>
          <t>No separate deliverable explicitly named</t>
        </is>
      </c>
      <c r="AE584" s="6" t="inlineStr">
        <is>
          <t>PAC / Handover; L1 Conceptual Design; L2 Detailed Design</t>
        </is>
      </c>
      <c r="AF584" s="6" t="inlineStr">
        <is>
          <t>Section/contract-derived reference; derived evidence route</t>
        </is>
      </c>
      <c r="AG584" s="58" t="inlineStr">
        <is>
          <t>OFFER-08 (Supporting); OFFER-09 (Contextual — offer-only comparative justification); OFFER-10 (Direct)</t>
        </is>
      </c>
    </row>
    <row r="585" ht="125" customHeight="1">
      <c r="A585" s="6" t="n">
        <v>580</v>
      </c>
      <c r="B585" s="6" t="inlineStr">
        <is>
          <t>RTM-048</t>
        </is>
      </c>
      <c r="C585" s="6" t="inlineStr">
        <is>
          <t>No</t>
        </is>
      </c>
      <c r="D585" s="6" t="inlineStr">
        <is>
          <t>T3 Contextual</t>
        </is>
      </c>
      <c r="E585" s="6" t="inlineStr">
        <is>
          <t>Process &amp; Functional</t>
        </is>
      </c>
      <c r="F585" s="82" t="inlineStr">
        <is>
          <t>SYSTEM</t>
        </is>
      </c>
      <c r="G585" s="83" t="inlineStr">
        <is>
          <t>Control</t>
        </is>
      </c>
      <c r="H585" s="59" t="inlineStr">
        <is>
          <t>—</t>
        </is>
      </c>
      <c r="I585" s="81" t="inlineStr">
        <is>
          <t>Inferred: C2 — Process Design (low conf.)</t>
        </is>
      </c>
      <c r="J585" s="6" t="n">
        <v>35</v>
      </c>
      <c r="K585" s="6" t="inlineStr">
        <is>
          <t>4.2.6</t>
        </is>
      </c>
      <c r="L585" s="6" t="inlineStr">
        <is>
          <t>Abnormal event</t>
        </is>
      </c>
      <c r="M585" s="6" t="inlineStr">
        <is>
          <t>The QPS design shall withstand abnormal events without compromising system integrity or personnel safety.</t>
        </is>
      </c>
      <c r="N585" s="6" t="inlineStr">
        <is>
          <t>The QPS design shall withstand abnormal events without compromising system integrity or personnel safety.
• Abnormal events shall include, at minimum, any event affecting:
• Electrical supply of the QPS
• Cryogenic system of the QPS
• Utilities supporting the QPS
• Control and instrumentation systems of the QPS
• The Contractor shall at minimum consider the abnormal events in this section (§4.2.6).</t>
        </is>
      </c>
      <c r="O585" s="6" t="n">
        <v>0</v>
      </c>
      <c r="P585" s="6" t="n">
        <v>0</v>
      </c>
      <c r="Q585" s="6" t="n">
        <v>3</v>
      </c>
      <c r="R585" s="6" t="n">
        <v>0</v>
      </c>
      <c r="S585" s="6" t="n">
        <v>0</v>
      </c>
      <c r="T585" s="6" t="n">
        <v>0</v>
      </c>
      <c r="U585" s="6" t="n">
        <v>0</v>
      </c>
      <c r="V585" s="6" t="n">
        <v>20</v>
      </c>
      <c r="W585" s="6" t="n">
        <v>19.8336</v>
      </c>
      <c r="X585" s="6" t="n">
        <v>0.5159</v>
      </c>
      <c r="Y585" s="6" t="inlineStr">
        <is>
          <t>Performance</t>
        </is>
      </c>
      <c r="Z585" s="6" t="inlineStr">
        <is>
          <t>Frozen-weight composite; strongest contribution: Performance.</t>
        </is>
      </c>
      <c r="AA585" s="6" t="inlineStr">
        <is>
          <t>None explicitly named in this RTM</t>
        </is>
      </c>
      <c r="AB585" s="6" t="inlineStr">
        <is>
          <t>SCK CEN/90508872 §4.2.6; no named external code</t>
        </is>
      </c>
      <c r="AC585" s="6" t="inlineStr">
        <is>
          <t>Calculation/model plus calibrated measurement or recorded trend</t>
        </is>
      </c>
      <c r="AD585" s="6" t="inlineStr">
        <is>
          <t>No separate deliverable explicitly named</t>
        </is>
      </c>
      <c r="AE585" s="6" t="inlineStr">
        <is>
          <t>L1 Conceptual Design; L2 Detailed Design</t>
        </is>
      </c>
      <c r="AF585" s="6" t="inlineStr">
        <is>
          <t>Section/contract-derived reference; derived evidence route</t>
        </is>
      </c>
      <c r="AG585" s="58" t="inlineStr">
        <is>
          <t>Not linked to an OFFER item</t>
        </is>
      </c>
    </row>
    <row r="586" ht="60" customHeight="1">
      <c r="A586" s="6" t="n">
        <v>581</v>
      </c>
      <c r="B586" s="6" t="inlineStr">
        <is>
          <t>RTM-049</t>
        </is>
      </c>
      <c r="C586" s="6" t="inlineStr">
        <is>
          <t>No</t>
        </is>
      </c>
      <c r="D586" s="6" t="inlineStr">
        <is>
          <t>T3 Contextual</t>
        </is>
      </c>
      <c r="E586" s="6" t="inlineStr">
        <is>
          <t>Process &amp; Functional</t>
        </is>
      </c>
      <c r="F586" s="82" t="inlineStr">
        <is>
          <t>SYSTEM</t>
        </is>
      </c>
      <c r="G586" s="83" t="inlineStr">
        <is>
          <t>Performance</t>
        </is>
      </c>
      <c r="H586" s="59" t="inlineStr">
        <is>
          <t>—</t>
        </is>
      </c>
      <c r="I586" s="81" t="inlineStr">
        <is>
          <t>Inferred: C2 — Process Design (low conf.)</t>
        </is>
      </c>
      <c r="J586" s="6" t="n">
        <v>36</v>
      </c>
      <c r="K586" s="6" t="inlineStr">
        <is>
          <t>4.2.6</t>
        </is>
      </c>
      <c r="L586" s="6" t="inlineStr">
        <is>
          <t>Abnormal event</t>
        </is>
      </c>
      <c r="M586" s="6" t="inlineStr">
        <is>
          <t>The Contractor shall identify, define, and implement all abnormal events applicable to the QPS.</t>
        </is>
      </c>
      <c r="N586" s="6" t="inlineStr">
        <is>
          <t>The Contractor shall identify, define, and implement all abnormal events applicable to the QPS.
• The abnormal event implementation shall be based on recognised engineering practices and relevant operational experience.</t>
        </is>
      </c>
      <c r="O586" s="6" t="n">
        <v>0</v>
      </c>
      <c r="P586" s="6" t="n">
        <v>0</v>
      </c>
      <c r="Q586" s="6" t="n">
        <v>3</v>
      </c>
      <c r="R586" s="6" t="n">
        <v>0</v>
      </c>
      <c r="S586" s="6" t="n">
        <v>0</v>
      </c>
      <c r="T586" s="6" t="n">
        <v>0</v>
      </c>
      <c r="U586" s="6" t="n">
        <v>0</v>
      </c>
      <c r="V586" s="6" t="n">
        <v>20</v>
      </c>
      <c r="W586" s="6" t="n">
        <v>19.8336</v>
      </c>
      <c r="X586" s="6" t="n">
        <v>0.5159</v>
      </c>
      <c r="Y586" s="6" t="inlineStr">
        <is>
          <t>Performance</t>
        </is>
      </c>
      <c r="Z586" s="6" t="inlineStr">
        <is>
          <t>Frozen-weight composite; strongest contribution: Performance.</t>
        </is>
      </c>
      <c r="AA586" s="6" t="inlineStr">
        <is>
          <t>None explicitly named in this RTM</t>
        </is>
      </c>
      <c r="AB586" s="6" t="inlineStr">
        <is>
          <t>SCK CEN/90508872 §4.2.6; no named external code</t>
        </is>
      </c>
      <c r="AC586" s="6" t="inlineStr">
        <is>
          <t>Calculation/model plus calibrated measurement or recorded trend</t>
        </is>
      </c>
      <c r="AD586" s="6" t="inlineStr">
        <is>
          <t>No separate deliverable explicitly named</t>
        </is>
      </c>
      <c r="AE586" s="6" t="inlineStr">
        <is>
          <t>L1 Conceptual Design; L2 Detailed Design</t>
        </is>
      </c>
      <c r="AF586" s="6" t="inlineStr">
        <is>
          <t>Section/contract-derived reference; derived evidence route</t>
        </is>
      </c>
      <c r="AG586" s="58" t="inlineStr">
        <is>
          <t>Not linked to an OFFER item</t>
        </is>
      </c>
    </row>
    <row r="587" ht="112" customHeight="1">
      <c r="A587" s="6" t="n">
        <v>582</v>
      </c>
      <c r="B587" s="6" t="inlineStr">
        <is>
          <t>RTM-050</t>
        </is>
      </c>
      <c r="C587" s="6" t="inlineStr">
        <is>
          <t>No</t>
        </is>
      </c>
      <c r="D587" s="6" t="inlineStr">
        <is>
          <t>T3 Contextual</t>
        </is>
      </c>
      <c r="E587" s="6" t="inlineStr">
        <is>
          <t>Process &amp; Functional</t>
        </is>
      </c>
      <c r="F587" s="82" t="inlineStr">
        <is>
          <t>SYSTEM</t>
        </is>
      </c>
      <c r="G587" s="83" t="inlineStr">
        <is>
          <t>Constraint</t>
        </is>
      </c>
      <c r="H587" s="59" t="inlineStr">
        <is>
          <t>—</t>
        </is>
      </c>
      <c r="I587" s="81" t="inlineStr">
        <is>
          <t>Inferred: C2 — Process Design (low conf.)</t>
        </is>
      </c>
      <c r="J587" s="6" t="n">
        <v>36</v>
      </c>
      <c r="K587" s="6" t="inlineStr">
        <is>
          <t>4.2.6</t>
        </is>
      </c>
      <c r="L587" s="6" t="inlineStr">
        <is>
          <t>Abnormal event</t>
        </is>
      </c>
      <c r="M587" s="6" t="inlineStr">
        <is>
          <t>For each abnormal event, the Contractor shall:</t>
        </is>
      </c>
      <c r="N587" s="6" t="inlineStr">
        <is>
          <t>For each abnormal event, the Contractor shall:
• Define the design-basis envelope, including at minimum:
• The severity of the event
• The duration of the event
• The criticality of the event
• Where appropriate, subdivide an event into multiple levels of severity, duration, or criticality
• Justify and document the selected assumptions in the Engineering File</t>
        </is>
      </c>
      <c r="O587" s="6" t="n">
        <v>0</v>
      </c>
      <c r="P587" s="6" t="n">
        <v>0</v>
      </c>
      <c r="Q587" s="6" t="n">
        <v>3</v>
      </c>
      <c r="R587" s="6" t="n">
        <v>0</v>
      </c>
      <c r="S587" s="6" t="n">
        <v>0</v>
      </c>
      <c r="T587" s="6" t="n">
        <v>0</v>
      </c>
      <c r="U587" s="6" t="n">
        <v>0</v>
      </c>
      <c r="V587" s="6" t="n">
        <v>20</v>
      </c>
      <c r="W587" s="6" t="n">
        <v>19.8336</v>
      </c>
      <c r="X587" s="6" t="n">
        <v>0.5159</v>
      </c>
      <c r="Y587" s="6" t="inlineStr">
        <is>
          <t>Performance</t>
        </is>
      </c>
      <c r="Z587" s="6" t="inlineStr">
        <is>
          <t>Frozen-weight composite; strongest contribution: Performance.</t>
        </is>
      </c>
      <c r="AA587" s="6" t="inlineStr">
        <is>
          <t>None explicitly named in this RTM</t>
        </is>
      </c>
      <c r="AB587" s="6" t="inlineStr">
        <is>
          <t>SCK CEN/90508872 §4.2.6; no named external code</t>
        </is>
      </c>
      <c r="AC587" s="6" t="inlineStr">
        <is>
          <t>Submit and review the named deliverable with RTM traceability and approval status; Calculation/model plus calibrated measurement or recorded trend</t>
        </is>
      </c>
      <c r="AD587" s="6" t="inlineStr">
        <is>
          <t>Engineering File</t>
        </is>
      </c>
      <c r="AE587" s="6" t="inlineStr">
        <is>
          <t>L1 Conceptual Design; L2 Detailed Design</t>
        </is>
      </c>
      <c r="AF587" s="6" t="inlineStr">
        <is>
          <t>Section/contract-derived reference; explicit deliverable/test wording</t>
        </is>
      </c>
      <c r="AG587" s="58" t="inlineStr">
        <is>
          <t>Not linked to an OFFER item</t>
        </is>
      </c>
    </row>
    <row r="588" ht="60" customHeight="1">
      <c r="A588" s="6" t="n">
        <v>583</v>
      </c>
      <c r="B588" s="6" t="inlineStr">
        <is>
          <t>RTM-053</t>
        </is>
      </c>
      <c r="C588" s="6" t="inlineStr">
        <is>
          <t>No</t>
        </is>
      </c>
      <c r="D588" s="6" t="inlineStr">
        <is>
          <t>T3 Contextual</t>
        </is>
      </c>
      <c r="E588" s="6" t="inlineStr">
        <is>
          <t>Process &amp; Functional</t>
        </is>
      </c>
      <c r="F588" s="82" t="inlineStr">
        <is>
          <t>SYSTEM</t>
        </is>
      </c>
      <c r="G588" s="83" t="inlineStr">
        <is>
          <t>Performance</t>
        </is>
      </c>
      <c r="H588" s="59" t="inlineStr">
        <is>
          <t>—</t>
        </is>
      </c>
      <c r="I588" s="81" t="inlineStr">
        <is>
          <t>Inferred: C2 — Process Design (low conf.)</t>
        </is>
      </c>
      <c r="J588" s="6" t="n">
        <v>36</v>
      </c>
      <c r="K588" s="6" t="inlineStr">
        <is>
          <t>4.2.6</t>
        </is>
      </c>
      <c r="L588" s="6" t="inlineStr">
        <is>
          <t>Abnormal event</t>
        </is>
      </c>
      <c r="M588" s="6" t="inlineStr">
        <is>
          <t>The QPS design shall consider the following abnormal events affecting the utilities of the QPS:</t>
        </is>
      </c>
      <c r="N588" s="6" t="inlineStr">
        <is>
          <t>The QPS design shall consider the following abnormal events affecting the utilities of the QPS:
• Loss of cooling water
• Loss of instrument air</t>
        </is>
      </c>
      <c r="O588" s="6" t="n">
        <v>0</v>
      </c>
      <c r="P588" s="6" t="n">
        <v>0</v>
      </c>
      <c r="Q588" s="6" t="n">
        <v>3</v>
      </c>
      <c r="R588" s="6" t="n">
        <v>0</v>
      </c>
      <c r="S588" s="6" t="n">
        <v>0</v>
      </c>
      <c r="T588" s="6" t="n">
        <v>0</v>
      </c>
      <c r="U588" s="6" t="n">
        <v>0</v>
      </c>
      <c r="V588" s="6" t="n">
        <v>20</v>
      </c>
      <c r="W588" s="6" t="n">
        <v>19.8336</v>
      </c>
      <c r="X588" s="6" t="n">
        <v>0.5159</v>
      </c>
      <c r="Y588" s="6" t="inlineStr">
        <is>
          <t>Performance</t>
        </is>
      </c>
      <c r="Z588" s="6" t="inlineStr">
        <is>
          <t>Frozen-weight composite; strongest contribution: Performance.</t>
        </is>
      </c>
      <c r="AA588" s="6" t="inlineStr">
        <is>
          <t>None explicitly named in this RTM</t>
        </is>
      </c>
      <c r="AB588" s="6" t="inlineStr">
        <is>
          <t>SCK CEN/90508872 §4.2.6; no named external code</t>
        </is>
      </c>
      <c r="AC588" s="6" t="inlineStr">
        <is>
          <t>Calculation/model plus calibrated measurement or recorded trend</t>
        </is>
      </c>
      <c r="AD588" s="6" t="inlineStr">
        <is>
          <t>No separate deliverable explicitly named</t>
        </is>
      </c>
      <c r="AE588" s="6" t="inlineStr">
        <is>
          <t>L1 Conceptual Design; L2 Detailed Design</t>
        </is>
      </c>
      <c r="AF588" s="6" t="inlineStr">
        <is>
          <t>Section/contract-derived reference; derived evidence route</t>
        </is>
      </c>
      <c r="AG588" s="58" t="inlineStr">
        <is>
          <t>Not linked to an OFFER item</t>
        </is>
      </c>
    </row>
    <row r="589" ht="125" customHeight="1">
      <c r="A589" s="6" t="n">
        <v>584</v>
      </c>
      <c r="B589" s="6" t="inlineStr">
        <is>
          <t>RTM-054</t>
        </is>
      </c>
      <c r="C589" s="6" t="inlineStr">
        <is>
          <t>No</t>
        </is>
      </c>
      <c r="D589" s="6" t="inlineStr">
        <is>
          <t>T3 Contextual</t>
        </is>
      </c>
      <c r="E589" s="6" t="inlineStr">
        <is>
          <t>Process &amp; Functional</t>
        </is>
      </c>
      <c r="F589" s="82" t="inlineStr">
        <is>
          <t>SYSTEM</t>
        </is>
      </c>
      <c r="G589" s="83" t="inlineStr">
        <is>
          <t>Control</t>
        </is>
      </c>
      <c r="H589" s="59" t="inlineStr">
        <is>
          <t>—</t>
        </is>
      </c>
      <c r="I589" s="81" t="inlineStr">
        <is>
          <t>Inferred: C2 — Process Design (low conf.)</t>
        </is>
      </c>
      <c r="J589" s="6" t="n">
        <v>36</v>
      </c>
      <c r="K589" s="6" t="inlineStr">
        <is>
          <t>4.2.6</t>
        </is>
      </c>
      <c r="L589" s="6" t="inlineStr">
        <is>
          <t>Abnormal event</t>
        </is>
      </c>
      <c r="M589" s="6" t="inlineStr">
        <is>
          <t>The QPS design shall consider the following abnormal events affecting the controls and instrumentation systems of the QPS:</t>
        </is>
      </c>
      <c r="N589" s="6" t="inlineStr">
        <is>
          <t>The QPS design shall consider the following abnormal events affecting the controls and instrumentation systems of the QPS:
• Loss of local control power to sensors or actuators
• Loss of communication between distributed control subsystems
• Failure of a critical sensor (e.g. pressure, temperature, or level measurement)
• Failure of a critical control actuator (e.g. control valve or compressor control signal),
• Loss of remote supervision while local control remains available.</t>
        </is>
      </c>
      <c r="O589" s="6" t="n">
        <v>0</v>
      </c>
      <c r="P589" s="6" t="n">
        <v>0</v>
      </c>
      <c r="Q589" s="6" t="n">
        <v>3</v>
      </c>
      <c r="R589" s="6" t="n">
        <v>0</v>
      </c>
      <c r="S589" s="6" t="n">
        <v>0</v>
      </c>
      <c r="T589" s="6" t="n">
        <v>0</v>
      </c>
      <c r="U589" s="6" t="n">
        <v>0</v>
      </c>
      <c r="V589" s="6" t="n">
        <v>20</v>
      </c>
      <c r="W589" s="6" t="n">
        <v>19.8336</v>
      </c>
      <c r="X589" s="6" t="n">
        <v>0.5159</v>
      </c>
      <c r="Y589" s="6" t="inlineStr">
        <is>
          <t>Performance</t>
        </is>
      </c>
      <c r="Z589" s="6" t="inlineStr">
        <is>
          <t>Frozen-weight composite; strongest contribution: Performance.</t>
        </is>
      </c>
      <c r="AA589" s="6" t="inlineStr">
        <is>
          <t>None explicitly named in this RTM</t>
        </is>
      </c>
      <c r="AB589" s="6" t="inlineStr">
        <is>
          <t>SCK CEN/90508872 §4.2.6; no named external code</t>
        </is>
      </c>
      <c r="AC589" s="6" t="inlineStr">
        <is>
          <t>Calculation/model plus calibrated measurement or recorded trend</t>
        </is>
      </c>
      <c r="AD589" s="6" t="inlineStr">
        <is>
          <t>No separate deliverable explicitly named</t>
        </is>
      </c>
      <c r="AE589" s="6" t="inlineStr">
        <is>
          <t>L1 Conceptual Design; L2 Detailed Design</t>
        </is>
      </c>
      <c r="AF589" s="6" t="inlineStr">
        <is>
          <t>Section/contract-derived reference; derived evidence route</t>
        </is>
      </c>
      <c r="AG589" s="58" t="inlineStr">
        <is>
          <t>Not linked to an OFFER item</t>
        </is>
      </c>
    </row>
    <row r="590" ht="151" customHeight="1">
      <c r="A590" s="6" t="n">
        <v>585</v>
      </c>
      <c r="B590" s="6" t="inlineStr">
        <is>
          <t>RTM-074</t>
        </is>
      </c>
      <c r="C590" s="6" t="inlineStr">
        <is>
          <t>No</t>
        </is>
      </c>
      <c r="D590" s="6" t="inlineStr">
        <is>
          <t>T3 Contextual</t>
        </is>
      </c>
      <c r="E590" s="6" t="inlineStr">
        <is>
          <t>Global Design Criteria</t>
        </is>
      </c>
      <c r="F590" s="82" t="inlineStr">
        <is>
          <t>SYSTEM</t>
        </is>
      </c>
      <c r="G590" s="83" t="inlineStr">
        <is>
          <t>Control</t>
        </is>
      </c>
      <c r="H590" s="59" t="inlineStr">
        <is>
          <t>—</t>
        </is>
      </c>
      <c r="I590" s="58" t="inlineStr">
        <is>
          <t>C1 — Performance</t>
        </is>
      </c>
      <c r="J590" s="6" t="n">
        <v>40</v>
      </c>
      <c r="K590" s="6" t="inlineStr">
        <is>
          <t>4.3.4.1</t>
        </is>
      </c>
      <c r="L590" s="6" t="inlineStr">
        <is>
          <t>Inverse Coefficient of Performance (invCOP)</t>
        </is>
      </c>
      <c r="M590" s="6" t="inlineStr">
        <is>
          <t>The equivalent electrical input power (W_elec_eq) shall include the electrical consumption of the totality of the QPS. This shall include, but is not limited to:</t>
        </is>
      </c>
      <c r="N590" s="6" t="inlineStr">
        <is>
          <t>The equivalent electrical input power (W_elec_eq) shall include the electrical consumption of the totality of the QPS. This shall include, but is not limited to:
• HP compressor system
• Process vacuum pumping system (PVPS)
• Cold compressor system
• QPS insulation vacuum pumping system
• QPS internal auxiliaries (e.g. valves, heaters, instrumentation, control cabinets)
• If LN2 Precooling is implemented (§4.2.5), its contribution shall be included as equivalent electrical power (W_LN2_eq) in accordance with RTM-075.</t>
        </is>
      </c>
      <c r="O590" s="6" t="n">
        <v>0</v>
      </c>
      <c r="P590" s="6" t="n">
        <v>0</v>
      </c>
      <c r="Q590" s="6" t="n">
        <v>3</v>
      </c>
      <c r="R590" s="6" t="n">
        <v>0</v>
      </c>
      <c r="S590" s="6" t="n">
        <v>0</v>
      </c>
      <c r="T590" s="6" t="n">
        <v>0</v>
      </c>
      <c r="U590" s="6" t="n">
        <v>0</v>
      </c>
      <c r="V590" s="6" t="n">
        <v>20</v>
      </c>
      <c r="W590" s="6" t="n">
        <v>19.8336</v>
      </c>
      <c r="X590" s="6" t="n">
        <v>0.5159</v>
      </c>
      <c r="Y590" s="6" t="inlineStr">
        <is>
          <t>Performance</t>
        </is>
      </c>
      <c r="Z590" s="6" t="inlineStr">
        <is>
          <t>Frozen-weight composite; strongest contribution: Performance.</t>
        </is>
      </c>
      <c r="AA590" s="6" t="inlineStr">
        <is>
          <t>None explicitly named in this RTM</t>
        </is>
      </c>
      <c r="AB590" s="6" t="inlineStr">
        <is>
          <t>SCK CEN/90508872 §4.3.4.1; no named external code</t>
        </is>
      </c>
      <c r="AC590" s="6" t="inlineStr">
        <is>
          <t>Calculation/model plus calibrated measurement or recorded trend</t>
        </is>
      </c>
      <c r="AD590" s="6" t="inlineStr">
        <is>
          <t>No separate deliverable explicitly named</t>
        </is>
      </c>
      <c r="AE590" s="6" t="inlineStr">
        <is>
          <t>L1 Conceptual Design; L2 Detailed Design</t>
        </is>
      </c>
      <c r="AF590" s="6" t="inlineStr">
        <is>
          <t>Section/contract-derived reference; derived evidence route</t>
        </is>
      </c>
      <c r="AG590" s="58" t="inlineStr">
        <is>
          <t>OFFER-12 (Supporting)</t>
        </is>
      </c>
    </row>
    <row r="591" ht="60" customHeight="1">
      <c r="A591" s="6" t="n">
        <v>586</v>
      </c>
      <c r="B591" s="6" t="inlineStr">
        <is>
          <t>RTM-367</t>
        </is>
      </c>
      <c r="C591" s="6" t="inlineStr">
        <is>
          <t>No</t>
        </is>
      </c>
      <c r="D591" s="6" t="inlineStr">
        <is>
          <t>T3 Contextual</t>
        </is>
      </c>
      <c r="E591" s="6" t="inlineStr">
        <is>
          <t>Control &amp; Interlock</t>
        </is>
      </c>
      <c r="F591" s="82" t="inlineStr">
        <is>
          <t>SYSTEM</t>
        </is>
      </c>
      <c r="G591" s="83" t="inlineStr">
        <is>
          <t>Performance</t>
        </is>
      </c>
      <c r="H591" s="59" t="inlineStr">
        <is>
          <t>—</t>
        </is>
      </c>
      <c r="I591" s="58" t="inlineStr">
        <is>
          <t>C4 — Software &amp; Control</t>
        </is>
      </c>
      <c r="J591" s="6" t="n">
        <v>77</v>
      </c>
      <c r="K591" s="6" t="inlineStr">
        <is>
          <t>4.6.8</t>
        </is>
      </c>
      <c r="L591" s="6" t="inlineStr">
        <is>
          <t>SCADA, HMI, and Data Historian Infrastructure</t>
        </is>
      </c>
      <c r="M591" s="6" t="inlineStr">
        <is>
          <t>The QPS:SCADA system shall be available for minimal two operator workstations ( equipped with large-format displays (≥24-inch) to support effective visualization during QPS operation.</t>
        </is>
      </c>
      <c r="N591" s="6" t="inlineStr">
        <is>
          <t>The QPS:SCADA system shall be available for minimal two operator workstations ( equipped with large-format displays (≥24-inch) to support effective visualization during QPS operation.</t>
        </is>
      </c>
      <c r="O591" s="6" t="n">
        <v>0</v>
      </c>
      <c r="P591" s="6" t="n">
        <v>0</v>
      </c>
      <c r="Q591" s="6" t="n">
        <v>0</v>
      </c>
      <c r="R591" s="6" t="n">
        <v>3</v>
      </c>
      <c r="S591" s="6" t="n">
        <v>1</v>
      </c>
      <c r="T591" s="6" t="n">
        <v>0</v>
      </c>
      <c r="U591" s="6" t="n">
        <v>0</v>
      </c>
      <c r="V591" s="6" t="n">
        <v>20</v>
      </c>
      <c r="W591" s="6" t="n">
        <v>18.5853</v>
      </c>
      <c r="X591" s="6" t="n">
        <v>0.4743</v>
      </c>
      <c r="Y591" s="6" t="inlineStr">
        <is>
          <t>Functional</t>
        </is>
      </c>
      <c r="Z591" s="6" t="inlineStr">
        <is>
          <t>Frozen-weight composite; strongest contribution: Functional.</t>
        </is>
      </c>
      <c r="AA591" s="6" t="inlineStr">
        <is>
          <t>None explicitly named in this RTM</t>
        </is>
      </c>
      <c r="AB591" s="6" t="inlineStr">
        <is>
          <t>SCK CEN/90508872 §4.6.8; no named external code</t>
        </is>
      </c>
      <c r="AC591" s="6" t="inlineStr">
        <is>
          <t>Calculation/model plus calibrated measurement or recorded trend</t>
        </is>
      </c>
      <c r="AD591" s="6" t="inlineStr">
        <is>
          <t>No separate deliverable explicitly named</t>
        </is>
      </c>
      <c r="AE591" s="6" t="inlineStr">
        <is>
          <t>L1 Conceptual Design; L2 Detailed Design</t>
        </is>
      </c>
      <c r="AF591" s="6" t="inlineStr">
        <is>
          <t>Section/contract-derived reference; derived evidence route</t>
        </is>
      </c>
      <c r="AG591" s="58" t="inlineStr">
        <is>
          <t>OFFER-29 (Direct)</t>
        </is>
      </c>
    </row>
    <row r="592" ht="60" customHeight="1">
      <c r="A592" s="6" t="n">
        <v>587</v>
      </c>
      <c r="B592" s="6" t="inlineStr">
        <is>
          <t>RTM-629</t>
        </is>
      </c>
      <c r="C592" s="6" t="inlineStr">
        <is>
          <t>No</t>
        </is>
      </c>
      <c r="D592" s="6" t="inlineStr">
        <is>
          <t>T3 Contextual</t>
        </is>
      </c>
      <c r="E592" s="6" t="inlineStr">
        <is>
          <t>Contract Performance</t>
        </is>
      </c>
      <c r="F592" s="82" t="inlineStr">
        <is>
          <t>PROJECT</t>
        </is>
      </c>
      <c r="G592" s="83" t="inlineStr">
        <is>
          <t>Documentation &amp; Compliance</t>
        </is>
      </c>
      <c r="H592" s="59" t="inlineStr">
        <is>
          <t>—</t>
        </is>
      </c>
      <c r="I592" s="81" t="inlineStr">
        <is>
          <t>Inferred: C8 — Commercial &amp; Execution (medium conf.)</t>
        </is>
      </c>
      <c r="J592" s="6" t="n">
        <v>119</v>
      </c>
      <c r="K592" s="6" t="inlineStr">
        <is>
          <t>7.3</t>
        </is>
      </c>
      <c r="L592" s="6" t="inlineStr">
        <is>
          <t>Document Management</t>
        </is>
      </c>
      <c r="M592" s="6" t="inlineStr">
        <is>
          <t>All project-related documents shall be uploaded to the Coreshare platform managed by SCK CEN..</t>
        </is>
      </c>
      <c r="N592" s="6" t="inlineStr">
        <is>
          <t>All project-related documents shall be uploaded to the Coreshare platform managed by SCK CEN..</t>
        </is>
      </c>
      <c r="O592" s="6" t="n">
        <v>1</v>
      </c>
      <c r="P592" s="6" t="n">
        <v>0</v>
      </c>
      <c r="Q592" s="6" t="n">
        <v>0</v>
      </c>
      <c r="R592" s="6" t="n">
        <v>1</v>
      </c>
      <c r="S592" s="6" t="n">
        <v>2</v>
      </c>
      <c r="T592" s="6" t="n">
        <v>0</v>
      </c>
      <c r="U592" s="6" t="n">
        <v>0</v>
      </c>
      <c r="V592" s="6" t="n">
        <v>20</v>
      </c>
      <c r="W592" s="6" t="n">
        <v>18.5853</v>
      </c>
      <c r="X592" s="6" t="n">
        <v>0.4743</v>
      </c>
      <c r="Y592" s="6" t="inlineStr">
        <is>
          <t>Quality / Verifiability</t>
        </is>
      </c>
      <c r="Z592" s="6" t="inlineStr">
        <is>
          <t>Frozen-weight composite; strongest contribution: Quality / Verifiability.</t>
        </is>
      </c>
      <c r="AA592" s="6" t="inlineStr">
        <is>
          <t>None explicitly named in this RTM</t>
        </is>
      </c>
      <c r="AB592" s="6" t="inlineStr">
        <is>
          <t>SCK CEN/90508872 §7.3; no named external code</t>
        </is>
      </c>
      <c r="AC592" s="6" t="inlineStr">
        <is>
          <t>Document review, inspection, certification, audit or traceable QC record</t>
        </is>
      </c>
      <c r="AD592" s="6" t="inlineStr">
        <is>
          <t>No separate deliverable explicitly named</t>
        </is>
      </c>
      <c r="AE592" s="6" t="inlineStr">
        <is>
          <t>L0 Tender / Offer; L1 Conceptual Design; L2 Detailed Design; L3 Procurement &amp; Manufacturing / FAT; L4 Installation; L5 Standalone Commissioning; L6 Site Acceptance Testing</t>
        </is>
      </c>
      <c r="AF592" s="6" t="inlineStr">
        <is>
          <t>Section/contract-derived reference; derived evidence route</t>
        </is>
      </c>
      <c r="AG592" s="58" t="inlineStr">
        <is>
          <t>Not linked to an OFFER item</t>
        </is>
      </c>
    </row>
    <row r="593" ht="60" customHeight="1">
      <c r="A593" s="6" t="n">
        <v>588</v>
      </c>
      <c r="B593" s="6" t="inlineStr">
        <is>
          <t>RTM-630</t>
        </is>
      </c>
      <c r="C593" s="6" t="inlineStr">
        <is>
          <t>No</t>
        </is>
      </c>
      <c r="D593" s="6" t="inlineStr">
        <is>
          <t>T3 Contextual</t>
        </is>
      </c>
      <c r="E593" s="6" t="inlineStr">
        <is>
          <t>Contract Performance</t>
        </is>
      </c>
      <c r="F593" s="82" t="inlineStr">
        <is>
          <t>PROJECT</t>
        </is>
      </c>
      <c r="G593" s="83" t="inlineStr">
        <is>
          <t>Documentation &amp; Compliance</t>
        </is>
      </c>
      <c r="H593" s="59" t="inlineStr">
        <is>
          <t>—</t>
        </is>
      </c>
      <c r="I593" s="81" t="inlineStr">
        <is>
          <t>Inferred: C8 — Commercial &amp; Execution (medium conf.)</t>
        </is>
      </c>
      <c r="J593" s="6" t="n">
        <v>119</v>
      </c>
      <c r="K593" s="6" t="inlineStr">
        <is>
          <t>7.3</t>
        </is>
      </c>
      <c r="L593" s="6" t="inlineStr">
        <is>
          <t>Document Management</t>
        </is>
      </c>
      <c r="M593" s="6" t="inlineStr">
        <is>
          <t>Where applicable, documentation shall be provided in one of the following formats: MS Word, MS Excel, PDF, STEP, DXF, or EPLAN.</t>
        </is>
      </c>
      <c r="N593" s="6" t="inlineStr">
        <is>
          <t>Where applicable, documentation shall be provided in one of the following formats: MS Word, MS Excel, PDF, STEP, DXF, or EPLAN.</t>
        </is>
      </c>
      <c r="O593" s="6" t="n">
        <v>1</v>
      </c>
      <c r="P593" s="6" t="n">
        <v>0</v>
      </c>
      <c r="Q593" s="6" t="n">
        <v>0</v>
      </c>
      <c r="R593" s="6" t="n">
        <v>1</v>
      </c>
      <c r="S593" s="6" t="n">
        <v>2</v>
      </c>
      <c r="T593" s="6" t="n">
        <v>0</v>
      </c>
      <c r="U593" s="6" t="n">
        <v>0</v>
      </c>
      <c r="V593" s="6" t="n">
        <v>20</v>
      </c>
      <c r="W593" s="6" t="n">
        <v>18.5853</v>
      </c>
      <c r="X593" s="6" t="n">
        <v>0.4743</v>
      </c>
      <c r="Y593" s="6" t="inlineStr">
        <is>
          <t>Quality / Verifiability</t>
        </is>
      </c>
      <c r="Z593" s="6" t="inlineStr">
        <is>
          <t>Frozen-weight composite; strongest contribution: Quality / Verifiability.</t>
        </is>
      </c>
      <c r="AA593" s="6" t="inlineStr">
        <is>
          <t>None explicitly named in this RTM</t>
        </is>
      </c>
      <c r="AB593" s="6" t="inlineStr">
        <is>
          <t>SCK CEN/90508872 §7.3; no named external code</t>
        </is>
      </c>
      <c r="AC593" s="6" t="inlineStr">
        <is>
          <t>Document review, inspection, certification, audit or traceable QC record</t>
        </is>
      </c>
      <c r="AD593" s="6" t="inlineStr">
        <is>
          <t>No separate deliverable explicitly named</t>
        </is>
      </c>
      <c r="AE593" s="6" t="inlineStr">
        <is>
          <t>L0 Tender / Offer; L1 Conceptual Design; L2 Detailed Design; L3 Procurement &amp; Manufacturing / FAT; L4 Installation; L5 Standalone Commissioning; L6 Site Acceptance Testing</t>
        </is>
      </c>
      <c r="AF593" s="6" t="inlineStr">
        <is>
          <t>Section/contract-derived reference; derived evidence route</t>
        </is>
      </c>
      <c r="AG593" s="58" t="inlineStr">
        <is>
          <t>Not linked to an OFFER item</t>
        </is>
      </c>
    </row>
    <row r="594" ht="60" customHeight="1">
      <c r="A594" s="6" t="n">
        <v>589</v>
      </c>
      <c r="B594" s="6" t="inlineStr">
        <is>
          <t>RTM-631</t>
        </is>
      </c>
      <c r="C594" s="6" t="inlineStr">
        <is>
          <t>No</t>
        </is>
      </c>
      <c r="D594" s="6" t="inlineStr">
        <is>
          <t>T3 Contextual</t>
        </is>
      </c>
      <c r="E594" s="6" t="inlineStr">
        <is>
          <t>Contract Performance</t>
        </is>
      </c>
      <c r="F594" s="82" t="inlineStr">
        <is>
          <t>PROJECT</t>
        </is>
      </c>
      <c r="G594" s="83" t="inlineStr">
        <is>
          <t>Documentation &amp; Compliance</t>
        </is>
      </c>
      <c r="H594" s="59" t="inlineStr">
        <is>
          <t>—</t>
        </is>
      </c>
      <c r="I594" s="81" t="inlineStr">
        <is>
          <t>Inferred: C8 — Commercial &amp; Execution (medium conf.)</t>
        </is>
      </c>
      <c r="J594" s="6" t="n">
        <v>119</v>
      </c>
      <c r="K594" s="6" t="inlineStr">
        <is>
          <t>7.3</t>
        </is>
      </c>
      <c r="L594" s="6" t="inlineStr">
        <is>
          <t>Document Management</t>
        </is>
      </c>
      <c r="M594" s="6" t="inlineStr">
        <is>
          <t>All documents shall follow the specified file-naming conventions and metadata requirements to ensure clear identification, version control, and lifecycle management.</t>
        </is>
      </c>
      <c r="N594" s="6" t="inlineStr">
        <is>
          <t>All documents shall follow the specified file-naming conventions and metadata requirements to ensure clear identification, version control, and lifecycle management.</t>
        </is>
      </c>
      <c r="O594" s="6" t="n">
        <v>1</v>
      </c>
      <c r="P594" s="6" t="n">
        <v>0</v>
      </c>
      <c r="Q594" s="6" t="n">
        <v>0</v>
      </c>
      <c r="R594" s="6" t="n">
        <v>1</v>
      </c>
      <c r="S594" s="6" t="n">
        <v>2</v>
      </c>
      <c r="T594" s="6" t="n">
        <v>0</v>
      </c>
      <c r="U594" s="6" t="n">
        <v>0</v>
      </c>
      <c r="V594" s="6" t="n">
        <v>20</v>
      </c>
      <c r="W594" s="6" t="n">
        <v>18.5853</v>
      </c>
      <c r="X594" s="6" t="n">
        <v>0.4743</v>
      </c>
      <c r="Y594" s="6" t="inlineStr">
        <is>
          <t>Quality / Verifiability</t>
        </is>
      </c>
      <c r="Z594" s="6" t="inlineStr">
        <is>
          <t>Frozen-weight composite; strongest contribution: Quality / Verifiability.</t>
        </is>
      </c>
      <c r="AA594" s="6" t="inlineStr">
        <is>
          <t>None explicitly named in this RTM</t>
        </is>
      </c>
      <c r="AB594" s="6" t="inlineStr">
        <is>
          <t>SCK CEN/90508872 §7.3; no named external code</t>
        </is>
      </c>
      <c r="AC594" s="6" t="inlineStr">
        <is>
          <t>Document review, inspection, certification, audit or traceable QC record</t>
        </is>
      </c>
      <c r="AD594" s="6" t="inlineStr">
        <is>
          <t>No separate deliverable explicitly named</t>
        </is>
      </c>
      <c r="AE594" s="6" t="inlineStr">
        <is>
          <t>L0 Tender / Offer; L1 Conceptual Design; L2 Detailed Design; L3 Procurement &amp; Manufacturing / FAT; L4 Installation; L5 Standalone Commissioning; L6 Site Acceptance Testing</t>
        </is>
      </c>
      <c r="AF594" s="6" t="inlineStr">
        <is>
          <t>Section/contract-derived reference; derived evidence route</t>
        </is>
      </c>
      <c r="AG594" s="58" t="inlineStr">
        <is>
          <t>Not linked to an OFFER item</t>
        </is>
      </c>
    </row>
    <row r="595" ht="99" customHeight="1">
      <c r="A595" s="6" t="n">
        <v>590</v>
      </c>
      <c r="B595" s="6" t="inlineStr">
        <is>
          <t>RTM-632</t>
        </is>
      </c>
      <c r="C595" s="6" t="inlineStr">
        <is>
          <t>No</t>
        </is>
      </c>
      <c r="D595" s="6" t="inlineStr">
        <is>
          <t>T3 Contextual</t>
        </is>
      </c>
      <c r="E595" s="6" t="inlineStr">
        <is>
          <t>Contract Performance</t>
        </is>
      </c>
      <c r="F595" s="82" t="inlineStr">
        <is>
          <t>PROJECT</t>
        </is>
      </c>
      <c r="G595" s="83" t="inlineStr">
        <is>
          <t>Documentation &amp; Compliance</t>
        </is>
      </c>
      <c r="H595" s="59" t="inlineStr">
        <is>
          <t>—</t>
        </is>
      </c>
      <c r="I595" s="81" t="inlineStr">
        <is>
          <t>Inferred: C8 — Commercial &amp; Execution (medium conf.)</t>
        </is>
      </c>
      <c r="J595" s="6" t="n">
        <v>119</v>
      </c>
      <c r="K595" s="6" t="inlineStr">
        <is>
          <t>7.3</t>
        </is>
      </c>
      <c r="L595" s="6" t="inlineStr">
        <is>
          <t>Document Management</t>
        </is>
      </c>
      <c r="M595" s="6" t="inlineStr">
        <is>
          <t>The Contractor shall maintain version control of the documents received from SCK CEN.</t>
        </is>
      </c>
      <c r="N595" s="6" t="inlineStr">
        <is>
          <t>The Contractor shall maintain version control of the documents received from SCK CEN.
• When an updated version of a document is received, the previous version shall be removed from circulation as soon as reasonably possible.
• These documents shall be made accessible to the Contractor’s personnel and subcontractors only on a need-to-know basis, for the purpose of the Contract, and only for as long as required.</t>
        </is>
      </c>
      <c r="O595" s="6" t="n">
        <v>1</v>
      </c>
      <c r="P595" s="6" t="n">
        <v>0</v>
      </c>
      <c r="Q595" s="6" t="n">
        <v>0</v>
      </c>
      <c r="R595" s="6" t="n">
        <v>1</v>
      </c>
      <c r="S595" s="6" t="n">
        <v>2</v>
      </c>
      <c r="T595" s="6" t="n">
        <v>0</v>
      </c>
      <c r="U595" s="6" t="n">
        <v>0</v>
      </c>
      <c r="V595" s="6" t="n">
        <v>20</v>
      </c>
      <c r="W595" s="6" t="n">
        <v>18.5853</v>
      </c>
      <c r="X595" s="6" t="n">
        <v>0.4743</v>
      </c>
      <c r="Y595" s="6" t="inlineStr">
        <is>
          <t>Quality / Verifiability</t>
        </is>
      </c>
      <c r="Z595" s="6" t="inlineStr">
        <is>
          <t>Frozen-weight composite; strongest contribution: Quality / Verifiability.</t>
        </is>
      </c>
      <c r="AA595" s="6" t="inlineStr">
        <is>
          <t>None explicitly named in this RTM</t>
        </is>
      </c>
      <c r="AB595" s="6" t="inlineStr">
        <is>
          <t>SCK CEN/90508872 §7.3; no named external code</t>
        </is>
      </c>
      <c r="AC595" s="6" t="inlineStr">
        <is>
          <t>Document review, inspection, certification, audit or traceable QC record</t>
        </is>
      </c>
      <c r="AD595" s="6" t="inlineStr">
        <is>
          <t>No separate deliverable explicitly named</t>
        </is>
      </c>
      <c r="AE595" s="6" t="inlineStr">
        <is>
          <t>L0 Tender / Offer; L1 Conceptual Design; L2 Detailed Design; L3 Procurement &amp; Manufacturing / FAT; L4 Installation; L5 Standalone Commissioning; L6 Site Acceptance Testing</t>
        </is>
      </c>
      <c r="AF595" s="6" t="inlineStr">
        <is>
          <t>Section/contract-derived reference; derived evidence route</t>
        </is>
      </c>
      <c r="AG595" s="58" t="inlineStr">
        <is>
          <t>Not linked to an OFFER item</t>
        </is>
      </c>
    </row>
    <row r="596" ht="112" customHeight="1">
      <c r="A596" s="6" t="n">
        <v>591</v>
      </c>
      <c r="B596" s="6" t="inlineStr">
        <is>
          <t>RTM-616</t>
        </is>
      </c>
      <c r="C596" s="6" t="inlineStr">
        <is>
          <t>No</t>
        </is>
      </c>
      <c r="D596" s="6" t="inlineStr">
        <is>
          <t>T3 Contextual</t>
        </is>
      </c>
      <c r="E596" s="6" t="inlineStr">
        <is>
          <t>Schedule</t>
        </is>
      </c>
      <c r="F596" s="82" t="inlineStr">
        <is>
          <t>PROJECT</t>
        </is>
      </c>
      <c r="G596" s="83" t="inlineStr">
        <is>
          <t>Governance &amp; Responsibility</t>
        </is>
      </c>
      <c r="H596" s="59" t="inlineStr">
        <is>
          <t>—</t>
        </is>
      </c>
      <c r="I596" s="58" t="inlineStr">
        <is>
          <t>C8 — Commercial &amp; Execution</t>
        </is>
      </c>
      <c r="J596" s="6" t="n">
        <v>116</v>
      </c>
      <c r="K596" s="6" t="inlineStr">
        <is>
          <t>6.1.2</t>
        </is>
      </c>
      <c r="L596" s="6" t="inlineStr">
        <is>
          <t>Detailed Design (L2)</t>
        </is>
      </c>
      <c r="M596" s="6" t="inlineStr">
        <is>
          <t>In this phase, the Contractor shall, at least, perform the following activities:</t>
        </is>
      </c>
      <c r="N596" s="6" t="inlineStr">
        <is>
          <t>In this phase, the Contractor shall, at least, perform the following activities:
• Develop the detailed design, verifying/ validating conformance with technical specifications, define the list of components (incl. procurement specifications, manufacturing drawings), setting final requirements for buildings and utilities, developing plans and procedures for the next phases (e.g.: MIP, packaging and transportation plan, installation plan).
• Prepare the Detailed Design File.</t>
        </is>
      </c>
      <c r="O596" s="6" t="n">
        <v>0</v>
      </c>
      <c r="P596" s="6" t="n">
        <v>0</v>
      </c>
      <c r="Q596" s="6" t="n">
        <v>0</v>
      </c>
      <c r="R596" s="6" t="n">
        <v>2</v>
      </c>
      <c r="S596" s="6" t="n">
        <v>2</v>
      </c>
      <c r="T596" s="6" t="n">
        <v>0</v>
      </c>
      <c r="U596" s="6" t="n">
        <v>1</v>
      </c>
      <c r="V596" s="6" t="n">
        <v>19.666667</v>
      </c>
      <c r="W596" s="6" t="n">
        <v>18.1692</v>
      </c>
      <c r="X596" s="6" t="n">
        <v>0.4611</v>
      </c>
      <c r="Y596" s="6" t="inlineStr">
        <is>
          <t>Functional</t>
        </is>
      </c>
      <c r="Z596" s="6" t="inlineStr">
        <is>
          <t>Frozen-weight composite; strongest contribution: Functional.</t>
        </is>
      </c>
      <c r="AA596" s="6" t="inlineStr">
        <is>
          <t>None explicitly named in this RTM</t>
        </is>
      </c>
      <c r="AB596" s="6" t="inlineStr">
        <is>
          <t>SCK CEN/90508872 §6.1.2; no named external code</t>
        </is>
      </c>
      <c r="AC596" s="6" t="inlineStr">
        <is>
          <t>Submit and review the named deliverable with RTM traceability and approval status; Functional design/configuration review and sequence/interface demonstration; Document review, inspection, certification, audit or traceable QC record</t>
        </is>
      </c>
      <c r="AD596" s="6" t="inlineStr">
        <is>
          <t>Manufacturing and Inspection Plan (MIP); Procedure / work instruction; Drawing / diagram; Datasheet / technical specification; List / register / matrix</t>
        </is>
      </c>
      <c r="AE596" s="6" t="inlineStr">
        <is>
          <t>L2 Detailed Design; L3 Procurement &amp; Manufacturing / FAT; L4 Installation; L0 Tender / Offer; L1 Conceptual Design; L5 Standalone Commissioning; L6 Site Acceptance Testing</t>
        </is>
      </c>
      <c r="AF596" s="6" t="inlineStr">
        <is>
          <t>Section/contract-derived reference; explicit deliverable/test wording</t>
        </is>
      </c>
      <c r="AG596" s="58" t="inlineStr">
        <is>
          <t>OFFER-44 (Supporting)</t>
        </is>
      </c>
    </row>
    <row r="597" ht="34" customHeight="1">
      <c r="A597" s="6" t="n">
        <v>592</v>
      </c>
      <c r="B597" s="6" t="inlineStr">
        <is>
          <t>RTM-485</t>
        </is>
      </c>
      <c r="C597" s="6" t="inlineStr">
        <is>
          <t>No</t>
        </is>
      </c>
      <c r="D597" s="6" t="inlineStr">
        <is>
          <t>T3 Contextual</t>
        </is>
      </c>
      <c r="E597" s="6" t="inlineStr">
        <is>
          <t>Training</t>
        </is>
      </c>
      <c r="F597" s="82" t="inlineStr">
        <is>
          <t>PROJECT</t>
        </is>
      </c>
      <c r="G597" s="83" t="inlineStr">
        <is>
          <t>Governance &amp; Responsibility</t>
        </is>
      </c>
      <c r="H597" s="59" t="inlineStr">
        <is>
          <t>—</t>
        </is>
      </c>
      <c r="I597" s="58" t="inlineStr">
        <is>
          <t>C6 — Reliability &amp; Maintenance</t>
        </is>
      </c>
      <c r="J597" s="6" t="n">
        <v>93</v>
      </c>
      <c r="K597" s="6" t="inlineStr">
        <is>
          <t>4.12.1</t>
        </is>
      </c>
      <c r="L597" s="6" t="inlineStr">
        <is>
          <t>Training and Competence Transfer</t>
        </is>
      </c>
      <c r="M597" s="6" t="inlineStr">
        <is>
          <t>The Contractor shall provide training records, attendance records, and training materials.</t>
        </is>
      </c>
      <c r="N597" s="6" t="inlineStr">
        <is>
          <t>The Contractor shall provide training records, attendance records, and training materials.</t>
        </is>
      </c>
      <c r="O597" s="6" t="n">
        <v>1</v>
      </c>
      <c r="P597" s="6" t="n">
        <v>0</v>
      </c>
      <c r="Q597" s="6" t="n">
        <v>0</v>
      </c>
      <c r="R597" s="6" t="n">
        <v>0</v>
      </c>
      <c r="S597" s="6" t="n">
        <v>2</v>
      </c>
      <c r="T597" s="6" t="n">
        <v>2</v>
      </c>
      <c r="U597" s="6" t="n">
        <v>0</v>
      </c>
      <c r="V597" s="6" t="n">
        <v>19.333333</v>
      </c>
      <c r="W597" s="6" t="n">
        <v>17.1983</v>
      </c>
      <c r="X597" s="6" t="n">
        <v>0.4312</v>
      </c>
      <c r="Y597" s="6" t="inlineStr">
        <is>
          <t>Quality / Verifiability</t>
        </is>
      </c>
      <c r="Z597" s="6" t="inlineStr">
        <is>
          <t>Frozen-weight composite; strongest contribution: Quality / Verifiability.</t>
        </is>
      </c>
      <c r="AA597" s="6" t="inlineStr">
        <is>
          <t>None explicitly named in this RTM</t>
        </is>
      </c>
      <c r="AB597" s="6" t="inlineStr">
        <is>
          <t>SCK CEN/90508872 §4.12.1; no named external code</t>
        </is>
      </c>
      <c r="AC597" s="6" t="inlineStr">
        <is>
          <t>Document review, inspection, certification, audit or traceable QC record</t>
        </is>
      </c>
      <c r="AD597" s="6" t="inlineStr">
        <is>
          <t>No separate deliverable explicitly named</t>
        </is>
      </c>
      <c r="AE597" s="6" t="inlineStr">
        <is>
          <t>L1 Conceptual Design; L2 Detailed Design</t>
        </is>
      </c>
      <c r="AF597" s="6" t="inlineStr">
        <is>
          <t>Section/contract-derived reference; derived evidence route</t>
        </is>
      </c>
      <c r="AG597" s="58" t="inlineStr">
        <is>
          <t>OFFER-38 (Direct)</t>
        </is>
      </c>
    </row>
    <row r="598" ht="34" customHeight="1">
      <c r="A598" s="6" t="n">
        <v>593</v>
      </c>
      <c r="B598" s="6" t="inlineStr">
        <is>
          <t>RTM-567</t>
        </is>
      </c>
      <c r="C598" s="6" t="inlineStr">
        <is>
          <t>No</t>
        </is>
      </c>
      <c r="D598" s="6" t="inlineStr">
        <is>
          <t>T3 Contextual</t>
        </is>
      </c>
      <c r="E598" s="6" t="inlineStr">
        <is>
          <t>Technical Documentation</t>
        </is>
      </c>
      <c r="F598" s="82" t="inlineStr">
        <is>
          <t>PROJECT</t>
        </is>
      </c>
      <c r="G598" s="83" t="inlineStr">
        <is>
          <t>Documentation &amp; Compliance</t>
        </is>
      </c>
      <c r="H598" s="59" t="inlineStr">
        <is>
          <t>—</t>
        </is>
      </c>
      <c r="I598" s="58" t="inlineStr">
        <is>
          <t>Not linked to an OFFER item</t>
        </is>
      </c>
      <c r="J598" s="6" t="n">
        <v>109</v>
      </c>
      <c r="K598" s="6" t="inlineStr">
        <is>
          <t>4.16</t>
        </is>
      </c>
      <c r="L598" s="6" t="inlineStr">
        <is>
          <t>Technical Documentation</t>
        </is>
      </c>
      <c r="M598" s="6" t="inlineStr">
        <is>
          <t>The Contractor shall, as a minimum, produce the Files specified in this section (§4.16).</t>
        </is>
      </c>
      <c r="N598" s="6" t="inlineStr">
        <is>
          <t>The Contractor shall, as a minimum, produce the Files specified in this section (§4.16).</t>
        </is>
      </c>
      <c r="O598" s="6" t="n">
        <v>1</v>
      </c>
      <c r="P598" s="6" t="n">
        <v>0</v>
      </c>
      <c r="Q598" s="6" t="n">
        <v>0</v>
      </c>
      <c r="R598" s="6" t="n">
        <v>0</v>
      </c>
      <c r="S598" s="6" t="n">
        <v>2</v>
      </c>
      <c r="T598" s="6" t="n">
        <v>2</v>
      </c>
      <c r="U598" s="6" t="n">
        <v>0</v>
      </c>
      <c r="V598" s="6" t="n">
        <v>19.333333</v>
      </c>
      <c r="W598" s="6" t="n">
        <v>17.1983</v>
      </c>
      <c r="X598" s="6" t="n">
        <v>0.4312</v>
      </c>
      <c r="Y598" s="6" t="inlineStr">
        <is>
          <t>Quality / Verifiability</t>
        </is>
      </c>
      <c r="Z598" s="6" t="inlineStr">
        <is>
          <t>Frozen-weight composite; strongest contribution: Quality / Verifiability.</t>
        </is>
      </c>
      <c r="AA598" s="6" t="inlineStr">
        <is>
          <t>None explicitly named in this RTM</t>
        </is>
      </c>
      <c r="AB598" s="6" t="inlineStr">
        <is>
          <t>SCK CEN/90508872 §4.16; no named external code</t>
        </is>
      </c>
      <c r="AC598" s="6" t="inlineStr">
        <is>
          <t>Document review, inspection, certification, audit or traceable QC record</t>
        </is>
      </c>
      <c r="AD598" s="6" t="inlineStr">
        <is>
          <t>No separate deliverable explicitly named</t>
        </is>
      </c>
      <c r="AE598" s="6" t="inlineStr">
        <is>
          <t>L1 Conceptual Design; L2 Detailed Design</t>
        </is>
      </c>
      <c r="AF598" s="6" t="inlineStr">
        <is>
          <t>Section/contract-derived reference; derived evidence route</t>
        </is>
      </c>
      <c r="AG598" s="58" t="inlineStr">
        <is>
          <t>Not linked to an OFFER item</t>
        </is>
      </c>
    </row>
    <row r="599" ht="99" customHeight="1">
      <c r="A599" s="6" t="n">
        <v>594</v>
      </c>
      <c r="B599" s="6" t="inlineStr">
        <is>
          <t>RTM-568</t>
        </is>
      </c>
      <c r="C599" s="6" t="inlineStr">
        <is>
          <t>No</t>
        </is>
      </c>
      <c r="D599" s="6" t="inlineStr">
        <is>
          <t>T3 Contextual</t>
        </is>
      </c>
      <c r="E599" s="6" t="inlineStr">
        <is>
          <t>Technical Documentation</t>
        </is>
      </c>
      <c r="F599" s="82" t="inlineStr">
        <is>
          <t>PROJECT</t>
        </is>
      </c>
      <c r="G599" s="83" t="inlineStr">
        <is>
          <t>Documentation &amp; Compliance</t>
        </is>
      </c>
      <c r="H599" s="59" t="inlineStr">
        <is>
          <t>—</t>
        </is>
      </c>
      <c r="I599" s="58" t="inlineStr">
        <is>
          <t>Not linked to an OFFER item</t>
        </is>
      </c>
      <c r="J599" s="6" t="n">
        <v>109</v>
      </c>
      <c r="K599" s="6" t="inlineStr">
        <is>
          <t>4.16</t>
        </is>
      </c>
      <c r="L599" s="6" t="inlineStr">
        <is>
          <t>Technical Documentation</t>
        </is>
      </c>
      <c r="M599" s="6" t="inlineStr">
        <is>
          <t>For each File, the Contractor shall:</t>
        </is>
      </c>
      <c r="N599" s="6" t="inlineStr">
        <is>
          <t>For each File, the Contractor shall:
• Define the File structure and level of breakdown based on its own expertise and established engineering practices.
• Define internal grouping of documentation within a File (e.g. thematic sections or substantiation packages) to facilitate traceability and review.
• Communicate the preliminary File structure to SCK CEN at an early state for iteration and feedback.</t>
        </is>
      </c>
      <c r="O599" s="6" t="n">
        <v>1</v>
      </c>
      <c r="P599" s="6" t="n">
        <v>0</v>
      </c>
      <c r="Q599" s="6" t="n">
        <v>0</v>
      </c>
      <c r="R599" s="6" t="n">
        <v>0</v>
      </c>
      <c r="S599" s="6" t="n">
        <v>2</v>
      </c>
      <c r="T599" s="6" t="n">
        <v>2</v>
      </c>
      <c r="U599" s="6" t="n">
        <v>0</v>
      </c>
      <c r="V599" s="6" t="n">
        <v>19.333333</v>
      </c>
      <c r="W599" s="6" t="n">
        <v>17.1983</v>
      </c>
      <c r="X599" s="6" t="n">
        <v>0.4312</v>
      </c>
      <c r="Y599" s="6" t="inlineStr">
        <is>
          <t>Quality / Verifiability</t>
        </is>
      </c>
      <c r="Z599" s="6" t="inlineStr">
        <is>
          <t>Frozen-weight composite; strongest contribution: Quality / Verifiability.</t>
        </is>
      </c>
      <c r="AA599" s="6" t="inlineStr">
        <is>
          <t>None explicitly named in this RTM</t>
        </is>
      </c>
      <c r="AB599" s="6" t="inlineStr">
        <is>
          <t>SCK CEN/90508872 §4.16; no named external code</t>
        </is>
      </c>
      <c r="AC599" s="6" t="inlineStr">
        <is>
          <t>Document review, inspection, certification, audit or traceable QC record</t>
        </is>
      </c>
      <c r="AD599" s="6" t="inlineStr">
        <is>
          <t>No separate deliverable explicitly named</t>
        </is>
      </c>
      <c r="AE599" s="6" t="inlineStr">
        <is>
          <t>L1 Conceptual Design; L2 Detailed Design</t>
        </is>
      </c>
      <c r="AF599" s="6" t="inlineStr">
        <is>
          <t>Section/contract-derived reference; derived evidence route</t>
        </is>
      </c>
      <c r="AG599" s="58" t="inlineStr">
        <is>
          <t>Not linked to an OFFER item</t>
        </is>
      </c>
    </row>
    <row r="600" ht="47" customHeight="1">
      <c r="A600" s="6" t="n">
        <v>595</v>
      </c>
      <c r="B600" s="6" t="inlineStr">
        <is>
          <t>RTM-569</t>
        </is>
      </c>
      <c r="C600" s="6" t="inlineStr">
        <is>
          <t>No</t>
        </is>
      </c>
      <c r="D600" s="6" t="inlineStr">
        <is>
          <t>T3 Contextual</t>
        </is>
      </c>
      <c r="E600" s="6" t="inlineStr">
        <is>
          <t>Technical Documentation</t>
        </is>
      </c>
      <c r="F600" s="82" t="inlineStr">
        <is>
          <t>PROJECT</t>
        </is>
      </c>
      <c r="G600" s="83" t="inlineStr">
        <is>
          <t>Documentation &amp; Compliance</t>
        </is>
      </c>
      <c r="H600" s="59" t="inlineStr">
        <is>
          <t>—</t>
        </is>
      </c>
      <c r="I600" s="58" t="inlineStr">
        <is>
          <t>Not linked to an OFFER item</t>
        </is>
      </c>
      <c r="J600" s="6" t="n">
        <v>109</v>
      </c>
      <c r="K600" s="6" t="inlineStr">
        <is>
          <t>4.16</t>
        </is>
      </c>
      <c r="L600" s="6" t="inlineStr">
        <is>
          <t>Technical Documentation</t>
        </is>
      </c>
      <c r="M600" s="6" t="inlineStr">
        <is>
          <t>The Contractor shall submit each File for review and approval to SCK CEN.</t>
        </is>
      </c>
      <c r="N600" s="6" t="inlineStr">
        <is>
          <t>The Contractor shall submit each File for review and approval to SCK CEN.
• Activities may only commence once the respective File has been approved by SCK CEN.</t>
        </is>
      </c>
      <c r="O600" s="6" t="n">
        <v>1</v>
      </c>
      <c r="P600" s="6" t="n">
        <v>0</v>
      </c>
      <c r="Q600" s="6" t="n">
        <v>0</v>
      </c>
      <c r="R600" s="6" t="n">
        <v>0</v>
      </c>
      <c r="S600" s="6" t="n">
        <v>2</v>
      </c>
      <c r="T600" s="6" t="n">
        <v>2</v>
      </c>
      <c r="U600" s="6" t="n">
        <v>0</v>
      </c>
      <c r="V600" s="6" t="n">
        <v>19.333333</v>
      </c>
      <c r="W600" s="6" t="n">
        <v>17.1983</v>
      </c>
      <c r="X600" s="6" t="n">
        <v>0.4312</v>
      </c>
      <c r="Y600" s="6" t="inlineStr">
        <is>
          <t>Quality / Verifiability</t>
        </is>
      </c>
      <c r="Z600" s="6" t="inlineStr">
        <is>
          <t>Frozen-weight composite; strongest contribution: Quality / Verifiability.</t>
        </is>
      </c>
      <c r="AA600" s="6" t="inlineStr">
        <is>
          <t>None explicitly named in this RTM</t>
        </is>
      </c>
      <c r="AB600" s="6" t="inlineStr">
        <is>
          <t>SCK CEN/90508872 §4.16; no named external code</t>
        </is>
      </c>
      <c r="AC600" s="6" t="inlineStr">
        <is>
          <t>Document review, inspection, certification, audit or traceable QC record</t>
        </is>
      </c>
      <c r="AD600" s="6" t="inlineStr">
        <is>
          <t>No separate deliverable explicitly named</t>
        </is>
      </c>
      <c r="AE600" s="6" t="inlineStr">
        <is>
          <t>L1 Conceptual Design; L2 Detailed Design</t>
        </is>
      </c>
      <c r="AF600" s="6" t="inlineStr">
        <is>
          <t>Section/contract-derived reference; derived evidence route</t>
        </is>
      </c>
      <c r="AG600" s="58" t="inlineStr">
        <is>
          <t>Not linked to an OFFER item</t>
        </is>
      </c>
    </row>
    <row r="601" ht="99" customHeight="1">
      <c r="A601" s="6" t="n">
        <v>596</v>
      </c>
      <c r="B601" s="6" t="inlineStr">
        <is>
          <t>RTM-570</t>
        </is>
      </c>
      <c r="C601" s="6" t="inlineStr">
        <is>
          <t>No</t>
        </is>
      </c>
      <c r="D601" s="6" t="inlineStr">
        <is>
          <t>T3 Contextual</t>
        </is>
      </c>
      <c r="E601" s="6" t="inlineStr">
        <is>
          <t>Technical Documentation</t>
        </is>
      </c>
      <c r="F601" s="82" t="inlineStr">
        <is>
          <t>PROJECT</t>
        </is>
      </c>
      <c r="G601" s="83" t="inlineStr">
        <is>
          <t>Documentation &amp; Compliance</t>
        </is>
      </c>
      <c r="H601" s="59" t="inlineStr">
        <is>
          <t>—</t>
        </is>
      </c>
      <c r="I601" s="58" t="inlineStr">
        <is>
          <t>Not linked to an OFFER item</t>
        </is>
      </c>
      <c r="J601" s="6" t="n">
        <v>109</v>
      </c>
      <c r="K601" s="6" t="inlineStr">
        <is>
          <t>4.16</t>
        </is>
      </c>
      <c r="L601" s="6" t="inlineStr">
        <is>
          <t>Technical Documentation</t>
        </is>
      </c>
      <c r="M601" s="6" t="inlineStr">
        <is>
          <t>Throughout the performance of the Contract, the Contractor shall update the different Files based on the return of experience gained as the Contract progresses.</t>
        </is>
      </c>
      <c r="N601" s="6" t="inlineStr">
        <is>
          <t>Throughout the performance of the Contract, the Contractor shall update the different Files based on the return of experience gained as the Contract progresses.
• Each update shall be (re-)submitted to SCK CEN for approval.
• Each change shall result in an updated version number.
• For each component, it shall be fully traceable which version of the File was applied for each (sub-)step of the Contractual Phases.</t>
        </is>
      </c>
      <c r="O601" s="6" t="n">
        <v>1</v>
      </c>
      <c r="P601" s="6" t="n">
        <v>0</v>
      </c>
      <c r="Q601" s="6" t="n">
        <v>0</v>
      </c>
      <c r="R601" s="6" t="n">
        <v>0</v>
      </c>
      <c r="S601" s="6" t="n">
        <v>2</v>
      </c>
      <c r="T601" s="6" t="n">
        <v>2</v>
      </c>
      <c r="U601" s="6" t="n">
        <v>0</v>
      </c>
      <c r="V601" s="6" t="n">
        <v>19.333333</v>
      </c>
      <c r="W601" s="6" t="n">
        <v>17.1983</v>
      </c>
      <c r="X601" s="6" t="n">
        <v>0.4312</v>
      </c>
      <c r="Y601" s="6" t="inlineStr">
        <is>
          <t>Quality / Verifiability</t>
        </is>
      </c>
      <c r="Z601" s="6" t="inlineStr">
        <is>
          <t>Frozen-weight composite; strongest contribution: Quality / Verifiability.</t>
        </is>
      </c>
      <c r="AA601" s="6" t="inlineStr">
        <is>
          <t>None explicitly named in this RTM</t>
        </is>
      </c>
      <c r="AB601" s="6" t="inlineStr">
        <is>
          <t>SCK CEN/90508872 §4.16; no named external code</t>
        </is>
      </c>
      <c r="AC601" s="6" t="inlineStr">
        <is>
          <t>Document review, inspection, certification, audit or traceable QC record</t>
        </is>
      </c>
      <c r="AD601" s="6" t="inlineStr">
        <is>
          <t>No separate deliverable explicitly named</t>
        </is>
      </c>
      <c r="AE601" s="6" t="inlineStr">
        <is>
          <t>L1 Conceptual Design; L2 Detailed Design</t>
        </is>
      </c>
      <c r="AF601" s="6" t="inlineStr">
        <is>
          <t>Section/contract-derived reference; derived evidence route</t>
        </is>
      </c>
      <c r="AG601" s="58" t="inlineStr">
        <is>
          <t>Not linked to an OFFER item</t>
        </is>
      </c>
    </row>
    <row r="602" ht="60" customHeight="1">
      <c r="A602" s="6" t="n">
        <v>597</v>
      </c>
      <c r="B602" s="6" t="inlineStr">
        <is>
          <t>RTM-571</t>
        </is>
      </c>
      <c r="C602" s="6" t="inlineStr">
        <is>
          <t>No</t>
        </is>
      </c>
      <c r="D602" s="6" t="inlineStr">
        <is>
          <t>T3 Contextual</t>
        </is>
      </c>
      <c r="E602" s="6" t="inlineStr">
        <is>
          <t>Technical Documentation</t>
        </is>
      </c>
      <c r="F602" s="82" t="inlineStr">
        <is>
          <t>PROJECT</t>
        </is>
      </c>
      <c r="G602" s="83" t="inlineStr">
        <is>
          <t>Documentation &amp; Compliance</t>
        </is>
      </c>
      <c r="H602" s="59" t="inlineStr">
        <is>
          <t>—</t>
        </is>
      </c>
      <c r="I602" s="58" t="inlineStr">
        <is>
          <t>Not linked to an OFFER item</t>
        </is>
      </c>
      <c r="J602" s="6" t="n">
        <v>110</v>
      </c>
      <c r="K602" s="6" t="inlineStr">
        <is>
          <t>4.16</t>
        </is>
      </c>
      <c r="L602" s="6" t="inlineStr">
        <is>
          <t>Technical Documentation</t>
        </is>
      </c>
      <c r="M602" s="6" t="inlineStr">
        <is>
          <t>Each File shall include, at minimum:</t>
        </is>
      </c>
      <c r="N602" s="6" t="inlineStr">
        <is>
          <t>Each File shall include, at minimum:
• An overview of all documents (including version) which are included in the respective File.
• The Unique Identifier of the Element or Instance, whenever applicable.</t>
        </is>
      </c>
      <c r="O602" s="6" t="n">
        <v>1</v>
      </c>
      <c r="P602" s="6" t="n">
        <v>0</v>
      </c>
      <c r="Q602" s="6" t="n">
        <v>0</v>
      </c>
      <c r="R602" s="6" t="n">
        <v>0</v>
      </c>
      <c r="S602" s="6" t="n">
        <v>2</v>
      </c>
      <c r="T602" s="6" t="n">
        <v>2</v>
      </c>
      <c r="U602" s="6" t="n">
        <v>0</v>
      </c>
      <c r="V602" s="6" t="n">
        <v>19.333333</v>
      </c>
      <c r="W602" s="6" t="n">
        <v>17.1983</v>
      </c>
      <c r="X602" s="6" t="n">
        <v>0.4312</v>
      </c>
      <c r="Y602" s="6" t="inlineStr">
        <is>
          <t>Quality / Verifiability</t>
        </is>
      </c>
      <c r="Z602" s="6" t="inlineStr">
        <is>
          <t>Frozen-weight composite; strongest contribution: Quality / Verifiability.</t>
        </is>
      </c>
      <c r="AA602" s="6" t="inlineStr">
        <is>
          <t>None explicitly named in this RTM</t>
        </is>
      </c>
      <c r="AB602" s="6" t="inlineStr">
        <is>
          <t>SCK CEN/90508872 §4.16; no named external code</t>
        </is>
      </c>
      <c r="AC602" s="6" t="inlineStr">
        <is>
          <t>Document review, inspection, certification, audit or traceable QC record</t>
        </is>
      </c>
      <c r="AD602" s="6" t="inlineStr">
        <is>
          <t>No separate deliverable explicitly named</t>
        </is>
      </c>
      <c r="AE602" s="6" t="inlineStr">
        <is>
          <t>L1 Conceptual Design; L2 Detailed Design</t>
        </is>
      </c>
      <c r="AF602" s="6" t="inlineStr">
        <is>
          <t>Section/contract-derived reference; derived evidence route</t>
        </is>
      </c>
      <c r="AG602" s="58" t="inlineStr">
        <is>
          <t>Not linked to an OFFER item</t>
        </is>
      </c>
    </row>
    <row r="603" ht="60" customHeight="1">
      <c r="A603" s="6" t="n">
        <v>598</v>
      </c>
      <c r="B603" s="6" t="inlineStr">
        <is>
          <t>RTM-572</t>
        </is>
      </c>
      <c r="C603" s="6" t="inlineStr">
        <is>
          <t>No</t>
        </is>
      </c>
      <c r="D603" s="6" t="inlineStr">
        <is>
          <t>T3 Contextual</t>
        </is>
      </c>
      <c r="E603" s="6" t="inlineStr">
        <is>
          <t>Technical Documentation</t>
        </is>
      </c>
      <c r="F603" s="82" t="inlineStr">
        <is>
          <t>PROJECT</t>
        </is>
      </c>
      <c r="G603" s="83" t="inlineStr">
        <is>
          <t>Documentation &amp; Compliance</t>
        </is>
      </c>
      <c r="H603" s="59" t="inlineStr">
        <is>
          <t>—</t>
        </is>
      </c>
      <c r="I603" s="58" t="inlineStr">
        <is>
          <t>Not linked to an OFFER item</t>
        </is>
      </c>
      <c r="J603" s="6" t="n">
        <v>110</v>
      </c>
      <c r="K603" s="6" t="inlineStr">
        <is>
          <t>4.16.1</t>
        </is>
      </c>
      <c r="L603" s="6" t="inlineStr">
        <is>
          <t>Engineering File</t>
        </is>
      </c>
      <c r="M603" s="6" t="inlineStr">
        <is>
          <t>The Contractor shall produce an Engineering File.</t>
        </is>
      </c>
      <c r="N603" s="6" t="inlineStr">
        <is>
          <t>The Contractor shall produce an Engineering File.
• The Engineering File shall include all documents describing the engineering basis, design choices, calculations, analyses, models, and integration results applicable to the QPS.</t>
        </is>
      </c>
      <c r="O603" s="6" t="n">
        <v>1</v>
      </c>
      <c r="P603" s="6" t="n">
        <v>0</v>
      </c>
      <c r="Q603" s="6" t="n">
        <v>0</v>
      </c>
      <c r="R603" s="6" t="n">
        <v>0</v>
      </c>
      <c r="S603" s="6" t="n">
        <v>2</v>
      </c>
      <c r="T603" s="6" t="n">
        <v>2</v>
      </c>
      <c r="U603" s="6" t="n">
        <v>0</v>
      </c>
      <c r="V603" s="6" t="n">
        <v>19.333333</v>
      </c>
      <c r="W603" s="6" t="n">
        <v>17.1983</v>
      </c>
      <c r="X603" s="6" t="n">
        <v>0.4312</v>
      </c>
      <c r="Y603" s="6" t="inlineStr">
        <is>
          <t>Quality / Verifiability</t>
        </is>
      </c>
      <c r="Z603" s="6" t="inlineStr">
        <is>
          <t>Frozen-weight composite; strongest contribution: Quality / Verifiability.</t>
        </is>
      </c>
      <c r="AA603" s="6" t="inlineStr">
        <is>
          <t>None explicitly named in this RTM</t>
        </is>
      </c>
      <c r="AB603" s="6" t="inlineStr">
        <is>
          <t>SCK CEN/90508872 §4.16.1; no named external code</t>
        </is>
      </c>
      <c r="AC603" s="6" t="inlineStr">
        <is>
          <t>Submit and review the named deliverable with RTM traceability and approval status; Document review, inspection, certification, audit or traceable QC record</t>
        </is>
      </c>
      <c r="AD603" s="6" t="inlineStr">
        <is>
          <t>Engineering File</t>
        </is>
      </c>
      <c r="AE603" s="6" t="inlineStr">
        <is>
          <t>L1 Conceptual Design; L2 Detailed Design</t>
        </is>
      </c>
      <c r="AF603" s="6" t="inlineStr">
        <is>
          <t>Section/contract-derived reference; explicit deliverable/test wording</t>
        </is>
      </c>
      <c r="AG603" s="58" t="inlineStr">
        <is>
          <t>Not linked to an OFFER item</t>
        </is>
      </c>
    </row>
    <row r="604" ht="151" customHeight="1">
      <c r="A604" s="6" t="n">
        <v>599</v>
      </c>
      <c r="B604" s="6" t="inlineStr">
        <is>
          <t>RTM-574</t>
        </is>
      </c>
      <c r="C604" s="6" t="inlineStr">
        <is>
          <t>No</t>
        </is>
      </c>
      <c r="D604" s="6" t="inlineStr">
        <is>
          <t>T3 Contextual</t>
        </is>
      </c>
      <c r="E604" s="6" t="inlineStr">
        <is>
          <t>Technical Documentation</t>
        </is>
      </c>
      <c r="F604" s="82" t="inlineStr">
        <is>
          <t>PROJECT</t>
        </is>
      </c>
      <c r="G604" s="83" t="inlineStr">
        <is>
          <t>Documentation &amp; Compliance</t>
        </is>
      </c>
      <c r="H604" s="59" t="inlineStr">
        <is>
          <t>—</t>
        </is>
      </c>
      <c r="I604" s="58" t="inlineStr">
        <is>
          <t>Not linked to an OFFER item</t>
        </is>
      </c>
      <c r="J604" s="6" t="n">
        <v>110</v>
      </c>
      <c r="K604" s="6" t="inlineStr">
        <is>
          <t>4.16.1</t>
        </is>
      </c>
      <c r="L604" s="6" t="inlineStr">
        <is>
          <t>Engineering File</t>
        </is>
      </c>
      <c r="M604" s="6" t="inlineStr">
        <is>
          <t>As part of the Engineering File, the Contractor shall provide the technical data and design datasheets of the critical components required to enable SCK CEN to model the complete cryogenic system, including the cryogenic plant, in simulations.</t>
        </is>
      </c>
      <c r="N604" s="6" t="inlineStr">
        <is>
          <t>As part of the Engineering File, the Contractor shall provide the technical data and design datasheets of the critical components required to enable SCK CEN to model the complete cryogenic system, including the cryogenic plant, in simulations.
• This shall include, at minimum, the relevant data for heat exchangers, piping, rotating machines, and valves.
• The level of detail provided shall be sufficient to support system-level simulation by SCK CEN.
• Where the detailed data is subject to intellectual-property restrictions, the Contractor shall provide a simplified representation with sufficient fidelity for the intended simulation use by SCK CEN.</t>
        </is>
      </c>
      <c r="O604" s="6" t="n">
        <v>1</v>
      </c>
      <c r="P604" s="6" t="n">
        <v>0</v>
      </c>
      <c r="Q604" s="6" t="n">
        <v>0</v>
      </c>
      <c r="R604" s="6" t="n">
        <v>0</v>
      </c>
      <c r="S604" s="6" t="n">
        <v>2</v>
      </c>
      <c r="T604" s="6" t="n">
        <v>2</v>
      </c>
      <c r="U604" s="6" t="n">
        <v>0</v>
      </c>
      <c r="V604" s="6" t="n">
        <v>19.333333</v>
      </c>
      <c r="W604" s="6" t="n">
        <v>17.1983</v>
      </c>
      <c r="X604" s="6" t="n">
        <v>0.4312</v>
      </c>
      <c r="Y604" s="6" t="inlineStr">
        <is>
          <t>Quality / Verifiability</t>
        </is>
      </c>
      <c r="Z604" s="6" t="inlineStr">
        <is>
          <t>Frozen-weight composite; strongest contribution: Quality / Verifiability.</t>
        </is>
      </c>
      <c r="AA604" s="6" t="inlineStr">
        <is>
          <t>None explicitly named in this RTM</t>
        </is>
      </c>
      <c r="AB604" s="6" t="inlineStr">
        <is>
          <t>SCK CEN/90508872 §4.16.1; no named external code</t>
        </is>
      </c>
      <c r="AC604" s="6" t="inlineStr">
        <is>
          <t>Submit and review the named deliverable with RTM traceability and approval status; Document review, inspection, certification, audit or traceable QC record</t>
        </is>
      </c>
      <c r="AD604" s="6" t="inlineStr">
        <is>
          <t>Engineering File; Datasheet / technical specification</t>
        </is>
      </c>
      <c r="AE604" s="6" t="inlineStr">
        <is>
          <t>L1 Conceptual Design; L2 Detailed Design</t>
        </is>
      </c>
      <c r="AF604" s="6" t="inlineStr">
        <is>
          <t>Section/contract-derived reference; explicit deliverable/test wording</t>
        </is>
      </c>
      <c r="AG604" s="58" t="inlineStr">
        <is>
          <t>Not linked to an OFFER item</t>
        </is>
      </c>
    </row>
    <row r="605" ht="86" customHeight="1">
      <c r="A605" s="6" t="n">
        <v>600</v>
      </c>
      <c r="B605" s="6" t="inlineStr">
        <is>
          <t>RTM-577</t>
        </is>
      </c>
      <c r="C605" s="6" t="inlineStr">
        <is>
          <t>No</t>
        </is>
      </c>
      <c r="D605" s="6" t="inlineStr">
        <is>
          <t>T3 Contextual</t>
        </is>
      </c>
      <c r="E605" s="6" t="inlineStr">
        <is>
          <t>Technical Documentation</t>
        </is>
      </c>
      <c r="F605" s="82" t="inlineStr">
        <is>
          <t>PROJECT</t>
        </is>
      </c>
      <c r="G605" s="83" t="inlineStr">
        <is>
          <t>Documentation &amp; Compliance</t>
        </is>
      </c>
      <c r="H605" s="59" t="inlineStr">
        <is>
          <t>—</t>
        </is>
      </c>
      <c r="I605" s="58" t="inlineStr">
        <is>
          <t>Not linked to an OFFER item</t>
        </is>
      </c>
      <c r="J605" s="6" t="n">
        <v>111</v>
      </c>
      <c r="K605" s="6" t="inlineStr">
        <is>
          <t>4.16.3</t>
        </is>
      </c>
      <c r="L605" s="6" t="inlineStr">
        <is>
          <t>Installation File</t>
        </is>
      </c>
      <c r="M605" s="6" t="inlineStr">
        <is>
          <t>The Contractor shall produce an Installation File. The File shall differentiate between,</t>
        </is>
      </c>
      <c r="N605" s="6" t="inlineStr">
        <is>
          <t>The Contractor shall produce an Installation File. The File shall differentiate between,
• Installation activities specific to each physical location (e.g. Coldbox Room)
• Installation activities related to the QPS, including its integration into the MINERVA facility (buildings and infrastructure).</t>
        </is>
      </c>
      <c r="O605" s="6" t="n">
        <v>1</v>
      </c>
      <c r="P605" s="6" t="n">
        <v>0</v>
      </c>
      <c r="Q605" s="6" t="n">
        <v>0</v>
      </c>
      <c r="R605" s="6" t="n">
        <v>0</v>
      </c>
      <c r="S605" s="6" t="n">
        <v>2</v>
      </c>
      <c r="T605" s="6" t="n">
        <v>2</v>
      </c>
      <c r="U605" s="6" t="n">
        <v>0</v>
      </c>
      <c r="V605" s="6" t="n">
        <v>19.333333</v>
      </c>
      <c r="W605" s="6" t="n">
        <v>17.1983</v>
      </c>
      <c r="X605" s="6" t="n">
        <v>0.4312</v>
      </c>
      <c r="Y605" s="6" t="inlineStr">
        <is>
          <t>Quality / Verifiability</t>
        </is>
      </c>
      <c r="Z605" s="6" t="inlineStr">
        <is>
          <t>Frozen-weight composite; strongest contribution: Quality / Verifiability.</t>
        </is>
      </c>
      <c r="AA605" s="6" t="inlineStr">
        <is>
          <t>None explicitly named in this RTM</t>
        </is>
      </c>
      <c r="AB605" s="6" t="inlineStr">
        <is>
          <t>SCK CEN/90508872 §4.16.3; no named external code</t>
        </is>
      </c>
      <c r="AC605" s="6" t="inlineStr">
        <is>
          <t>Submit and review the named deliverable with RTM traceability and approval status; Document review, inspection, certification, audit or traceable QC record</t>
        </is>
      </c>
      <c r="AD605" s="6" t="inlineStr">
        <is>
          <t>Installation File</t>
        </is>
      </c>
      <c r="AE605" s="6" t="inlineStr">
        <is>
          <t>L4 Installation; L1 Conceptual Design; L2 Detailed Design</t>
        </is>
      </c>
      <c r="AF605" s="6" t="inlineStr">
        <is>
          <t>Section/contract-derived reference; explicit deliverable/test wording</t>
        </is>
      </c>
      <c r="AG605" s="58" t="inlineStr">
        <is>
          <t>Not linked to an OFFER item</t>
        </is>
      </c>
    </row>
    <row r="606" ht="99" customHeight="1">
      <c r="A606" s="6" t="n">
        <v>601</v>
      </c>
      <c r="B606" s="6" t="inlineStr">
        <is>
          <t>RTM-579</t>
        </is>
      </c>
      <c r="C606" s="6" t="inlineStr">
        <is>
          <t>No</t>
        </is>
      </c>
      <c r="D606" s="6" t="inlineStr">
        <is>
          <t>T3 Contextual</t>
        </is>
      </c>
      <c r="E606" s="6" t="inlineStr">
        <is>
          <t>Technical Documentation</t>
        </is>
      </c>
      <c r="F606" s="82" t="inlineStr">
        <is>
          <t>PROJECT</t>
        </is>
      </c>
      <c r="G606" s="83" t="inlineStr">
        <is>
          <t>Documentation &amp; Compliance</t>
        </is>
      </c>
      <c r="H606" s="59" t="inlineStr">
        <is>
          <t>—</t>
        </is>
      </c>
      <c r="I606" s="58" t="inlineStr">
        <is>
          <t>Not linked to an OFFER item</t>
        </is>
      </c>
      <c r="J606" s="6" t="n">
        <v>111</v>
      </c>
      <c r="K606" s="6" t="inlineStr">
        <is>
          <t>4.16.3</t>
        </is>
      </c>
      <c r="L606" s="6" t="inlineStr">
        <is>
          <t>Installation File</t>
        </is>
      </c>
      <c r="M606" s="6" t="inlineStr">
        <is>
          <t>The Contractor shall add their “Health, Safety and Environmental Plan” to the Installation File.</t>
        </is>
      </c>
      <c r="N606" s="6" t="inlineStr">
        <is>
          <t>The Contractor shall add their “Health, Safety and Environmental Plan” to the Installation File.
• Said plan shall describe all (safety) measures, specified to an appropriate level of detail to ensure their proper implementation, that the Contractor shall implement and adhere to during their presence on the MINERVA site. The Contractor’s Health, Safety and Environmental Plan shall comply with the MINERVA Health, Safety and Environmental Plan</t>
        </is>
      </c>
      <c r="O606" s="6" t="n">
        <v>1</v>
      </c>
      <c r="P606" s="6" t="n">
        <v>0</v>
      </c>
      <c r="Q606" s="6" t="n">
        <v>0</v>
      </c>
      <c r="R606" s="6" t="n">
        <v>0</v>
      </c>
      <c r="S606" s="6" t="n">
        <v>2</v>
      </c>
      <c r="T606" s="6" t="n">
        <v>2</v>
      </c>
      <c r="U606" s="6" t="n">
        <v>0</v>
      </c>
      <c r="V606" s="6" t="n">
        <v>19.333333</v>
      </c>
      <c r="W606" s="6" t="n">
        <v>17.1983</v>
      </c>
      <c r="X606" s="6" t="n">
        <v>0.4312</v>
      </c>
      <c r="Y606" s="6" t="inlineStr">
        <is>
          <t>Quality / Verifiability</t>
        </is>
      </c>
      <c r="Z606" s="6" t="inlineStr">
        <is>
          <t>Frozen-weight composite; strongest contribution: Quality / Verifiability.</t>
        </is>
      </c>
      <c r="AA606" s="6" t="inlineStr">
        <is>
          <t>None explicitly named in this RTM</t>
        </is>
      </c>
      <c r="AB606" s="6" t="inlineStr">
        <is>
          <t>SCK CEN/90508872 §4.16.3; no named external code</t>
        </is>
      </c>
      <c r="AC606" s="6" t="inlineStr">
        <is>
          <t>Submit and review the named deliverable with RTM traceability and approval status; Document review, inspection, certification, audit or traceable QC record</t>
        </is>
      </c>
      <c r="AD606" s="6" t="inlineStr">
        <is>
          <t>Installation File</t>
        </is>
      </c>
      <c r="AE606" s="6" t="inlineStr">
        <is>
          <t>L4 Installation; L1 Conceptual Design; L2 Detailed Design</t>
        </is>
      </c>
      <c r="AF606" s="6" t="inlineStr">
        <is>
          <t>Section/contract-derived reference; explicit deliverable/test wording</t>
        </is>
      </c>
      <c r="AG606" s="58" t="inlineStr">
        <is>
          <t>Not linked to an OFFER item</t>
        </is>
      </c>
    </row>
    <row r="607" ht="47" customHeight="1">
      <c r="A607" s="6" t="n">
        <v>602</v>
      </c>
      <c r="B607" s="6" t="inlineStr">
        <is>
          <t>RTM-592</t>
        </is>
      </c>
      <c r="C607" s="6" t="inlineStr">
        <is>
          <t>No</t>
        </is>
      </c>
      <c r="D607" s="6" t="inlineStr">
        <is>
          <t>T3 Contextual</t>
        </is>
      </c>
      <c r="E607" s="6" t="inlineStr">
        <is>
          <t>Technical Documentation</t>
        </is>
      </c>
      <c r="F607" s="82" t="inlineStr">
        <is>
          <t>PROJECT</t>
        </is>
      </c>
      <c r="G607" s="83" t="inlineStr">
        <is>
          <t>Documentation &amp; Compliance</t>
        </is>
      </c>
      <c r="H607" s="59" t="inlineStr">
        <is>
          <t>—</t>
        </is>
      </c>
      <c r="I607" s="58" t="inlineStr">
        <is>
          <t>Not linked to an OFFER item</t>
        </is>
      </c>
      <c r="J607" s="6" t="n">
        <v>113</v>
      </c>
      <c r="K607" s="6" t="inlineStr">
        <is>
          <t>4.16.10</t>
        </is>
      </c>
      <c r="L607" s="6" t="inlineStr">
        <is>
          <t>Technical File</t>
        </is>
      </c>
      <c r="M607" s="6" t="inlineStr">
        <is>
          <t>The Contractor shall provide Technical Files in accordance with §9.1.</t>
        </is>
      </c>
      <c r="N607" s="6" t="inlineStr">
        <is>
          <t>The Contractor shall provide Technical Files in accordance with §9.1.
• The File shall be delivered as a dedicated, self-contained documentation package compiled explicitly for that purpose.</t>
        </is>
      </c>
      <c r="O607" s="6" t="n">
        <v>1</v>
      </c>
      <c r="P607" s="6" t="n">
        <v>0</v>
      </c>
      <c r="Q607" s="6" t="n">
        <v>0</v>
      </c>
      <c r="R607" s="6" t="n">
        <v>0</v>
      </c>
      <c r="S607" s="6" t="n">
        <v>2</v>
      </c>
      <c r="T607" s="6" t="n">
        <v>2</v>
      </c>
      <c r="U607" s="6" t="n">
        <v>0</v>
      </c>
      <c r="V607" s="6" t="n">
        <v>19.333333</v>
      </c>
      <c r="W607" s="6" t="n">
        <v>17.1983</v>
      </c>
      <c r="X607" s="6" t="n">
        <v>0.4312</v>
      </c>
      <c r="Y607" s="6" t="inlineStr">
        <is>
          <t>Quality / Verifiability</t>
        </is>
      </c>
      <c r="Z607" s="6" t="inlineStr">
        <is>
          <t>Frozen-weight composite; strongest contribution: Quality / Verifiability.</t>
        </is>
      </c>
      <c r="AA607" s="6" t="inlineStr">
        <is>
          <t>None explicitly named in this RTM</t>
        </is>
      </c>
      <c r="AB607" s="6" t="inlineStr">
        <is>
          <t>SCK CEN/90508872 §4.16.10; no named external code</t>
        </is>
      </c>
      <c r="AC607" s="6" t="inlineStr">
        <is>
          <t>Submit and review the named deliverable with RTM traceability and approval status; Document review, inspection, certification, audit or traceable QC record</t>
        </is>
      </c>
      <c r="AD607" s="6" t="inlineStr">
        <is>
          <t>Technical File</t>
        </is>
      </c>
      <c r="AE607" s="6" t="inlineStr">
        <is>
          <t>L1 Conceptual Design; L2 Detailed Design</t>
        </is>
      </c>
      <c r="AF607" s="6" t="inlineStr">
        <is>
          <t>Section/contract-derived reference; explicit deliverable/test wording</t>
        </is>
      </c>
      <c r="AG607" s="58" t="inlineStr">
        <is>
          <t>Not linked to an OFFER item</t>
        </is>
      </c>
    </row>
    <row r="608" ht="86" customHeight="1">
      <c r="A608" s="6" t="n">
        <v>603</v>
      </c>
      <c r="B608" s="6" t="inlineStr">
        <is>
          <t>RTM-593</t>
        </is>
      </c>
      <c r="C608" s="6" t="inlineStr">
        <is>
          <t>No</t>
        </is>
      </c>
      <c r="D608" s="6" t="inlineStr">
        <is>
          <t>T3 Contextual</t>
        </is>
      </c>
      <c r="E608" s="6" t="inlineStr">
        <is>
          <t>Technical Documentation</t>
        </is>
      </c>
      <c r="F608" s="82" t="inlineStr">
        <is>
          <t>PROJECT</t>
        </is>
      </c>
      <c r="G608" s="83" t="inlineStr">
        <is>
          <t>Documentation &amp; Compliance</t>
        </is>
      </c>
      <c r="H608" s="59" t="inlineStr">
        <is>
          <t>—</t>
        </is>
      </c>
      <c r="I608" s="58" t="inlineStr">
        <is>
          <t>Not linked to an OFFER item</t>
        </is>
      </c>
      <c r="J608" s="6" t="n">
        <v>113</v>
      </c>
      <c r="K608" s="6" t="inlineStr">
        <is>
          <t>4.16.11</t>
        </is>
      </c>
      <c r="L608" s="6" t="inlineStr">
        <is>
          <t>VLAREM Technical File</t>
        </is>
      </c>
      <c r="M608" s="6" t="inlineStr">
        <is>
          <t>The Contractor shall provide the VLAREM Technical File in accordance with VLAREM II (§9.1).</t>
        </is>
      </c>
      <c r="N608" s="6" t="inlineStr">
        <is>
          <t>The Contractor shall provide the VLAREM Technical File in accordance with VLAREM II (§9.1).
• The File shall be delivered as a dedicated, self-contained documentation package compiled explicitly for that purpose.
• The File shall be delivered ready for successful submission to the respective authorities.</t>
        </is>
      </c>
      <c r="O608" s="6" t="n">
        <v>1</v>
      </c>
      <c r="P608" s="6" t="n">
        <v>0</v>
      </c>
      <c r="Q608" s="6" t="n">
        <v>0</v>
      </c>
      <c r="R608" s="6" t="n">
        <v>0</v>
      </c>
      <c r="S608" s="6" t="n">
        <v>2</v>
      </c>
      <c r="T608" s="6" t="n">
        <v>2</v>
      </c>
      <c r="U608" s="6" t="n">
        <v>0</v>
      </c>
      <c r="V608" s="6" t="n">
        <v>19.333333</v>
      </c>
      <c r="W608" s="6" t="n">
        <v>17.1983</v>
      </c>
      <c r="X608" s="6" t="n">
        <v>0.4312</v>
      </c>
      <c r="Y608" s="6" t="inlineStr">
        <is>
          <t>Quality / Verifiability</t>
        </is>
      </c>
      <c r="Z608" s="6" t="inlineStr">
        <is>
          <t>Frozen-weight composite; strongest contribution: Quality / Verifiability.</t>
        </is>
      </c>
      <c r="AA608" s="6" t="inlineStr">
        <is>
          <t>VLAREM II</t>
        </is>
      </c>
      <c r="AB608" s="6" t="inlineStr">
        <is>
          <t>VLAREM II</t>
        </is>
      </c>
      <c r="AC608" s="6" t="inlineStr">
        <is>
          <t>Submit and review the named deliverable with RTM traceability and approval status; Document review, inspection, certification, audit or traceable QC record</t>
        </is>
      </c>
      <c r="AD608" s="6" t="inlineStr">
        <is>
          <t>Technical File; VLAREM Technical File</t>
        </is>
      </c>
      <c r="AE608" s="6" t="inlineStr">
        <is>
          <t>L1 Conceptual Design; L2 Detailed Design</t>
        </is>
      </c>
      <c r="AF608" s="6" t="inlineStr">
        <is>
          <t>Explicit/table-grounded standard; explicit deliverable/test wording</t>
        </is>
      </c>
      <c r="AG608" s="58" t="inlineStr">
        <is>
          <t>Not linked to an OFFER item</t>
        </is>
      </c>
    </row>
    <row r="609" ht="112" customHeight="1">
      <c r="A609" s="6" t="n">
        <v>604</v>
      </c>
      <c r="B609" s="6" t="inlineStr">
        <is>
          <t>RTM-621</t>
        </is>
      </c>
      <c r="C609" s="6" t="inlineStr">
        <is>
          <t>No</t>
        </is>
      </c>
      <c r="D609" s="6" t="inlineStr">
        <is>
          <t>T3 Contextual</t>
        </is>
      </c>
      <c r="E609" s="6" t="inlineStr">
        <is>
          <t>Contract Performance</t>
        </is>
      </c>
      <c r="F609" s="82" t="inlineStr">
        <is>
          <t>PROJECT</t>
        </is>
      </c>
      <c r="G609" s="83" t="inlineStr">
        <is>
          <t>Governance &amp; Responsibility</t>
        </is>
      </c>
      <c r="H609" s="59" t="inlineStr">
        <is>
          <t>—</t>
        </is>
      </c>
      <c r="I609" s="81" t="inlineStr">
        <is>
          <t>Inferred: C8 — Commercial &amp; Execution (medium conf.)</t>
        </is>
      </c>
      <c r="J609" s="6" t="n">
        <v>119</v>
      </c>
      <c r="K609" s="6" t="inlineStr">
        <is>
          <t>7.1</t>
        </is>
      </c>
      <c r="L609" s="6" t="inlineStr">
        <is>
          <t>General Organization</t>
        </is>
      </c>
      <c r="M609" s="6" t="inlineStr">
        <is>
          <t>The Contractor shall assign a member of its staff to be responsible for the follow-up of the Contract (further referred to as “Project Manager”). The Project Manager shall be responsible for planning, organizing, monitoring, and controlling, and directing the performance of the Contract, to ensure that the Contract is accomplished on time, within budget, and compliant to the requirements laid down in the Contract.</t>
        </is>
      </c>
      <c r="N609" s="6" t="inlineStr">
        <is>
          <t>The Contractor shall assign a member of its staff to be responsible for the follow-up of the Contract (further referred to as “Project Manager”). The Project Manager shall be responsible for planning, organizing, monitoring, and controlling, and directing the performance of the Contract, to ensure that the Contract is accomplished on time, within budget, and compliant to the requirements laid down in the Contract.</t>
        </is>
      </c>
      <c r="O609" s="6" t="n">
        <v>1</v>
      </c>
      <c r="P609" s="6" t="n">
        <v>1</v>
      </c>
      <c r="Q609" s="6" t="n">
        <v>0</v>
      </c>
      <c r="R609" s="6" t="n">
        <v>1</v>
      </c>
      <c r="S609" s="6" t="n">
        <v>0</v>
      </c>
      <c r="T609" s="6" t="n">
        <v>0</v>
      </c>
      <c r="U609" s="6" t="n">
        <v>0</v>
      </c>
      <c r="V609" s="6" t="n">
        <v>19.333333</v>
      </c>
      <c r="W609" s="6" t="n">
        <v>17.1983</v>
      </c>
      <c r="X609" s="6" t="n">
        <v>0.4312</v>
      </c>
      <c r="Y609" s="6" t="inlineStr">
        <is>
          <t>Reliability</t>
        </is>
      </c>
      <c r="Z609" s="6" t="inlineStr">
        <is>
          <t>Frozen-weight composite; strongest contribution: Reliability.</t>
        </is>
      </c>
      <c r="AA609" s="6" t="inlineStr">
        <is>
          <t>None explicitly named in this RTM</t>
        </is>
      </c>
      <c r="AB609" s="6" t="inlineStr">
        <is>
          <t>SCK CEN/90508872 §7.1; no named external code</t>
        </is>
      </c>
      <c r="AC609" s="6" t="inlineStr">
        <is>
          <t>Design review plus final inspection/acceptance evidence</t>
        </is>
      </c>
      <c r="AD609" s="6" t="inlineStr">
        <is>
          <t>No separate deliverable explicitly named</t>
        </is>
      </c>
      <c r="AE609" s="6" t="inlineStr">
        <is>
          <t>L0 Tender / Offer; L1 Conceptual Design; L2 Detailed Design; L3 Procurement &amp; Manufacturing / FAT; L4 Installation; L5 Standalone Commissioning; L6 Site Acceptance Testing</t>
        </is>
      </c>
      <c r="AF609" s="6" t="inlineStr">
        <is>
          <t>Section/contract-derived reference; derived evidence route</t>
        </is>
      </c>
      <c r="AG609" s="58" t="inlineStr">
        <is>
          <t>Not linked to an OFFER item</t>
        </is>
      </c>
    </row>
    <row r="610" ht="60" customHeight="1">
      <c r="A610" s="6" t="n">
        <v>605</v>
      </c>
      <c r="B610" s="6" t="inlineStr">
        <is>
          <t>RTM-438</t>
        </is>
      </c>
      <c r="C610" s="6" t="inlineStr">
        <is>
          <t>No</t>
        </is>
      </c>
      <c r="D610" s="6" t="inlineStr">
        <is>
          <t>T3 Contextual</t>
        </is>
      </c>
      <c r="E610" s="6" t="inlineStr">
        <is>
          <t>Design &amp; Fabrication</t>
        </is>
      </c>
      <c r="F610" s="82" t="inlineStr">
        <is>
          <t>SYSTEM</t>
        </is>
      </c>
      <c r="G610" s="83" t="inlineStr">
        <is>
          <t>Performance</t>
        </is>
      </c>
      <c r="H610" s="59" t="inlineStr">
        <is>
          <t>—</t>
        </is>
      </c>
      <c r="I610" s="81" t="inlineStr">
        <is>
          <t>Inferred: C5 — Infrastructure &amp; Integration (medium conf.)</t>
        </is>
      </c>
      <c r="J610" s="6" t="n">
        <v>86</v>
      </c>
      <c r="K610" s="6" t="inlineStr">
        <is>
          <t>4.8.1</t>
        </is>
      </c>
      <c r="L610" s="6" t="inlineStr">
        <is>
          <t>Drawings and CAD models</t>
        </is>
      </c>
      <c r="M610" s="6" t="inlineStr">
        <is>
          <t>The 3D model(s) shall be submitted in the following formats:</t>
        </is>
      </c>
      <c r="N610" s="6" t="inlineStr">
        <is>
          <t>The 3D model(s) shall be submitted in the following formats:
• STEP AP242 (ISO 10303-242) or STEP AP203 (ISO 10303 21), during the Conceptual Design;
• STEP AP242 (ISO 10303-242), during the remainder of the Contract.</t>
        </is>
      </c>
      <c r="O610" s="6" t="n">
        <v>0</v>
      </c>
      <c r="P610" s="6" t="n">
        <v>0</v>
      </c>
      <c r="Q610" s="6" t="n">
        <v>0</v>
      </c>
      <c r="R610" s="6" t="n">
        <v>2</v>
      </c>
      <c r="S610" s="6" t="n">
        <v>2</v>
      </c>
      <c r="T610" s="6" t="n">
        <v>0</v>
      </c>
      <c r="U610" s="6" t="n">
        <v>0</v>
      </c>
      <c r="V610" s="6" t="n">
        <v>18.666667</v>
      </c>
      <c r="W610" s="6" t="n">
        <v>14.2857</v>
      </c>
      <c r="X610" s="6" t="n">
        <v>0.3501</v>
      </c>
      <c r="Y610" s="6" t="inlineStr">
        <is>
          <t>Functional</t>
        </is>
      </c>
      <c r="Z610" s="6" t="inlineStr">
        <is>
          <t>Frozen-weight composite; strongest contribution: Functional.</t>
        </is>
      </c>
      <c r="AA610" s="6" t="inlineStr">
        <is>
          <t>ISO 10303-242; ISO 10303</t>
        </is>
      </c>
      <c r="AB610" s="6" t="inlineStr">
        <is>
          <t>ISO 10303-242; ISO 10303</t>
        </is>
      </c>
      <c r="AC610" s="6" t="inlineStr">
        <is>
          <t>Submit and review the named deliverable with RTM traceability and approval status; Document review, inspection, certification, audit or traceable QC record</t>
        </is>
      </c>
      <c r="AD610" s="6" t="inlineStr">
        <is>
          <t>3D / CAD Model</t>
        </is>
      </c>
      <c r="AE610" s="6" t="inlineStr">
        <is>
          <t>L1 Conceptual Design; L2 Detailed Design</t>
        </is>
      </c>
      <c r="AF610" s="6" t="inlineStr">
        <is>
          <t>Explicit/table-grounded standard; explicit deliverable/test wording</t>
        </is>
      </c>
      <c r="AG610" s="58" t="inlineStr">
        <is>
          <t>Not linked to an OFFER item</t>
        </is>
      </c>
    </row>
    <row r="611" ht="47" customHeight="1">
      <c r="A611" s="6" t="n">
        <v>606</v>
      </c>
      <c r="B611" s="6" t="inlineStr">
        <is>
          <t>RTM-439</t>
        </is>
      </c>
      <c r="C611" s="6" t="inlineStr">
        <is>
          <t>No</t>
        </is>
      </c>
      <c r="D611" s="6" t="inlineStr">
        <is>
          <t>T3 Contextual</t>
        </is>
      </c>
      <c r="E611" s="6" t="inlineStr">
        <is>
          <t>Design &amp; Fabrication</t>
        </is>
      </c>
      <c r="F611" s="82" t="inlineStr">
        <is>
          <t>SYSTEM</t>
        </is>
      </c>
      <c r="G611" s="83" t="inlineStr">
        <is>
          <t>Performance</t>
        </is>
      </c>
      <c r="H611" s="59" t="inlineStr">
        <is>
          <t>—</t>
        </is>
      </c>
      <c r="I611" s="81" t="inlineStr">
        <is>
          <t>Inferred: C5 — Infrastructure &amp; Integration (medium conf.)</t>
        </is>
      </c>
      <c r="J611" s="6" t="n">
        <v>86</v>
      </c>
      <c r="K611" s="6" t="inlineStr">
        <is>
          <t>4.8.1</t>
        </is>
      </c>
      <c r="L611" s="6" t="inlineStr">
        <is>
          <t>Drawings and CAD models</t>
        </is>
      </c>
      <c r="M611" s="6" t="inlineStr">
        <is>
          <t>The file name(s) shall adhere to the naming convention specified in [AD_06].</t>
        </is>
      </c>
      <c r="N611" s="6" t="inlineStr">
        <is>
          <t>The file name(s) shall adhere to the naming convention specified in [AD_06].
• SCK CEN shall provide the final version of [AD_06] during Conceptual Design.</t>
        </is>
      </c>
      <c r="O611" s="6" t="n">
        <v>0</v>
      </c>
      <c r="P611" s="6" t="n">
        <v>0</v>
      </c>
      <c r="Q611" s="6" t="n">
        <v>0</v>
      </c>
      <c r="R611" s="6" t="n">
        <v>2</v>
      </c>
      <c r="S611" s="6" t="n">
        <v>2</v>
      </c>
      <c r="T611" s="6" t="n">
        <v>0</v>
      </c>
      <c r="U611" s="6" t="n">
        <v>0</v>
      </c>
      <c r="V611" s="6" t="n">
        <v>18.666667</v>
      </c>
      <c r="W611" s="6" t="n">
        <v>14.2857</v>
      </c>
      <c r="X611" s="6" t="n">
        <v>0.3501</v>
      </c>
      <c r="Y611" s="6" t="inlineStr">
        <is>
          <t>Functional</t>
        </is>
      </c>
      <c r="Z611" s="6" t="inlineStr">
        <is>
          <t>Frozen-weight composite; strongest contribution: Functional.</t>
        </is>
      </c>
      <c r="AA611" s="6" t="inlineStr">
        <is>
          <t>None explicitly named in this RTM</t>
        </is>
      </c>
      <c r="AB611" s="6" t="inlineStr">
        <is>
          <t>Section-level: ISA 5.1; ISO 10303-242; ISO 10303; ISO 1101:2017; ISO 1:2022; ISO 286:2010; ISO 2768:1989; ISO 2692:2021</t>
        </is>
      </c>
      <c r="AC611" s="6" t="inlineStr">
        <is>
          <t>Document review, inspection, certification, audit or traceable QC record</t>
        </is>
      </c>
      <c r="AD611" s="6" t="inlineStr">
        <is>
          <t>No separate deliverable explicitly named</t>
        </is>
      </c>
      <c r="AE611" s="6" t="inlineStr">
        <is>
          <t>L1 Conceptual Design; L2 Detailed Design</t>
        </is>
      </c>
      <c r="AF611" s="6" t="inlineStr">
        <is>
          <t>Section/contract-derived reference; derived evidence route</t>
        </is>
      </c>
      <c r="AG611" s="58" t="inlineStr">
        <is>
          <t>Not linked to an OFFER item</t>
        </is>
      </c>
    </row>
    <row r="612" ht="47" customHeight="1">
      <c r="A612" s="6" t="n">
        <v>607</v>
      </c>
      <c r="B612" s="6" t="inlineStr">
        <is>
          <t>RTM-444</t>
        </is>
      </c>
      <c r="C612" s="6" t="inlineStr">
        <is>
          <t>No</t>
        </is>
      </c>
      <c r="D612" s="6" t="inlineStr">
        <is>
          <t>T3 Contextual</t>
        </is>
      </c>
      <c r="E612" s="6" t="inlineStr">
        <is>
          <t>Design &amp; Fabrication</t>
        </is>
      </c>
      <c r="F612" s="82" t="inlineStr">
        <is>
          <t>SYSTEM</t>
        </is>
      </c>
      <c r="G612" s="83" t="inlineStr">
        <is>
          <t>Performance</t>
        </is>
      </c>
      <c r="H612" s="59" t="inlineStr">
        <is>
          <t>—</t>
        </is>
      </c>
      <c r="I612" s="81" t="inlineStr">
        <is>
          <t>Inferred: C5 — Infrastructure &amp; Integration (medium conf.)</t>
        </is>
      </c>
      <c r="J612" s="6" t="n">
        <v>87</v>
      </c>
      <c r="K612" s="6" t="inlineStr">
        <is>
          <t>4.8.1.1</t>
        </is>
      </c>
      <c r="L612" s="6" t="inlineStr">
        <is>
          <t>Level of Representation of 3D Models</t>
        </is>
      </c>
      <c r="M612" s="6" t="inlineStr">
        <is>
          <t>The Contractor shall maintain all required LoR versions up-to-date throughout the Contract, ensuring that each LoR remains consistent with the current design baseline.</t>
        </is>
      </c>
      <c r="N612" s="6" t="inlineStr">
        <is>
          <t>The Contractor shall maintain all required LoR versions up-to-date throughout the Contract, ensuring that each LoR remains consistent with the current design baseline.</t>
        </is>
      </c>
      <c r="O612" s="6" t="n">
        <v>0</v>
      </c>
      <c r="P612" s="6" t="n">
        <v>0</v>
      </c>
      <c r="Q612" s="6" t="n">
        <v>0</v>
      </c>
      <c r="R612" s="6" t="n">
        <v>2</v>
      </c>
      <c r="S612" s="6" t="n">
        <v>2</v>
      </c>
      <c r="T612" s="6" t="n">
        <v>0</v>
      </c>
      <c r="U612" s="6" t="n">
        <v>0</v>
      </c>
      <c r="V612" s="6" t="n">
        <v>18.666667</v>
      </c>
      <c r="W612" s="6" t="n">
        <v>14.2857</v>
      </c>
      <c r="X612" s="6" t="n">
        <v>0.3501</v>
      </c>
      <c r="Y612" s="6" t="inlineStr">
        <is>
          <t>Functional</t>
        </is>
      </c>
      <c r="Z612" s="6" t="inlineStr">
        <is>
          <t>Frozen-weight composite; strongest contribution: Functional.</t>
        </is>
      </c>
      <c r="AA612" s="6" t="inlineStr">
        <is>
          <t>None explicitly named in this RTM</t>
        </is>
      </c>
      <c r="AB612" s="6" t="inlineStr">
        <is>
          <t>SCK CEN/90508872 §4.8.1.1; no named external code</t>
        </is>
      </c>
      <c r="AC612" s="6" t="inlineStr">
        <is>
          <t>Document review, inspection, certification, audit or traceable QC record</t>
        </is>
      </c>
      <c r="AD612" s="6" t="inlineStr">
        <is>
          <t>No separate deliverable explicitly named</t>
        </is>
      </c>
      <c r="AE612" s="6" t="inlineStr">
        <is>
          <t>L1 Conceptual Design; L2 Detailed Design</t>
        </is>
      </c>
      <c r="AF612" s="6" t="inlineStr">
        <is>
          <t>Section/contract-derived reference; derived evidence route</t>
        </is>
      </c>
      <c r="AG612" s="58" t="inlineStr">
        <is>
          <t>Not linked to an OFFER item</t>
        </is>
      </c>
    </row>
    <row r="613" ht="112" customHeight="1">
      <c r="A613" s="6" t="n">
        <v>608</v>
      </c>
      <c r="B613" s="6" t="inlineStr">
        <is>
          <t>RTM-445</t>
        </is>
      </c>
      <c r="C613" s="6" t="inlineStr">
        <is>
          <t>No</t>
        </is>
      </c>
      <c r="D613" s="6" t="inlineStr">
        <is>
          <t>T3 Contextual</t>
        </is>
      </c>
      <c r="E613" s="6" t="inlineStr">
        <is>
          <t>Design &amp; Fabrication</t>
        </is>
      </c>
      <c r="F613" s="82" t="inlineStr">
        <is>
          <t>SYSTEM</t>
        </is>
      </c>
      <c r="G613" s="83" t="inlineStr">
        <is>
          <t>Performance</t>
        </is>
      </c>
      <c r="H613" s="59" t="inlineStr">
        <is>
          <t>—</t>
        </is>
      </c>
      <c r="I613" s="58" t="inlineStr">
        <is>
          <t>C5 — Infrastructure &amp; Integration</t>
        </is>
      </c>
      <c r="J613" s="6" t="n">
        <v>87</v>
      </c>
      <c r="K613" s="6" t="inlineStr">
        <is>
          <t>4.8.1.2</t>
        </is>
      </c>
      <c r="L613" s="6" t="inlineStr">
        <is>
          <t>CAD Models with Intellectual Property</t>
        </is>
      </c>
      <c r="M613" s="6" t="inlineStr">
        <is>
          <t>Without prejudice to the provisions on IP, in case the CAD model would contain IP content that the Contractor does not wish to share with other parties than SCK CEN:</t>
        </is>
      </c>
      <c r="N613" s="6" t="inlineStr">
        <is>
          <t>Without prejudice to the provisions on IP, in case the CAD model would contain IP content that the Contractor does not wish to share with other parties than SCK CEN:
• The Contractor shall provide an overview of said IP content;
• The Contractor shall provide a redacted CAD model (removing said IP content) that may be shared by SCK CEN at its discretion. Nevertheless, the redacted CAD model shall contain sufficient detail to allow accomplishment of the purpose(s) for which SCK CEN needs to share the CAD model.</t>
        </is>
      </c>
      <c r="O613" s="6" t="n">
        <v>0</v>
      </c>
      <c r="P613" s="6" t="n">
        <v>0</v>
      </c>
      <c r="Q613" s="6" t="n">
        <v>0</v>
      </c>
      <c r="R613" s="6" t="n">
        <v>2</v>
      </c>
      <c r="S613" s="6" t="n">
        <v>2</v>
      </c>
      <c r="T613" s="6" t="n">
        <v>0</v>
      </c>
      <c r="U613" s="6" t="n">
        <v>0</v>
      </c>
      <c r="V613" s="6" t="n">
        <v>18.666667</v>
      </c>
      <c r="W613" s="6" t="n">
        <v>14.2857</v>
      </c>
      <c r="X613" s="6" t="n">
        <v>0.3501</v>
      </c>
      <c r="Y613" s="6" t="inlineStr">
        <is>
          <t>Functional</t>
        </is>
      </c>
      <c r="Z613" s="6" t="inlineStr">
        <is>
          <t>Frozen-weight composite; strongest contribution: Functional.</t>
        </is>
      </c>
      <c r="AA613" s="6" t="inlineStr">
        <is>
          <t>None explicitly named in this RTM</t>
        </is>
      </c>
      <c r="AB613" s="6" t="inlineStr">
        <is>
          <t>SCK CEN/90508872 §4.8.1.2; no named external code</t>
        </is>
      </c>
      <c r="AC613" s="6" t="inlineStr">
        <is>
          <t>Submit and review the named deliverable with RTM traceability and approval status; Document review, inspection, certification, audit or traceable QC record</t>
        </is>
      </c>
      <c r="AD613" s="6" t="inlineStr">
        <is>
          <t>3D / CAD Model</t>
        </is>
      </c>
      <c r="AE613" s="6" t="inlineStr">
        <is>
          <t>L1 Conceptual Design; L2 Detailed Design</t>
        </is>
      </c>
      <c r="AF613" s="6" t="inlineStr">
        <is>
          <t>Section/contract-derived reference; explicit deliverable/test wording</t>
        </is>
      </c>
      <c r="AG613" s="58" t="inlineStr">
        <is>
          <t>OFFER-36 (Direct)</t>
        </is>
      </c>
    </row>
    <row r="614" ht="47" customHeight="1">
      <c r="A614" s="6" t="n">
        <v>609</v>
      </c>
      <c r="B614" s="6" t="inlineStr">
        <is>
          <t>RTM-446</t>
        </is>
      </c>
      <c r="C614" s="6" t="inlineStr">
        <is>
          <t>No</t>
        </is>
      </c>
      <c r="D614" s="6" t="inlineStr">
        <is>
          <t>T3 Contextual</t>
        </is>
      </c>
      <c r="E614" s="6" t="inlineStr">
        <is>
          <t>Design &amp; Fabrication</t>
        </is>
      </c>
      <c r="F614" s="82" t="inlineStr">
        <is>
          <t>SYSTEM</t>
        </is>
      </c>
      <c r="G614" s="83" t="inlineStr">
        <is>
          <t>Performance</t>
        </is>
      </c>
      <c r="H614" s="59" t="inlineStr">
        <is>
          <t>—</t>
        </is>
      </c>
      <c r="I614" s="58" t="inlineStr">
        <is>
          <t>C5 — Infrastructure &amp; Integration</t>
        </is>
      </c>
      <c r="J614" s="6" t="n">
        <v>87</v>
      </c>
      <c r="K614" s="6" t="inlineStr">
        <is>
          <t>4.8.1.2</t>
        </is>
      </c>
      <c r="L614" s="6" t="inlineStr">
        <is>
          <t>CAD Models with Intellectual Property</t>
        </is>
      </c>
      <c r="M614" s="6" t="inlineStr">
        <is>
          <t>The Contractor shall exercise reasonable judgment in determining which IP content cannot be shared and provide appropriate justification thereto.</t>
        </is>
      </c>
      <c r="N614" s="6" t="inlineStr">
        <is>
          <t>The Contractor shall exercise reasonable judgment in determining which IP content cannot be shared and provide appropriate justification thereto.</t>
        </is>
      </c>
      <c r="O614" s="6" t="n">
        <v>0</v>
      </c>
      <c r="P614" s="6" t="n">
        <v>0</v>
      </c>
      <c r="Q614" s="6" t="n">
        <v>0</v>
      </c>
      <c r="R614" s="6" t="n">
        <v>2</v>
      </c>
      <c r="S614" s="6" t="n">
        <v>2</v>
      </c>
      <c r="T614" s="6" t="n">
        <v>0</v>
      </c>
      <c r="U614" s="6" t="n">
        <v>0</v>
      </c>
      <c r="V614" s="6" t="n">
        <v>18.666667</v>
      </c>
      <c r="W614" s="6" t="n">
        <v>14.2857</v>
      </c>
      <c r="X614" s="6" t="n">
        <v>0.3501</v>
      </c>
      <c r="Y614" s="6" t="inlineStr">
        <is>
          <t>Functional</t>
        </is>
      </c>
      <c r="Z614" s="6" t="inlineStr">
        <is>
          <t>Frozen-weight composite; strongest contribution: Functional.</t>
        </is>
      </c>
      <c r="AA614" s="6" t="inlineStr">
        <is>
          <t>None explicitly named in this RTM</t>
        </is>
      </c>
      <c r="AB614" s="6" t="inlineStr">
        <is>
          <t>SCK CEN/90508872 §4.8.1.2; no named external code</t>
        </is>
      </c>
      <c r="AC614" s="6" t="inlineStr">
        <is>
          <t>Document review, inspection, certification, audit or traceable QC record</t>
        </is>
      </c>
      <c r="AD614" s="6" t="inlineStr">
        <is>
          <t>No separate deliverable explicitly named</t>
        </is>
      </c>
      <c r="AE614" s="6" t="inlineStr">
        <is>
          <t>L1 Conceptual Design; L2 Detailed Design</t>
        </is>
      </c>
      <c r="AF614" s="6" t="inlineStr">
        <is>
          <t>Section/contract-derived reference; derived evidence route</t>
        </is>
      </c>
      <c r="AG614" s="58" t="inlineStr">
        <is>
          <t>OFFER-36 (Direct)</t>
        </is>
      </c>
    </row>
    <row r="615" ht="73" customHeight="1">
      <c r="A615" s="6" t="n">
        <v>610</v>
      </c>
      <c r="B615" s="6" t="inlineStr">
        <is>
          <t>RTM-447</t>
        </is>
      </c>
      <c r="C615" s="6" t="inlineStr">
        <is>
          <t>No</t>
        </is>
      </c>
      <c r="D615" s="6" t="inlineStr">
        <is>
          <t>T3 Contextual</t>
        </is>
      </c>
      <c r="E615" s="6" t="inlineStr">
        <is>
          <t>Design &amp; Fabrication</t>
        </is>
      </c>
      <c r="F615" s="82" t="inlineStr">
        <is>
          <t>SYSTEM</t>
        </is>
      </c>
      <c r="G615" s="83" t="inlineStr">
        <is>
          <t>Performance</t>
        </is>
      </c>
      <c r="H615" s="59" t="inlineStr">
        <is>
          <t>—</t>
        </is>
      </c>
      <c r="I615" s="58" t="inlineStr">
        <is>
          <t>C5 — Infrastructure &amp; Integration</t>
        </is>
      </c>
      <c r="J615" s="6" t="n">
        <v>88</v>
      </c>
      <c r="K615" s="6" t="inlineStr">
        <is>
          <t>4.8.1.2</t>
        </is>
      </c>
      <c r="L615" s="6" t="inlineStr">
        <is>
          <t>CAD Models with Intellectual Property</t>
        </is>
      </c>
      <c r="M615" s="6" t="inlineStr">
        <is>
          <t>The Contractor shall establish and maintain a 3D-model management platform (e.g. Autodesk BIM 360 Docs or an equivalent system approved by SCK CEN) for the controlled exchange, review, and version tracking of all 3D CAD models and related 2D drawings.</t>
        </is>
      </c>
      <c r="N615" s="6" t="inlineStr">
        <is>
          <t>The Contractor shall establish and maintain a 3D-model management platform (e.g. Autodesk BIM 360 Docs or an equivalent system approved by SCK CEN) for the controlled exchange, review, and version tracking of all 3D CAD models and related 2D drawings.</t>
        </is>
      </c>
      <c r="O615" s="6" t="n">
        <v>0</v>
      </c>
      <c r="P615" s="6" t="n">
        <v>0</v>
      </c>
      <c r="Q615" s="6" t="n">
        <v>0</v>
      </c>
      <c r="R615" s="6" t="n">
        <v>2</v>
      </c>
      <c r="S615" s="6" t="n">
        <v>2</v>
      </c>
      <c r="T615" s="6" t="n">
        <v>0</v>
      </c>
      <c r="U615" s="6" t="n">
        <v>0</v>
      </c>
      <c r="V615" s="6" t="n">
        <v>18.666667</v>
      </c>
      <c r="W615" s="6" t="n">
        <v>14.2857</v>
      </c>
      <c r="X615" s="6" t="n">
        <v>0.3501</v>
      </c>
      <c r="Y615" s="6" t="inlineStr">
        <is>
          <t>Functional</t>
        </is>
      </c>
      <c r="Z615" s="6" t="inlineStr">
        <is>
          <t>Frozen-weight composite; strongest contribution: Functional.</t>
        </is>
      </c>
      <c r="AA615" s="6" t="inlineStr">
        <is>
          <t>None explicitly named in this RTM</t>
        </is>
      </c>
      <c r="AB615" s="6" t="inlineStr">
        <is>
          <t>SCK CEN/90508872 §4.8.1.2; no named external code</t>
        </is>
      </c>
      <c r="AC615" s="6" t="inlineStr">
        <is>
          <t>Submit and review the named deliverable with RTM traceability and approval status; Functional design/configuration review and sequence/interface demonstration; Document review, inspection, certification, audit or traceable QC record</t>
        </is>
      </c>
      <c r="AD615" s="6" t="inlineStr">
        <is>
          <t>3D / CAD Model; Drawing / diagram</t>
        </is>
      </c>
      <c r="AE615" s="6" t="inlineStr">
        <is>
          <t>L1 Conceptual Design; L2 Detailed Design</t>
        </is>
      </c>
      <c r="AF615" s="6" t="inlineStr">
        <is>
          <t>Section/contract-derived reference; explicit deliverable/test wording</t>
        </is>
      </c>
      <c r="AG615" s="58" t="inlineStr">
        <is>
          <t>OFFER-36 (Direct)</t>
        </is>
      </c>
    </row>
    <row r="616" ht="86" customHeight="1">
      <c r="A616" s="6" t="n">
        <v>611</v>
      </c>
      <c r="B616" s="6" t="inlineStr">
        <is>
          <t>RTM-448</t>
        </is>
      </c>
      <c r="C616" s="6" t="inlineStr">
        <is>
          <t>No</t>
        </is>
      </c>
      <c r="D616" s="6" t="inlineStr">
        <is>
          <t>T3 Contextual</t>
        </is>
      </c>
      <c r="E616" s="6" t="inlineStr">
        <is>
          <t>Design &amp; Fabrication</t>
        </is>
      </c>
      <c r="F616" s="82" t="inlineStr">
        <is>
          <t>SYSTEM</t>
        </is>
      </c>
      <c r="G616" s="83" t="inlineStr">
        <is>
          <t>Control</t>
        </is>
      </c>
      <c r="H616" s="59" t="inlineStr">
        <is>
          <t>—</t>
        </is>
      </c>
      <c r="I616" s="58" t="inlineStr">
        <is>
          <t>C5 — Infrastructure &amp; Integration</t>
        </is>
      </c>
      <c r="J616" s="6" t="n">
        <v>88</v>
      </c>
      <c r="K616" s="6" t="inlineStr">
        <is>
          <t>4.8.1.2</t>
        </is>
      </c>
      <c r="L616" s="6" t="inlineStr">
        <is>
          <t>CAD Models with Intellectual Property</t>
        </is>
      </c>
      <c r="M616" s="6" t="inlineStr">
        <is>
          <t>The platform shall:</t>
        </is>
      </c>
      <c r="N616" s="6" t="inlineStr">
        <is>
          <t>The platform shall:
• Provide real-time access for SCK CEN to view, comment, and download the current model versions;
• Feature version control and change-tracking;
• Feature access-rights management;
• Remain operational throughout the entire term of the Contract.</t>
        </is>
      </c>
      <c r="O616" s="6" t="n">
        <v>0</v>
      </c>
      <c r="P616" s="6" t="n">
        <v>0</v>
      </c>
      <c r="Q616" s="6" t="n">
        <v>0</v>
      </c>
      <c r="R616" s="6" t="n">
        <v>2</v>
      </c>
      <c r="S616" s="6" t="n">
        <v>2</v>
      </c>
      <c r="T616" s="6" t="n">
        <v>0</v>
      </c>
      <c r="U616" s="6" t="n">
        <v>0</v>
      </c>
      <c r="V616" s="6" t="n">
        <v>18.666667</v>
      </c>
      <c r="W616" s="6" t="n">
        <v>14.2857</v>
      </c>
      <c r="X616" s="6" t="n">
        <v>0.3501</v>
      </c>
      <c r="Y616" s="6" t="inlineStr">
        <is>
          <t>Functional</t>
        </is>
      </c>
      <c r="Z616" s="6" t="inlineStr">
        <is>
          <t>Frozen-weight composite; strongest contribution: Functional.</t>
        </is>
      </c>
      <c r="AA616" s="6" t="inlineStr">
        <is>
          <t>None explicitly named in this RTM</t>
        </is>
      </c>
      <c r="AB616" s="6" t="inlineStr">
        <is>
          <t>SCK CEN/90508872 §4.8.1.2; no named external code</t>
        </is>
      </c>
      <c r="AC616" s="6" t="inlineStr">
        <is>
          <t>Functional design/configuration review and sequence/interface demonstration; Document review, inspection, certification, audit or traceable QC record</t>
        </is>
      </c>
      <c r="AD616" s="6" t="inlineStr">
        <is>
          <t>No separate deliverable explicitly named</t>
        </is>
      </c>
      <c r="AE616" s="6" t="inlineStr">
        <is>
          <t>L1 Conceptual Design; L2 Detailed Design</t>
        </is>
      </c>
      <c r="AF616" s="6" t="inlineStr">
        <is>
          <t>Section/contract-derived reference; derived evidence route</t>
        </is>
      </c>
      <c r="AG616" s="58" t="inlineStr">
        <is>
          <t>OFFER-36 (Direct)</t>
        </is>
      </c>
    </row>
    <row r="617" ht="73" customHeight="1">
      <c r="A617" s="6" t="n">
        <v>612</v>
      </c>
      <c r="B617" s="6" t="inlineStr">
        <is>
          <t>RTM-449</t>
        </is>
      </c>
      <c r="C617" s="6" t="inlineStr">
        <is>
          <t>No</t>
        </is>
      </c>
      <c r="D617" s="6" t="inlineStr">
        <is>
          <t>T3 Contextual</t>
        </is>
      </c>
      <c r="E617" s="6" t="inlineStr">
        <is>
          <t>Design &amp; Fabrication</t>
        </is>
      </c>
      <c r="F617" s="82" t="inlineStr">
        <is>
          <t>SYSTEM</t>
        </is>
      </c>
      <c r="G617" s="83" t="inlineStr">
        <is>
          <t>Performance</t>
        </is>
      </c>
      <c r="H617" s="59" t="inlineStr">
        <is>
          <t>—</t>
        </is>
      </c>
      <c r="I617" s="58" t="inlineStr">
        <is>
          <t>C5 — Infrastructure &amp; Integration</t>
        </is>
      </c>
      <c r="J617" s="6" t="n">
        <v>88</v>
      </c>
      <c r="K617" s="6" t="inlineStr">
        <is>
          <t>4.8.1.2</t>
        </is>
      </c>
      <c r="L617" s="6" t="inlineStr">
        <is>
          <t>CAD Models with Intellectual Property</t>
        </is>
      </c>
      <c r="M617" s="6" t="inlineStr">
        <is>
          <t>The Contractor should ensure that the 3D models and associated workflows are compatible with SCK CEN’s current digital engineering environment, which includes PTC Windchill, PTC Creo, Autodesk Revit, Autodesk Navisworks, and Autodesk Construction Cloud.</t>
        </is>
      </c>
      <c r="N617" s="6" t="inlineStr">
        <is>
          <t>The Contractor should ensure that the 3D models and associated workflows are compatible with SCK CEN’s current digital engineering environment, which includes PTC Windchill, PTC Creo, Autodesk Revit, Autodesk Navisworks, and Autodesk Construction Cloud.</t>
        </is>
      </c>
      <c r="O617" s="6" t="n">
        <v>0</v>
      </c>
      <c r="P617" s="6" t="n">
        <v>0</v>
      </c>
      <c r="Q617" s="6" t="n">
        <v>0</v>
      </c>
      <c r="R617" s="6" t="n">
        <v>2</v>
      </c>
      <c r="S617" s="6" t="n">
        <v>2</v>
      </c>
      <c r="T617" s="6" t="n">
        <v>0</v>
      </c>
      <c r="U617" s="6" t="n">
        <v>0</v>
      </c>
      <c r="V617" s="6" t="n">
        <v>18.666667</v>
      </c>
      <c r="W617" s="6" t="n">
        <v>14.2857</v>
      </c>
      <c r="X617" s="6" t="n">
        <v>0.3501</v>
      </c>
      <c r="Y617" s="6" t="inlineStr">
        <is>
          <t>Functional</t>
        </is>
      </c>
      <c r="Z617" s="6" t="inlineStr">
        <is>
          <t>Frozen-weight composite; strongest contribution: Functional.</t>
        </is>
      </c>
      <c r="AA617" s="6" t="inlineStr">
        <is>
          <t>None explicitly named in this RTM</t>
        </is>
      </c>
      <c r="AB617" s="6" t="inlineStr">
        <is>
          <t>SCK CEN/90508872 §4.8.1.2; no named external code</t>
        </is>
      </c>
      <c r="AC617" s="6" t="inlineStr">
        <is>
          <t>Submit and review the named deliverable with RTM traceability and approval status; Document review, inspection, certification, audit or traceable QC record</t>
        </is>
      </c>
      <c r="AD617" s="6" t="inlineStr">
        <is>
          <t>3D / CAD Model</t>
        </is>
      </c>
      <c r="AE617" s="6" t="inlineStr">
        <is>
          <t>L1 Conceptual Design; L2 Detailed Design</t>
        </is>
      </c>
      <c r="AF617" s="6" t="inlineStr">
        <is>
          <t>Section/contract-derived reference; explicit deliverable/test wording</t>
        </is>
      </c>
      <c r="AG617" s="58" t="inlineStr">
        <is>
          <t>OFFER-36 (Direct)</t>
        </is>
      </c>
    </row>
    <row r="618" ht="73" customHeight="1">
      <c r="A618" s="6" t="n">
        <v>613</v>
      </c>
      <c r="B618" s="6" t="inlineStr">
        <is>
          <t>RTM-450</t>
        </is>
      </c>
      <c r="C618" s="6" t="inlineStr">
        <is>
          <t>No</t>
        </is>
      </c>
      <c r="D618" s="6" t="inlineStr">
        <is>
          <t>T3 Contextual</t>
        </is>
      </c>
      <c r="E618" s="6" t="inlineStr">
        <is>
          <t>Design &amp; Fabrication</t>
        </is>
      </c>
      <c r="F618" s="82" t="inlineStr">
        <is>
          <t>SYSTEM</t>
        </is>
      </c>
      <c r="G618" s="83" t="inlineStr">
        <is>
          <t>Performance</t>
        </is>
      </c>
      <c r="H618" s="59" t="inlineStr">
        <is>
          <t>—</t>
        </is>
      </c>
      <c r="I618" s="58" t="inlineStr">
        <is>
          <t>C4 — Software &amp; Control</t>
        </is>
      </c>
      <c r="J618" s="6" t="n">
        <v>88</v>
      </c>
      <c r="K618" s="6" t="inlineStr">
        <is>
          <t>4.8.2</t>
        </is>
      </c>
      <c r="L618" s="6" t="inlineStr">
        <is>
          <t>Digital Process Model and Digital Twin</t>
        </is>
      </c>
      <c r="M618" s="6" t="inlineStr">
        <is>
          <t>The Contractor shall supply all necessary parameters to enable SCK CEN to simulate the QPS using its own models and tools.</t>
        </is>
      </c>
      <c r="N618" s="6" t="inlineStr">
        <is>
          <t>The Contractor shall supply all necessary parameters to enable SCK CEN to simulate the QPS using its own models and tools.
• For components where the parametrization is subject to IP restrictions, the Contractor shall provide a simplified representation sufficient for system-level simulation.</t>
        </is>
      </c>
      <c r="O618" s="6" t="n">
        <v>0</v>
      </c>
      <c r="P618" s="6" t="n">
        <v>0</v>
      </c>
      <c r="Q618" s="6" t="n">
        <v>0</v>
      </c>
      <c r="R618" s="6" t="n">
        <v>2</v>
      </c>
      <c r="S618" s="6" t="n">
        <v>2</v>
      </c>
      <c r="T618" s="6" t="n">
        <v>0</v>
      </c>
      <c r="U618" s="6" t="n">
        <v>0</v>
      </c>
      <c r="V618" s="6" t="n">
        <v>18.666667</v>
      </c>
      <c r="W618" s="6" t="n">
        <v>14.2857</v>
      </c>
      <c r="X618" s="6" t="n">
        <v>0.3501</v>
      </c>
      <c r="Y618" s="6" t="inlineStr">
        <is>
          <t>Functional</t>
        </is>
      </c>
      <c r="Z618" s="6" t="inlineStr">
        <is>
          <t>Frozen-weight composite; strongest contribution: Functional.</t>
        </is>
      </c>
      <c r="AA618" s="6" t="inlineStr">
        <is>
          <t>None explicitly named in this RTM</t>
        </is>
      </c>
      <c r="AB618" s="6" t="inlineStr">
        <is>
          <t>SCK CEN/90508872 §4.8.2; no named external code</t>
        </is>
      </c>
      <c r="AC618" s="6" t="inlineStr">
        <is>
          <t>Document review, inspection, certification, audit or traceable QC record</t>
        </is>
      </c>
      <c r="AD618" s="6" t="inlineStr">
        <is>
          <t>No separate deliverable explicitly named</t>
        </is>
      </c>
      <c r="AE618" s="6" t="inlineStr">
        <is>
          <t>L1 Conceptual Design; L2 Detailed Design</t>
        </is>
      </c>
      <c r="AF618" s="6" t="inlineStr">
        <is>
          <t>Section/contract-derived reference; derived evidence route</t>
        </is>
      </c>
      <c r="AG618" s="58" t="inlineStr">
        <is>
          <t>OFFER-37 (Direct)</t>
        </is>
      </c>
    </row>
    <row r="619" ht="73" customHeight="1">
      <c r="A619" s="6" t="n">
        <v>614</v>
      </c>
      <c r="B619" s="6" t="inlineStr">
        <is>
          <t>RTM-452</t>
        </is>
      </c>
      <c r="C619" s="6" t="inlineStr">
        <is>
          <t>No</t>
        </is>
      </c>
      <c r="D619" s="6" t="inlineStr">
        <is>
          <t>T3 Contextual</t>
        </is>
      </c>
      <c r="E619" s="6" t="inlineStr">
        <is>
          <t>Design &amp; Fabrication</t>
        </is>
      </c>
      <c r="F619" s="82" t="inlineStr">
        <is>
          <t>SYSTEM</t>
        </is>
      </c>
      <c r="G619" s="83" t="inlineStr">
        <is>
          <t>Performance</t>
        </is>
      </c>
      <c r="H619" s="59" t="inlineStr">
        <is>
          <t>—</t>
        </is>
      </c>
      <c r="I619" s="81" t="inlineStr">
        <is>
          <t>Inferred: C5 — Infrastructure &amp; Integration (medium conf.)</t>
        </is>
      </c>
      <c r="J619" s="6" t="n">
        <v>88</v>
      </c>
      <c r="K619" s="6" t="inlineStr">
        <is>
          <t>4.8.3.1</t>
        </is>
      </c>
      <c r="L619" s="6" t="inlineStr">
        <is>
          <t>Material Requirements</t>
        </is>
      </c>
      <c r="M619" s="6" t="inlineStr">
        <is>
          <t>All materials shall be delivered with traceable certificates. This requirement applies, including but not limited to, the following:</t>
        </is>
      </c>
      <c r="N619" s="6" t="inlineStr">
        <is>
          <t>All materials shall be delivered with traceable certificates. This requirement applies, including but not limited to, the following:
• Base materials of the MPHX (e.g. core, manifold, nozzles)
• Aluminium-to-stainless steel transition joints
• Filler materials and brazing alloys</t>
        </is>
      </c>
      <c r="O619" s="6" t="n">
        <v>0</v>
      </c>
      <c r="P619" s="6" t="n">
        <v>0</v>
      </c>
      <c r="Q619" s="6" t="n">
        <v>0</v>
      </c>
      <c r="R619" s="6" t="n">
        <v>2</v>
      </c>
      <c r="S619" s="6" t="n">
        <v>2</v>
      </c>
      <c r="T619" s="6" t="n">
        <v>0</v>
      </c>
      <c r="U619" s="6" t="n">
        <v>0</v>
      </c>
      <c r="V619" s="6" t="n">
        <v>18.666667</v>
      </c>
      <c r="W619" s="6" t="n">
        <v>14.2857</v>
      </c>
      <c r="X619" s="6" t="n">
        <v>0.3501</v>
      </c>
      <c r="Y619" s="6" t="inlineStr">
        <is>
          <t>Functional</t>
        </is>
      </c>
      <c r="Z619" s="6" t="inlineStr">
        <is>
          <t>Frozen-weight composite; strongest contribution: Functional.</t>
        </is>
      </c>
      <c r="AA619" s="6" t="inlineStr">
        <is>
          <t>None explicitly named in this RTM</t>
        </is>
      </c>
      <c r="AB619" s="6" t="inlineStr">
        <is>
          <t>SCK CEN/90508872 §4.8.3.1; no named external code</t>
        </is>
      </c>
      <c r="AC619" s="6" t="inlineStr">
        <is>
          <t>Submit and review the named deliverable with RTM traceability and approval status; Document review, inspection, certification, audit or traceable QC record</t>
        </is>
      </c>
      <c r="AD619" s="6" t="inlineStr">
        <is>
          <t>Certificate / calibration evidence</t>
        </is>
      </c>
      <c r="AE619" s="6" t="inlineStr">
        <is>
          <t>L1 Conceptual Design; L2 Detailed Design</t>
        </is>
      </c>
      <c r="AF619" s="6" t="inlineStr">
        <is>
          <t>Section/contract-derived reference; explicit deliverable/test wording</t>
        </is>
      </c>
      <c r="AG619" s="58" t="inlineStr">
        <is>
          <t>Not linked to an OFFER item</t>
        </is>
      </c>
    </row>
    <row r="620" ht="125" customHeight="1">
      <c r="A620" s="6" t="n">
        <v>615</v>
      </c>
      <c r="B620" s="6" t="inlineStr">
        <is>
          <t>RTM-454</t>
        </is>
      </c>
      <c r="C620" s="6" t="inlineStr">
        <is>
          <t>No</t>
        </is>
      </c>
      <c r="D620" s="6" t="inlineStr">
        <is>
          <t>T3 Contextual</t>
        </is>
      </c>
      <c r="E620" s="6" t="inlineStr">
        <is>
          <t>Design &amp; Fabrication</t>
        </is>
      </c>
      <c r="F620" s="82" t="inlineStr">
        <is>
          <t>SYSTEM</t>
        </is>
      </c>
      <c r="G620" s="83" t="inlineStr">
        <is>
          <t>Performance</t>
        </is>
      </c>
      <c r="H620" s="59" t="inlineStr">
        <is>
          <t>—</t>
        </is>
      </c>
      <c r="I620" s="81" t="inlineStr">
        <is>
          <t>Inferred: C5 — Infrastructure &amp; Integration (medium conf.)</t>
        </is>
      </c>
      <c r="J620" s="6" t="n">
        <v>89</v>
      </c>
      <c r="K620" s="6" t="inlineStr">
        <is>
          <t>4.8.3.2</t>
        </is>
      </c>
      <c r="L620" s="6" t="inlineStr">
        <is>
          <t>Cleaning and surface treatment</t>
        </is>
      </c>
      <c r="M620" s="6" t="inlineStr">
        <is>
          <t>All surfaces in contact with helium shall be systematically cleaned and protected from any substances that might contaminate the Helium.</t>
        </is>
      </c>
      <c r="N620" s="6" t="inlineStr">
        <is>
          <t>All surfaces in contact with helium shall be systematically cleaned and protected from any substances that might contaminate the Helium.
• All surfaces shall be cleaned and made free from any contamination, oxidation, welding spatters, grease, dust, traces of fingerprints, and hydrocarbons in accordance with EN 12300;
• The final cleanliness level of all surfaces shall be compliant with ISO 23208:2017; oxygen-specific requirements do not apply.
• All metallic surfaces in contact with He shall be cleaned, pickled, and passivated</t>
        </is>
      </c>
      <c r="O620" s="6" t="n">
        <v>0</v>
      </c>
      <c r="P620" s="6" t="n">
        <v>0</v>
      </c>
      <c r="Q620" s="6" t="n">
        <v>0</v>
      </c>
      <c r="R620" s="6" t="n">
        <v>2</v>
      </c>
      <c r="S620" s="6" t="n">
        <v>2</v>
      </c>
      <c r="T620" s="6" t="n">
        <v>0</v>
      </c>
      <c r="U620" s="6" t="n">
        <v>0</v>
      </c>
      <c r="V620" s="6" t="n">
        <v>18.666667</v>
      </c>
      <c r="W620" s="6" t="n">
        <v>14.2857</v>
      </c>
      <c r="X620" s="6" t="n">
        <v>0.3501</v>
      </c>
      <c r="Y620" s="6" t="inlineStr">
        <is>
          <t>Functional</t>
        </is>
      </c>
      <c r="Z620" s="6" t="inlineStr">
        <is>
          <t>Frozen-weight composite; strongest contribution: Functional.</t>
        </is>
      </c>
      <c r="AA620" s="6" t="inlineStr">
        <is>
          <t>EN 12300; ISO 23208:2017</t>
        </is>
      </c>
      <c r="AB620" s="6" t="inlineStr">
        <is>
          <t>EN 12300; ISO 23208:2017</t>
        </is>
      </c>
      <c r="AC620" s="6" t="inlineStr">
        <is>
          <t>Document review, inspection, certification, audit or traceable QC record</t>
        </is>
      </c>
      <c r="AD620" s="6" t="inlineStr">
        <is>
          <t>No separate deliverable explicitly named</t>
        </is>
      </c>
      <c r="AE620" s="6" t="inlineStr">
        <is>
          <t>L1 Conceptual Design; L2 Detailed Design</t>
        </is>
      </c>
      <c r="AF620" s="6" t="inlineStr">
        <is>
          <t>Explicit/table-grounded standard; derived evidence route</t>
        </is>
      </c>
      <c r="AG620" s="58" t="inlineStr">
        <is>
          <t>Not linked to an OFFER item</t>
        </is>
      </c>
    </row>
    <row r="621" ht="60" customHeight="1">
      <c r="A621" s="6" t="n">
        <v>616</v>
      </c>
      <c r="B621" s="6" t="inlineStr">
        <is>
          <t>RTM-455</t>
        </is>
      </c>
      <c r="C621" s="6" t="inlineStr">
        <is>
          <t>No</t>
        </is>
      </c>
      <c r="D621" s="6" t="inlineStr">
        <is>
          <t>T3 Contextual</t>
        </is>
      </c>
      <c r="E621" s="6" t="inlineStr">
        <is>
          <t>Design &amp; Fabrication</t>
        </is>
      </c>
      <c r="F621" s="82" t="inlineStr">
        <is>
          <t>SYSTEM</t>
        </is>
      </c>
      <c r="G621" s="83" t="inlineStr">
        <is>
          <t>Performance</t>
        </is>
      </c>
      <c r="H621" s="59" t="inlineStr">
        <is>
          <t>—</t>
        </is>
      </c>
      <c r="I621" s="81" t="inlineStr">
        <is>
          <t>Inferred: C5 — Infrastructure &amp; Integration (medium conf.)</t>
        </is>
      </c>
      <c r="J621" s="6" t="n">
        <v>89</v>
      </c>
      <c r="K621" s="6" t="inlineStr">
        <is>
          <t>4.8.3.2</t>
        </is>
      </c>
      <c r="L621" s="6" t="inlineStr">
        <is>
          <t>Cleaning and surface treatment</t>
        </is>
      </c>
      <c r="M621" s="6" t="inlineStr">
        <is>
          <t>Once cleaned and dried, the Contractor shall immediately protect the cleaned component (and its interior) from any subsequent contamination. Cleaned components shall be stored in a clean, dry location, free of dust.</t>
        </is>
      </c>
      <c r="N621" s="6" t="inlineStr">
        <is>
          <t>Once cleaned and dried, the Contractor shall immediately protect the cleaned component (and its interior) from any subsequent contamination. Cleaned components shall be stored in a clean, dry location, free of dust.</t>
        </is>
      </c>
      <c r="O621" s="6" t="n">
        <v>0</v>
      </c>
      <c r="P621" s="6" t="n">
        <v>0</v>
      </c>
      <c r="Q621" s="6" t="n">
        <v>0</v>
      </c>
      <c r="R621" s="6" t="n">
        <v>2</v>
      </c>
      <c r="S621" s="6" t="n">
        <v>2</v>
      </c>
      <c r="T621" s="6" t="n">
        <v>0</v>
      </c>
      <c r="U621" s="6" t="n">
        <v>0</v>
      </c>
      <c r="V621" s="6" t="n">
        <v>18.666667</v>
      </c>
      <c r="W621" s="6" t="n">
        <v>14.2857</v>
      </c>
      <c r="X621" s="6" t="n">
        <v>0.3501</v>
      </c>
      <c r="Y621" s="6" t="inlineStr">
        <is>
          <t>Functional</t>
        </is>
      </c>
      <c r="Z621" s="6" t="inlineStr">
        <is>
          <t>Frozen-weight composite; strongest contribution: Functional.</t>
        </is>
      </c>
      <c r="AA621" s="6" t="inlineStr">
        <is>
          <t>None explicitly named in this RTM</t>
        </is>
      </c>
      <c r="AB621" s="6" t="inlineStr">
        <is>
          <t>Section-level: EN 12300; ISO 23208:2017</t>
        </is>
      </c>
      <c r="AC621" s="6" t="inlineStr">
        <is>
          <t>Document review, inspection, certification, audit or traceable QC record</t>
        </is>
      </c>
      <c r="AD621" s="6" t="inlineStr">
        <is>
          <t>No separate deliverable explicitly named</t>
        </is>
      </c>
      <c r="AE621" s="6" t="inlineStr">
        <is>
          <t>L1 Conceptual Design; L2 Detailed Design</t>
        </is>
      </c>
      <c r="AF621" s="6" t="inlineStr">
        <is>
          <t>Section/contract-derived reference; derived evidence route</t>
        </is>
      </c>
      <c r="AG621" s="58" t="inlineStr">
        <is>
          <t>Not linked to an OFFER item</t>
        </is>
      </c>
    </row>
    <row r="622" ht="60" customHeight="1">
      <c r="A622" s="6" t="n">
        <v>617</v>
      </c>
      <c r="B622" s="6" t="inlineStr">
        <is>
          <t>RTM-456</t>
        </is>
      </c>
      <c r="C622" s="6" t="inlineStr">
        <is>
          <t>No</t>
        </is>
      </c>
      <c r="D622" s="6" t="inlineStr">
        <is>
          <t>T3 Contextual</t>
        </is>
      </c>
      <c r="E622" s="6" t="inlineStr">
        <is>
          <t>Design &amp; Fabrication</t>
        </is>
      </c>
      <c r="F622" s="82" t="inlineStr">
        <is>
          <t>SYSTEM</t>
        </is>
      </c>
      <c r="G622" s="83" t="inlineStr">
        <is>
          <t>Performance</t>
        </is>
      </c>
      <c r="H622" s="59" t="inlineStr">
        <is>
          <t>—</t>
        </is>
      </c>
      <c r="I622" s="81" t="inlineStr">
        <is>
          <t>Inferred: C5 — Infrastructure &amp; Integration (medium conf.)</t>
        </is>
      </c>
      <c r="J622" s="6" t="n">
        <v>89</v>
      </c>
      <c r="K622" s="6" t="inlineStr">
        <is>
          <t>4.8.4.1</t>
        </is>
      </c>
      <c r="L622" s="6" t="inlineStr">
        <is>
          <t>Certification and Qualification</t>
        </is>
      </c>
      <c r="M622" s="6" t="inlineStr">
        <is>
          <t>All welds shall be completed by welders who are:</t>
        </is>
      </c>
      <c r="N622" s="6" t="inlineStr">
        <is>
          <t>All welds shall be completed by welders who are:
• qualified according to EN 287-1 (Qualification test of welders – Fusion welding - Part 1: steels); and
• certified according to EN ISO 9606-1 and/or EN ISO 14732 (latest edition).</t>
        </is>
      </c>
      <c r="O622" s="6" t="n">
        <v>0</v>
      </c>
      <c r="P622" s="6" t="n">
        <v>0</v>
      </c>
      <c r="Q622" s="6" t="n">
        <v>0</v>
      </c>
      <c r="R622" s="6" t="n">
        <v>2</v>
      </c>
      <c r="S622" s="6" t="n">
        <v>2</v>
      </c>
      <c r="T622" s="6" t="n">
        <v>0</v>
      </c>
      <c r="U622" s="6" t="n">
        <v>0</v>
      </c>
      <c r="V622" s="6" t="n">
        <v>18.666667</v>
      </c>
      <c r="W622" s="6" t="n">
        <v>14.2857</v>
      </c>
      <c r="X622" s="6" t="n">
        <v>0.3501</v>
      </c>
      <c r="Y622" s="6" t="inlineStr">
        <is>
          <t>Functional</t>
        </is>
      </c>
      <c r="Z622" s="6" t="inlineStr">
        <is>
          <t>Frozen-weight composite; strongest contribution: Functional.</t>
        </is>
      </c>
      <c r="AA622" s="6" t="inlineStr">
        <is>
          <t>EN 287-1; EN ISO 9606-1; EN ISO 14732</t>
        </is>
      </c>
      <c r="AB622" s="6" t="inlineStr">
        <is>
          <t>EN 287-1; EN ISO 9606-1; EN ISO 14732</t>
        </is>
      </c>
      <c r="AC622" s="6" t="inlineStr">
        <is>
          <t>Witnessed FAT/SAT/commissioning test against stated acceptance criteria</t>
        </is>
      </c>
      <c r="AD622" s="6" t="inlineStr">
        <is>
          <t>No separate deliverable explicitly named</t>
        </is>
      </c>
      <c r="AE622" s="6" t="inlineStr">
        <is>
          <t>L1 Conceptual Design; L2 Detailed Design</t>
        </is>
      </c>
      <c r="AF622" s="6" t="inlineStr">
        <is>
          <t>Explicit/table-grounded standard; explicit deliverable/test wording</t>
        </is>
      </c>
      <c r="AG622" s="58" t="inlineStr">
        <is>
          <t>Not linked to an OFFER item</t>
        </is>
      </c>
    </row>
    <row r="623" ht="60" customHeight="1">
      <c r="A623" s="6" t="n">
        <v>618</v>
      </c>
      <c r="B623" s="6" t="inlineStr">
        <is>
          <t>RTM-457</t>
        </is>
      </c>
      <c r="C623" s="6" t="inlineStr">
        <is>
          <t>No</t>
        </is>
      </c>
      <c r="D623" s="6" t="inlineStr">
        <is>
          <t>T3 Contextual</t>
        </is>
      </c>
      <c r="E623" s="6" t="inlineStr">
        <is>
          <t>Design &amp; Fabrication</t>
        </is>
      </c>
      <c r="F623" s="82" t="inlineStr">
        <is>
          <t>SYSTEM</t>
        </is>
      </c>
      <c r="G623" s="83" t="inlineStr">
        <is>
          <t>Performance</t>
        </is>
      </c>
      <c r="H623" s="59" t="inlineStr">
        <is>
          <t>—</t>
        </is>
      </c>
      <c r="I623" s="81" t="inlineStr">
        <is>
          <t>Inferred: C5 — Infrastructure &amp; Integration (medium conf.)</t>
        </is>
      </c>
      <c r="J623" s="6" t="n">
        <v>89</v>
      </c>
      <c r="K623" s="6" t="inlineStr">
        <is>
          <t>4.8.4.1</t>
        </is>
      </c>
      <c r="L623" s="6" t="inlineStr">
        <is>
          <t>Certification and Qualification</t>
        </is>
      </c>
      <c r="M623" s="6" t="inlineStr">
        <is>
          <t>All operating modes for each type of welding shall be qualified according to EN ISO 15614-1. The Welding Process Qualification Record (WPQR) shall be included in the Manufacturing File.</t>
        </is>
      </c>
      <c r="N623" s="6" t="inlineStr">
        <is>
          <t>All operating modes for each type of welding shall be qualified according to EN ISO 15614-1. The Welding Process Qualification Record (WPQR) shall be included in the Manufacturing File.</t>
        </is>
      </c>
      <c r="O623" s="6" t="n">
        <v>0</v>
      </c>
      <c r="P623" s="6" t="n">
        <v>0</v>
      </c>
      <c r="Q623" s="6" t="n">
        <v>0</v>
      </c>
      <c r="R623" s="6" t="n">
        <v>2</v>
      </c>
      <c r="S623" s="6" t="n">
        <v>2</v>
      </c>
      <c r="T623" s="6" t="n">
        <v>0</v>
      </c>
      <c r="U623" s="6" t="n">
        <v>0</v>
      </c>
      <c r="V623" s="6" t="n">
        <v>18.666667</v>
      </c>
      <c r="W623" s="6" t="n">
        <v>14.2857</v>
      </c>
      <c r="X623" s="6" t="n">
        <v>0.3501</v>
      </c>
      <c r="Y623" s="6" t="inlineStr">
        <is>
          <t>Functional</t>
        </is>
      </c>
      <c r="Z623" s="6" t="inlineStr">
        <is>
          <t>Frozen-weight composite; strongest contribution: Functional.</t>
        </is>
      </c>
      <c r="AA623" s="6" t="inlineStr">
        <is>
          <t>EN ISO 15614-1</t>
        </is>
      </c>
      <c r="AB623" s="6" t="inlineStr">
        <is>
          <t>EN ISO 15614-1</t>
        </is>
      </c>
      <c r="AC623" s="6" t="inlineStr">
        <is>
          <t>Submit and review the named deliverable with RTM traceability and approval status; Document review, inspection, certification, audit or traceable QC record</t>
        </is>
      </c>
      <c r="AD623" s="6" t="inlineStr">
        <is>
          <t>Manufacturing File</t>
        </is>
      </c>
      <c r="AE623" s="6" t="inlineStr">
        <is>
          <t>L3 Procurement &amp; Manufacturing / FAT; L1 Conceptual Design; L2 Detailed Design</t>
        </is>
      </c>
      <c r="AF623" s="6" t="inlineStr">
        <is>
          <t>Explicit/table-grounded standard; explicit deliverable/test wording</t>
        </is>
      </c>
      <c r="AG623" s="58" t="inlineStr">
        <is>
          <t>Not linked to an OFFER item</t>
        </is>
      </c>
    </row>
    <row r="624" ht="47" customHeight="1">
      <c r="A624" s="6" t="n">
        <v>619</v>
      </c>
      <c r="B624" s="6" t="inlineStr">
        <is>
          <t>RTM-459</t>
        </is>
      </c>
      <c r="C624" s="6" t="inlineStr">
        <is>
          <t>No</t>
        </is>
      </c>
      <c r="D624" s="6" t="inlineStr">
        <is>
          <t>T3 Contextual</t>
        </is>
      </c>
      <c r="E624" s="6" t="inlineStr">
        <is>
          <t>Design &amp; Fabrication</t>
        </is>
      </c>
      <c r="F624" s="82" t="inlineStr">
        <is>
          <t>SYSTEM</t>
        </is>
      </c>
      <c r="G624" s="83" t="inlineStr">
        <is>
          <t>Performance</t>
        </is>
      </c>
      <c r="H624" s="59" t="inlineStr">
        <is>
          <t>—</t>
        </is>
      </c>
      <c r="I624" s="81" t="inlineStr">
        <is>
          <t>Inferred: C5 — Infrastructure &amp; Integration (medium conf.)</t>
        </is>
      </c>
      <c r="J624" s="6" t="n">
        <v>89</v>
      </c>
      <c r="K624" s="6" t="inlineStr">
        <is>
          <t>4.8.4.1</t>
        </is>
      </c>
      <c r="L624" s="6" t="inlineStr">
        <is>
          <t>Certification and Qualification</t>
        </is>
      </c>
      <c r="M624" s="6" t="inlineStr">
        <is>
          <t>All certification and qualification information shall be made available to SCK CEN throughout the entire term of the Contract.</t>
        </is>
      </c>
      <c r="N624" s="6" t="inlineStr">
        <is>
          <t>All certification and qualification information shall be made available to SCK CEN throughout the entire term of the Contract.</t>
        </is>
      </c>
      <c r="O624" s="6" t="n">
        <v>0</v>
      </c>
      <c r="P624" s="6" t="n">
        <v>0</v>
      </c>
      <c r="Q624" s="6" t="n">
        <v>0</v>
      </c>
      <c r="R624" s="6" t="n">
        <v>2</v>
      </c>
      <c r="S624" s="6" t="n">
        <v>2</v>
      </c>
      <c r="T624" s="6" t="n">
        <v>0</v>
      </c>
      <c r="U624" s="6" t="n">
        <v>0</v>
      </c>
      <c r="V624" s="6" t="n">
        <v>18.666667</v>
      </c>
      <c r="W624" s="6" t="n">
        <v>14.2857</v>
      </c>
      <c r="X624" s="6" t="n">
        <v>0.3501</v>
      </c>
      <c r="Y624" s="6" t="inlineStr">
        <is>
          <t>Functional</t>
        </is>
      </c>
      <c r="Z624" s="6" t="inlineStr">
        <is>
          <t>Frozen-weight composite; strongest contribution: Functional.</t>
        </is>
      </c>
      <c r="AA624" s="6" t="inlineStr">
        <is>
          <t>None explicitly named in this RTM</t>
        </is>
      </c>
      <c r="AB624" s="6" t="inlineStr">
        <is>
          <t>Section-level: EN 287-1; EN ISO 9606-1; EN ISO 14732; EN ISO 15614-1</t>
        </is>
      </c>
      <c r="AC624" s="6" t="inlineStr">
        <is>
          <t>Document review, inspection, certification, audit or traceable QC record</t>
        </is>
      </c>
      <c r="AD624" s="6" t="inlineStr">
        <is>
          <t>No separate deliverable explicitly named</t>
        </is>
      </c>
      <c r="AE624" s="6" t="inlineStr">
        <is>
          <t>L1 Conceptual Design; L2 Detailed Design</t>
        </is>
      </c>
      <c r="AF624" s="6" t="inlineStr">
        <is>
          <t>Section/contract-derived reference; derived evidence route</t>
        </is>
      </c>
      <c r="AG624" s="58" t="inlineStr">
        <is>
          <t>Not linked to an OFFER item</t>
        </is>
      </c>
    </row>
    <row r="625" ht="242" customHeight="1">
      <c r="A625" s="6" t="n">
        <v>620</v>
      </c>
      <c r="B625" s="6" t="inlineStr">
        <is>
          <t>RTM-461</t>
        </is>
      </c>
      <c r="C625" s="6" t="inlineStr">
        <is>
          <t>No</t>
        </is>
      </c>
      <c r="D625" s="6" t="inlineStr">
        <is>
          <t>T3 Contextual</t>
        </is>
      </c>
      <c r="E625" s="6" t="inlineStr">
        <is>
          <t>Design &amp; Fabrication</t>
        </is>
      </c>
      <c r="F625" s="82" t="inlineStr">
        <is>
          <t>SYSTEM</t>
        </is>
      </c>
      <c r="G625" s="83" t="inlineStr">
        <is>
          <t>Constraint</t>
        </is>
      </c>
      <c r="H625" s="59" t="inlineStr">
        <is>
          <t>—</t>
        </is>
      </c>
      <c r="I625" s="81" t="inlineStr">
        <is>
          <t>Inferred: C5 — Infrastructure &amp; Integration (medium conf.)</t>
        </is>
      </c>
      <c r="J625" s="6" t="n">
        <v>90</v>
      </c>
      <c r="K625" s="6" t="inlineStr">
        <is>
          <t>4.8.4.2</t>
        </is>
      </c>
      <c r="L625" s="6" t="inlineStr">
        <is>
          <t>Welding procedures</t>
        </is>
      </c>
      <c r="M625" s="6" t="inlineStr">
        <is>
          <t>For the welding method, the Contractor shall adhere to the following requirements:</t>
        </is>
      </c>
      <c r="N625" s="6" t="inlineStr">
        <is>
          <t>For the welding method, the Contractor shall adhere to the following requirements:
• All welding for vacuum enclosures and He process piping shall be done using the TIG welding process.
• All butt welds shall be carried out with full penetration and without any discontinuity;
• No grinding, polishing, or other abrasive mechanical action is accepted on any finished weld exposed to vacuum. Brushing with a stainless-steel brush shall only be allowed as a last resort for welds that are difficult to access;
• All welds exposed to vacuum shall be chemically cleaned from the oxidation layer at the HAZ (heat affected zone);
• The welding procedures shall comply with EN 15614-1(/A1, and /A2).
• All permanent junctions shall be welded.
• Brazing may be permitted in exceptional cases prior to approval by SCK CEN.
• All junctions separating helium and water circuits shall be welded with the weld located on the water side.</t>
        </is>
      </c>
      <c r="O625" s="6" t="n">
        <v>0</v>
      </c>
      <c r="P625" s="6" t="n">
        <v>0</v>
      </c>
      <c r="Q625" s="6" t="n">
        <v>0</v>
      </c>
      <c r="R625" s="6" t="n">
        <v>2</v>
      </c>
      <c r="S625" s="6" t="n">
        <v>2</v>
      </c>
      <c r="T625" s="6" t="n">
        <v>0</v>
      </c>
      <c r="U625" s="6" t="n">
        <v>0</v>
      </c>
      <c r="V625" s="6" t="n">
        <v>18.666667</v>
      </c>
      <c r="W625" s="6" t="n">
        <v>14.2857</v>
      </c>
      <c r="X625" s="6" t="n">
        <v>0.3501</v>
      </c>
      <c r="Y625" s="6" t="inlineStr">
        <is>
          <t>Functional</t>
        </is>
      </c>
      <c r="Z625" s="6" t="inlineStr">
        <is>
          <t>Frozen-weight composite; strongest contribution: Functional.</t>
        </is>
      </c>
      <c r="AA625" s="6" t="inlineStr">
        <is>
          <t>EN 15614-1</t>
        </is>
      </c>
      <c r="AB625" s="6" t="inlineStr">
        <is>
          <t>EN 15614-1</t>
        </is>
      </c>
      <c r="AC625" s="6" t="inlineStr">
        <is>
          <t>Submit and review the named deliverable with RTM traceability and approval status; Functional design/configuration review and sequence/interface demonstration; Document review, inspection, certification, audit or traceable QC record</t>
        </is>
      </c>
      <c r="AD625" s="6" t="inlineStr">
        <is>
          <t>Procedure / work instruction</t>
        </is>
      </c>
      <c r="AE625" s="6" t="inlineStr">
        <is>
          <t>L1 Conceptual Design; L2 Detailed Design</t>
        </is>
      </c>
      <c r="AF625" s="6" t="inlineStr">
        <is>
          <t>Explicit/table-grounded standard; explicit deliverable/test wording</t>
        </is>
      </c>
      <c r="AG625" s="58" t="inlineStr">
        <is>
          <t>Not linked to an OFFER item</t>
        </is>
      </c>
    </row>
    <row r="626" ht="73" customHeight="1">
      <c r="A626" s="6" t="n">
        <v>621</v>
      </c>
      <c r="B626" s="6" t="inlineStr">
        <is>
          <t>RTM-466</t>
        </is>
      </c>
      <c r="C626" s="6" t="inlineStr">
        <is>
          <t>No</t>
        </is>
      </c>
      <c r="D626" s="6" t="inlineStr">
        <is>
          <t>T3 Contextual</t>
        </is>
      </c>
      <c r="E626" s="6" t="inlineStr">
        <is>
          <t>Design &amp; Fabrication</t>
        </is>
      </c>
      <c r="F626" s="82" t="inlineStr">
        <is>
          <t>SYSTEM</t>
        </is>
      </c>
      <c r="G626" s="83" t="inlineStr">
        <is>
          <t>Performance</t>
        </is>
      </c>
      <c r="H626" s="59" t="inlineStr">
        <is>
          <t>—</t>
        </is>
      </c>
      <c r="I626" s="81" t="inlineStr">
        <is>
          <t>Inferred: C5 — Infrastructure &amp; Integration (medium conf.)</t>
        </is>
      </c>
      <c r="J626" s="6" t="n">
        <v>90</v>
      </c>
      <c r="K626" s="6" t="inlineStr">
        <is>
          <t>4.8.5</t>
        </is>
      </c>
      <c r="L626" s="6" t="inlineStr">
        <is>
          <t>General Electrical Requirements</t>
        </is>
      </c>
      <c r="M626" s="6" t="inlineStr">
        <is>
          <t>The selection of cable sheathing materials shall explicitly consider and be validated against the environmental conditions to which they will be exposed, including moisture, oil, cable trenches, heat and freezing temperatures, and electromagnetic interference (EMI) effects.</t>
        </is>
      </c>
      <c r="N626" s="6" t="inlineStr">
        <is>
          <t>The selection of cable sheathing materials shall explicitly consider and be validated against the environmental conditions to which they will be exposed, including moisture, oil, cable trenches, heat and freezing temperatures, and electromagnetic interference (EMI) effects.</t>
        </is>
      </c>
      <c r="O626" s="6" t="n">
        <v>0</v>
      </c>
      <c r="P626" s="6" t="n">
        <v>0</v>
      </c>
      <c r="Q626" s="6" t="n">
        <v>0</v>
      </c>
      <c r="R626" s="6" t="n">
        <v>2</v>
      </c>
      <c r="S626" s="6" t="n">
        <v>2</v>
      </c>
      <c r="T626" s="6" t="n">
        <v>0</v>
      </c>
      <c r="U626" s="6" t="n">
        <v>0</v>
      </c>
      <c r="V626" s="6" t="n">
        <v>18.666667</v>
      </c>
      <c r="W626" s="6" t="n">
        <v>14.2857</v>
      </c>
      <c r="X626" s="6" t="n">
        <v>0.3501</v>
      </c>
      <c r="Y626" s="6" t="inlineStr">
        <is>
          <t>Functional</t>
        </is>
      </c>
      <c r="Z626" s="6" t="inlineStr">
        <is>
          <t>Frozen-weight composite; strongest contribution: Functional.</t>
        </is>
      </c>
      <c r="AA626" s="6" t="inlineStr">
        <is>
          <t>None explicitly named in this RTM</t>
        </is>
      </c>
      <c r="AB626" s="6" t="inlineStr">
        <is>
          <t>Section-level: IEC 61508; IEC 61511; IEC 61800-3; IEC 60034</t>
        </is>
      </c>
      <c r="AC626" s="6" t="inlineStr">
        <is>
          <t>Document review, inspection, certification, audit or traceable QC record</t>
        </is>
      </c>
      <c r="AD626" s="6" t="inlineStr">
        <is>
          <t>No separate deliverable explicitly named</t>
        </is>
      </c>
      <c r="AE626" s="6" t="inlineStr">
        <is>
          <t>L1 Conceptual Design; L2 Detailed Design</t>
        </is>
      </c>
      <c r="AF626" s="6" t="inlineStr">
        <is>
          <t>Section/contract-derived reference; derived evidence route</t>
        </is>
      </c>
      <c r="AG626" s="58" t="inlineStr">
        <is>
          <t>Not linked to an OFFER item</t>
        </is>
      </c>
    </row>
    <row r="627" ht="60" customHeight="1">
      <c r="A627" s="6" t="n">
        <v>622</v>
      </c>
      <c r="B627" s="6" t="inlineStr">
        <is>
          <t>RTM-467</t>
        </is>
      </c>
      <c r="C627" s="6" t="inlineStr">
        <is>
          <t>No</t>
        </is>
      </c>
      <c r="D627" s="6" t="inlineStr">
        <is>
          <t>T3 Contextual</t>
        </is>
      </c>
      <c r="E627" s="6" t="inlineStr">
        <is>
          <t>Design &amp; Fabrication</t>
        </is>
      </c>
      <c r="F627" s="82" t="inlineStr">
        <is>
          <t>SYSTEM</t>
        </is>
      </c>
      <c r="G627" s="83" t="inlineStr">
        <is>
          <t>Performance</t>
        </is>
      </c>
      <c r="H627" s="59" t="inlineStr">
        <is>
          <t>—</t>
        </is>
      </c>
      <c r="I627" s="81" t="inlineStr">
        <is>
          <t>Inferred: C5 — Infrastructure &amp; Integration (medium conf.)</t>
        </is>
      </c>
      <c r="J627" s="6" t="n">
        <v>90</v>
      </c>
      <c r="K627" s="6" t="inlineStr">
        <is>
          <t>4.8.5</t>
        </is>
      </c>
      <c r="L627" s="6" t="inlineStr">
        <is>
          <t>General Electrical Requirements</t>
        </is>
      </c>
      <c r="M627" s="6" t="inlineStr">
        <is>
          <t>Each electrical and instrumentation cabinet shall provide at least 25% of its internal volume as free space to accommodate future installation of equipment, cabling, or modifications without necessitating structural change.</t>
        </is>
      </c>
      <c r="N627" s="6" t="inlineStr">
        <is>
          <t>Each electrical and instrumentation cabinet shall provide at least 25% of its internal volume as free space to accommodate future installation of equipment, cabling, or modifications without necessitating structural change.</t>
        </is>
      </c>
      <c r="O627" s="6" t="n">
        <v>0</v>
      </c>
      <c r="P627" s="6" t="n">
        <v>0</v>
      </c>
      <c r="Q627" s="6" t="n">
        <v>0</v>
      </c>
      <c r="R627" s="6" t="n">
        <v>2</v>
      </c>
      <c r="S627" s="6" t="n">
        <v>2</v>
      </c>
      <c r="T627" s="6" t="n">
        <v>0</v>
      </c>
      <c r="U627" s="6" t="n">
        <v>0</v>
      </c>
      <c r="V627" s="6" t="n">
        <v>18.666667</v>
      </c>
      <c r="W627" s="6" t="n">
        <v>14.2857</v>
      </c>
      <c r="X627" s="6" t="n">
        <v>0.3501</v>
      </c>
      <c r="Y627" s="6" t="inlineStr">
        <is>
          <t>Functional</t>
        </is>
      </c>
      <c r="Z627" s="6" t="inlineStr">
        <is>
          <t>Frozen-weight composite; strongest contribution: Functional.</t>
        </is>
      </c>
      <c r="AA627" s="6" t="inlineStr">
        <is>
          <t>None explicitly named in this RTM</t>
        </is>
      </c>
      <c r="AB627" s="6" t="inlineStr">
        <is>
          <t>Section-level: IEC 61508; IEC 61511; IEC 61800-3; IEC 60034</t>
        </is>
      </c>
      <c r="AC627" s="6" t="inlineStr">
        <is>
          <t>Document review, inspection, certification, audit or traceable QC record</t>
        </is>
      </c>
      <c r="AD627" s="6" t="inlineStr">
        <is>
          <t>No separate deliverable explicitly named</t>
        </is>
      </c>
      <c r="AE627" s="6" t="inlineStr">
        <is>
          <t>L4 Installation; L1 Conceptual Design; L2 Detailed Design</t>
        </is>
      </c>
      <c r="AF627" s="6" t="inlineStr">
        <is>
          <t>Section/contract-derived reference; derived evidence route</t>
        </is>
      </c>
      <c r="AG627" s="58" t="inlineStr">
        <is>
          <t>Not linked to an OFFER item</t>
        </is>
      </c>
    </row>
    <row r="628" ht="60" customHeight="1">
      <c r="A628" s="6" t="n">
        <v>623</v>
      </c>
      <c r="B628" s="6" t="inlineStr">
        <is>
          <t>RTM-468</t>
        </is>
      </c>
      <c r="C628" s="6" t="inlineStr">
        <is>
          <t>No</t>
        </is>
      </c>
      <c r="D628" s="6" t="inlineStr">
        <is>
          <t>T3 Contextual</t>
        </is>
      </c>
      <c r="E628" s="6" t="inlineStr">
        <is>
          <t>Design &amp; Fabrication</t>
        </is>
      </c>
      <c r="F628" s="82" t="inlineStr">
        <is>
          <t>SYSTEM</t>
        </is>
      </c>
      <c r="G628" s="83" t="inlineStr">
        <is>
          <t>Performance</t>
        </is>
      </c>
      <c r="H628" s="59" t="inlineStr">
        <is>
          <t>—</t>
        </is>
      </c>
      <c r="I628" s="81" t="inlineStr">
        <is>
          <t>Inferred: C5 — Infrastructure &amp; Integration (medium conf.)</t>
        </is>
      </c>
      <c r="J628" s="6" t="n">
        <v>91</v>
      </c>
      <c r="K628" s="6" t="inlineStr">
        <is>
          <t>4.8.5</t>
        </is>
      </c>
      <c r="L628" s="6" t="inlineStr">
        <is>
          <t>General Electrical Requirements</t>
        </is>
      </c>
      <c r="M628" s="6" t="inlineStr">
        <is>
          <t>The Contractor shall install harmonic filtering devices on all major variable frequency drives (VFDs) (e.g., LP and HP compressors), and the requirements of IEC 61800-3 for industrial electromagnetic environments.</t>
        </is>
      </c>
      <c r="N628" s="6" t="inlineStr">
        <is>
          <t>The Contractor shall install harmonic filtering devices on all major variable frequency drives (VFDs) (e.g., LP and HP compressors), and the requirements of IEC 61800-3 for industrial electromagnetic environments.</t>
        </is>
      </c>
      <c r="O628" s="6" t="n">
        <v>0</v>
      </c>
      <c r="P628" s="6" t="n">
        <v>0</v>
      </c>
      <c r="Q628" s="6" t="n">
        <v>0</v>
      </c>
      <c r="R628" s="6" t="n">
        <v>2</v>
      </c>
      <c r="S628" s="6" t="n">
        <v>2</v>
      </c>
      <c r="T628" s="6" t="n">
        <v>0</v>
      </c>
      <c r="U628" s="6" t="n">
        <v>0</v>
      </c>
      <c r="V628" s="6" t="n">
        <v>18.666667</v>
      </c>
      <c r="W628" s="6" t="n">
        <v>14.2857</v>
      </c>
      <c r="X628" s="6" t="n">
        <v>0.3501</v>
      </c>
      <c r="Y628" s="6" t="inlineStr">
        <is>
          <t>Functional</t>
        </is>
      </c>
      <c r="Z628" s="6" t="inlineStr">
        <is>
          <t>Frozen-weight composite; strongest contribution: Functional.</t>
        </is>
      </c>
      <c r="AA628" s="6" t="inlineStr">
        <is>
          <t>IEC 61800-3</t>
        </is>
      </c>
      <c r="AB628" s="6" t="inlineStr">
        <is>
          <t>IEC 61800-3</t>
        </is>
      </c>
      <c r="AC628" s="6" t="inlineStr">
        <is>
          <t>Document review, inspection, certification, audit or traceable QC record</t>
        </is>
      </c>
      <c r="AD628" s="6" t="inlineStr">
        <is>
          <t>No separate deliverable explicitly named</t>
        </is>
      </c>
      <c r="AE628" s="6" t="inlineStr">
        <is>
          <t>L1 Conceptual Design; L2 Detailed Design</t>
        </is>
      </c>
      <c r="AF628" s="6" t="inlineStr">
        <is>
          <t>Explicit/table-grounded standard; derived evidence route</t>
        </is>
      </c>
      <c r="AG628" s="58" t="inlineStr">
        <is>
          <t>Not linked to an OFFER item</t>
        </is>
      </c>
    </row>
    <row r="629" ht="60" customHeight="1">
      <c r="A629" s="6" t="n">
        <v>624</v>
      </c>
      <c r="B629" s="6" t="inlineStr">
        <is>
          <t>RTM-469</t>
        </is>
      </c>
      <c r="C629" s="6" t="inlineStr">
        <is>
          <t>No</t>
        </is>
      </c>
      <c r="D629" s="6" t="inlineStr">
        <is>
          <t>T3 Contextual</t>
        </is>
      </c>
      <c r="E629" s="6" t="inlineStr">
        <is>
          <t>Design &amp; Fabrication</t>
        </is>
      </c>
      <c r="F629" s="82" t="inlineStr">
        <is>
          <t>SYSTEM</t>
        </is>
      </c>
      <c r="G629" s="83" t="inlineStr">
        <is>
          <t>Performance</t>
        </is>
      </c>
      <c r="H629" s="59" t="inlineStr">
        <is>
          <t>—</t>
        </is>
      </c>
      <c r="I629" s="81" t="inlineStr">
        <is>
          <t>Inferred: C5 — Infrastructure &amp; Integration (medium conf.)</t>
        </is>
      </c>
      <c r="J629" s="6" t="n">
        <v>91</v>
      </c>
      <c r="K629" s="6" t="inlineStr">
        <is>
          <t>4.8.5</t>
        </is>
      </c>
      <c r="L629" s="6" t="inlineStr">
        <is>
          <t>General Electrical Requirements</t>
        </is>
      </c>
      <c r="M629" s="6" t="inlineStr">
        <is>
          <t>The Contractor shall ensure that emission and immunity limits are met through appropriate use of input line filters, output dv/dt filters (where applicable), and proper shielding, earthing, and cable routing practices.</t>
        </is>
      </c>
      <c r="N629" s="6" t="inlineStr">
        <is>
          <t>The Contractor shall ensure that emission and immunity limits are met through appropriate use of input line filters, output dv/dt filters (where applicable), and proper shielding, earthing, and cable routing practices.</t>
        </is>
      </c>
      <c r="O629" s="6" t="n">
        <v>0</v>
      </c>
      <c r="P629" s="6" t="n">
        <v>0</v>
      </c>
      <c r="Q629" s="6" t="n">
        <v>0</v>
      </c>
      <c r="R629" s="6" t="n">
        <v>2</v>
      </c>
      <c r="S629" s="6" t="n">
        <v>2</v>
      </c>
      <c r="T629" s="6" t="n">
        <v>0</v>
      </c>
      <c r="U629" s="6" t="n">
        <v>0</v>
      </c>
      <c r="V629" s="6" t="n">
        <v>18.666667</v>
      </c>
      <c r="W629" s="6" t="n">
        <v>14.2857</v>
      </c>
      <c r="X629" s="6" t="n">
        <v>0.3501</v>
      </c>
      <c r="Y629" s="6" t="inlineStr">
        <is>
          <t>Functional</t>
        </is>
      </c>
      <c r="Z629" s="6" t="inlineStr">
        <is>
          <t>Frozen-weight composite; strongest contribution: Functional.</t>
        </is>
      </c>
      <c r="AA629" s="6" t="inlineStr">
        <is>
          <t>None explicitly named in this RTM</t>
        </is>
      </c>
      <c r="AB629" s="6" t="inlineStr">
        <is>
          <t>Section-level: IEC 61508; IEC 61511; IEC 61800-3; IEC 60034</t>
        </is>
      </c>
      <c r="AC629" s="6" t="inlineStr">
        <is>
          <t>Document review, inspection, certification, audit or traceable QC record</t>
        </is>
      </c>
      <c r="AD629" s="6" t="inlineStr">
        <is>
          <t>No separate deliverable explicitly named</t>
        </is>
      </c>
      <c r="AE629" s="6" t="inlineStr">
        <is>
          <t>L1 Conceptual Design; L2 Detailed Design</t>
        </is>
      </c>
      <c r="AF629" s="6" t="inlineStr">
        <is>
          <t>Section/contract-derived reference; derived evidence route</t>
        </is>
      </c>
      <c r="AG629" s="58" t="inlineStr">
        <is>
          <t>Not linked to an OFFER item</t>
        </is>
      </c>
    </row>
    <row r="630" ht="60" customHeight="1">
      <c r="A630" s="6" t="n">
        <v>625</v>
      </c>
      <c r="B630" s="6" t="inlineStr">
        <is>
          <t>RTM-471</t>
        </is>
      </c>
      <c r="C630" s="6" t="inlineStr">
        <is>
          <t>No</t>
        </is>
      </c>
      <c r="D630" s="6" t="inlineStr">
        <is>
          <t>T3 Contextual</t>
        </is>
      </c>
      <c r="E630" s="6" t="inlineStr">
        <is>
          <t>Design &amp; Fabrication</t>
        </is>
      </c>
      <c r="F630" s="82" t="inlineStr">
        <is>
          <t>SYSTEM</t>
        </is>
      </c>
      <c r="G630" s="83" t="inlineStr">
        <is>
          <t>Performance</t>
        </is>
      </c>
      <c r="H630" s="59" t="inlineStr">
        <is>
          <t>—</t>
        </is>
      </c>
      <c r="I630" s="81" t="inlineStr">
        <is>
          <t>Inferred: C5 — Infrastructure &amp; Integration (medium conf.)</t>
        </is>
      </c>
      <c r="J630" s="6" t="n">
        <v>91</v>
      </c>
      <c r="K630" s="6" t="inlineStr">
        <is>
          <t>4.8.5</t>
        </is>
      </c>
      <c r="L630" s="6" t="inlineStr">
        <is>
          <t>General Electrical Requirements</t>
        </is>
      </c>
      <c r="M630" s="6" t="inlineStr">
        <is>
          <t>Where high voltage (HV) or high-power systems exist, embedded controls shall be powered using a dedicated and segregated low-voltage AC feed. These feeds shall be galvanically isolated from the HV main circuits.</t>
        </is>
      </c>
      <c r="N630" s="6" t="inlineStr">
        <is>
          <t>Where high voltage (HV) or high-power systems exist, embedded controls shall be powered using a dedicated and segregated low-voltage AC feed. These feeds shall be galvanically isolated from the HV main circuits.</t>
        </is>
      </c>
      <c r="O630" s="6" t="n">
        <v>0</v>
      </c>
      <c r="P630" s="6" t="n">
        <v>0</v>
      </c>
      <c r="Q630" s="6" t="n">
        <v>0</v>
      </c>
      <c r="R630" s="6" t="n">
        <v>2</v>
      </c>
      <c r="S630" s="6" t="n">
        <v>2</v>
      </c>
      <c r="T630" s="6" t="n">
        <v>0</v>
      </c>
      <c r="U630" s="6" t="n">
        <v>0</v>
      </c>
      <c r="V630" s="6" t="n">
        <v>18.666667</v>
      </c>
      <c r="W630" s="6" t="n">
        <v>14.2857</v>
      </c>
      <c r="X630" s="6" t="n">
        <v>0.3501</v>
      </c>
      <c r="Y630" s="6" t="inlineStr">
        <is>
          <t>Functional</t>
        </is>
      </c>
      <c r="Z630" s="6" t="inlineStr">
        <is>
          <t>Frozen-weight composite; strongest contribution: Functional.</t>
        </is>
      </c>
      <c r="AA630" s="6" t="inlineStr">
        <is>
          <t>None explicitly named in this RTM</t>
        </is>
      </c>
      <c r="AB630" s="6" t="inlineStr">
        <is>
          <t>Section-level: IEC 61508; IEC 61511; IEC 61800-3; IEC 60034</t>
        </is>
      </c>
      <c r="AC630" s="6" t="inlineStr">
        <is>
          <t>Functional design/configuration review and sequence/interface demonstration; Document review, inspection, certification, audit or traceable QC record</t>
        </is>
      </c>
      <c r="AD630" s="6" t="inlineStr">
        <is>
          <t>No separate deliverable explicitly named</t>
        </is>
      </c>
      <c r="AE630" s="6" t="inlineStr">
        <is>
          <t>L1 Conceptual Design; L2 Detailed Design</t>
        </is>
      </c>
      <c r="AF630" s="6" t="inlineStr">
        <is>
          <t>Section/contract-derived reference; derived evidence route</t>
        </is>
      </c>
      <c r="AG630" s="58" t="inlineStr">
        <is>
          <t>Not linked to an OFFER item</t>
        </is>
      </c>
    </row>
    <row r="631" ht="99" customHeight="1">
      <c r="A631" s="6" t="n">
        <v>626</v>
      </c>
      <c r="B631" s="6" t="inlineStr">
        <is>
          <t>RTM-530</t>
        </is>
      </c>
      <c r="C631" s="6" t="inlineStr">
        <is>
          <t>No</t>
        </is>
      </c>
      <c r="D631" s="6" t="inlineStr">
        <is>
          <t>T3 Contextual</t>
        </is>
      </c>
      <c r="E631" s="6" t="inlineStr">
        <is>
          <t>Acceptance Testing</t>
        </is>
      </c>
      <c r="F631" s="82" t="inlineStr">
        <is>
          <t>PROJECT</t>
        </is>
      </c>
      <c r="G631" s="83" t="inlineStr">
        <is>
          <t>Documentation &amp; Compliance</t>
        </is>
      </c>
      <c r="H631" s="59" t="inlineStr">
        <is>
          <t>—</t>
        </is>
      </c>
      <c r="I631" s="58" t="inlineStr">
        <is>
          <t>C7 — Quality, Testing &amp; Risk</t>
        </is>
      </c>
      <c r="J631" s="6" t="n">
        <v>103</v>
      </c>
      <c r="K631" s="6" t="inlineStr">
        <is>
          <t>4.13.3.3.3</t>
        </is>
      </c>
      <c r="L631" s="6" t="inlineStr">
        <is>
          <t>Characterization of the QPLANT Maximal Point</t>
        </is>
      </c>
      <c r="M631" s="6" t="inlineStr">
        <is>
          <t>The Contractor shall characterize the QPLANT Maximal Point (RTM-009) during the SAT. To this end, the Contractor shall:</t>
        </is>
      </c>
      <c r="N631" s="6" t="inlineStr">
        <is>
          <t>The Contractor shall characterize the QPLANT Maximal Point (RTM-009) during the SAT. To this end, the Contractor shall:
• Determine the corresponding operating conditions, in accordance with RTM-044.
• Demonstrate stable operation of the QPS at that point.
• Identify the limiting subsystem(s) or constraint(s).
• Report the corresponding operating margins and stability limits.</t>
        </is>
      </c>
      <c r="O631" s="6" t="n">
        <v>1</v>
      </c>
      <c r="P631" s="6" t="n">
        <v>0</v>
      </c>
      <c r="Q631" s="6" t="n">
        <v>0</v>
      </c>
      <c r="R631" s="6" t="n">
        <v>0</v>
      </c>
      <c r="S631" s="6" t="n">
        <v>3</v>
      </c>
      <c r="T631" s="6" t="n">
        <v>0</v>
      </c>
      <c r="U631" s="6" t="n">
        <v>0</v>
      </c>
      <c r="V631" s="6" t="n">
        <v>18.666667</v>
      </c>
      <c r="W631" s="6" t="n">
        <v>14.2857</v>
      </c>
      <c r="X631" s="6" t="n">
        <v>0.3501</v>
      </c>
      <c r="Y631" s="6" t="inlineStr">
        <is>
          <t>Quality / Verifiability</t>
        </is>
      </c>
      <c r="Z631" s="6" t="inlineStr">
        <is>
          <t>Frozen-weight composite; strongest contribution: Quality / Verifiability.</t>
        </is>
      </c>
      <c r="AA631" s="6" t="inlineStr">
        <is>
          <t>None explicitly named in this RTM</t>
        </is>
      </c>
      <c r="AB631" s="6" t="inlineStr">
        <is>
          <t>SCK CEN/90508872 §4.13.3.3.3; no named external code</t>
        </is>
      </c>
      <c r="AC631" s="6" t="inlineStr">
        <is>
          <t>Witnessed FAT/SAT/commissioning test against stated acceptance criteria</t>
        </is>
      </c>
      <c r="AD631" s="6" t="inlineStr">
        <is>
          <t>No separate deliverable explicitly named</t>
        </is>
      </c>
      <c r="AE631" s="6" t="inlineStr">
        <is>
          <t>L6 Site Acceptance Testing; L1 Conceptual Design; L2 Detailed Design</t>
        </is>
      </c>
      <c r="AF631" s="6" t="inlineStr">
        <is>
          <t>Section/contract-derived reference; explicit deliverable/test wording</t>
        </is>
      </c>
      <c r="AG631" s="58" t="inlineStr">
        <is>
          <t>OFFER-39 (Supporting)</t>
        </is>
      </c>
    </row>
    <row r="632" ht="99" customHeight="1">
      <c r="A632" s="6" t="n">
        <v>627</v>
      </c>
      <c r="B632" s="6" t="inlineStr">
        <is>
          <t>RTM-531</t>
        </is>
      </c>
      <c r="C632" s="6" t="inlineStr">
        <is>
          <t>No</t>
        </is>
      </c>
      <c r="D632" s="6" t="inlineStr">
        <is>
          <t>T3 Contextual</t>
        </is>
      </c>
      <c r="E632" s="6" t="inlineStr">
        <is>
          <t>Acceptance Testing</t>
        </is>
      </c>
      <c r="F632" s="82" t="inlineStr">
        <is>
          <t>PROJECT</t>
        </is>
      </c>
      <c r="G632" s="83" t="inlineStr">
        <is>
          <t>Governance &amp; Responsibility</t>
        </is>
      </c>
      <c r="H632" s="59" t="inlineStr">
        <is>
          <t>—</t>
        </is>
      </c>
      <c r="I632" s="58" t="inlineStr">
        <is>
          <t>C7 — Quality, Testing &amp; Risk</t>
        </is>
      </c>
      <c r="J632" s="6" t="n">
        <v>103</v>
      </c>
      <c r="K632" s="6" t="inlineStr">
        <is>
          <t>4.13.3.3.4</t>
        </is>
      </c>
      <c r="L632" s="6" t="inlineStr">
        <is>
          <t>Demonstration of process subsystems and process integrity</t>
        </is>
      </c>
      <c r="M632" s="6" t="inlineStr">
        <is>
          <t>The Contractor shall demonstrate that the QPS maintains the required leak-tightness and vacuum performance under operating conditions during the SAT. This shall include the verification that:</t>
        </is>
      </c>
      <c r="N632" s="6" t="inlineStr">
        <is>
          <t>The Contractor shall demonstrate that the QPS maintains the required leak-tightness and vacuum performance under operating conditions during the SAT. This shall include the verification that:
• The relevant vacuum levels remain within the specified limits.
• The measured leakage remains within the specified leak-rate limits.
• No issues linked to leak-tightness or vacuum performance shall occur during the relevant SAT demonstrations and tests.</t>
        </is>
      </c>
      <c r="O632" s="6" t="n">
        <v>1</v>
      </c>
      <c r="P632" s="6" t="n">
        <v>0</v>
      </c>
      <c r="Q632" s="6" t="n">
        <v>0</v>
      </c>
      <c r="R632" s="6" t="n">
        <v>0</v>
      </c>
      <c r="S632" s="6" t="n">
        <v>3</v>
      </c>
      <c r="T632" s="6" t="n">
        <v>0</v>
      </c>
      <c r="U632" s="6" t="n">
        <v>0</v>
      </c>
      <c r="V632" s="6" t="n">
        <v>18.666667</v>
      </c>
      <c r="W632" s="6" t="n">
        <v>14.2857</v>
      </c>
      <c r="X632" s="6" t="n">
        <v>0.3501</v>
      </c>
      <c r="Y632" s="6" t="inlineStr">
        <is>
          <t>Quality / Verifiability</t>
        </is>
      </c>
      <c r="Z632" s="6" t="inlineStr">
        <is>
          <t>Frozen-weight composite; strongest contribution: Quality / Verifiability.</t>
        </is>
      </c>
      <c r="AA632" s="6" t="inlineStr">
        <is>
          <t>None explicitly named in this RTM</t>
        </is>
      </c>
      <c r="AB632" s="6" t="inlineStr">
        <is>
          <t>SCK CEN/90508872 §4.13.3.3.4; no named external code</t>
        </is>
      </c>
      <c r="AC632" s="6" t="inlineStr">
        <is>
          <t>Witnessed FAT/SAT/commissioning test against stated acceptance criteria</t>
        </is>
      </c>
      <c r="AD632" s="6" t="inlineStr">
        <is>
          <t>No separate deliverable explicitly named</t>
        </is>
      </c>
      <c r="AE632" s="6" t="inlineStr">
        <is>
          <t>L6 Site Acceptance Testing; L1 Conceptual Design; L2 Detailed Design</t>
        </is>
      </c>
      <c r="AF632" s="6" t="inlineStr">
        <is>
          <t>Section/contract-derived reference; explicit deliverable/test wording</t>
        </is>
      </c>
      <c r="AG632" s="58" t="inlineStr">
        <is>
          <t>OFFER-39 (Supporting)</t>
        </is>
      </c>
    </row>
    <row r="633" ht="242" customHeight="1">
      <c r="A633" s="6" t="n">
        <v>628</v>
      </c>
      <c r="B633" s="6" t="inlineStr">
        <is>
          <t>RTM-533</t>
        </is>
      </c>
      <c r="C633" s="6" t="inlineStr">
        <is>
          <t>No</t>
        </is>
      </c>
      <c r="D633" s="6" t="inlineStr">
        <is>
          <t>T3 Contextual</t>
        </is>
      </c>
      <c r="E633" s="6" t="inlineStr">
        <is>
          <t>Acceptance Testing</t>
        </is>
      </c>
      <c r="F633" s="82" t="inlineStr">
        <is>
          <t>PROJECT</t>
        </is>
      </c>
      <c r="G633" s="83" t="inlineStr">
        <is>
          <t>Governance &amp; Responsibility</t>
        </is>
      </c>
      <c r="H633" s="59" t="inlineStr">
        <is>
          <t>—</t>
        </is>
      </c>
      <c r="I633" s="58" t="inlineStr">
        <is>
          <t>C7 — Quality, Testing &amp; Risk</t>
        </is>
      </c>
      <c r="J633" s="6" t="n">
        <v>103</v>
      </c>
      <c r="K633" s="6" t="inlineStr">
        <is>
          <t>4.13.3.3.4</t>
        </is>
      </c>
      <c r="L633" s="6" t="inlineStr">
        <is>
          <t>Demonstration of process subsystems and process integrity</t>
        </is>
      </c>
      <c r="M633" s="6" t="inlineStr">
        <is>
          <t>The Contractor shall demonstrate during the SAT the correct functional behaviour of lines QRB.U, QRB.S, and QRB.W under the relevant operating conditions. This shall include, where applicable, at minimum, the verification of:</t>
        </is>
      </c>
      <c r="N633" s="6" t="inlineStr">
        <is>
          <t>The Contractor shall demonstrate during the SAT the correct functional behaviour of lines QRB.U, QRB.S, and QRB.W under the relevant operating conditions. This shall include, where applicable, at minimum, the verification of:
• For all 3 lines
• The corresponding temperatures, pressures, mass-flow capabilities, and helium quality at the relevant interface.
• The correct behaviour of the associated shut-off valves, regulation valves, instrumentation, and protection devices.
• The operation through the relevant line does not cause unacceptable degradation of QPS performance, process stability, equipment protection, or compression-system behaviour.
• For lines QRB.S and QRB.W
• The flow through the lines is correctly received and processed by the QPS.
• For line QRB.S
• The QPS design and operating sequences do not cause the pressure at the WPS.S side of the interface to fall below the specified minimum allowable pressure.
• The correct behaviour of the associated cold-helium protection provisions.</t>
        </is>
      </c>
      <c r="O633" s="6" t="n">
        <v>1</v>
      </c>
      <c r="P633" s="6" t="n">
        <v>0</v>
      </c>
      <c r="Q633" s="6" t="n">
        <v>0</v>
      </c>
      <c r="R633" s="6" t="n">
        <v>0</v>
      </c>
      <c r="S633" s="6" t="n">
        <v>3</v>
      </c>
      <c r="T633" s="6" t="n">
        <v>0</v>
      </c>
      <c r="U633" s="6" t="n">
        <v>0</v>
      </c>
      <c r="V633" s="6" t="n">
        <v>18.666667</v>
      </c>
      <c r="W633" s="6" t="n">
        <v>14.2857</v>
      </c>
      <c r="X633" s="6" t="n">
        <v>0.3501</v>
      </c>
      <c r="Y633" s="6" t="inlineStr">
        <is>
          <t>Quality / Verifiability</t>
        </is>
      </c>
      <c r="Z633" s="6" t="inlineStr">
        <is>
          <t>Frozen-weight composite; strongest contribution: Quality / Verifiability.</t>
        </is>
      </c>
      <c r="AA633" s="6" t="inlineStr">
        <is>
          <t>None explicitly named in this RTM</t>
        </is>
      </c>
      <c r="AB633" s="6" t="inlineStr">
        <is>
          <t>SCK CEN/90508872 §4.13.3.3.4; no named external code</t>
        </is>
      </c>
      <c r="AC633" s="6" t="inlineStr">
        <is>
          <t>Witnessed FAT/SAT/commissioning test against stated acceptance criteria</t>
        </is>
      </c>
      <c r="AD633" s="6" t="inlineStr">
        <is>
          <t>No separate deliverable explicitly named</t>
        </is>
      </c>
      <c r="AE633" s="6" t="inlineStr">
        <is>
          <t>L6 Site Acceptance Testing; L1 Conceptual Design; L2 Detailed Design</t>
        </is>
      </c>
      <c r="AF633" s="6" t="inlineStr">
        <is>
          <t>Section/contract-derived reference; explicit deliverable/test wording</t>
        </is>
      </c>
      <c r="AG633" s="58" t="inlineStr">
        <is>
          <t>OFFER-39 (Supporting)</t>
        </is>
      </c>
    </row>
    <row r="634" ht="112" customHeight="1">
      <c r="A634" s="6" t="n">
        <v>629</v>
      </c>
      <c r="B634" s="6" t="inlineStr">
        <is>
          <t>RTM-538</t>
        </is>
      </c>
      <c r="C634" s="6" t="inlineStr">
        <is>
          <t>No</t>
        </is>
      </c>
      <c r="D634" s="6" t="inlineStr">
        <is>
          <t>T3 Contextual</t>
        </is>
      </c>
      <c r="E634" s="6" t="inlineStr">
        <is>
          <t>Acceptance Testing</t>
        </is>
      </c>
      <c r="F634" s="82" t="inlineStr">
        <is>
          <t>PROJECT</t>
        </is>
      </c>
      <c r="G634" s="83" t="inlineStr">
        <is>
          <t>Governance &amp; Responsibility</t>
        </is>
      </c>
      <c r="H634" s="59" t="inlineStr">
        <is>
          <t>—</t>
        </is>
      </c>
      <c r="I634" s="58" t="inlineStr">
        <is>
          <t>C7 — Quality, Testing &amp; Risk</t>
        </is>
      </c>
      <c r="J634" s="6" t="n">
        <v>105</v>
      </c>
      <c r="K634" s="6" t="inlineStr">
        <is>
          <t>4.13.3.3.5</t>
        </is>
      </c>
      <c r="L634" s="6" t="inlineStr">
        <is>
          <t>Demonstration of rotating and compression equipment</t>
        </is>
      </c>
      <c r="M634" s="6" t="inlineStr">
        <is>
          <t>For the expansion turbines, the Contractor shall demonstrate the performance and stable operation during the SAT. This shall include, at minimum:</t>
        </is>
      </c>
      <c r="N634" s="6" t="inlineStr">
        <is>
          <t>For the expansion turbines, the Contractor shall demonstrate the performance and stable operation during the SAT. This shall include, at minimum:
• The verification of the relevant operating range.
• The verification of stable rotational behaviour.
• The verification of the relevant inlet and outlet process conditions.
• The verification of the turbine control behaviour.
• The verification of the turbine start-up, shutdown, and response to operating-point changes.</t>
        </is>
      </c>
      <c r="O634" s="6" t="n">
        <v>1</v>
      </c>
      <c r="P634" s="6" t="n">
        <v>0</v>
      </c>
      <c r="Q634" s="6" t="n">
        <v>0</v>
      </c>
      <c r="R634" s="6" t="n">
        <v>0</v>
      </c>
      <c r="S634" s="6" t="n">
        <v>3</v>
      </c>
      <c r="T634" s="6" t="n">
        <v>0</v>
      </c>
      <c r="U634" s="6" t="n">
        <v>0</v>
      </c>
      <c r="V634" s="6" t="n">
        <v>18.666667</v>
      </c>
      <c r="W634" s="6" t="n">
        <v>14.2857</v>
      </c>
      <c r="X634" s="6" t="n">
        <v>0.3501</v>
      </c>
      <c r="Y634" s="6" t="inlineStr">
        <is>
          <t>Quality / Verifiability</t>
        </is>
      </c>
      <c r="Z634" s="6" t="inlineStr">
        <is>
          <t>Frozen-weight composite; strongest contribution: Quality / Verifiability.</t>
        </is>
      </c>
      <c r="AA634" s="6" t="inlineStr">
        <is>
          <t>None explicitly named in this RTM</t>
        </is>
      </c>
      <c r="AB634" s="6" t="inlineStr">
        <is>
          <t>SCK CEN/90508872 §4.13.3.3.5; no named external code</t>
        </is>
      </c>
      <c r="AC634" s="6" t="inlineStr">
        <is>
          <t>Witnessed FAT/SAT/commissioning test against stated acceptance criteria</t>
        </is>
      </c>
      <c r="AD634" s="6" t="inlineStr">
        <is>
          <t>No separate deliverable explicitly named</t>
        </is>
      </c>
      <c r="AE634" s="6" t="inlineStr">
        <is>
          <t>L6 Site Acceptance Testing; L1 Conceptual Design; L2 Detailed Design</t>
        </is>
      </c>
      <c r="AF634" s="6" t="inlineStr">
        <is>
          <t>Section/contract-derived reference; explicit deliverable/test wording</t>
        </is>
      </c>
      <c r="AG634" s="58" t="inlineStr">
        <is>
          <t>OFFER-39 (Supporting)</t>
        </is>
      </c>
    </row>
    <row r="635" ht="60" customHeight="1">
      <c r="A635" s="6" t="n">
        <v>630</v>
      </c>
      <c r="B635" s="6" t="inlineStr">
        <is>
          <t>RTM-544</t>
        </is>
      </c>
      <c r="C635" s="6" t="inlineStr">
        <is>
          <t>No</t>
        </is>
      </c>
      <c r="D635" s="6" t="inlineStr">
        <is>
          <t>T3 Contextual</t>
        </is>
      </c>
      <c r="E635" s="6" t="inlineStr">
        <is>
          <t>Acceptance Testing</t>
        </is>
      </c>
      <c r="F635" s="82" t="inlineStr">
        <is>
          <t>PROJECT</t>
        </is>
      </c>
      <c r="G635" s="83" t="inlineStr">
        <is>
          <t>Governance &amp; Responsibility</t>
        </is>
      </c>
      <c r="H635" s="59" t="inlineStr">
        <is>
          <t>—</t>
        </is>
      </c>
      <c r="I635" s="58" t="inlineStr">
        <is>
          <t>C7 — Quality, Testing &amp; Risk</t>
        </is>
      </c>
      <c r="J635" s="6" t="n">
        <v>106</v>
      </c>
      <c r="K635" s="6" t="inlineStr">
        <is>
          <t>4.13.3.3.7</t>
        </is>
      </c>
      <c r="L635" s="6" t="inlineStr">
        <is>
          <t>Energy-Efficiency demonstration</t>
        </is>
      </c>
      <c r="M635" s="6" t="inlineStr">
        <is>
          <t>The Contractor shall provide SCK CEN with reasonable access to electrical measurement points to independently measure the energy consumption of the QPS and validate the claimed energy figures.</t>
        </is>
      </c>
      <c r="N635" s="6" t="inlineStr">
        <is>
          <t>The Contractor shall provide SCK CEN with reasonable access to electrical measurement points to independently measure the energy consumption of the QPS and validate the claimed energy figures.</t>
        </is>
      </c>
      <c r="O635" s="6" t="n">
        <v>1</v>
      </c>
      <c r="P635" s="6" t="n">
        <v>0</v>
      </c>
      <c r="Q635" s="6" t="n">
        <v>0</v>
      </c>
      <c r="R635" s="6" t="n">
        <v>0</v>
      </c>
      <c r="S635" s="6" t="n">
        <v>3</v>
      </c>
      <c r="T635" s="6" t="n">
        <v>0</v>
      </c>
      <c r="U635" s="6" t="n">
        <v>0</v>
      </c>
      <c r="V635" s="6" t="n">
        <v>18.666667</v>
      </c>
      <c r="W635" s="6" t="n">
        <v>14.2857</v>
      </c>
      <c r="X635" s="6" t="n">
        <v>0.3501</v>
      </c>
      <c r="Y635" s="6" t="inlineStr">
        <is>
          <t>Quality / Verifiability</t>
        </is>
      </c>
      <c r="Z635" s="6" t="inlineStr">
        <is>
          <t>Frozen-weight composite; strongest contribution: Quality / Verifiability.</t>
        </is>
      </c>
      <c r="AA635" s="6" t="inlineStr">
        <is>
          <t>None explicitly named in this RTM</t>
        </is>
      </c>
      <c r="AB635" s="6" t="inlineStr">
        <is>
          <t>SCK CEN/90508872 §4.13.3.3.7; no named external code</t>
        </is>
      </c>
      <c r="AC635" s="6" t="inlineStr">
        <is>
          <t>Document review, inspection, certification, audit or traceable QC record</t>
        </is>
      </c>
      <c r="AD635" s="6" t="inlineStr">
        <is>
          <t>No separate deliverable explicitly named</t>
        </is>
      </c>
      <c r="AE635" s="6" t="inlineStr">
        <is>
          <t>L1 Conceptual Design; L2 Detailed Design</t>
        </is>
      </c>
      <c r="AF635" s="6" t="inlineStr">
        <is>
          <t>Section/contract-derived reference; derived evidence route</t>
        </is>
      </c>
      <c r="AG635" s="58" t="inlineStr">
        <is>
          <t>OFFER-39 (Supporting); OFFER-40 (Direct)</t>
        </is>
      </c>
    </row>
    <row r="636" ht="47" customHeight="1">
      <c r="A636" s="6" t="n">
        <v>631</v>
      </c>
      <c r="B636" s="6" t="inlineStr">
        <is>
          <t>RTM-548</t>
        </is>
      </c>
      <c r="C636" s="6" t="inlineStr">
        <is>
          <t>No</t>
        </is>
      </c>
      <c r="D636" s="6" t="inlineStr">
        <is>
          <t>T3 Contextual</t>
        </is>
      </c>
      <c r="E636" s="6" t="inlineStr">
        <is>
          <t>Acceptance Testing</t>
        </is>
      </c>
      <c r="F636" s="82" t="inlineStr">
        <is>
          <t>PROJECT</t>
        </is>
      </c>
      <c r="G636" s="83" t="inlineStr">
        <is>
          <t>Governance &amp; Responsibility</t>
        </is>
      </c>
      <c r="H636" s="59" t="inlineStr">
        <is>
          <t>—</t>
        </is>
      </c>
      <c r="I636" s="58" t="inlineStr">
        <is>
          <t>C7 — Quality, Testing &amp; Risk</t>
        </is>
      </c>
      <c r="J636" s="6" t="n">
        <v>106</v>
      </c>
      <c r="K636" s="6" t="inlineStr">
        <is>
          <t>4.13.3.5</t>
        </is>
      </c>
      <c r="L636" s="6" t="inlineStr">
        <is>
          <t>Demonstration of control system behaviour</t>
        </is>
      </c>
      <c r="M636" s="6" t="inlineStr">
        <is>
          <t>The Contractor shall demonstrate during the SAT that the QPS:CIS behaves correctly and complies with the specified control, communication, and data-handling requirements.</t>
        </is>
      </c>
      <c r="N636" s="6" t="inlineStr">
        <is>
          <t>The Contractor shall demonstrate during the SAT that the QPS:CIS behaves correctly and complies with the specified control, communication, and data-handling requirements.</t>
        </is>
      </c>
      <c r="O636" s="6" t="n">
        <v>1</v>
      </c>
      <c r="P636" s="6" t="n">
        <v>0</v>
      </c>
      <c r="Q636" s="6" t="n">
        <v>0</v>
      </c>
      <c r="R636" s="6" t="n">
        <v>0</v>
      </c>
      <c r="S636" s="6" t="n">
        <v>3</v>
      </c>
      <c r="T636" s="6" t="n">
        <v>0</v>
      </c>
      <c r="U636" s="6" t="n">
        <v>0</v>
      </c>
      <c r="V636" s="6" t="n">
        <v>18.666667</v>
      </c>
      <c r="W636" s="6" t="n">
        <v>14.2857</v>
      </c>
      <c r="X636" s="6" t="n">
        <v>0.3501</v>
      </c>
      <c r="Y636" s="6" t="inlineStr">
        <is>
          <t>Quality / Verifiability</t>
        </is>
      </c>
      <c r="Z636" s="6" t="inlineStr">
        <is>
          <t>Frozen-weight composite; strongest contribution: Quality / Verifiability.</t>
        </is>
      </c>
      <c r="AA636" s="6" t="inlineStr">
        <is>
          <t>None explicitly named in this RTM</t>
        </is>
      </c>
      <c r="AB636" s="6" t="inlineStr">
        <is>
          <t>SCK CEN/90508872 §4.13.3.5; no named external code</t>
        </is>
      </c>
      <c r="AC636" s="6" t="inlineStr">
        <is>
          <t>Witnessed FAT/SAT/commissioning test against stated acceptance criteria</t>
        </is>
      </c>
      <c r="AD636" s="6" t="inlineStr">
        <is>
          <t>No separate deliverable explicitly named</t>
        </is>
      </c>
      <c r="AE636" s="6" t="inlineStr">
        <is>
          <t>L6 Site Acceptance Testing; L1 Conceptual Design; L2 Detailed Design</t>
        </is>
      </c>
      <c r="AF636" s="6" t="inlineStr">
        <is>
          <t>Section/contract-derived reference; explicit deliverable/test wording</t>
        </is>
      </c>
      <c r="AG636" s="58" t="inlineStr">
        <is>
          <t>OFFER-39 (Supporting)</t>
        </is>
      </c>
    </row>
    <row r="637" ht="138" customHeight="1">
      <c r="A637" s="6" t="n">
        <v>632</v>
      </c>
      <c r="B637" s="6" t="inlineStr">
        <is>
          <t>RTM-553</t>
        </is>
      </c>
      <c r="C637" s="6" t="inlineStr">
        <is>
          <t>No</t>
        </is>
      </c>
      <c r="D637" s="6" t="inlineStr">
        <is>
          <t>T3 Contextual</t>
        </is>
      </c>
      <c r="E637" s="6" t="inlineStr">
        <is>
          <t>Acceptance Testing</t>
        </is>
      </c>
      <c r="F637" s="82" t="inlineStr">
        <is>
          <t>PROJECT</t>
        </is>
      </c>
      <c r="G637" s="83" t="inlineStr">
        <is>
          <t>Governance &amp; Responsibility</t>
        </is>
      </c>
      <c r="H637" s="59" t="inlineStr">
        <is>
          <t>—</t>
        </is>
      </c>
      <c r="I637" s="58" t="inlineStr">
        <is>
          <t>C7 — Quality, Testing &amp; Risk</t>
        </is>
      </c>
      <c r="J637" s="6" t="n">
        <v>107</v>
      </c>
      <c r="K637" s="6" t="inlineStr">
        <is>
          <t>4.13.3.5</t>
        </is>
      </c>
      <c r="L637" s="6" t="inlineStr">
        <is>
          <t>Demonstration of control system behaviour</t>
        </is>
      </c>
      <c r="M637" s="6" t="inlineStr">
        <is>
          <t>The Contractor shall demonstrate the correct behavior of the field devices controlled or monitored by the QPS:CIS during the SAT. This shall include, at minimum:</t>
        </is>
      </c>
      <c r="N637" s="6" t="inlineStr">
        <is>
          <t>The Contractor shall demonstrate the correct behavior of the field devices controlled or monitored by the QPS:CIS during the SAT. This shall include, at minimum:
• The verification of the correct operation of sensors, transmitters, and switches connected to the system.
• The verification of the correct operation of actuators such as valves, drives, heaters, and compressors where applicable.
• The verification that field-device feedback signals correspond correctly with issued commands.
• The verification of device fail-safe positions and behavior.</t>
        </is>
      </c>
      <c r="O637" s="6" t="n">
        <v>1</v>
      </c>
      <c r="P637" s="6" t="n">
        <v>0</v>
      </c>
      <c r="Q637" s="6" t="n">
        <v>0</v>
      </c>
      <c r="R637" s="6" t="n">
        <v>0</v>
      </c>
      <c r="S637" s="6" t="n">
        <v>3</v>
      </c>
      <c r="T637" s="6" t="n">
        <v>0</v>
      </c>
      <c r="U637" s="6" t="n">
        <v>0</v>
      </c>
      <c r="V637" s="6" t="n">
        <v>18.666667</v>
      </c>
      <c r="W637" s="6" t="n">
        <v>14.2857</v>
      </c>
      <c r="X637" s="6" t="n">
        <v>0.3501</v>
      </c>
      <c r="Y637" s="6" t="inlineStr">
        <is>
          <t>Quality / Verifiability</t>
        </is>
      </c>
      <c r="Z637" s="6" t="inlineStr">
        <is>
          <t>Frozen-weight composite; strongest contribution: Quality / Verifiability.</t>
        </is>
      </c>
      <c r="AA637" s="6" t="inlineStr">
        <is>
          <t>None explicitly named in this RTM</t>
        </is>
      </c>
      <c r="AB637" s="6" t="inlineStr">
        <is>
          <t>SCK CEN/90508872 §4.13.3.5; no named external code</t>
        </is>
      </c>
      <c r="AC637" s="6" t="inlineStr">
        <is>
          <t>Witnessed FAT/SAT/commissioning test against stated acceptance criteria</t>
        </is>
      </c>
      <c r="AD637" s="6" t="inlineStr">
        <is>
          <t>No separate deliverable explicitly named</t>
        </is>
      </c>
      <c r="AE637" s="6" t="inlineStr">
        <is>
          <t>L6 Site Acceptance Testing; L1 Conceptual Design; L2 Detailed Design</t>
        </is>
      </c>
      <c r="AF637" s="6" t="inlineStr">
        <is>
          <t>Section/contract-derived reference; explicit deliverable/test wording</t>
        </is>
      </c>
      <c r="AG637" s="58" t="inlineStr">
        <is>
          <t>OFFER-39 (Supporting)</t>
        </is>
      </c>
    </row>
    <row r="638" ht="216" customHeight="1">
      <c r="A638" s="6" t="n">
        <v>633</v>
      </c>
      <c r="B638" s="6" t="inlineStr">
        <is>
          <t>RTM-624</t>
        </is>
      </c>
      <c r="C638" s="6" t="inlineStr">
        <is>
          <t>No</t>
        </is>
      </c>
      <c r="D638" s="6" t="inlineStr">
        <is>
          <t>T3 Contextual</t>
        </is>
      </c>
      <c r="E638" s="6" t="inlineStr">
        <is>
          <t>Contract Performance</t>
        </is>
      </c>
      <c r="F638" s="82" t="inlineStr">
        <is>
          <t>PROJECT</t>
        </is>
      </c>
      <c r="G638" s="83" t="inlineStr">
        <is>
          <t>Documentation &amp; Compliance</t>
        </is>
      </c>
      <c r="H638" s="59" t="inlineStr">
        <is>
          <t>—</t>
        </is>
      </c>
      <c r="I638" s="81" t="inlineStr">
        <is>
          <t>Inferred: C8 — Commercial &amp; Execution (medium conf.)</t>
        </is>
      </c>
      <c r="J638" s="6" t="n">
        <v>119</v>
      </c>
      <c r="K638" s="6" t="inlineStr">
        <is>
          <t>7.1</t>
        </is>
      </c>
      <c r="L638" s="6" t="inlineStr">
        <is>
          <t>General Organization</t>
        </is>
      </c>
      <c r="M638" s="6" t="inlineStr">
        <is>
          <t>Regarding the practical follow-up of the Contract, SCK CEN reserves the right to have itself represented by a third party of its choice, acting on its behalf (further referred to as “Representative(s)”).In this respect, SCK CEN grants to the Representative(s) the same rights as SCK CEN have accrued under the present Contract and the Contractor shall give effect thereto. The Contractor shall grant the Representatives the same access rights (physical access, document access, ...) as have been contractually instated for SCK CEN. Notwithstanding the foregoing, SCK CEN will remain the sole principal to the Contract and therefore:</t>
        </is>
      </c>
      <c r="N638" s="6" t="inlineStr">
        <is>
          <t>Regarding the practical follow-up of the Contract, SCK CEN reserves the right to have itself represented by a third party of its choice, acting on its behalf (further referred to as “Representative(s)”).In this respect, SCK CEN grants to the Representative(s) the same rights as SCK CEN have accrued under the present Contract and the Contractor shall give effect thereto. The Contractor shall grant the Representatives the same access rights (physical access, document access, ...) as have been contractually instated for SCK CEN. Notwithstanding the foregoing, SCK CEN will remain the sole principal to the Contract and therefore:
• any approval/acceptance/equivalent step which has been contractually set, shall only be approved, respectively accepted, if and to the extent that SCK CEN has confirmed its approval, respectively acceptance, of such step in writing.
• any decision to deviate from the terms and conditions as have been contractually agreed upon, may only be implemented after having obtained approval thereto from SCK CEN in writing.</t>
        </is>
      </c>
      <c r="O638" s="6" t="n">
        <v>2</v>
      </c>
      <c r="P638" s="6" t="n">
        <v>0</v>
      </c>
      <c r="Q638" s="6" t="n">
        <v>0</v>
      </c>
      <c r="R638" s="6" t="n">
        <v>1</v>
      </c>
      <c r="S638" s="6" t="n">
        <v>0</v>
      </c>
      <c r="T638" s="6" t="n">
        <v>0</v>
      </c>
      <c r="U638" s="6" t="n">
        <v>0</v>
      </c>
      <c r="V638" s="6" t="n">
        <v>18.666667</v>
      </c>
      <c r="W638" s="6" t="n">
        <v>14.2857</v>
      </c>
      <c r="X638" s="6" t="n">
        <v>0.3501</v>
      </c>
      <c r="Y638" s="6" t="inlineStr">
        <is>
          <t>Safety / Legal</t>
        </is>
      </c>
      <c r="Z638" s="6" t="inlineStr">
        <is>
          <t>Frozen-weight composite; strongest contribution: Safety / Legal.</t>
        </is>
      </c>
      <c r="AA638" s="6" t="inlineStr">
        <is>
          <t>None explicitly named in this RTM</t>
        </is>
      </c>
      <c r="AB638" s="6" t="inlineStr">
        <is>
          <t>SCK CEN/90508872 §7.1; no named external code</t>
        </is>
      </c>
      <c r="AC638" s="6" t="inlineStr">
        <is>
          <t>Design review plus final inspection/acceptance evidence</t>
        </is>
      </c>
      <c r="AD638" s="6" t="inlineStr">
        <is>
          <t>No separate deliverable explicitly named</t>
        </is>
      </c>
      <c r="AE638" s="6" t="inlineStr">
        <is>
          <t>L0 Tender / Offer; L1 Conceptual Design; L2 Detailed Design; L3 Procurement &amp; Manufacturing / FAT; L4 Installation; L5 Standalone Commissioning; L6 Site Acceptance Testing</t>
        </is>
      </c>
      <c r="AF638" s="6" t="inlineStr">
        <is>
          <t>Section/contract-derived reference; derived evidence route</t>
        </is>
      </c>
      <c r="AG638" s="58" t="inlineStr">
        <is>
          <t>Not linked to an OFFER item</t>
        </is>
      </c>
    </row>
    <row r="639" ht="112" customHeight="1">
      <c r="A639" s="6" t="n">
        <v>634</v>
      </c>
      <c r="B639" s="6" t="inlineStr">
        <is>
          <t>RTM-615</t>
        </is>
      </c>
      <c r="C639" s="6" t="inlineStr">
        <is>
          <t>No</t>
        </is>
      </c>
      <c r="D639" s="6" t="inlineStr">
        <is>
          <t>T3 Contextual</t>
        </is>
      </c>
      <c r="E639" s="6" t="inlineStr">
        <is>
          <t>Schedule</t>
        </is>
      </c>
      <c r="F639" s="82" t="inlineStr">
        <is>
          <t>PROJECT</t>
        </is>
      </c>
      <c r="G639" s="83" t="inlineStr">
        <is>
          <t>Governance &amp; Responsibility</t>
        </is>
      </c>
      <c r="H639" s="59" t="inlineStr">
        <is>
          <t>—</t>
        </is>
      </c>
      <c r="I639" s="58" t="inlineStr">
        <is>
          <t>C8 — Commercial &amp; Execution</t>
        </is>
      </c>
      <c r="J639" s="6" t="n">
        <v>116</v>
      </c>
      <c r="K639" s="6" t="inlineStr">
        <is>
          <t>6.1.1</t>
        </is>
      </c>
      <c r="L639" s="6" t="inlineStr">
        <is>
          <t>Conceptual Design (L1)</t>
        </is>
      </c>
      <c r="M639" s="6" t="inlineStr">
        <is>
          <t>In this phase, the Contractor shall, at least, perform the following activities:</t>
        </is>
      </c>
      <c r="N639" s="6" t="inlineStr">
        <is>
          <t>In this phase, the Contractor shall, at least, perform the following activities:
• Establish the project management baseline (Management Dashboard &amp; underlying processes, Quality Assurance Program and Risk Management Plan).
• Develop the conceptual design, verifying/ validating conformance with technical specifications, define specific requirements for buildings and utilities.
• Prepare the Conceptual Design File.</t>
        </is>
      </c>
      <c r="O639" s="6" t="n">
        <v>0</v>
      </c>
      <c r="P639" s="6" t="n">
        <v>0</v>
      </c>
      <c r="Q639" s="6" t="n">
        <v>0</v>
      </c>
      <c r="R639" s="6" t="n">
        <v>1</v>
      </c>
      <c r="S639" s="6" t="n">
        <v>3</v>
      </c>
      <c r="T639" s="6" t="n">
        <v>0</v>
      </c>
      <c r="U639" s="6" t="n">
        <v>1</v>
      </c>
      <c r="V639" s="6" t="n">
        <v>18.333333</v>
      </c>
      <c r="W639" s="6" t="n">
        <v>12.1359</v>
      </c>
      <c r="X639" s="6" t="n">
        <v>0.2976</v>
      </c>
      <c r="Y639" s="6" t="inlineStr">
        <is>
          <t>Quality / Verifiability</t>
        </is>
      </c>
      <c r="Z639" s="6" t="inlineStr">
        <is>
          <t>Frozen-weight composite; strongest contribution: Quality / Verifiability.</t>
        </is>
      </c>
      <c r="AA639" s="6" t="inlineStr">
        <is>
          <t>None explicitly named in this RTM</t>
        </is>
      </c>
      <c r="AB639" s="6" t="inlineStr">
        <is>
          <t>SCK CEN/90508872 §6.1.1; no named external code</t>
        </is>
      </c>
      <c r="AC639" s="6" t="inlineStr">
        <is>
          <t>Submit and review the named deliverable with RTM traceability and approval status; Document review, inspection, certification, audit or traceable QC record</t>
        </is>
      </c>
      <c r="AD639" s="6" t="inlineStr">
        <is>
          <t>Datasheet / technical specification</t>
        </is>
      </c>
      <c r="AE639" s="6" t="inlineStr">
        <is>
          <t>L1 Conceptual Design; L0 Tender / Offer; L2 Detailed Design; L3 Procurement &amp; Manufacturing / FAT; L4 Installation; L5 Standalone Commissioning; L6 Site Acceptance Testing</t>
        </is>
      </c>
      <c r="AF639" s="6" t="inlineStr">
        <is>
          <t>Section/contract-derived reference; explicit deliverable/test wording</t>
        </is>
      </c>
      <c r="AG639" s="58" t="inlineStr">
        <is>
          <t>OFFER-44 (Supporting)</t>
        </is>
      </c>
    </row>
    <row r="640" ht="73" customHeight="1">
      <c r="A640" s="6" t="n">
        <v>635</v>
      </c>
      <c r="B640" s="6" t="inlineStr">
        <is>
          <t>RTM-618</t>
        </is>
      </c>
      <c r="C640" s="6" t="inlineStr">
        <is>
          <t>No</t>
        </is>
      </c>
      <c r="D640" s="6" t="inlineStr">
        <is>
          <t>T3 Contextual</t>
        </is>
      </c>
      <c r="E640" s="6" t="inlineStr">
        <is>
          <t>Schedule</t>
        </is>
      </c>
      <c r="F640" s="82" t="inlineStr">
        <is>
          <t>PROJECT</t>
        </is>
      </c>
      <c r="G640" s="83" t="inlineStr">
        <is>
          <t>Governance &amp; Responsibility</t>
        </is>
      </c>
      <c r="H640" s="59" t="inlineStr">
        <is>
          <t>—</t>
        </is>
      </c>
      <c r="I640" s="58" t="inlineStr">
        <is>
          <t>C8 — Commercial &amp; Execution</t>
        </is>
      </c>
      <c r="J640" s="6" t="n">
        <v>116</v>
      </c>
      <c r="K640" s="6" t="inlineStr">
        <is>
          <t>6.1.4</t>
        </is>
      </c>
      <c r="L640" s="6" t="inlineStr">
        <is>
          <t>Installation (L4)</t>
        </is>
      </c>
      <c r="M640" s="6" t="inlineStr">
        <is>
          <t>In this phase, the Contractor shall, at least, perform the following activities:</t>
        </is>
      </c>
      <c r="N640" s="6" t="inlineStr">
        <is>
          <t>In this phase, the Contractor shall, at least, perform the following activities:
• Transportation to SCK CEN
• Incoming inspections
• Installation of the QPS</t>
        </is>
      </c>
      <c r="O640" s="6" t="n">
        <v>0</v>
      </c>
      <c r="P640" s="6" t="n">
        <v>0</v>
      </c>
      <c r="Q640" s="6" t="n">
        <v>0</v>
      </c>
      <c r="R640" s="6" t="n">
        <v>1</v>
      </c>
      <c r="S640" s="6" t="n">
        <v>3</v>
      </c>
      <c r="T640" s="6" t="n">
        <v>0</v>
      </c>
      <c r="U640" s="6" t="n">
        <v>1</v>
      </c>
      <c r="V640" s="6" t="n">
        <v>18.333333</v>
      </c>
      <c r="W640" s="6" t="n">
        <v>12.1359</v>
      </c>
      <c r="X640" s="6" t="n">
        <v>0.2976</v>
      </c>
      <c r="Y640" s="6" t="inlineStr">
        <is>
          <t>Quality / Verifiability</t>
        </is>
      </c>
      <c r="Z640" s="6" t="inlineStr">
        <is>
          <t>Frozen-weight composite; strongest contribution: Quality / Verifiability.</t>
        </is>
      </c>
      <c r="AA640" s="6" t="inlineStr">
        <is>
          <t>None explicitly named in this RTM</t>
        </is>
      </c>
      <c r="AB640" s="6" t="inlineStr">
        <is>
          <t>SCK CEN/90508872 §6.1.4; no named external code</t>
        </is>
      </c>
      <c r="AC640" s="6" t="inlineStr">
        <is>
          <t>Document review, inspection, certification, audit or traceable QC record</t>
        </is>
      </c>
      <c r="AD640" s="6" t="inlineStr">
        <is>
          <t>No separate deliverable explicitly named</t>
        </is>
      </c>
      <c r="AE640" s="6" t="inlineStr">
        <is>
          <t>L4 Installation; L0 Tender / Offer; L1 Conceptual Design; L2 Detailed Design; L3 Procurement &amp; Manufacturing / FAT; L5 Standalone Commissioning; L6 Site Acceptance Testing</t>
        </is>
      </c>
      <c r="AF640" s="6" t="inlineStr">
        <is>
          <t>Section/contract-derived reference; derived evidence route</t>
        </is>
      </c>
      <c r="AG640" s="58" t="inlineStr">
        <is>
          <t>OFFER-44 (Supporting)</t>
        </is>
      </c>
    </row>
    <row r="641" ht="138" customHeight="1">
      <c r="A641" s="6" t="n">
        <v>636</v>
      </c>
      <c r="B641" s="6" t="inlineStr">
        <is>
          <t>RTM-083</t>
        </is>
      </c>
      <c r="C641" s="6" t="inlineStr">
        <is>
          <t>No</t>
        </is>
      </c>
      <c r="D641" s="6" t="inlineStr">
        <is>
          <t>T3 Contextual</t>
        </is>
      </c>
      <c r="E641" s="6" t="inlineStr">
        <is>
          <t>Subsystems</t>
        </is>
      </c>
      <c r="F641" s="82" t="inlineStr">
        <is>
          <t>SYSTEM</t>
        </is>
      </c>
      <c r="G641" s="83" t="inlineStr">
        <is>
          <t>Performance</t>
        </is>
      </c>
      <c r="H641" s="59" t="inlineStr">
        <is>
          <t>—</t>
        </is>
      </c>
      <c r="I641" s="81" t="inlineStr">
        <is>
          <t>Inferred: C3 — Mechanical &amp; Equipment (medium conf.)</t>
        </is>
      </c>
      <c r="J641" s="6" t="n">
        <v>42</v>
      </c>
      <c r="K641" s="6" t="inlineStr">
        <is>
          <t>4.4.1.2</t>
        </is>
      </c>
      <c r="L641" s="6" t="inlineStr">
        <is>
          <t>Helium guards</t>
        </is>
      </c>
      <c r="M641" s="6" t="inlineStr">
        <is>
          <t>The guard supply lines serving the helium guards shall comply with the following requirements:</t>
        </is>
      </c>
      <c r="N641" s="6" t="inlineStr">
        <is>
          <t>The guard supply lines serving the helium guards shall comply with the following requirements:
• The main guard supply header shall be equipped with a remotely controllable valve to allow the restoration of the nominal guard pressure.
• The guard supply lines shall be segmented, with each segment supplying one or more helium guards.
• Each guard supply segment shall include:
• Pressure sensors for remote monitoring of the guard pressure via the QPS:CIS
• Isolation valves for the identification and localization of helium leaks.</t>
        </is>
      </c>
      <c r="O641" s="6" t="n">
        <v>0</v>
      </c>
      <c r="P641" s="6" t="n">
        <v>1</v>
      </c>
      <c r="Q641" s="6" t="n">
        <v>0</v>
      </c>
      <c r="R641" s="6" t="n">
        <v>2</v>
      </c>
      <c r="S641" s="6" t="n">
        <v>0</v>
      </c>
      <c r="T641" s="6" t="n">
        <v>0</v>
      </c>
      <c r="U641" s="6" t="n">
        <v>0</v>
      </c>
      <c r="V641" s="6" t="n">
        <v>18</v>
      </c>
      <c r="W641" s="6" t="n">
        <v>11.9279</v>
      </c>
      <c r="X641" s="6" t="n">
        <v>0.2928</v>
      </c>
      <c r="Y641" s="6" t="inlineStr">
        <is>
          <t>Functional</t>
        </is>
      </c>
      <c r="Z641" s="6" t="inlineStr">
        <is>
          <t>Frozen-weight composite; strongest contribution: Functional.</t>
        </is>
      </c>
      <c r="AA641" s="6" t="inlineStr">
        <is>
          <t>None explicitly named in this RTM</t>
        </is>
      </c>
      <c r="AB641" s="6" t="inlineStr">
        <is>
          <t>SCK CEN/90508872 §4.4.1.2; no named external code</t>
        </is>
      </c>
      <c r="AC641" s="6" t="inlineStr">
        <is>
          <t>Functional design/configuration review and sequence/interface demonstration</t>
        </is>
      </c>
      <c r="AD641" s="6" t="inlineStr">
        <is>
          <t>No separate deliverable explicitly named</t>
        </is>
      </c>
      <c r="AE641" s="6" t="inlineStr">
        <is>
          <t>L1 Conceptual Design; L2 Detailed Design</t>
        </is>
      </c>
      <c r="AF641" s="6" t="inlineStr">
        <is>
          <t>Section/contract-derived reference; derived evidence route</t>
        </is>
      </c>
      <c r="AG641" s="58" t="inlineStr">
        <is>
          <t>Not linked to an OFFER item</t>
        </is>
      </c>
    </row>
    <row r="642" ht="99" customHeight="1">
      <c r="A642" s="6" t="n">
        <v>637</v>
      </c>
      <c r="B642" s="6" t="inlineStr">
        <is>
          <t>RTM-281</t>
        </is>
      </c>
      <c r="C642" s="6" t="inlineStr">
        <is>
          <t>No</t>
        </is>
      </c>
      <c r="D642" s="6" t="inlineStr">
        <is>
          <t>T3 Contextual</t>
        </is>
      </c>
      <c r="E642" s="6" t="inlineStr">
        <is>
          <t>Cryogenic Interfaces</t>
        </is>
      </c>
      <c r="F642" s="82" t="inlineStr">
        <is>
          <t>SYSTEM</t>
        </is>
      </c>
      <c r="G642" s="83" t="inlineStr">
        <is>
          <t>Control</t>
        </is>
      </c>
      <c r="H642" s="59" t="inlineStr">
        <is>
          <t>—</t>
        </is>
      </c>
      <c r="I642" s="58" t="inlineStr">
        <is>
          <t>Not linked to an OFFER item</t>
        </is>
      </c>
      <c r="J642" s="6" t="n">
        <v>66</v>
      </c>
      <c r="K642" s="6" t="inlineStr">
        <is>
          <t>4.5.1</t>
        </is>
      </c>
      <c r="L642" s="6" t="inlineStr">
        <is>
          <t>Cryogenic Distribution Backbone (QDB)</t>
        </is>
      </c>
      <c r="M642" s="6" t="inlineStr">
        <is>
          <t>The QPS shall mechanically interface with the QDB at the QRB–QLM connection.</t>
        </is>
      </c>
      <c r="N642" s="6" t="inlineStr">
        <is>
          <t>The QPS shall mechanically interface with the QDB at the QRB–QLM connection.
• On the QPS side, the interfacing element shall be the QRB (cold box unit).
• On the QDB side, the interfacing element shall be the QLM Spool.
• The interface definition for the QRB–QLM connection shall be led by SCK CEN via the QDB Contractor.
• The execution of the QRB–QLM connection (site connection works) shall be performed by SCK CEN via the QDB Contractor.</t>
        </is>
      </c>
      <c r="O642" s="6" t="n">
        <v>0</v>
      </c>
      <c r="P642" s="6" t="n">
        <v>0</v>
      </c>
      <c r="Q642" s="6" t="n">
        <v>1</v>
      </c>
      <c r="R642" s="6" t="n">
        <v>2</v>
      </c>
      <c r="S642" s="6" t="n">
        <v>0</v>
      </c>
      <c r="T642" s="6" t="n">
        <v>0</v>
      </c>
      <c r="U642" s="6" t="n">
        <v>0</v>
      </c>
      <c r="V642" s="6" t="n">
        <v>17.333333</v>
      </c>
      <c r="W642" s="6" t="n">
        <v>10.5409</v>
      </c>
      <c r="X642" s="6" t="n">
        <v>0.2623</v>
      </c>
      <c r="Y642" s="6" t="inlineStr">
        <is>
          <t>Functional</t>
        </is>
      </c>
      <c r="Z642" s="6" t="inlineStr">
        <is>
          <t>Frozen-weight composite; strongest contribution: Functional.</t>
        </is>
      </c>
      <c r="AA642" s="6" t="inlineStr">
        <is>
          <t>None explicitly named in this RTM</t>
        </is>
      </c>
      <c r="AB642" s="6" t="inlineStr">
        <is>
          <t>SCK CEN/90508872 §4.5.1; no named external code</t>
        </is>
      </c>
      <c r="AC642" s="6" t="inlineStr">
        <is>
          <t>Functional design/configuration review and sequence/interface demonstration</t>
        </is>
      </c>
      <c r="AD642" s="6" t="inlineStr">
        <is>
          <t>No separate deliverable explicitly named</t>
        </is>
      </c>
      <c r="AE642" s="6" t="inlineStr">
        <is>
          <t>L1 Conceptual Design; L2 Detailed Design</t>
        </is>
      </c>
      <c r="AF642" s="6" t="inlineStr">
        <is>
          <t>Section/contract-derived reference; derived evidence route</t>
        </is>
      </c>
      <c r="AG642" s="58" t="inlineStr">
        <is>
          <t>Not linked to an OFFER item</t>
        </is>
      </c>
    </row>
    <row r="643" ht="151" customHeight="1">
      <c r="A643" s="6" t="n">
        <v>638</v>
      </c>
      <c r="B643" s="6" t="inlineStr">
        <is>
          <t>RTM-282</t>
        </is>
      </c>
      <c r="C643" s="6" t="inlineStr">
        <is>
          <t>No</t>
        </is>
      </c>
      <c r="D643" s="6" t="inlineStr">
        <is>
          <t>T3 Contextual</t>
        </is>
      </c>
      <c r="E643" s="6" t="inlineStr">
        <is>
          <t>Cryogenic Interfaces</t>
        </is>
      </c>
      <c r="F643" s="82" t="inlineStr">
        <is>
          <t>SYSTEM</t>
        </is>
      </c>
      <c r="G643" s="83" t="inlineStr">
        <is>
          <t>Constraint</t>
        </is>
      </c>
      <c r="H643" s="59" t="inlineStr">
        <is>
          <t>—</t>
        </is>
      </c>
      <c r="I643" s="58" t="inlineStr">
        <is>
          <t>Not linked to an OFFER item</t>
        </is>
      </c>
      <c r="J643" s="6" t="n">
        <v>66</v>
      </c>
      <c r="K643" s="6" t="inlineStr">
        <is>
          <t>4.5.1</t>
        </is>
      </c>
      <c r="L643" s="6" t="inlineStr">
        <is>
          <t>Cryogenic Distribution Backbone (QDB)</t>
        </is>
      </c>
      <c r="M643" s="6" t="inlineStr">
        <is>
          <t>The Contractor shall support the definition of the QRB-QLM interface. To this end, the Contractor shall:</t>
        </is>
      </c>
      <c r="N643" s="6" t="inlineStr">
        <is>
          <t>The Contractor shall support the definition of the QRB-QLM interface. To this end, the Contractor shall:
• Define and provide the QRB-side interface constraints, including geometry, space envelope, accessibility, allowable loads, and other relevant parameters.
• Define and provide the QRB-side boundary conditions, including the terminal points and the proposed connection principles.
• Provide all information required by SCK CEN (and the QDB Contractor) to define and manufacture the QLM Spool and to prepare the connection work.
• Comply with the agreed interface definition, provided that the QRB constraints are respected.</t>
        </is>
      </c>
      <c r="O643" s="6" t="n">
        <v>0</v>
      </c>
      <c r="P643" s="6" t="n">
        <v>0</v>
      </c>
      <c r="Q643" s="6" t="n">
        <v>1</v>
      </c>
      <c r="R643" s="6" t="n">
        <v>2</v>
      </c>
      <c r="S643" s="6" t="n">
        <v>0</v>
      </c>
      <c r="T643" s="6" t="n">
        <v>0</v>
      </c>
      <c r="U643" s="6" t="n">
        <v>0</v>
      </c>
      <c r="V643" s="6" t="n">
        <v>17.333333</v>
      </c>
      <c r="W643" s="6" t="n">
        <v>10.5409</v>
      </c>
      <c r="X643" s="6" t="n">
        <v>0.2623</v>
      </c>
      <c r="Y643" s="6" t="inlineStr">
        <is>
          <t>Functional</t>
        </is>
      </c>
      <c r="Z643" s="6" t="inlineStr">
        <is>
          <t>Frozen-weight composite; strongest contribution: Functional.</t>
        </is>
      </c>
      <c r="AA643" s="6" t="inlineStr">
        <is>
          <t>None explicitly named in this RTM</t>
        </is>
      </c>
      <c r="AB643" s="6" t="inlineStr">
        <is>
          <t>SCK CEN/90508872 §4.5.1; no named external code</t>
        </is>
      </c>
      <c r="AC643" s="6" t="inlineStr">
        <is>
          <t>Functional design/configuration review and sequence/interface demonstration</t>
        </is>
      </c>
      <c r="AD643" s="6" t="inlineStr">
        <is>
          <t>No separate deliverable explicitly named</t>
        </is>
      </c>
      <c r="AE643" s="6" t="inlineStr">
        <is>
          <t>L1 Conceptual Design; L2 Detailed Design</t>
        </is>
      </c>
      <c r="AF643" s="6" t="inlineStr">
        <is>
          <t>Section/contract-derived reference; derived evidence route</t>
        </is>
      </c>
      <c r="AG643" s="58" t="inlineStr">
        <is>
          <t>Not linked to an OFFER item</t>
        </is>
      </c>
    </row>
    <row r="644" ht="203" customHeight="1">
      <c r="A644" s="6" t="n">
        <v>639</v>
      </c>
      <c r="B644" s="6" t="inlineStr">
        <is>
          <t>RTM-284</t>
        </is>
      </c>
      <c r="C644" s="6" t="inlineStr">
        <is>
          <t>No</t>
        </is>
      </c>
      <c r="D644" s="6" t="inlineStr">
        <is>
          <t>T3 Contextual</t>
        </is>
      </c>
      <c r="E644" s="6" t="inlineStr">
        <is>
          <t>Cryogenic Interfaces</t>
        </is>
      </c>
      <c r="F644" s="82" t="inlineStr">
        <is>
          <t>SYSTEM</t>
        </is>
      </c>
      <c r="G644" s="83" t="inlineStr">
        <is>
          <t>Performance</t>
        </is>
      </c>
      <c r="H644" s="59" t="inlineStr">
        <is>
          <t>—</t>
        </is>
      </c>
      <c r="I644" s="58" t="inlineStr">
        <is>
          <t>Not linked to an OFFER item</t>
        </is>
      </c>
      <c r="J644" s="6" t="n">
        <v>66</v>
      </c>
      <c r="K644" s="6" t="inlineStr">
        <is>
          <t>4.5.1</t>
        </is>
      </c>
      <c r="L644" s="6" t="inlineStr">
        <is>
          <t>Cryogenic Distribution Backbone (QDB)</t>
        </is>
      </c>
      <c r="M644" s="6" t="inlineStr">
        <is>
          <t>The QRB interface to the QLM Spool shall comply with the following requirements:</t>
        </is>
      </c>
      <c r="N644" s="6" t="inlineStr">
        <is>
          <t>The QRB interface to the QLM Spool shall comply with the following requirements:
• The interface design shall allow the following site activities to be performed without modification of the QRB’s cold box unit:
• Removal of the QRB test cap,
• Preparation of the QRB interface for connection,
• Connection of the QLM spool to the QRB.
• The interface design shall enable the physical completion of the connection, including:
• Joining of the process pipes.
• Continuity of the Thermal Shield and MLI across the connection.
• Joining of the vacuum jackets.
• The interface region shall provide sufficient accessibility and clearance to perform these activities, taking into account that the QRB will initially be installed with the test cap in place.</t>
        </is>
      </c>
      <c r="O644" s="6" t="n">
        <v>0</v>
      </c>
      <c r="P644" s="6" t="n">
        <v>0</v>
      </c>
      <c r="Q644" s="6" t="n">
        <v>1</v>
      </c>
      <c r="R644" s="6" t="n">
        <v>2</v>
      </c>
      <c r="S644" s="6" t="n">
        <v>0</v>
      </c>
      <c r="T644" s="6" t="n">
        <v>0</v>
      </c>
      <c r="U644" s="6" t="n">
        <v>0</v>
      </c>
      <c r="V644" s="6" t="n">
        <v>17.333333</v>
      </c>
      <c r="W644" s="6" t="n">
        <v>10.5409</v>
      </c>
      <c r="X644" s="6" t="n">
        <v>0.2623</v>
      </c>
      <c r="Y644" s="6" t="inlineStr">
        <is>
          <t>Functional</t>
        </is>
      </c>
      <c r="Z644" s="6" t="inlineStr">
        <is>
          <t>Frozen-weight composite; strongest contribution: Functional.</t>
        </is>
      </c>
      <c r="AA644" s="6" t="inlineStr">
        <is>
          <t>None explicitly named in this RTM</t>
        </is>
      </c>
      <c r="AB644" s="6" t="inlineStr">
        <is>
          <t>SCK CEN/90508872 §4.5.1; no named external code</t>
        </is>
      </c>
      <c r="AC644" s="6" t="inlineStr">
        <is>
          <t>Witnessed FAT/SAT/commissioning test against stated acceptance criteria; Functional design/configuration review and sequence/interface demonstration</t>
        </is>
      </c>
      <c r="AD644" s="6" t="inlineStr">
        <is>
          <t>No separate deliverable explicitly named</t>
        </is>
      </c>
      <c r="AE644" s="6" t="inlineStr">
        <is>
          <t>L1 Conceptual Design; L2 Detailed Design</t>
        </is>
      </c>
      <c r="AF644" s="6" t="inlineStr">
        <is>
          <t>Section/contract-derived reference; explicit deliverable/test wording</t>
        </is>
      </c>
      <c r="AG644" s="58" t="inlineStr">
        <is>
          <t>Not linked to an OFFER item</t>
        </is>
      </c>
    </row>
    <row r="645" ht="138" customHeight="1">
      <c r="A645" s="6" t="n">
        <v>640</v>
      </c>
      <c r="B645" s="6" t="inlineStr">
        <is>
          <t>RTM-286</t>
        </is>
      </c>
      <c r="C645" s="6" t="inlineStr">
        <is>
          <t>No</t>
        </is>
      </c>
      <c r="D645" s="6" t="inlineStr">
        <is>
          <t>T3 Contextual</t>
        </is>
      </c>
      <c r="E645" s="6" t="inlineStr">
        <is>
          <t>Cryogenic Interfaces</t>
        </is>
      </c>
      <c r="F645" s="82" t="inlineStr">
        <is>
          <t>SYSTEM</t>
        </is>
      </c>
      <c r="G645" s="83" t="inlineStr">
        <is>
          <t>Control</t>
        </is>
      </c>
      <c r="H645" s="59" t="inlineStr">
        <is>
          <t>—</t>
        </is>
      </c>
      <c r="I645" s="58" t="inlineStr">
        <is>
          <t>Not linked to an OFFER item</t>
        </is>
      </c>
      <c r="J645" s="6" t="n">
        <v>67</v>
      </c>
      <c r="K645" s="6" t="inlineStr">
        <is>
          <t>4.5.2</t>
        </is>
      </c>
      <c r="L645" s="6" t="inlineStr">
        <is>
          <t>Warm Piping System (WPS)</t>
        </is>
      </c>
      <c r="M645" s="6" t="inlineStr">
        <is>
          <t>The QPS shall mechanically interface with the WPS at various QRB-WPS connections for the warm headers W, U and S.</t>
        </is>
      </c>
      <c r="N645" s="6" t="inlineStr">
        <is>
          <t>The QPS shall mechanically interface with the WPS at various QRB-WPS connections for the warm headers W, U and S.
• On the WPS side, the interfacing elements shall be the terminal points of headers W, U, and S.
• On the QPS side, the interfacing elements shall be the corresponding terminal points on the QRB.
• The QRB-WPS connections shall be located in the Cold Box Room.
• The Contractor shall define the interfaces of the QRB–WPS connections.
• The execution of the QRB–WPS connections (site connection works) shall be performed by SCK CEN via the WPS Contractor.</t>
        </is>
      </c>
      <c r="O645" s="6" t="n">
        <v>0</v>
      </c>
      <c r="P645" s="6" t="n">
        <v>0</v>
      </c>
      <c r="Q645" s="6" t="n">
        <v>1</v>
      </c>
      <c r="R645" s="6" t="n">
        <v>2</v>
      </c>
      <c r="S645" s="6" t="n">
        <v>0</v>
      </c>
      <c r="T645" s="6" t="n">
        <v>0</v>
      </c>
      <c r="U645" s="6" t="n">
        <v>0</v>
      </c>
      <c r="V645" s="6" t="n">
        <v>17.333333</v>
      </c>
      <c r="W645" s="6" t="n">
        <v>10.5409</v>
      </c>
      <c r="X645" s="6" t="n">
        <v>0.2623</v>
      </c>
      <c r="Y645" s="6" t="inlineStr">
        <is>
          <t>Functional</t>
        </is>
      </c>
      <c r="Z645" s="6" t="inlineStr">
        <is>
          <t>Frozen-weight composite; strongest contribution: Functional.</t>
        </is>
      </c>
      <c r="AA645" s="6" t="inlineStr">
        <is>
          <t>None explicitly named in this RTM</t>
        </is>
      </c>
      <c r="AB645" s="6" t="inlineStr">
        <is>
          <t>SCK CEN/90508872 §4.5.2; no named external code</t>
        </is>
      </c>
      <c r="AC645" s="6" t="inlineStr">
        <is>
          <t>Functional design/configuration review and sequence/interface demonstration</t>
        </is>
      </c>
      <c r="AD645" s="6" t="inlineStr">
        <is>
          <t>No separate deliverable explicitly named</t>
        </is>
      </c>
      <c r="AE645" s="6" t="inlineStr">
        <is>
          <t>L1 Conceptual Design; L2 Detailed Design</t>
        </is>
      </c>
      <c r="AF645" s="6" t="inlineStr">
        <is>
          <t>Section/contract-derived reference; derived evidence route</t>
        </is>
      </c>
      <c r="AG645" s="58" t="inlineStr">
        <is>
          <t>Not linked to an OFFER item</t>
        </is>
      </c>
    </row>
    <row r="646" ht="164" customHeight="1">
      <c r="A646" s="6" t="n">
        <v>641</v>
      </c>
      <c r="B646" s="6" t="inlineStr">
        <is>
          <t>RTM-287</t>
        </is>
      </c>
      <c r="C646" s="6" t="inlineStr">
        <is>
          <t>No</t>
        </is>
      </c>
      <c r="D646" s="6" t="inlineStr">
        <is>
          <t>T3 Contextual</t>
        </is>
      </c>
      <c r="E646" s="6" t="inlineStr">
        <is>
          <t>Cryogenic Interfaces</t>
        </is>
      </c>
      <c r="F646" s="82" t="inlineStr">
        <is>
          <t>SYSTEM</t>
        </is>
      </c>
      <c r="G646" s="83" t="inlineStr">
        <is>
          <t>Performance</t>
        </is>
      </c>
      <c r="H646" s="59" t="inlineStr">
        <is>
          <t>—</t>
        </is>
      </c>
      <c r="I646" s="58" t="inlineStr">
        <is>
          <t>Not linked to an OFFER item</t>
        </is>
      </c>
      <c r="J646" s="6" t="n">
        <v>67</v>
      </c>
      <c r="K646" s="6" t="inlineStr">
        <is>
          <t>4.5.2</t>
        </is>
      </c>
      <c r="L646" s="6" t="inlineStr">
        <is>
          <t>Warm Piping System (WPS)</t>
        </is>
      </c>
      <c r="M646" s="6" t="inlineStr">
        <is>
          <t>The QRB-WPS connections shall be defined and frozen as follows:</t>
        </is>
      </c>
      <c r="N646" s="6" t="inlineStr">
        <is>
          <t>The QRB-WPS connections shall be defined and frozen as follows:
• The arrangement shall be defined during the Conceptual Design phase.
• The interfaces, including pipe sizes and location, shall be frozen no later than the end of the Detailed Design phase.
• The preliminary dimensions and mechanical interfaces of the WPS interfaces are as follows:
• Line U: DN25 at user side; final connection type shall be defined by SCK CEN.
• Line W: DN40 at user side; final connection type shall be defined by SCK CEN.
• Line S: DN150 at user side; final connection type shall be defined by SCK CEN.</t>
        </is>
      </c>
      <c r="O646" s="6" t="n">
        <v>0</v>
      </c>
      <c r="P646" s="6" t="n">
        <v>0</v>
      </c>
      <c r="Q646" s="6" t="n">
        <v>1</v>
      </c>
      <c r="R646" s="6" t="n">
        <v>2</v>
      </c>
      <c r="S646" s="6" t="n">
        <v>0</v>
      </c>
      <c r="T646" s="6" t="n">
        <v>0</v>
      </c>
      <c r="U646" s="6" t="n">
        <v>0</v>
      </c>
      <c r="V646" s="6" t="n">
        <v>17.333333</v>
      </c>
      <c r="W646" s="6" t="n">
        <v>10.5409</v>
      </c>
      <c r="X646" s="6" t="n">
        <v>0.2623</v>
      </c>
      <c r="Y646" s="6" t="inlineStr">
        <is>
          <t>Functional</t>
        </is>
      </c>
      <c r="Z646" s="6" t="inlineStr">
        <is>
          <t>Frozen-weight composite; strongest contribution: Functional.</t>
        </is>
      </c>
      <c r="AA646" s="6" t="inlineStr">
        <is>
          <t>None explicitly named in this RTM</t>
        </is>
      </c>
      <c r="AB646" s="6" t="inlineStr">
        <is>
          <t>SCK CEN/90508872 §4.5.2; no named external code</t>
        </is>
      </c>
      <c r="AC646" s="6" t="inlineStr">
        <is>
          <t>Functional design/configuration review and sequence/interface demonstration</t>
        </is>
      </c>
      <c r="AD646" s="6" t="inlineStr">
        <is>
          <t>No separate deliverable explicitly named</t>
        </is>
      </c>
      <c r="AE646" s="6" t="inlineStr">
        <is>
          <t>L1 Conceptual Design; L2 Detailed Design</t>
        </is>
      </c>
      <c r="AF646" s="6" t="inlineStr">
        <is>
          <t>Section/contract-derived reference; derived evidence route</t>
        </is>
      </c>
      <c r="AG646" s="58" t="inlineStr">
        <is>
          <t>Not linked to an OFFER item</t>
        </is>
      </c>
    </row>
    <row r="647" ht="47" customHeight="1">
      <c r="A647" s="6" t="n">
        <v>642</v>
      </c>
      <c r="B647" s="6" t="inlineStr">
        <is>
          <t>RTM-288</t>
        </is>
      </c>
      <c r="C647" s="6" t="inlineStr">
        <is>
          <t>No</t>
        </is>
      </c>
      <c r="D647" s="6" t="inlineStr">
        <is>
          <t>T3 Contextual</t>
        </is>
      </c>
      <c r="E647" s="6" t="inlineStr">
        <is>
          <t>Cryogenic Interfaces</t>
        </is>
      </c>
      <c r="F647" s="82" t="inlineStr">
        <is>
          <t>SYSTEM</t>
        </is>
      </c>
      <c r="G647" s="83" t="inlineStr">
        <is>
          <t>Performance</t>
        </is>
      </c>
      <c r="H647" s="59" t="inlineStr">
        <is>
          <t>—</t>
        </is>
      </c>
      <c r="I647" s="58" t="inlineStr">
        <is>
          <t>Not linked to an OFFER item</t>
        </is>
      </c>
      <c r="J647" s="6" t="n">
        <v>68</v>
      </c>
      <c r="K647" s="6" t="inlineStr">
        <is>
          <t>4.5.2.1</t>
        </is>
      </c>
      <c r="L647" s="6" t="inlineStr">
        <is>
          <t>Specificities for Line U interface</t>
        </is>
      </c>
      <c r="M647" s="6" t="inlineStr">
        <is>
          <t>The QRB.U shall support the following use cases:</t>
        </is>
      </c>
      <c r="N647" s="6" t="inlineStr">
        <is>
          <t>The QRB.U shall support the following use cases:
• Helium supply for purge/conditioning of the Cryogenic Users
• Helium supply for replenishment of helium guards at the Cryogenic Users</t>
        </is>
      </c>
      <c r="O647" s="6" t="n">
        <v>0</v>
      </c>
      <c r="P647" s="6" t="n">
        <v>0</v>
      </c>
      <c r="Q647" s="6" t="n">
        <v>1</v>
      </c>
      <c r="R647" s="6" t="n">
        <v>2</v>
      </c>
      <c r="S647" s="6" t="n">
        <v>0</v>
      </c>
      <c r="T647" s="6" t="n">
        <v>0</v>
      </c>
      <c r="U647" s="6" t="n">
        <v>0</v>
      </c>
      <c r="V647" s="6" t="n">
        <v>17.333333</v>
      </c>
      <c r="W647" s="6" t="n">
        <v>10.5409</v>
      </c>
      <c r="X647" s="6" t="n">
        <v>0.2623</v>
      </c>
      <c r="Y647" s="6" t="inlineStr">
        <is>
          <t>Functional</t>
        </is>
      </c>
      <c r="Z647" s="6" t="inlineStr">
        <is>
          <t>Frozen-weight composite; strongest contribution: Functional.</t>
        </is>
      </c>
      <c r="AA647" s="6" t="inlineStr">
        <is>
          <t>None explicitly named in this RTM</t>
        </is>
      </c>
      <c r="AB647" s="6" t="inlineStr">
        <is>
          <t>SCK CEN/90508872 §4.5.2.1; no named external code</t>
        </is>
      </c>
      <c r="AC647" s="6" t="inlineStr">
        <is>
          <t>Design review plus final inspection/acceptance evidence</t>
        </is>
      </c>
      <c r="AD647" s="6" t="inlineStr">
        <is>
          <t>No separate deliverable explicitly named</t>
        </is>
      </c>
      <c r="AE647" s="6" t="inlineStr">
        <is>
          <t>L1 Conceptual Design; L2 Detailed Design</t>
        </is>
      </c>
      <c r="AF647" s="6" t="inlineStr">
        <is>
          <t>Section/contract-derived reference; derived evidence route</t>
        </is>
      </c>
      <c r="AG647" s="58" t="inlineStr">
        <is>
          <t>Not linked to an OFFER item</t>
        </is>
      </c>
    </row>
    <row r="648" ht="34" customHeight="1">
      <c r="A648" s="6" t="n">
        <v>643</v>
      </c>
      <c r="B648" s="6" t="inlineStr">
        <is>
          <t>RTM-291</t>
        </is>
      </c>
      <c r="C648" s="6" t="inlineStr">
        <is>
          <t>No</t>
        </is>
      </c>
      <c r="D648" s="6" t="inlineStr">
        <is>
          <t>T3 Contextual</t>
        </is>
      </c>
      <c r="E648" s="6" t="inlineStr">
        <is>
          <t>Cryogenic Interfaces</t>
        </is>
      </c>
      <c r="F648" s="82" t="inlineStr">
        <is>
          <t>SYSTEM</t>
        </is>
      </c>
      <c r="G648" s="83" t="inlineStr">
        <is>
          <t>Performance</t>
        </is>
      </c>
      <c r="H648" s="59" t="inlineStr">
        <is>
          <t>—</t>
        </is>
      </c>
      <c r="I648" s="58" t="inlineStr">
        <is>
          <t>Not linked to an OFFER item</t>
        </is>
      </c>
      <c r="J648" s="6" t="n">
        <v>68</v>
      </c>
      <c r="K648" s="6" t="inlineStr">
        <is>
          <t>4.5.2.2</t>
        </is>
      </c>
      <c r="L648" s="6" t="inlineStr">
        <is>
          <t>Specificities for Line S interface</t>
        </is>
      </c>
      <c r="M648" s="6" t="inlineStr">
        <is>
          <t>The QRB.S shall support the following use case:</t>
        </is>
      </c>
      <c r="N648" s="6" t="inlineStr">
        <is>
          <t>The QRB.S shall support the following use case:
• Helium return at room temperature from the Cryogenic Users</t>
        </is>
      </c>
      <c r="O648" s="6" t="n">
        <v>0</v>
      </c>
      <c r="P648" s="6" t="n">
        <v>0</v>
      </c>
      <c r="Q648" s="6" t="n">
        <v>1</v>
      </c>
      <c r="R648" s="6" t="n">
        <v>2</v>
      </c>
      <c r="S648" s="6" t="n">
        <v>0</v>
      </c>
      <c r="T648" s="6" t="n">
        <v>0</v>
      </c>
      <c r="U648" s="6" t="n">
        <v>0</v>
      </c>
      <c r="V648" s="6" t="n">
        <v>17.333333</v>
      </c>
      <c r="W648" s="6" t="n">
        <v>10.5409</v>
      </c>
      <c r="X648" s="6" t="n">
        <v>0.2623</v>
      </c>
      <c r="Y648" s="6" t="inlineStr">
        <is>
          <t>Functional</t>
        </is>
      </c>
      <c r="Z648" s="6" t="inlineStr">
        <is>
          <t>Frozen-weight composite; strongest contribution: Functional.</t>
        </is>
      </c>
      <c r="AA648" s="6" t="inlineStr">
        <is>
          <t>None explicitly named in this RTM</t>
        </is>
      </c>
      <c r="AB648" s="6" t="inlineStr">
        <is>
          <t>SCK CEN/90508872 §4.5.2.2; no named external code</t>
        </is>
      </c>
      <c r="AC648" s="6" t="inlineStr">
        <is>
          <t>Design review plus final inspection/acceptance evidence</t>
        </is>
      </c>
      <c r="AD648" s="6" t="inlineStr">
        <is>
          <t>No separate deliverable explicitly named</t>
        </is>
      </c>
      <c r="AE648" s="6" t="inlineStr">
        <is>
          <t>L1 Conceptual Design; L2 Detailed Design</t>
        </is>
      </c>
      <c r="AF648" s="6" t="inlineStr">
        <is>
          <t>Section/contract-derived reference; derived evidence route</t>
        </is>
      </c>
      <c r="AG648" s="58" t="inlineStr">
        <is>
          <t>Not linked to an OFFER item</t>
        </is>
      </c>
    </row>
    <row r="649" ht="60" customHeight="1">
      <c r="A649" s="6" t="n">
        <v>644</v>
      </c>
      <c r="B649" s="6" t="inlineStr">
        <is>
          <t>RTM-293</t>
        </is>
      </c>
      <c r="C649" s="6" t="inlineStr">
        <is>
          <t>No</t>
        </is>
      </c>
      <c r="D649" s="6" t="inlineStr">
        <is>
          <t>T3 Contextual</t>
        </is>
      </c>
      <c r="E649" s="6" t="inlineStr">
        <is>
          <t>Cryogenic Interfaces</t>
        </is>
      </c>
      <c r="F649" s="82" t="inlineStr">
        <is>
          <t>SYSTEM</t>
        </is>
      </c>
      <c r="G649" s="83" t="inlineStr">
        <is>
          <t>Performance</t>
        </is>
      </c>
      <c r="H649" s="59" t="inlineStr">
        <is>
          <t>—</t>
        </is>
      </c>
      <c r="I649" s="58" t="inlineStr">
        <is>
          <t>Not linked to an OFFER item</t>
        </is>
      </c>
      <c r="J649" s="6" t="n">
        <v>68</v>
      </c>
      <c r="K649" s="6" t="inlineStr">
        <is>
          <t>4.5.2.2</t>
        </is>
      </c>
      <c r="L649" s="6" t="inlineStr">
        <is>
          <t>Specificities for Line S interface</t>
        </is>
      </c>
      <c r="M649" s="6" t="inlineStr">
        <is>
          <t>The QPS design and operating sequences shall not cause the pressure at the WPS.S side of the interface from dropping below the minimum allowable pressure specified in RTM-292.</t>
        </is>
      </c>
      <c r="N649" s="6" t="inlineStr">
        <is>
          <t>The QPS design and operating sequences shall not cause the pressure at the WPS.S side of the interface from dropping below the minimum allowable pressure specified in RTM-292.</t>
        </is>
      </c>
      <c r="O649" s="6" t="n">
        <v>0</v>
      </c>
      <c r="P649" s="6" t="n">
        <v>0</v>
      </c>
      <c r="Q649" s="6" t="n">
        <v>1</v>
      </c>
      <c r="R649" s="6" t="n">
        <v>2</v>
      </c>
      <c r="S649" s="6" t="n">
        <v>0</v>
      </c>
      <c r="T649" s="6" t="n">
        <v>0</v>
      </c>
      <c r="U649" s="6" t="n">
        <v>0</v>
      </c>
      <c r="V649" s="6" t="n">
        <v>17.333333</v>
      </c>
      <c r="W649" s="6" t="n">
        <v>10.5409</v>
      </c>
      <c r="X649" s="6" t="n">
        <v>0.2623</v>
      </c>
      <c r="Y649" s="6" t="inlineStr">
        <is>
          <t>Functional</t>
        </is>
      </c>
      <c r="Z649" s="6" t="inlineStr">
        <is>
          <t>Frozen-weight composite; strongest contribution: Functional.</t>
        </is>
      </c>
      <c r="AA649" s="6" t="inlineStr">
        <is>
          <t>None explicitly named in this RTM</t>
        </is>
      </c>
      <c r="AB649" s="6" t="inlineStr">
        <is>
          <t>SCK CEN/90508872 §4.5.2.2; no named external code</t>
        </is>
      </c>
      <c r="AC649" s="6" t="inlineStr">
        <is>
          <t>Functional design/configuration review and sequence/interface demonstration</t>
        </is>
      </c>
      <c r="AD649" s="6" t="inlineStr">
        <is>
          <t>No separate deliverable explicitly named</t>
        </is>
      </c>
      <c r="AE649" s="6" t="inlineStr">
        <is>
          <t>L1 Conceptual Design; L2 Detailed Design</t>
        </is>
      </c>
      <c r="AF649" s="6" t="inlineStr">
        <is>
          <t>Section/contract-derived reference; derived evidence route</t>
        </is>
      </c>
      <c r="AG649" s="58" t="inlineStr">
        <is>
          <t>Not linked to an OFFER item</t>
        </is>
      </c>
    </row>
    <row r="650" ht="34" customHeight="1">
      <c r="A650" s="6" t="n">
        <v>645</v>
      </c>
      <c r="B650" s="6" t="inlineStr">
        <is>
          <t>RTM-295</t>
        </is>
      </c>
      <c r="C650" s="6" t="inlineStr">
        <is>
          <t>No</t>
        </is>
      </c>
      <c r="D650" s="6" t="inlineStr">
        <is>
          <t>T3 Contextual</t>
        </is>
      </c>
      <c r="E650" s="6" t="inlineStr">
        <is>
          <t>Cryogenic Interfaces</t>
        </is>
      </c>
      <c r="F650" s="82" t="inlineStr">
        <is>
          <t>SYSTEM</t>
        </is>
      </c>
      <c r="G650" s="83" t="inlineStr">
        <is>
          <t>Performance</t>
        </is>
      </c>
      <c r="H650" s="59" t="inlineStr">
        <is>
          <t>—</t>
        </is>
      </c>
      <c r="I650" s="58" t="inlineStr">
        <is>
          <t>Not linked to an OFFER item</t>
        </is>
      </c>
      <c r="J650" s="6" t="n">
        <v>69</v>
      </c>
      <c r="K650" s="6" t="inlineStr">
        <is>
          <t>4.5.2.3</t>
        </is>
      </c>
      <c r="L650" s="6" t="inlineStr">
        <is>
          <t>Specificities for Line W interface</t>
        </is>
      </c>
      <c r="M650" s="6" t="inlineStr">
        <is>
          <t>The QRB.W shall support the following use case:</t>
        </is>
      </c>
      <c r="N650" s="6" t="inlineStr">
        <is>
          <t>The QRB.W shall support the following use case:
• Helium return at room temperature from the Cryogenic Users</t>
        </is>
      </c>
      <c r="O650" s="6" t="n">
        <v>0</v>
      </c>
      <c r="P650" s="6" t="n">
        <v>0</v>
      </c>
      <c r="Q650" s="6" t="n">
        <v>1</v>
      </c>
      <c r="R650" s="6" t="n">
        <v>2</v>
      </c>
      <c r="S650" s="6" t="n">
        <v>0</v>
      </c>
      <c r="T650" s="6" t="n">
        <v>0</v>
      </c>
      <c r="U650" s="6" t="n">
        <v>0</v>
      </c>
      <c r="V650" s="6" t="n">
        <v>17.333333</v>
      </c>
      <c r="W650" s="6" t="n">
        <v>10.5409</v>
      </c>
      <c r="X650" s="6" t="n">
        <v>0.2623</v>
      </c>
      <c r="Y650" s="6" t="inlineStr">
        <is>
          <t>Functional</t>
        </is>
      </c>
      <c r="Z650" s="6" t="inlineStr">
        <is>
          <t>Frozen-weight composite; strongest contribution: Functional.</t>
        </is>
      </c>
      <c r="AA650" s="6" t="inlineStr">
        <is>
          <t>None explicitly named in this RTM</t>
        </is>
      </c>
      <c r="AB650" s="6" t="inlineStr">
        <is>
          <t>SCK CEN/90508872 §4.5.2.3; no named external code</t>
        </is>
      </c>
      <c r="AC650" s="6" t="inlineStr">
        <is>
          <t>Design review plus final inspection/acceptance evidence</t>
        </is>
      </c>
      <c r="AD650" s="6" t="inlineStr">
        <is>
          <t>No separate deliverable explicitly named</t>
        </is>
      </c>
      <c r="AE650" s="6" t="inlineStr">
        <is>
          <t>L1 Conceptual Design; L2 Detailed Design</t>
        </is>
      </c>
      <c r="AF650" s="6" t="inlineStr">
        <is>
          <t>Section/contract-derived reference; derived evidence route</t>
        </is>
      </c>
      <c r="AG650" s="58" t="inlineStr">
        <is>
          <t>Not linked to an OFFER item</t>
        </is>
      </c>
    </row>
    <row r="651" ht="47" customHeight="1">
      <c r="A651" s="6" t="n">
        <v>646</v>
      </c>
      <c r="B651" s="6" t="inlineStr">
        <is>
          <t>RTM-384</t>
        </is>
      </c>
      <c r="C651" s="6" t="inlineStr">
        <is>
          <t>No</t>
        </is>
      </c>
      <c r="D651" s="6" t="inlineStr">
        <is>
          <t>T3 Contextual</t>
        </is>
      </c>
      <c r="E651" s="6" t="inlineStr">
        <is>
          <t>Buildings &amp; Utilities</t>
        </is>
      </c>
      <c r="F651" s="82" t="inlineStr">
        <is>
          <t>SYSTEM</t>
        </is>
      </c>
      <c r="G651" s="83" t="inlineStr">
        <is>
          <t>Performance</t>
        </is>
      </c>
      <c r="H651" s="59" t="inlineStr">
        <is>
          <t>—</t>
        </is>
      </c>
      <c r="I651" s="81" t="inlineStr">
        <is>
          <t>Inferred: C5 — Infrastructure &amp; Integration (high conf.)</t>
        </is>
      </c>
      <c r="J651" s="6" t="n">
        <v>79</v>
      </c>
      <c r="K651" s="6" t="inlineStr">
        <is>
          <t>4.7</t>
        </is>
      </c>
      <c r="L651" s="6" t="inlineStr">
        <is>
          <t>Buildings and Utility Interfaces</t>
        </is>
      </c>
      <c r="M651" s="6" t="inlineStr">
        <is>
          <t>The Contractor shall design the QPS in accordance with the building and utility provisions provided by SCK CEN, as specified in this section, [AD_01], and [AD_03].</t>
        </is>
      </c>
      <c r="N651" s="6" t="inlineStr">
        <is>
          <t>The Contractor shall design the QPS in accordance with the building and utility provisions provided by SCK CEN, as specified in this section, [AD_01], and [AD_03].</t>
        </is>
      </c>
      <c r="O651" s="6" t="n">
        <v>0</v>
      </c>
      <c r="P651" s="6" t="n">
        <v>0</v>
      </c>
      <c r="Q651" s="6" t="n">
        <v>1</v>
      </c>
      <c r="R651" s="6" t="n">
        <v>2</v>
      </c>
      <c r="S651" s="6" t="n">
        <v>0</v>
      </c>
      <c r="T651" s="6" t="n">
        <v>0</v>
      </c>
      <c r="U651" s="6" t="n">
        <v>0</v>
      </c>
      <c r="V651" s="6" t="n">
        <v>17.333333</v>
      </c>
      <c r="W651" s="6" t="n">
        <v>10.5409</v>
      </c>
      <c r="X651" s="6" t="n">
        <v>0.2623</v>
      </c>
      <c r="Y651" s="6" t="inlineStr">
        <is>
          <t>Functional</t>
        </is>
      </c>
      <c r="Z651" s="6" t="inlineStr">
        <is>
          <t>Frozen-weight composite; strongest contribution: Functional.</t>
        </is>
      </c>
      <c r="AA651" s="6" t="inlineStr">
        <is>
          <t>None explicitly named in this RTM</t>
        </is>
      </c>
      <c r="AB651" s="6" t="inlineStr">
        <is>
          <t>SCK CEN/90508872 §4.7; no named external code</t>
        </is>
      </c>
      <c r="AC651" s="6" t="inlineStr">
        <is>
          <t>Design review plus final inspection/acceptance evidence</t>
        </is>
      </c>
      <c r="AD651" s="6" t="inlineStr">
        <is>
          <t>No separate deliverable explicitly named</t>
        </is>
      </c>
      <c r="AE651" s="6" t="inlineStr">
        <is>
          <t>L1 Conceptual Design; L2 Detailed Design</t>
        </is>
      </c>
      <c r="AF651" s="6" t="inlineStr">
        <is>
          <t>Section/contract-derived reference; derived evidence route</t>
        </is>
      </c>
      <c r="AG651" s="58" t="inlineStr">
        <is>
          <t>Not linked to an OFFER item</t>
        </is>
      </c>
    </row>
    <row r="652" ht="34" customHeight="1">
      <c r="A652" s="6" t="n">
        <v>647</v>
      </c>
      <c r="B652" s="6" t="inlineStr">
        <is>
          <t>RTM-386</t>
        </is>
      </c>
      <c r="C652" s="6" t="inlineStr">
        <is>
          <t>No</t>
        </is>
      </c>
      <c r="D652" s="6" t="inlineStr">
        <is>
          <t>T3 Contextual</t>
        </is>
      </c>
      <c r="E652" s="6" t="inlineStr">
        <is>
          <t>Buildings &amp; Utilities</t>
        </is>
      </c>
      <c r="F652" s="82" t="inlineStr">
        <is>
          <t>SYSTEM</t>
        </is>
      </c>
      <c r="G652" s="83" t="inlineStr">
        <is>
          <t>Performance</t>
        </is>
      </c>
      <c r="H652" s="59" t="inlineStr">
        <is>
          <t>—</t>
        </is>
      </c>
      <c r="I652" s="58" t="inlineStr">
        <is>
          <t>C5 — Infrastructure &amp; Integration</t>
        </is>
      </c>
      <c r="J652" s="6" t="n">
        <v>79</v>
      </c>
      <c r="K652" s="6" t="inlineStr">
        <is>
          <t>4.7.1</t>
        </is>
      </c>
      <c r="L652" s="6" t="inlineStr">
        <is>
          <t>Site environmental conditions</t>
        </is>
      </c>
      <c r="M652" s="6" t="inlineStr">
        <is>
          <t>The QPS shall be designed to operate under the site environmental conditions specified in Table 18.</t>
        </is>
      </c>
      <c r="N652" s="6" t="inlineStr">
        <is>
          <t>The QPS shall be designed to operate under the site environmental conditions specified in Table 18.</t>
        </is>
      </c>
      <c r="O652" s="6" t="n">
        <v>0</v>
      </c>
      <c r="P652" s="6" t="n">
        <v>0</v>
      </c>
      <c r="Q652" s="6" t="n">
        <v>1</v>
      </c>
      <c r="R652" s="6" t="n">
        <v>2</v>
      </c>
      <c r="S652" s="6" t="n">
        <v>0</v>
      </c>
      <c r="T652" s="6" t="n">
        <v>0</v>
      </c>
      <c r="U652" s="6" t="n">
        <v>0</v>
      </c>
      <c r="V652" s="6" t="n">
        <v>17.333333</v>
      </c>
      <c r="W652" s="6" t="n">
        <v>10.5409</v>
      </c>
      <c r="X652" s="6" t="n">
        <v>0.2623</v>
      </c>
      <c r="Y652" s="6" t="inlineStr">
        <is>
          <t>Functional</t>
        </is>
      </c>
      <c r="Z652" s="6" t="inlineStr">
        <is>
          <t>Frozen-weight composite; strongest contribution: Functional.</t>
        </is>
      </c>
      <c r="AA652" s="6" t="inlineStr">
        <is>
          <t>None explicitly named in this RTM</t>
        </is>
      </c>
      <c r="AB652" s="6" t="inlineStr">
        <is>
          <t>SCK CEN/90508872 §4.7.1; no named external code</t>
        </is>
      </c>
      <c r="AC652" s="6" t="inlineStr">
        <is>
          <t>Design review plus final inspection/acceptance evidence</t>
        </is>
      </c>
      <c r="AD652" s="6" t="inlineStr">
        <is>
          <t>No separate deliverable explicitly named</t>
        </is>
      </c>
      <c r="AE652" s="6" t="inlineStr">
        <is>
          <t>L1 Conceptual Design; L2 Detailed Design</t>
        </is>
      </c>
      <c r="AF652" s="6" t="inlineStr">
        <is>
          <t>Section/contract-derived reference; derived evidence route</t>
        </is>
      </c>
      <c r="AG652" s="58" t="inlineStr">
        <is>
          <t>OFFER-31 (Direct)</t>
        </is>
      </c>
    </row>
    <row r="653" ht="60" customHeight="1">
      <c r="A653" s="6" t="n">
        <v>648</v>
      </c>
      <c r="B653" s="6" t="inlineStr">
        <is>
          <t>RTM-387</t>
        </is>
      </c>
      <c r="C653" s="6" t="inlineStr">
        <is>
          <t>No</t>
        </is>
      </c>
      <c r="D653" s="6" t="inlineStr">
        <is>
          <t>T3 Contextual</t>
        </is>
      </c>
      <c r="E653" s="6" t="inlineStr">
        <is>
          <t>Buildings &amp; Utilities</t>
        </is>
      </c>
      <c r="F653" s="82" t="inlineStr">
        <is>
          <t>SYSTEM</t>
        </is>
      </c>
      <c r="G653" s="83" t="inlineStr">
        <is>
          <t>Performance</t>
        </is>
      </c>
      <c r="H653" s="59" t="inlineStr">
        <is>
          <t>—</t>
        </is>
      </c>
      <c r="I653" s="58" t="inlineStr">
        <is>
          <t>C5 — Infrastructure &amp; Integration</t>
        </is>
      </c>
      <c r="J653" s="6" t="n">
        <v>79</v>
      </c>
      <c r="K653" s="6" t="inlineStr">
        <is>
          <t>4.7.1</t>
        </is>
      </c>
      <c r="L653" s="6" t="inlineStr">
        <is>
          <t>Site environmental conditions</t>
        </is>
      </c>
      <c r="M653" s="6" t="inlineStr">
        <is>
          <t>For the Cold Box Room, the specified ambient temperature range may be reduced for sensitive equipment upon the Contractor’s request, subject to justification and approval by SCK CEN.</t>
        </is>
      </c>
      <c r="N653" s="6" t="inlineStr">
        <is>
          <t>For the Cold Box Room, the specified ambient temperature range may be reduced for sensitive equipment upon the Contractor’s request, subject to justification and approval by SCK CEN.</t>
        </is>
      </c>
      <c r="O653" s="6" t="n">
        <v>0</v>
      </c>
      <c r="P653" s="6" t="n">
        <v>0</v>
      </c>
      <c r="Q653" s="6" t="n">
        <v>1</v>
      </c>
      <c r="R653" s="6" t="n">
        <v>2</v>
      </c>
      <c r="S653" s="6" t="n">
        <v>0</v>
      </c>
      <c r="T653" s="6" t="n">
        <v>0</v>
      </c>
      <c r="U653" s="6" t="n">
        <v>0</v>
      </c>
      <c r="V653" s="6" t="n">
        <v>17.333333</v>
      </c>
      <c r="W653" s="6" t="n">
        <v>10.5409</v>
      </c>
      <c r="X653" s="6" t="n">
        <v>0.2623</v>
      </c>
      <c r="Y653" s="6" t="inlineStr">
        <is>
          <t>Functional</t>
        </is>
      </c>
      <c r="Z653" s="6" t="inlineStr">
        <is>
          <t>Frozen-weight composite; strongest contribution: Functional.</t>
        </is>
      </c>
      <c r="AA653" s="6" t="inlineStr">
        <is>
          <t>None explicitly named in this RTM</t>
        </is>
      </c>
      <c r="AB653" s="6" t="inlineStr">
        <is>
          <t>SCK CEN/90508872 §4.7.1; no named external code</t>
        </is>
      </c>
      <c r="AC653" s="6" t="inlineStr">
        <is>
          <t>Design review plus final inspection/acceptance evidence</t>
        </is>
      </c>
      <c r="AD653" s="6" t="inlineStr">
        <is>
          <t>No separate deliverable explicitly named</t>
        </is>
      </c>
      <c r="AE653" s="6" t="inlineStr">
        <is>
          <t>L1 Conceptual Design; L2 Detailed Design</t>
        </is>
      </c>
      <c r="AF653" s="6" t="inlineStr">
        <is>
          <t>Section/contract-derived reference; derived evidence route</t>
        </is>
      </c>
      <c r="AG653" s="58" t="inlineStr">
        <is>
          <t>OFFER-31 (Direct)</t>
        </is>
      </c>
    </row>
    <row r="654" ht="73" customHeight="1">
      <c r="A654" s="6" t="n">
        <v>649</v>
      </c>
      <c r="B654" s="6" t="inlineStr">
        <is>
          <t>RTM-388</t>
        </is>
      </c>
      <c r="C654" s="6" t="inlineStr">
        <is>
          <t>No</t>
        </is>
      </c>
      <c r="D654" s="6" t="inlineStr">
        <is>
          <t>T3 Contextual</t>
        </is>
      </c>
      <c r="E654" s="6" t="inlineStr">
        <is>
          <t>Buildings &amp; Utilities</t>
        </is>
      </c>
      <c r="F654" s="82" t="inlineStr">
        <is>
          <t>SYSTEM</t>
        </is>
      </c>
      <c r="G654" s="83" t="inlineStr">
        <is>
          <t>Performance</t>
        </is>
      </c>
      <c r="H654" s="59" t="inlineStr">
        <is>
          <t>—</t>
        </is>
      </c>
      <c r="I654" s="58" t="inlineStr">
        <is>
          <t>C5 — Infrastructure &amp; Integration</t>
        </is>
      </c>
      <c r="J654" s="6" t="n">
        <v>80</v>
      </c>
      <c r="K654" s="6" t="inlineStr">
        <is>
          <t>4.7.2</t>
        </is>
      </c>
      <c r="L654" s="6" t="inlineStr">
        <is>
          <t>Building</t>
        </is>
      </c>
      <c r="M654" s="6" t="inlineStr">
        <is>
          <t>The Contractor shall design the QPS in accordance with the building and areas provided by SCK CEN, as specified in [AD_01].</t>
        </is>
      </c>
      <c r="N654" s="6" t="inlineStr">
        <is>
          <t>The Contractor shall design the QPS in accordance with the building and areas provided by SCK CEN, as specified in [AD_01].
• The Auxiliary Building (AUB), including the Cold-Box Room.
• The Cryogenic Compressor Building (CCB), including the Compressor Room and the designated outdoor Storage Area.</t>
        </is>
      </c>
      <c r="O654" s="6" t="n">
        <v>0</v>
      </c>
      <c r="P654" s="6" t="n">
        <v>0</v>
      </c>
      <c r="Q654" s="6" t="n">
        <v>1</v>
      </c>
      <c r="R654" s="6" t="n">
        <v>2</v>
      </c>
      <c r="S654" s="6" t="n">
        <v>0</v>
      </c>
      <c r="T654" s="6" t="n">
        <v>0</v>
      </c>
      <c r="U654" s="6" t="n">
        <v>0</v>
      </c>
      <c r="V654" s="6" t="n">
        <v>17.333333</v>
      </c>
      <c r="W654" s="6" t="n">
        <v>10.5409</v>
      </c>
      <c r="X654" s="6" t="n">
        <v>0.2623</v>
      </c>
      <c r="Y654" s="6" t="inlineStr">
        <is>
          <t>Functional</t>
        </is>
      </c>
      <c r="Z654" s="6" t="inlineStr">
        <is>
          <t>Frozen-weight composite; strongest contribution: Functional.</t>
        </is>
      </c>
      <c r="AA654" s="6" t="inlineStr">
        <is>
          <t>None explicitly named in this RTM</t>
        </is>
      </c>
      <c r="AB654" s="6" t="inlineStr">
        <is>
          <t>SCK CEN/90508872 §4.7.2; no named external code</t>
        </is>
      </c>
      <c r="AC654" s="6" t="inlineStr">
        <is>
          <t>Design review plus final inspection/acceptance evidence</t>
        </is>
      </c>
      <c r="AD654" s="6" t="inlineStr">
        <is>
          <t>No separate deliverable explicitly named</t>
        </is>
      </c>
      <c r="AE654" s="6" t="inlineStr">
        <is>
          <t>L1 Conceptual Design; L2 Detailed Design</t>
        </is>
      </c>
      <c r="AF654" s="6" t="inlineStr">
        <is>
          <t>Section/contract-derived reference; derived evidence route</t>
        </is>
      </c>
      <c r="AG654" s="58" t="inlineStr">
        <is>
          <t>OFFER-32 (Direct)</t>
        </is>
      </c>
    </row>
    <row r="655" ht="60" customHeight="1">
      <c r="A655" s="6" t="n">
        <v>650</v>
      </c>
      <c r="B655" s="6" t="inlineStr">
        <is>
          <t>RTM-390</t>
        </is>
      </c>
      <c r="C655" s="6" t="inlineStr">
        <is>
          <t>No</t>
        </is>
      </c>
      <c r="D655" s="6" t="inlineStr">
        <is>
          <t>T3 Contextual</t>
        </is>
      </c>
      <c r="E655" s="6" t="inlineStr">
        <is>
          <t>Buildings &amp; Utilities</t>
        </is>
      </c>
      <c r="F655" s="82" t="inlineStr">
        <is>
          <t>SYSTEM</t>
        </is>
      </c>
      <c r="G655" s="83" t="inlineStr">
        <is>
          <t>Performance</t>
        </is>
      </c>
      <c r="H655" s="59" t="inlineStr">
        <is>
          <t>—</t>
        </is>
      </c>
      <c r="I655" s="58" t="inlineStr">
        <is>
          <t>C5 — Infrastructure &amp; Integration</t>
        </is>
      </c>
      <c r="J655" s="6" t="n">
        <v>80</v>
      </c>
      <c r="K655" s="6" t="inlineStr">
        <is>
          <t>4.7.2</t>
        </is>
      </c>
      <c r="L655" s="6" t="inlineStr">
        <is>
          <t>Building</t>
        </is>
      </c>
      <c r="M655" s="6" t="inlineStr">
        <is>
          <t>During the Conceptual Design Phase, the Contractor shall assess and specify whether permanent lifting infrastructure (e.g., overhead crane, monorail, hoist system) is required in each room.</t>
        </is>
      </c>
      <c r="N655" s="6" t="inlineStr">
        <is>
          <t>During the Conceptual Design Phase, the Contractor shall assess and specify whether permanent lifting infrastructure (e.g., overhead crane, monorail, hoist system) is required in each room.</t>
        </is>
      </c>
      <c r="O655" s="6" t="n">
        <v>0</v>
      </c>
      <c r="P655" s="6" t="n">
        <v>0</v>
      </c>
      <c r="Q655" s="6" t="n">
        <v>1</v>
      </c>
      <c r="R655" s="6" t="n">
        <v>2</v>
      </c>
      <c r="S655" s="6" t="n">
        <v>0</v>
      </c>
      <c r="T655" s="6" t="n">
        <v>0</v>
      </c>
      <c r="U655" s="6" t="n">
        <v>0</v>
      </c>
      <c r="V655" s="6" t="n">
        <v>17.333333</v>
      </c>
      <c r="W655" s="6" t="n">
        <v>10.5409</v>
      </c>
      <c r="X655" s="6" t="n">
        <v>0.2623</v>
      </c>
      <c r="Y655" s="6" t="inlineStr">
        <is>
          <t>Functional</t>
        </is>
      </c>
      <c r="Z655" s="6" t="inlineStr">
        <is>
          <t>Frozen-weight composite; strongest contribution: Functional.</t>
        </is>
      </c>
      <c r="AA655" s="6" t="inlineStr">
        <is>
          <t>None explicitly named in this RTM</t>
        </is>
      </c>
      <c r="AB655" s="6" t="inlineStr">
        <is>
          <t>SCK CEN/90508872 §4.7.2; no named external code</t>
        </is>
      </c>
      <c r="AC655" s="6" t="inlineStr">
        <is>
          <t>Design review plus final inspection/acceptance evidence</t>
        </is>
      </c>
      <c r="AD655" s="6" t="inlineStr">
        <is>
          <t>No separate deliverable explicitly named</t>
        </is>
      </c>
      <c r="AE655" s="6" t="inlineStr">
        <is>
          <t>L1 Conceptual Design; L2 Detailed Design</t>
        </is>
      </c>
      <c r="AF655" s="6" t="inlineStr">
        <is>
          <t>Section/contract-derived reference; derived evidence route</t>
        </is>
      </c>
      <c r="AG655" s="58" t="inlineStr">
        <is>
          <t>OFFER-32 (Direct)</t>
        </is>
      </c>
    </row>
    <row r="656" ht="47" customHeight="1">
      <c r="A656" s="6" t="n">
        <v>651</v>
      </c>
      <c r="B656" s="6" t="inlineStr">
        <is>
          <t>RTM-392</t>
        </is>
      </c>
      <c r="C656" s="6" t="inlineStr">
        <is>
          <t>No</t>
        </is>
      </c>
      <c r="D656" s="6" t="inlineStr">
        <is>
          <t>T3 Contextual</t>
        </is>
      </c>
      <c r="E656" s="6" t="inlineStr">
        <is>
          <t>Buildings &amp; Utilities</t>
        </is>
      </c>
      <c r="F656" s="82" t="inlineStr">
        <is>
          <t>SYSTEM</t>
        </is>
      </c>
      <c r="G656" s="83" t="inlineStr">
        <is>
          <t>Performance</t>
        </is>
      </c>
      <c r="H656" s="59" t="inlineStr">
        <is>
          <t>—</t>
        </is>
      </c>
      <c r="I656" s="58" t="inlineStr">
        <is>
          <t>C5 — Infrastructure &amp; Integration</t>
        </is>
      </c>
      <c r="J656" s="6" t="n">
        <v>80</v>
      </c>
      <c r="K656" s="6" t="inlineStr">
        <is>
          <t>4.7.2</t>
        </is>
      </c>
      <c r="L656" s="6" t="inlineStr">
        <is>
          <t>Building</t>
        </is>
      </c>
      <c r="M656" s="6" t="inlineStr">
        <is>
          <t>For the Compressor Room, the Contractor shall comply with the following constraints:</t>
        </is>
      </c>
      <c r="N656" s="6" t="inlineStr">
        <is>
          <t>For the Compressor Room, the Contractor shall comply with the following constraints:
• The access door is 2.5 m wide and 3.5 m high.</t>
        </is>
      </c>
      <c r="O656" s="6" t="n">
        <v>0</v>
      </c>
      <c r="P656" s="6" t="n">
        <v>0</v>
      </c>
      <c r="Q656" s="6" t="n">
        <v>1</v>
      </c>
      <c r="R656" s="6" t="n">
        <v>2</v>
      </c>
      <c r="S656" s="6" t="n">
        <v>0</v>
      </c>
      <c r="T656" s="6" t="n">
        <v>0</v>
      </c>
      <c r="U656" s="6" t="n">
        <v>0</v>
      </c>
      <c r="V656" s="6" t="n">
        <v>17.333333</v>
      </c>
      <c r="W656" s="6" t="n">
        <v>10.5409</v>
      </c>
      <c r="X656" s="6" t="n">
        <v>0.2623</v>
      </c>
      <c r="Y656" s="6" t="inlineStr">
        <is>
          <t>Functional</t>
        </is>
      </c>
      <c r="Z656" s="6" t="inlineStr">
        <is>
          <t>Frozen-weight composite; strongest contribution: Functional.</t>
        </is>
      </c>
      <c r="AA656" s="6" t="inlineStr">
        <is>
          <t>None explicitly named in this RTM</t>
        </is>
      </c>
      <c r="AB656" s="6" t="inlineStr">
        <is>
          <t>SCK CEN/90508872 §4.7.2; no named external code</t>
        </is>
      </c>
      <c r="AC656" s="6" t="inlineStr">
        <is>
          <t>Design review plus final inspection/acceptance evidence</t>
        </is>
      </c>
      <c r="AD656" s="6" t="inlineStr">
        <is>
          <t>No separate deliverable explicitly named</t>
        </is>
      </c>
      <c r="AE656" s="6" t="inlineStr">
        <is>
          <t>L1 Conceptual Design; L2 Detailed Design</t>
        </is>
      </c>
      <c r="AF656" s="6" t="inlineStr">
        <is>
          <t>Section/contract-derived reference; derived evidence route</t>
        </is>
      </c>
      <c r="AG656" s="58" t="inlineStr">
        <is>
          <t>OFFER-32 (Direct)</t>
        </is>
      </c>
    </row>
    <row r="657" ht="320" customHeight="1">
      <c r="A657" s="6" t="n">
        <v>652</v>
      </c>
      <c r="B657" s="6" t="inlineStr">
        <is>
          <t>RTM-393</t>
        </is>
      </c>
      <c r="C657" s="6" t="inlineStr">
        <is>
          <t>No</t>
        </is>
      </c>
      <c r="D657" s="6" t="inlineStr">
        <is>
          <t>T3 Contextual</t>
        </is>
      </c>
      <c r="E657" s="6" t="inlineStr">
        <is>
          <t>Buildings &amp; Utilities</t>
        </is>
      </c>
      <c r="F657" s="82" t="inlineStr">
        <is>
          <t>SYSTEM</t>
        </is>
      </c>
      <c r="G657" s="83" t="inlineStr">
        <is>
          <t>Constraint</t>
        </is>
      </c>
      <c r="H657" s="59" t="inlineStr">
        <is>
          <t>—</t>
        </is>
      </c>
      <c r="I657" s="58" t="inlineStr">
        <is>
          <t>C5 — Infrastructure &amp; Integration</t>
        </is>
      </c>
      <c r="J657" s="6" t="n">
        <v>80</v>
      </c>
      <c r="K657" s="6" t="inlineStr">
        <is>
          <t>4.7.2</t>
        </is>
      </c>
      <c r="L657" s="6" t="inlineStr">
        <is>
          <t>Building</t>
        </is>
      </c>
      <c r="M657" s="6" t="inlineStr">
        <is>
          <t>For the Cold Box Room, the Contractor shall comply with the following constraints:</t>
        </is>
      </c>
      <c r="N657" s="6" t="inlineStr">
        <is>
          <t>For the Cold Box Room, the Contractor shall comply with the following constraints:
• The access door is 3.0 m wide and 3.0 m high (expandable up to 4.5 m height in exceptional cases).
• The height of the ceiling is ~6.5 m.
• The available space between the facility perimeter and the building is 11 m wide.
• There is a roof opening closed with a temporary cover allowing to install the Cold Box.
• The maximum available roof opening is 4.5 m × 13 m, measured as clear structural opening.
• Within this opening, a preferred installation envelope of 3.7 m × 12 m is available. This envelope may contain service routings that could be temporarily removed to facilitate installation. The removal of these service routings shall be carried out by SCK CEN. The Contractor shall coordinate the removal activities with SCK CEN as part of the installation planning.
• The Contractor shall remove the temporary cover of the roof opening and put it back once the Cold Box is installed.
• The weight of this temporary cover is less than the weight of the Cold Box.
• No additional activities (e.g. for making watertight) are requested.
• The Contractor shall define and accommodate all installation tolerances, lifting equipment clearances, and rigging requirements within the above constraints.</t>
        </is>
      </c>
      <c r="O657" s="6" t="n">
        <v>0</v>
      </c>
      <c r="P657" s="6" t="n">
        <v>0</v>
      </c>
      <c r="Q657" s="6" t="n">
        <v>1</v>
      </c>
      <c r="R657" s="6" t="n">
        <v>2</v>
      </c>
      <c r="S657" s="6" t="n">
        <v>0</v>
      </c>
      <c r="T657" s="6" t="n">
        <v>0</v>
      </c>
      <c r="U657" s="6" t="n">
        <v>0</v>
      </c>
      <c r="V657" s="6" t="n">
        <v>17.333333</v>
      </c>
      <c r="W657" s="6" t="n">
        <v>10.5409</v>
      </c>
      <c r="X657" s="6" t="n">
        <v>0.2623</v>
      </c>
      <c r="Y657" s="6" t="inlineStr">
        <is>
          <t>Functional</t>
        </is>
      </c>
      <c r="Z657" s="6" t="inlineStr">
        <is>
          <t>Frozen-weight composite; strongest contribution: Functional.</t>
        </is>
      </c>
      <c r="AA657" s="6" t="inlineStr">
        <is>
          <t>None explicitly named in this RTM</t>
        </is>
      </c>
      <c r="AB657" s="6" t="inlineStr">
        <is>
          <t>SCK CEN/90508872 §4.7.2; no named external code</t>
        </is>
      </c>
      <c r="AC657" s="6" t="inlineStr">
        <is>
          <t>Design review plus final inspection/acceptance evidence</t>
        </is>
      </c>
      <c r="AD657" s="6" t="inlineStr">
        <is>
          <t>No separate deliverable explicitly named</t>
        </is>
      </c>
      <c r="AE657" s="6" t="inlineStr">
        <is>
          <t>L4 Installation; L1 Conceptual Design; L2 Detailed Design</t>
        </is>
      </c>
      <c r="AF657" s="6" t="inlineStr">
        <is>
          <t>Section/contract-derived reference; derived evidence route</t>
        </is>
      </c>
      <c r="AG657" s="58" t="inlineStr">
        <is>
          <t>OFFER-32 (Direct)</t>
        </is>
      </c>
    </row>
    <row r="658" ht="47" customHeight="1">
      <c r="A658" s="6" t="n">
        <v>653</v>
      </c>
      <c r="B658" s="6" t="inlineStr">
        <is>
          <t>RTM-394</t>
        </is>
      </c>
      <c r="C658" s="6" t="inlineStr">
        <is>
          <t>No</t>
        </is>
      </c>
      <c r="D658" s="6" t="inlineStr">
        <is>
          <t>T3 Contextual</t>
        </is>
      </c>
      <c r="E658" s="6" t="inlineStr">
        <is>
          <t>Buildings &amp; Utilities</t>
        </is>
      </c>
      <c r="F658" s="82" t="inlineStr">
        <is>
          <t>SYSTEM</t>
        </is>
      </c>
      <c r="G658" s="83" t="inlineStr">
        <is>
          <t>Performance</t>
        </is>
      </c>
      <c r="H658" s="59" t="inlineStr">
        <is>
          <t>—</t>
        </is>
      </c>
      <c r="I658" s="58" t="inlineStr">
        <is>
          <t>C5 — Infrastructure &amp; Integration</t>
        </is>
      </c>
      <c r="J658" s="6" t="n">
        <v>81</v>
      </c>
      <c r="K658" s="6" t="inlineStr">
        <is>
          <t>4.7.2</t>
        </is>
      </c>
      <c r="L658" s="6" t="inlineStr">
        <is>
          <t>Building</t>
        </is>
      </c>
      <c r="M658" s="6" t="inlineStr">
        <is>
          <t>For the outdoor Storage Area, the Contractor shall comply with the following constraints:</t>
        </is>
      </c>
      <c r="N658" s="6" t="inlineStr">
        <is>
          <t>For the outdoor Storage Area, the Contractor shall comply with the following constraints:
• The access gate is 5 m wide and 4.5 m high.</t>
        </is>
      </c>
      <c r="O658" s="6" t="n">
        <v>0</v>
      </c>
      <c r="P658" s="6" t="n">
        <v>0</v>
      </c>
      <c r="Q658" s="6" t="n">
        <v>1</v>
      </c>
      <c r="R658" s="6" t="n">
        <v>2</v>
      </c>
      <c r="S658" s="6" t="n">
        <v>0</v>
      </c>
      <c r="T658" s="6" t="n">
        <v>0</v>
      </c>
      <c r="U658" s="6" t="n">
        <v>0</v>
      </c>
      <c r="V658" s="6" t="n">
        <v>17.333333</v>
      </c>
      <c r="W658" s="6" t="n">
        <v>10.5409</v>
      </c>
      <c r="X658" s="6" t="n">
        <v>0.2623</v>
      </c>
      <c r="Y658" s="6" t="inlineStr">
        <is>
          <t>Functional</t>
        </is>
      </c>
      <c r="Z658" s="6" t="inlineStr">
        <is>
          <t>Frozen-weight composite; strongest contribution: Functional.</t>
        </is>
      </c>
      <c r="AA658" s="6" t="inlineStr">
        <is>
          <t>None explicitly named in this RTM</t>
        </is>
      </c>
      <c r="AB658" s="6" t="inlineStr">
        <is>
          <t>SCK CEN/90508872 §4.7.2; no named external code</t>
        </is>
      </c>
      <c r="AC658" s="6" t="inlineStr">
        <is>
          <t>Design review plus final inspection/acceptance evidence</t>
        </is>
      </c>
      <c r="AD658" s="6" t="inlineStr">
        <is>
          <t>No separate deliverable explicitly named</t>
        </is>
      </c>
      <c r="AE658" s="6" t="inlineStr">
        <is>
          <t>L1 Conceptual Design; L2 Detailed Design</t>
        </is>
      </c>
      <c r="AF658" s="6" t="inlineStr">
        <is>
          <t>Section/contract-derived reference; derived evidence route</t>
        </is>
      </c>
      <c r="AG658" s="58" t="inlineStr">
        <is>
          <t>OFFER-32 (Direct)</t>
        </is>
      </c>
    </row>
    <row r="659" ht="60" customHeight="1">
      <c r="A659" s="6" t="n">
        <v>654</v>
      </c>
      <c r="B659" s="6" t="inlineStr">
        <is>
          <t>RTM-429</t>
        </is>
      </c>
      <c r="C659" s="6" t="inlineStr">
        <is>
          <t>No</t>
        </is>
      </c>
      <c r="D659" s="6" t="inlineStr">
        <is>
          <t>T3 Contextual</t>
        </is>
      </c>
      <c r="E659" s="6" t="inlineStr">
        <is>
          <t>Buildings &amp; Utilities</t>
        </is>
      </c>
      <c r="F659" s="82" t="inlineStr">
        <is>
          <t>SYSTEM</t>
        </is>
      </c>
      <c r="G659" s="83" t="inlineStr">
        <is>
          <t>Performance</t>
        </is>
      </c>
      <c r="H659" s="59" t="inlineStr">
        <is>
          <t>—</t>
        </is>
      </c>
      <c r="I659" s="81" t="inlineStr">
        <is>
          <t>Inferred: C5 — Infrastructure &amp; Integration (high conf.)</t>
        </is>
      </c>
      <c r="J659" s="6" t="n">
        <v>85</v>
      </c>
      <c r="K659" s="6" t="inlineStr">
        <is>
          <t>4.7.5</t>
        </is>
      </c>
      <c r="L659" s="6" t="inlineStr">
        <is>
          <t>Instrument Air Interfaces</t>
        </is>
      </c>
      <c r="M659" s="6" t="inlineStr">
        <is>
          <t>The QPS design shall comply with the following instrument-air provisions supplied by SCK CEN:</t>
        </is>
      </c>
      <c r="N659" s="6" t="inlineStr">
        <is>
          <t>The QPS design shall comply with the following instrument-air provisions supplied by SCK CEN:
• One instrument-air outlet in the Compressor Room.
• One instrument-air outlet in the Cold-Box Room.</t>
        </is>
      </c>
      <c r="O659" s="6" t="n">
        <v>0</v>
      </c>
      <c r="P659" s="6" t="n">
        <v>0</v>
      </c>
      <c r="Q659" s="6" t="n">
        <v>1</v>
      </c>
      <c r="R659" s="6" t="n">
        <v>2</v>
      </c>
      <c r="S659" s="6" t="n">
        <v>0</v>
      </c>
      <c r="T659" s="6" t="n">
        <v>0</v>
      </c>
      <c r="U659" s="6" t="n">
        <v>0</v>
      </c>
      <c r="V659" s="6" t="n">
        <v>17.333333</v>
      </c>
      <c r="W659" s="6" t="n">
        <v>10.5409</v>
      </c>
      <c r="X659" s="6" t="n">
        <v>0.2623</v>
      </c>
      <c r="Y659" s="6" t="inlineStr">
        <is>
          <t>Functional</t>
        </is>
      </c>
      <c r="Z659" s="6" t="inlineStr">
        <is>
          <t>Frozen-weight composite; strongest contribution: Functional.</t>
        </is>
      </c>
      <c r="AA659" s="6" t="inlineStr">
        <is>
          <t>None explicitly named in this RTM</t>
        </is>
      </c>
      <c r="AB659" s="6" t="inlineStr">
        <is>
          <t>Section-level: ISO 8573-1</t>
        </is>
      </c>
      <c r="AC659" s="6" t="inlineStr">
        <is>
          <t>Design review plus final inspection/acceptance evidence</t>
        </is>
      </c>
      <c r="AD659" s="6" t="inlineStr">
        <is>
          <t>No separate deliverable explicitly named</t>
        </is>
      </c>
      <c r="AE659" s="6" t="inlineStr">
        <is>
          <t>L1 Conceptual Design; L2 Detailed Design</t>
        </is>
      </c>
      <c r="AF659" s="6" t="inlineStr">
        <is>
          <t>Section/contract-derived reference; derived evidence route</t>
        </is>
      </c>
      <c r="AG659" s="58" t="inlineStr">
        <is>
          <t>Not linked to an OFFER item</t>
        </is>
      </c>
    </row>
    <row r="660" ht="34" customHeight="1">
      <c r="A660" s="6" t="n">
        <v>655</v>
      </c>
      <c r="B660" s="6" t="inlineStr">
        <is>
          <t>RTM-431</t>
        </is>
      </c>
      <c r="C660" s="6" t="inlineStr">
        <is>
          <t>No</t>
        </is>
      </c>
      <c r="D660" s="6" t="inlineStr">
        <is>
          <t>T3 Contextual</t>
        </is>
      </c>
      <c r="E660" s="6" t="inlineStr">
        <is>
          <t>Buildings &amp; Utilities</t>
        </is>
      </c>
      <c r="F660" s="82" t="inlineStr">
        <is>
          <t>SYSTEM</t>
        </is>
      </c>
      <c r="G660" s="83" t="inlineStr">
        <is>
          <t>Performance</t>
        </is>
      </c>
      <c r="H660" s="59" t="inlineStr">
        <is>
          <t>—</t>
        </is>
      </c>
      <c r="I660" s="81" t="inlineStr">
        <is>
          <t>Inferred: C5 — Infrastructure &amp; Integration (high conf.)</t>
        </is>
      </c>
      <c r="J660" s="6" t="n">
        <v>85</v>
      </c>
      <c r="K660" s="6" t="inlineStr">
        <is>
          <t>4.7.5</t>
        </is>
      </c>
      <c r="L660" s="6" t="inlineStr">
        <is>
          <t>Instrument Air Interfaces</t>
        </is>
      </c>
      <c r="M660" s="6" t="inlineStr">
        <is>
          <t>The Contractor shall distribute the instrument air from the supply points to the relevant QPS equipment.</t>
        </is>
      </c>
      <c r="N660" s="6" t="inlineStr">
        <is>
          <t>The Contractor shall distribute the instrument air from the supply points to the relevant QPS equipment.</t>
        </is>
      </c>
      <c r="O660" s="6" t="n">
        <v>0</v>
      </c>
      <c r="P660" s="6" t="n">
        <v>0</v>
      </c>
      <c r="Q660" s="6" t="n">
        <v>1</v>
      </c>
      <c r="R660" s="6" t="n">
        <v>2</v>
      </c>
      <c r="S660" s="6" t="n">
        <v>0</v>
      </c>
      <c r="T660" s="6" t="n">
        <v>0</v>
      </c>
      <c r="U660" s="6" t="n">
        <v>0</v>
      </c>
      <c r="V660" s="6" t="n">
        <v>17.333333</v>
      </c>
      <c r="W660" s="6" t="n">
        <v>10.5409</v>
      </c>
      <c r="X660" s="6" t="n">
        <v>0.2623</v>
      </c>
      <c r="Y660" s="6" t="inlineStr">
        <is>
          <t>Functional</t>
        </is>
      </c>
      <c r="Z660" s="6" t="inlineStr">
        <is>
          <t>Frozen-weight composite; strongest contribution: Functional.</t>
        </is>
      </c>
      <c r="AA660" s="6" t="inlineStr">
        <is>
          <t>None explicitly named in this RTM</t>
        </is>
      </c>
      <c r="AB660" s="6" t="inlineStr">
        <is>
          <t>Section-level: ISO 8573-1</t>
        </is>
      </c>
      <c r="AC660" s="6" t="inlineStr">
        <is>
          <t>Design review plus final inspection/acceptance evidence</t>
        </is>
      </c>
      <c r="AD660" s="6" t="inlineStr">
        <is>
          <t>No separate deliverable explicitly named</t>
        </is>
      </c>
      <c r="AE660" s="6" t="inlineStr">
        <is>
          <t>L1 Conceptual Design; L2 Detailed Design</t>
        </is>
      </c>
      <c r="AF660" s="6" t="inlineStr">
        <is>
          <t>Section/contract-derived reference; derived evidence route</t>
        </is>
      </c>
      <c r="AG660" s="58" t="inlineStr">
        <is>
          <t>Not linked to an OFFER item</t>
        </is>
      </c>
    </row>
    <row r="661" ht="60" customHeight="1">
      <c r="A661" s="6" t="n">
        <v>656</v>
      </c>
      <c r="B661" s="6" t="inlineStr">
        <is>
          <t>RTM-090</t>
        </is>
      </c>
      <c r="C661" s="6" t="inlineStr">
        <is>
          <t>No</t>
        </is>
      </c>
      <c r="D661" s="6" t="inlineStr">
        <is>
          <t>T3 Contextual</t>
        </is>
      </c>
      <c r="E661" s="6" t="inlineStr">
        <is>
          <t>Subsystems</t>
        </is>
      </c>
      <c r="F661" s="82" t="inlineStr">
        <is>
          <t>SYSTEM</t>
        </is>
      </c>
      <c r="G661" s="83" t="inlineStr">
        <is>
          <t>Performance</t>
        </is>
      </c>
      <c r="H661" s="59" t="inlineStr">
        <is>
          <t>—</t>
        </is>
      </c>
      <c r="I661" s="81" t="inlineStr">
        <is>
          <t>Inferred: C2 — Process Design (low conf.)</t>
        </is>
      </c>
      <c r="J661" s="6" t="n">
        <v>43</v>
      </c>
      <c r="K661" s="6" t="inlineStr">
        <is>
          <t>4.4.1.6</t>
        </is>
      </c>
      <c r="L661" s="6" t="inlineStr">
        <is>
          <t>Internal Interfaces and Interconnections</t>
        </is>
      </c>
      <c r="M661" s="6" t="inlineStr">
        <is>
          <t>The Contractor shall be responsible for the complete definition, design, supply, installation, integration, and commissioning of all internal interfaces and interconnections within the QPS.</t>
        </is>
      </c>
      <c r="N661" s="6" t="inlineStr">
        <is>
          <t>The Contractor shall be responsible for the complete definition, design, supply, installation, integration, and commissioning of all internal interfaces and interconnections within the QPS.</t>
        </is>
      </c>
      <c r="O661" s="6" t="n">
        <v>0</v>
      </c>
      <c r="P661" s="6" t="n">
        <v>0</v>
      </c>
      <c r="Q661" s="6" t="n">
        <v>0</v>
      </c>
      <c r="R661" s="6" t="n">
        <v>3</v>
      </c>
      <c r="S661" s="6" t="n">
        <v>0</v>
      </c>
      <c r="T661" s="6" t="n">
        <v>0</v>
      </c>
      <c r="U661" s="6" t="n">
        <v>0</v>
      </c>
      <c r="V661" s="6" t="n">
        <v>16</v>
      </c>
      <c r="W661" s="6" t="n">
        <v>6.38</v>
      </c>
      <c r="X661" s="6" t="n">
        <v>0.1831</v>
      </c>
      <c r="Y661" s="6" t="inlineStr">
        <is>
          <t>Functional</t>
        </is>
      </c>
      <c r="Z661" s="6" t="inlineStr">
        <is>
          <t>Frozen-weight composite; strongest contribution: Functional.</t>
        </is>
      </c>
      <c r="AA661" s="6" t="inlineStr">
        <is>
          <t>None explicitly named in this RTM</t>
        </is>
      </c>
      <c r="AB661" s="6" t="inlineStr">
        <is>
          <t>SCK CEN/90508872 §4.4.1.6; no named external code</t>
        </is>
      </c>
      <c r="AC661" s="6" t="inlineStr">
        <is>
          <t>Witnessed FAT/SAT/commissioning test against stated acceptance criteria; Functional design/configuration review and sequence/interface demonstration</t>
        </is>
      </c>
      <c r="AD661" s="6" t="inlineStr">
        <is>
          <t>No separate deliverable explicitly named</t>
        </is>
      </c>
      <c r="AE661" s="6" t="inlineStr">
        <is>
          <t>L4 Installation; L1 Conceptual Design; L2 Detailed Design</t>
        </is>
      </c>
      <c r="AF661" s="6" t="inlineStr">
        <is>
          <t>Section/contract-derived reference; derived evidence route</t>
        </is>
      </c>
      <c r="AG661" s="58" t="inlineStr">
        <is>
          <t>Not linked to an OFFER item</t>
        </is>
      </c>
    </row>
    <row r="662" ht="86" customHeight="1">
      <c r="A662" s="6" t="n">
        <v>657</v>
      </c>
      <c r="B662" s="6" t="inlineStr">
        <is>
          <t>RTM-091</t>
        </is>
      </c>
      <c r="C662" s="6" t="inlineStr">
        <is>
          <t>No</t>
        </is>
      </c>
      <c r="D662" s="6" t="inlineStr">
        <is>
          <t>T3 Contextual</t>
        </is>
      </c>
      <c r="E662" s="6" t="inlineStr">
        <is>
          <t>Subsystems</t>
        </is>
      </c>
      <c r="F662" s="82" t="inlineStr">
        <is>
          <t>SAFETY</t>
        </is>
      </c>
      <c r="G662" s="83" t="inlineStr">
        <is>
          <t>Interlock &amp; Control Safety</t>
        </is>
      </c>
      <c r="H662" s="59" t="inlineStr">
        <is>
          <t>—</t>
        </is>
      </c>
      <c r="I662" s="81" t="inlineStr">
        <is>
          <t>Inferred: C3 — Mechanical &amp; Equipment (medium conf.)</t>
        </is>
      </c>
      <c r="J662" s="6" t="n">
        <v>43</v>
      </c>
      <c r="K662" s="6" t="inlineStr">
        <is>
          <t>4.4.1.6</t>
        </is>
      </c>
      <c r="L662" s="6" t="inlineStr">
        <is>
          <t>Internal Interfaces and Interconnections</t>
        </is>
      </c>
      <c r="M662" s="6" t="inlineStr">
        <is>
          <t>The QPS shall include all interconnecting piping, valves, instrumentation, electrical wiring, and control interfaces and interlock connections required for the complete and functional integration of all QPS subsystems. This shall include, at minimum:</t>
        </is>
      </c>
      <c r="N662" s="6" t="inlineStr">
        <is>
          <t>The QPS shall include all interconnecting piping, valves, instrumentation, electrical wiring, and control interfaces and interlock connections required for the complete and functional integration of all QPS subsystems. This shall include, at minimum:
• all connections between WCS, QRB, WSH, and QSN
• all connections to any subsystem forming part of the QPS.</t>
        </is>
      </c>
      <c r="O662" s="6" t="n">
        <v>0</v>
      </c>
      <c r="P662" s="6" t="n">
        <v>0</v>
      </c>
      <c r="Q662" s="6" t="n">
        <v>0</v>
      </c>
      <c r="R662" s="6" t="n">
        <v>3</v>
      </c>
      <c r="S662" s="6" t="n">
        <v>0</v>
      </c>
      <c r="T662" s="6" t="n">
        <v>0</v>
      </c>
      <c r="U662" s="6" t="n">
        <v>0</v>
      </c>
      <c r="V662" s="6" t="n">
        <v>16</v>
      </c>
      <c r="W662" s="6" t="n">
        <v>6.38</v>
      </c>
      <c r="X662" s="6" t="n">
        <v>0.1831</v>
      </c>
      <c r="Y662" s="6" t="inlineStr">
        <is>
          <t>Functional</t>
        </is>
      </c>
      <c r="Z662" s="6" t="inlineStr">
        <is>
          <t>Frozen-weight composite; strongest contribution: Functional.</t>
        </is>
      </c>
      <c r="AA662" s="6" t="inlineStr">
        <is>
          <t>None explicitly named in this RTM</t>
        </is>
      </c>
      <c r="AB662" s="6" t="inlineStr">
        <is>
          <t>SCK CEN/90508872 §4.4.1.6; no named external code</t>
        </is>
      </c>
      <c r="AC662" s="6" t="inlineStr">
        <is>
          <t>Functional design/configuration review and sequence/interface demonstration</t>
        </is>
      </c>
      <c r="AD662" s="6" t="inlineStr">
        <is>
          <t>No separate deliverable explicitly named</t>
        </is>
      </c>
      <c r="AE662" s="6" t="inlineStr">
        <is>
          <t>L1 Conceptual Design; L2 Detailed Design</t>
        </is>
      </c>
      <c r="AF662" s="6" t="inlineStr">
        <is>
          <t>Section/contract-derived reference; derived evidence route</t>
        </is>
      </c>
      <c r="AG662" s="58" t="inlineStr">
        <is>
          <t>Not linked to an OFFER item</t>
        </is>
      </c>
    </row>
    <row r="663" ht="47" customHeight="1">
      <c r="A663" s="6" t="n">
        <v>658</v>
      </c>
      <c r="B663" s="6" t="inlineStr">
        <is>
          <t>RTM-298</t>
        </is>
      </c>
      <c r="C663" s="6" t="inlineStr">
        <is>
          <t>No</t>
        </is>
      </c>
      <c r="D663" s="6" t="inlineStr">
        <is>
          <t>T3 Contextual</t>
        </is>
      </c>
      <c r="E663" s="6" t="inlineStr">
        <is>
          <t>Control &amp; Interlock</t>
        </is>
      </c>
      <c r="F663" s="82" t="inlineStr">
        <is>
          <t>SYSTEM</t>
        </is>
      </c>
      <c r="G663" s="83" t="inlineStr">
        <is>
          <t>Performance</t>
        </is>
      </c>
      <c r="H663" s="59" t="inlineStr">
        <is>
          <t>—</t>
        </is>
      </c>
      <c r="I663" s="81" t="inlineStr">
        <is>
          <t>Inferred: C4 — Software &amp; Control (high conf.)</t>
        </is>
      </c>
      <c r="J663" s="6" t="n">
        <v>70</v>
      </c>
      <c r="K663" s="6" t="inlineStr">
        <is>
          <t>4.6.3</t>
        </is>
      </c>
      <c r="L663" s="6" t="inlineStr">
        <is>
          <t>General requirements</t>
        </is>
      </c>
      <c r="M663" s="6" t="inlineStr">
        <is>
          <t>The Contractor shall design the QPS:CIS in accordance with the Controls, Interlocks, and IT Documentation specified in [AD_05].</t>
        </is>
      </c>
      <c r="N663" s="6" t="inlineStr">
        <is>
          <t>The Contractor shall design the QPS:CIS in accordance with the Controls, Interlocks, and IT Documentation specified in [AD_05].</t>
        </is>
      </c>
      <c r="O663" s="6" t="n">
        <v>0</v>
      </c>
      <c r="P663" s="6" t="n">
        <v>0</v>
      </c>
      <c r="Q663" s="6" t="n">
        <v>0</v>
      </c>
      <c r="R663" s="6" t="n">
        <v>3</v>
      </c>
      <c r="S663" s="6" t="n">
        <v>0</v>
      </c>
      <c r="T663" s="6" t="n">
        <v>0</v>
      </c>
      <c r="U663" s="6" t="n">
        <v>0</v>
      </c>
      <c r="V663" s="6" t="n">
        <v>16</v>
      </c>
      <c r="W663" s="6" t="n">
        <v>6.38</v>
      </c>
      <c r="X663" s="6" t="n">
        <v>0.1831</v>
      </c>
      <c r="Y663" s="6" t="inlineStr">
        <is>
          <t>Functional</t>
        </is>
      </c>
      <c r="Z663" s="6" t="inlineStr">
        <is>
          <t>Frozen-weight composite; strongest contribution: Functional.</t>
        </is>
      </c>
      <c r="AA663" s="6" t="inlineStr">
        <is>
          <t>None explicitly named in this RTM</t>
        </is>
      </c>
      <c r="AB663" s="6" t="inlineStr">
        <is>
          <t>SCK CEN/90508872 §4.6.3; no named external code</t>
        </is>
      </c>
      <c r="AC663" s="6" t="inlineStr">
        <is>
          <t>Functional design/configuration review and sequence/interface demonstration</t>
        </is>
      </c>
      <c r="AD663" s="6" t="inlineStr">
        <is>
          <t>No separate deliverable explicitly named</t>
        </is>
      </c>
      <c r="AE663" s="6" t="inlineStr">
        <is>
          <t>L1 Conceptual Design; L2 Detailed Design</t>
        </is>
      </c>
      <c r="AF663" s="6" t="inlineStr">
        <is>
          <t>Section/contract-derived reference; derived evidence route</t>
        </is>
      </c>
      <c r="AG663" s="58" t="inlineStr">
        <is>
          <t>Not linked to an OFFER item</t>
        </is>
      </c>
    </row>
    <row r="664" ht="60" customHeight="1">
      <c r="A664" s="6" t="n">
        <v>659</v>
      </c>
      <c r="B664" s="6" t="inlineStr">
        <is>
          <t>RTM-299</t>
        </is>
      </c>
      <c r="C664" s="6" t="inlineStr">
        <is>
          <t>No</t>
        </is>
      </c>
      <c r="D664" s="6" t="inlineStr">
        <is>
          <t>T3 Contextual</t>
        </is>
      </c>
      <c r="E664" s="6" t="inlineStr">
        <is>
          <t>Control &amp; Interlock</t>
        </is>
      </c>
      <c r="F664" s="82" t="inlineStr">
        <is>
          <t>SYSTEM</t>
        </is>
      </c>
      <c r="G664" s="83" t="inlineStr">
        <is>
          <t>Performance</t>
        </is>
      </c>
      <c r="H664" s="59" t="inlineStr">
        <is>
          <t>—</t>
        </is>
      </c>
      <c r="I664" s="81" t="inlineStr">
        <is>
          <t>Inferred: C4 — Software &amp; Control (high conf.)</t>
        </is>
      </c>
      <c r="J664" s="6" t="n">
        <v>70</v>
      </c>
      <c r="K664" s="6" t="inlineStr">
        <is>
          <t>4.6.3</t>
        </is>
      </c>
      <c r="L664" s="6" t="inlineStr">
        <is>
          <t>General requirements</t>
        </is>
      </c>
      <c r="M664" s="6" t="inlineStr">
        <is>
          <t>The QPS:CIS shall include all components identified in green within Figure 11.</t>
        </is>
      </c>
      <c r="N664" s="6" t="inlineStr">
        <is>
          <t>The QPS:CIS shall include all components identified in green within Figure 11.
• The QPS:CIS shall include any additional systems or subsystems required to meet overall QPS performance, functional, and safety objectives.</t>
        </is>
      </c>
      <c r="O664" s="6" t="n">
        <v>0</v>
      </c>
      <c r="P664" s="6" t="n">
        <v>0</v>
      </c>
      <c r="Q664" s="6" t="n">
        <v>0</v>
      </c>
      <c r="R664" s="6" t="n">
        <v>3</v>
      </c>
      <c r="S664" s="6" t="n">
        <v>0</v>
      </c>
      <c r="T664" s="6" t="n">
        <v>0</v>
      </c>
      <c r="U664" s="6" t="n">
        <v>0</v>
      </c>
      <c r="V664" s="6" t="n">
        <v>16</v>
      </c>
      <c r="W664" s="6" t="n">
        <v>6.38</v>
      </c>
      <c r="X664" s="6" t="n">
        <v>0.1831</v>
      </c>
      <c r="Y664" s="6" t="inlineStr">
        <is>
          <t>Functional</t>
        </is>
      </c>
      <c r="Z664" s="6" t="inlineStr">
        <is>
          <t>Frozen-weight composite; strongest contribution: Functional.</t>
        </is>
      </c>
      <c r="AA664" s="6" t="inlineStr">
        <is>
          <t>None explicitly named in this RTM</t>
        </is>
      </c>
      <c r="AB664" s="6" t="inlineStr">
        <is>
          <t>SCK CEN/90508872 §4.6.3; no named external code</t>
        </is>
      </c>
      <c r="AC664" s="6" t="inlineStr">
        <is>
          <t>Design review plus final inspection/acceptance evidence</t>
        </is>
      </c>
      <c r="AD664" s="6" t="inlineStr">
        <is>
          <t>No separate deliverable explicitly named</t>
        </is>
      </c>
      <c r="AE664" s="6" t="inlineStr">
        <is>
          <t>L1 Conceptual Design; L2 Detailed Design</t>
        </is>
      </c>
      <c r="AF664" s="6" t="inlineStr">
        <is>
          <t>Section/contract-derived reference; derived evidence route</t>
        </is>
      </c>
      <c r="AG664" s="58" t="inlineStr">
        <is>
          <t>Not linked to an OFFER item</t>
        </is>
      </c>
    </row>
    <row r="665" ht="47" customHeight="1">
      <c r="A665" s="6" t="n">
        <v>660</v>
      </c>
      <c r="B665" s="6" t="inlineStr">
        <is>
          <t>RTM-301</t>
        </is>
      </c>
      <c r="C665" s="6" t="inlineStr">
        <is>
          <t>No</t>
        </is>
      </c>
      <c r="D665" s="6" t="inlineStr">
        <is>
          <t>T3 Contextual</t>
        </is>
      </c>
      <c r="E665" s="6" t="inlineStr">
        <is>
          <t>Control &amp; Interlock</t>
        </is>
      </c>
      <c r="F665" s="82" t="inlineStr">
        <is>
          <t>SYSTEM</t>
        </is>
      </c>
      <c r="G665" s="83" t="inlineStr">
        <is>
          <t>Performance</t>
        </is>
      </c>
      <c r="H665" s="59" t="inlineStr">
        <is>
          <t>—</t>
        </is>
      </c>
      <c r="I665" s="81" t="inlineStr">
        <is>
          <t>Inferred: C4 — Software &amp; Control (high conf.)</t>
        </is>
      </c>
      <c r="J665" s="6" t="n">
        <v>71</v>
      </c>
      <c r="K665" s="6" t="inlineStr">
        <is>
          <t>4.6.3</t>
        </is>
      </c>
      <c r="L665" s="6" t="inlineStr">
        <is>
          <t>General requirements</t>
        </is>
      </c>
      <c r="M665" s="6" t="inlineStr">
        <is>
          <t>The QPS:CIS shall enable autonomous operation of the QPS across all defined operational scenarios and transitions, without requiring operator intervention.</t>
        </is>
      </c>
      <c r="N665" s="6" t="inlineStr">
        <is>
          <t>The QPS:CIS shall enable autonomous operation of the QPS across all defined operational scenarios and transitions, without requiring operator intervention.</t>
        </is>
      </c>
      <c r="O665" s="6" t="n">
        <v>0</v>
      </c>
      <c r="P665" s="6" t="n">
        <v>0</v>
      </c>
      <c r="Q665" s="6" t="n">
        <v>0</v>
      </c>
      <c r="R665" s="6" t="n">
        <v>3</v>
      </c>
      <c r="S665" s="6" t="n">
        <v>0</v>
      </c>
      <c r="T665" s="6" t="n">
        <v>0</v>
      </c>
      <c r="U665" s="6" t="n">
        <v>0</v>
      </c>
      <c r="V665" s="6" t="n">
        <v>16</v>
      </c>
      <c r="W665" s="6" t="n">
        <v>6.38</v>
      </c>
      <c r="X665" s="6" t="n">
        <v>0.1831</v>
      </c>
      <c r="Y665" s="6" t="inlineStr">
        <is>
          <t>Functional</t>
        </is>
      </c>
      <c r="Z665" s="6" t="inlineStr">
        <is>
          <t>Frozen-weight composite; strongest contribution: Functional.</t>
        </is>
      </c>
      <c r="AA665" s="6" t="inlineStr">
        <is>
          <t>None explicitly named in this RTM</t>
        </is>
      </c>
      <c r="AB665" s="6" t="inlineStr">
        <is>
          <t>SCK CEN/90508872 §4.6.3; no named external code</t>
        </is>
      </c>
      <c r="AC665" s="6" t="inlineStr">
        <is>
          <t>Functional design/configuration review and sequence/interface demonstration</t>
        </is>
      </c>
      <c r="AD665" s="6" t="inlineStr">
        <is>
          <t>No separate deliverable explicitly named</t>
        </is>
      </c>
      <c r="AE665" s="6" t="inlineStr">
        <is>
          <t>L1 Conceptual Design; L2 Detailed Design</t>
        </is>
      </c>
      <c r="AF665" s="6" t="inlineStr">
        <is>
          <t>Section/contract-derived reference; derived evidence route</t>
        </is>
      </c>
      <c r="AG665" s="58" t="inlineStr">
        <is>
          <t>Not linked to an OFFER item</t>
        </is>
      </c>
    </row>
    <row r="666" ht="60" customHeight="1">
      <c r="A666" s="6" t="n">
        <v>661</v>
      </c>
      <c r="B666" s="6" t="inlineStr">
        <is>
          <t>RTM-303</t>
        </is>
      </c>
      <c r="C666" s="6" t="inlineStr">
        <is>
          <t>No</t>
        </is>
      </c>
      <c r="D666" s="6" t="inlineStr">
        <is>
          <t>T3 Contextual</t>
        </is>
      </c>
      <c r="E666" s="6" t="inlineStr">
        <is>
          <t>Control &amp; Interlock</t>
        </is>
      </c>
      <c r="F666" s="82" t="inlineStr">
        <is>
          <t>SYSTEM</t>
        </is>
      </c>
      <c r="G666" s="83" t="inlineStr">
        <is>
          <t>Performance</t>
        </is>
      </c>
      <c r="H666" s="59" t="inlineStr">
        <is>
          <t>—</t>
        </is>
      </c>
      <c r="I666" s="81" t="inlineStr">
        <is>
          <t>Inferred: C4 — Software &amp; Control (high conf.)</t>
        </is>
      </c>
      <c r="J666" s="6" t="n">
        <v>71</v>
      </c>
      <c r="K666" s="6" t="inlineStr">
        <is>
          <t>4.6.3</t>
        </is>
      </c>
      <c r="L666" s="6" t="inlineStr">
        <is>
          <t>General requirements</t>
        </is>
      </c>
      <c r="M666" s="6" t="inlineStr">
        <is>
          <t>Where a Software Component can be upgraded, the QPS:CIS shall support an upgrade procedure which can be automated as script(s), without the need for an Internet connection. A list of required tools must be provided.</t>
        </is>
      </c>
      <c r="N666" s="6" t="inlineStr">
        <is>
          <t>Where a Software Component can be upgraded, the QPS:CIS shall support an upgrade procedure which can be automated as script(s), without the need for an Internet connection. A list of required tools must be provided.</t>
        </is>
      </c>
      <c r="O666" s="6" t="n">
        <v>0</v>
      </c>
      <c r="P666" s="6" t="n">
        <v>0</v>
      </c>
      <c r="Q666" s="6" t="n">
        <v>0</v>
      </c>
      <c r="R666" s="6" t="n">
        <v>3</v>
      </c>
      <c r="S666" s="6" t="n">
        <v>0</v>
      </c>
      <c r="T666" s="6" t="n">
        <v>0</v>
      </c>
      <c r="U666" s="6" t="n">
        <v>0</v>
      </c>
      <c r="V666" s="6" t="n">
        <v>16</v>
      </c>
      <c r="W666" s="6" t="n">
        <v>6.38</v>
      </c>
      <c r="X666" s="6" t="n">
        <v>0.1831</v>
      </c>
      <c r="Y666" s="6" t="inlineStr">
        <is>
          <t>Functional</t>
        </is>
      </c>
      <c r="Z666" s="6" t="inlineStr">
        <is>
          <t>Frozen-weight composite; strongest contribution: Functional.</t>
        </is>
      </c>
      <c r="AA666" s="6" t="inlineStr">
        <is>
          <t>None explicitly named in this RTM</t>
        </is>
      </c>
      <c r="AB666" s="6" t="inlineStr">
        <is>
          <t>SCK CEN/90508872 §4.6.3; no named external code</t>
        </is>
      </c>
      <c r="AC666" s="6" t="inlineStr">
        <is>
          <t>Submit and review the named deliverable with RTM traceability and approval status; Functional design/configuration review and sequence/interface demonstration</t>
        </is>
      </c>
      <c r="AD666" s="6" t="inlineStr">
        <is>
          <t>Procedure / work instruction; List / register / matrix</t>
        </is>
      </c>
      <c r="AE666" s="6" t="inlineStr">
        <is>
          <t>L1 Conceptual Design; L2 Detailed Design</t>
        </is>
      </c>
      <c r="AF666" s="6" t="inlineStr">
        <is>
          <t>Section/contract-derived reference; explicit deliverable/test wording</t>
        </is>
      </c>
      <c r="AG666" s="58" t="inlineStr">
        <is>
          <t>Not linked to an OFFER item</t>
        </is>
      </c>
    </row>
    <row r="667" ht="86" customHeight="1">
      <c r="A667" s="6" t="n">
        <v>662</v>
      </c>
      <c r="B667" s="6" t="inlineStr">
        <is>
          <t>RTM-304</t>
        </is>
      </c>
      <c r="C667" s="6" t="inlineStr">
        <is>
          <t>No</t>
        </is>
      </c>
      <c r="D667" s="6" t="inlineStr">
        <is>
          <t>T3 Contextual</t>
        </is>
      </c>
      <c r="E667" s="6" t="inlineStr">
        <is>
          <t>Control &amp; Interlock</t>
        </is>
      </c>
      <c r="F667" s="82" t="inlineStr">
        <is>
          <t>SYSTEM</t>
        </is>
      </c>
      <c r="G667" s="83" t="inlineStr">
        <is>
          <t>Performance</t>
        </is>
      </c>
      <c r="H667" s="59" t="inlineStr">
        <is>
          <t>—</t>
        </is>
      </c>
      <c r="I667" s="81" t="inlineStr">
        <is>
          <t>Inferred: C4 — Software &amp; Control (high conf.)</t>
        </is>
      </c>
      <c r="J667" s="6" t="n">
        <v>71</v>
      </c>
      <c r="K667" s="6" t="inlineStr">
        <is>
          <t>4.6.3</t>
        </is>
      </c>
      <c r="L667" s="6" t="inlineStr">
        <is>
          <t>General requirements</t>
        </is>
      </c>
      <c r="M667" s="6" t="inlineStr">
        <is>
          <t>The Contractor shall follow the applicable sections from the General Software and Hardware Requirements for Contractors (GSHRC) containing quality and other requirements related to software, firmware, and interoperability as per [AD_04] and specific instruction table (see §11.3.1 Table 30. Instructions for GSHRC</t>
        </is>
      </c>
      <c r="N667" s="6" t="inlineStr">
        <is>
          <t>The Contractor shall follow the applicable sections from the General Software and Hardware Requirements for Contractors (GSHRC) containing quality and other requirements related to software, firmware, and interoperability as per [AD_04] and specific instruction table (see §11.3.1 Table 30. Instructions for GSHRC</t>
        </is>
      </c>
      <c r="O667" s="6" t="n">
        <v>0</v>
      </c>
      <c r="P667" s="6" t="n">
        <v>0</v>
      </c>
      <c r="Q667" s="6" t="n">
        <v>0</v>
      </c>
      <c r="R667" s="6" t="n">
        <v>3</v>
      </c>
      <c r="S667" s="6" t="n">
        <v>0</v>
      </c>
      <c r="T667" s="6" t="n">
        <v>0</v>
      </c>
      <c r="U667" s="6" t="n">
        <v>0</v>
      </c>
      <c r="V667" s="6" t="n">
        <v>16</v>
      </c>
      <c r="W667" s="6" t="n">
        <v>6.38</v>
      </c>
      <c r="X667" s="6" t="n">
        <v>0.1831</v>
      </c>
      <c r="Y667" s="6" t="inlineStr">
        <is>
          <t>Functional</t>
        </is>
      </c>
      <c r="Z667" s="6" t="inlineStr">
        <is>
          <t>Frozen-weight composite; strongest contribution: Functional.</t>
        </is>
      </c>
      <c r="AA667" s="6" t="inlineStr">
        <is>
          <t>None explicitly named in this RTM</t>
        </is>
      </c>
      <c r="AB667" s="6" t="inlineStr">
        <is>
          <t>SCK CEN/90508872 §4.6.3; no named external code</t>
        </is>
      </c>
      <c r="AC667" s="6" t="inlineStr">
        <is>
          <t>Functional design/configuration review and sequence/interface demonstration</t>
        </is>
      </c>
      <c r="AD667" s="6" t="inlineStr">
        <is>
          <t>No separate deliverable explicitly named</t>
        </is>
      </c>
      <c r="AE667" s="6" t="inlineStr">
        <is>
          <t>L1 Conceptual Design; L2 Detailed Design</t>
        </is>
      </c>
      <c r="AF667" s="6" t="inlineStr">
        <is>
          <t>Section/contract-derived reference; derived evidence route</t>
        </is>
      </c>
      <c r="AG667" s="58" t="inlineStr">
        <is>
          <t>Not linked to an OFFER item</t>
        </is>
      </c>
    </row>
    <row r="668" ht="47" customHeight="1">
      <c r="A668" s="6" t="n">
        <v>663</v>
      </c>
      <c r="B668" s="6" t="inlineStr">
        <is>
          <t>RTM-305</t>
        </is>
      </c>
      <c r="C668" s="6" t="inlineStr">
        <is>
          <t>No</t>
        </is>
      </c>
      <c r="D668" s="6" t="inlineStr">
        <is>
          <t>T3 Contextual</t>
        </is>
      </c>
      <c r="E668" s="6" t="inlineStr">
        <is>
          <t>Control &amp; Interlock</t>
        </is>
      </c>
      <c r="F668" s="82" t="inlineStr">
        <is>
          <t>SAFETY</t>
        </is>
      </c>
      <c r="G668" s="83" t="inlineStr">
        <is>
          <t>Interlock &amp; Control Safety</t>
        </is>
      </c>
      <c r="H668" s="59" t="inlineStr">
        <is>
          <t>—</t>
        </is>
      </c>
      <c r="I668" s="81" t="inlineStr">
        <is>
          <t>Inferred: C4 — Software &amp; Control (high conf.)</t>
        </is>
      </c>
      <c r="J668" s="6" t="n">
        <v>71</v>
      </c>
      <c r="K668" s="6" t="inlineStr">
        <is>
          <t>4.6.3</t>
        </is>
      </c>
      <c r="L668" s="6" t="inlineStr">
        <is>
          <t>General requirements</t>
        </is>
      </c>
      <c r="M668" s="6" t="inlineStr">
        <is>
          <t>Interlock thresholds shall not be writable through the remote-control interface and can only be performed by authorized personnel after formal approval.</t>
        </is>
      </c>
      <c r="N668" s="6" t="inlineStr">
        <is>
          <t>Interlock thresholds shall not be writable through the remote-control interface and can only be performed by authorized personnel after formal approval.</t>
        </is>
      </c>
      <c r="O668" s="6" t="n">
        <v>0</v>
      </c>
      <c r="P668" s="6" t="n">
        <v>0</v>
      </c>
      <c r="Q668" s="6" t="n">
        <v>0</v>
      </c>
      <c r="R668" s="6" t="n">
        <v>3</v>
      </c>
      <c r="S668" s="6" t="n">
        <v>0</v>
      </c>
      <c r="T668" s="6" t="n">
        <v>0</v>
      </c>
      <c r="U668" s="6" t="n">
        <v>0</v>
      </c>
      <c r="V668" s="6" t="n">
        <v>16</v>
      </c>
      <c r="W668" s="6" t="n">
        <v>6.38</v>
      </c>
      <c r="X668" s="6" t="n">
        <v>0.1831</v>
      </c>
      <c r="Y668" s="6" t="inlineStr">
        <is>
          <t>Functional</t>
        </is>
      </c>
      <c r="Z668" s="6" t="inlineStr">
        <is>
          <t>Frozen-weight composite; strongest contribution: Functional.</t>
        </is>
      </c>
      <c r="AA668" s="6" t="inlineStr">
        <is>
          <t>None explicitly named in this RTM</t>
        </is>
      </c>
      <c r="AB668" s="6" t="inlineStr">
        <is>
          <t>SCK CEN/90508872 §4.6.3; no named external code</t>
        </is>
      </c>
      <c r="AC668" s="6" t="inlineStr">
        <is>
          <t>Functional design/configuration review and sequence/interface demonstration</t>
        </is>
      </c>
      <c r="AD668" s="6" t="inlineStr">
        <is>
          <t>No separate deliverable explicitly named</t>
        </is>
      </c>
      <c r="AE668" s="6" t="inlineStr">
        <is>
          <t>L1 Conceptual Design; L2 Detailed Design</t>
        </is>
      </c>
      <c r="AF668" s="6" t="inlineStr">
        <is>
          <t>Section/contract-derived reference; derived evidence route</t>
        </is>
      </c>
      <c r="AG668" s="58" t="inlineStr">
        <is>
          <t>Not linked to an OFFER item</t>
        </is>
      </c>
    </row>
    <row r="669" ht="47" customHeight="1">
      <c r="A669" s="6" t="n">
        <v>664</v>
      </c>
      <c r="B669" s="6" t="inlineStr">
        <is>
          <t>RTM-310</t>
        </is>
      </c>
      <c r="C669" s="6" t="inlineStr">
        <is>
          <t>No</t>
        </is>
      </c>
      <c r="D669" s="6" t="inlineStr">
        <is>
          <t>T3 Contextual</t>
        </is>
      </c>
      <c r="E669" s="6" t="inlineStr">
        <is>
          <t>Control &amp; Interlock</t>
        </is>
      </c>
      <c r="F669" s="82" t="inlineStr">
        <is>
          <t>SYSTEM</t>
        </is>
      </c>
      <c r="G669" s="83" t="inlineStr">
        <is>
          <t>Performance</t>
        </is>
      </c>
      <c r="H669" s="59" t="inlineStr">
        <is>
          <t>—</t>
        </is>
      </c>
      <c r="I669" s="81" t="inlineStr">
        <is>
          <t>Inferred: C4 — Software &amp; Control (high conf.)</t>
        </is>
      </c>
      <c r="J669" s="6" t="n">
        <v>72</v>
      </c>
      <c r="K669" s="6" t="inlineStr">
        <is>
          <t>4.6.4.2</t>
        </is>
      </c>
      <c r="L669" s="6" t="inlineStr">
        <is>
          <t>General</t>
        </is>
      </c>
      <c r="M669" s="6" t="inlineStr">
        <is>
          <t>The Contractor shall supply a detailed list of the network ports and protocols necessary for the correct functionality of their system and application as part of CIS Dossier.</t>
        </is>
      </c>
      <c r="N669" s="6" t="inlineStr">
        <is>
          <t>The Contractor shall supply a detailed list of the network ports and protocols necessary for the correct functionality of their system and application as part of CIS Dossier.</t>
        </is>
      </c>
      <c r="O669" s="6" t="n">
        <v>0</v>
      </c>
      <c r="P669" s="6" t="n">
        <v>0</v>
      </c>
      <c r="Q669" s="6" t="n">
        <v>0</v>
      </c>
      <c r="R669" s="6" t="n">
        <v>3</v>
      </c>
      <c r="S669" s="6" t="n">
        <v>0</v>
      </c>
      <c r="T669" s="6" t="n">
        <v>0</v>
      </c>
      <c r="U669" s="6" t="n">
        <v>0</v>
      </c>
      <c r="V669" s="6" t="n">
        <v>16</v>
      </c>
      <c r="W669" s="6" t="n">
        <v>6.38</v>
      </c>
      <c r="X669" s="6" t="n">
        <v>0.1831</v>
      </c>
      <c r="Y669" s="6" t="inlineStr">
        <is>
          <t>Functional</t>
        </is>
      </c>
      <c r="Z669" s="6" t="inlineStr">
        <is>
          <t>Frozen-weight composite; strongest contribution: Functional.</t>
        </is>
      </c>
      <c r="AA669" s="6" t="inlineStr">
        <is>
          <t>None explicitly named in this RTM</t>
        </is>
      </c>
      <c r="AB669" s="6" t="inlineStr">
        <is>
          <t>SCK CEN/90508872 §4.6.4.2; no named external code</t>
        </is>
      </c>
      <c r="AC669" s="6" t="inlineStr">
        <is>
          <t>Submit and review the named deliverable with RTM traceability and approval status</t>
        </is>
      </c>
      <c r="AD669" s="6" t="inlineStr">
        <is>
          <t>List / register / matrix</t>
        </is>
      </c>
      <c r="AE669" s="6" t="inlineStr">
        <is>
          <t>L1 Conceptual Design; L2 Detailed Design</t>
        </is>
      </c>
      <c r="AF669" s="6" t="inlineStr">
        <is>
          <t>Section/contract-derived reference; explicit deliverable/test wording</t>
        </is>
      </c>
      <c r="AG669" s="58" t="inlineStr">
        <is>
          <t>Not linked to an OFFER item</t>
        </is>
      </c>
    </row>
    <row r="670" ht="47" customHeight="1">
      <c r="A670" s="6" t="n">
        <v>665</v>
      </c>
      <c r="B670" s="6" t="inlineStr">
        <is>
          <t>RTM-311</t>
        </is>
      </c>
      <c r="C670" s="6" t="inlineStr">
        <is>
          <t>No</t>
        </is>
      </c>
      <c r="D670" s="6" t="inlineStr">
        <is>
          <t>T3 Contextual</t>
        </is>
      </c>
      <c r="E670" s="6" t="inlineStr">
        <is>
          <t>Control &amp; Interlock</t>
        </is>
      </c>
      <c r="F670" s="82" t="inlineStr">
        <is>
          <t>SYSTEM</t>
        </is>
      </c>
      <c r="G670" s="83" t="inlineStr">
        <is>
          <t>Performance</t>
        </is>
      </c>
      <c r="H670" s="59" t="inlineStr">
        <is>
          <t>—</t>
        </is>
      </c>
      <c r="I670" s="81" t="inlineStr">
        <is>
          <t>Inferred: C4 — Software &amp; Control (high conf.)</t>
        </is>
      </c>
      <c r="J670" s="6" t="n">
        <v>72</v>
      </c>
      <c r="K670" s="6" t="inlineStr">
        <is>
          <t>4.6.4.2</t>
        </is>
      </c>
      <c r="L670" s="6" t="inlineStr">
        <is>
          <t>General</t>
        </is>
      </c>
      <c r="M670" s="6" t="inlineStr">
        <is>
          <t>The Contractor shall be responsible for configuring the necessary network elements based on the inventory of network ports, protocols, internal and external applications.</t>
        </is>
      </c>
      <c r="N670" s="6" t="inlineStr">
        <is>
          <t>The Contractor shall be responsible for configuring the necessary network elements based on the inventory of network ports, protocols, internal and external applications.</t>
        </is>
      </c>
      <c r="O670" s="6" t="n">
        <v>0</v>
      </c>
      <c r="P670" s="6" t="n">
        <v>0</v>
      </c>
      <c r="Q670" s="6" t="n">
        <v>0</v>
      </c>
      <c r="R670" s="6" t="n">
        <v>3</v>
      </c>
      <c r="S670" s="6" t="n">
        <v>0</v>
      </c>
      <c r="T670" s="6" t="n">
        <v>0</v>
      </c>
      <c r="U670" s="6" t="n">
        <v>0</v>
      </c>
      <c r="V670" s="6" t="n">
        <v>16</v>
      </c>
      <c r="W670" s="6" t="n">
        <v>6.38</v>
      </c>
      <c r="X670" s="6" t="n">
        <v>0.1831</v>
      </c>
      <c r="Y670" s="6" t="inlineStr">
        <is>
          <t>Functional</t>
        </is>
      </c>
      <c r="Z670" s="6" t="inlineStr">
        <is>
          <t>Frozen-weight composite; strongest contribution: Functional.</t>
        </is>
      </c>
      <c r="AA670" s="6" t="inlineStr">
        <is>
          <t>None explicitly named in this RTM</t>
        </is>
      </c>
      <c r="AB670" s="6" t="inlineStr">
        <is>
          <t>SCK CEN/90508872 §4.6.4.2; no named external code</t>
        </is>
      </c>
      <c r="AC670" s="6" t="inlineStr">
        <is>
          <t>Design review plus final inspection/acceptance evidence</t>
        </is>
      </c>
      <c r="AD670" s="6" t="inlineStr">
        <is>
          <t>No separate deliverable explicitly named</t>
        </is>
      </c>
      <c r="AE670" s="6" t="inlineStr">
        <is>
          <t>L1 Conceptual Design; L2 Detailed Design</t>
        </is>
      </c>
      <c r="AF670" s="6" t="inlineStr">
        <is>
          <t>Section/contract-derived reference; derived evidence route</t>
        </is>
      </c>
      <c r="AG670" s="58" t="inlineStr">
        <is>
          <t>Not linked to an OFFER item</t>
        </is>
      </c>
    </row>
    <row r="671" ht="60" customHeight="1">
      <c r="A671" s="6" t="n">
        <v>666</v>
      </c>
      <c r="B671" s="6" t="inlineStr">
        <is>
          <t>RTM-315</t>
        </is>
      </c>
      <c r="C671" s="6" t="inlineStr">
        <is>
          <t>No</t>
        </is>
      </c>
      <c r="D671" s="6" t="inlineStr">
        <is>
          <t>T3 Contextual</t>
        </is>
      </c>
      <c r="E671" s="6" t="inlineStr">
        <is>
          <t>Control &amp; Interlock</t>
        </is>
      </c>
      <c r="F671" s="82" t="inlineStr">
        <is>
          <t>SYSTEM</t>
        </is>
      </c>
      <c r="G671" s="83" t="inlineStr">
        <is>
          <t>Performance</t>
        </is>
      </c>
      <c r="H671" s="59" t="inlineStr">
        <is>
          <t>—</t>
        </is>
      </c>
      <c r="I671" s="81" t="inlineStr">
        <is>
          <t>Inferred: C4 — Software &amp; Control (high conf.)</t>
        </is>
      </c>
      <c r="J671" s="6" t="n">
        <v>73</v>
      </c>
      <c r="K671" s="6" t="inlineStr">
        <is>
          <t>4.6.4.3</t>
        </is>
      </c>
      <c r="L671" s="6" t="inlineStr">
        <is>
          <t>MIT Services Integration</t>
        </is>
      </c>
      <c r="M671" s="6" t="inlineStr">
        <is>
          <t>Irrespective of whether a system has an operating system or not, the System shall support authorization by at least one of the protocols mentioned in the MIT interface catalogue chapter "Authorization and security" [AD_05.01].</t>
        </is>
      </c>
      <c r="N671" s="6" t="inlineStr">
        <is>
          <t>Irrespective of whether a system has an operating system or not, the System shall support authorization by at least one of the protocols mentioned in the MIT interface catalogue chapter "Authorization and security" [AD_05.01].</t>
        </is>
      </c>
      <c r="O671" s="6" t="n">
        <v>0</v>
      </c>
      <c r="P671" s="6" t="n">
        <v>0</v>
      </c>
      <c r="Q671" s="6" t="n">
        <v>0</v>
      </c>
      <c r="R671" s="6" t="n">
        <v>3</v>
      </c>
      <c r="S671" s="6" t="n">
        <v>0</v>
      </c>
      <c r="T671" s="6" t="n">
        <v>0</v>
      </c>
      <c r="U671" s="6" t="n">
        <v>0</v>
      </c>
      <c r="V671" s="6" t="n">
        <v>16</v>
      </c>
      <c r="W671" s="6" t="n">
        <v>6.38</v>
      </c>
      <c r="X671" s="6" t="n">
        <v>0.1831</v>
      </c>
      <c r="Y671" s="6" t="inlineStr">
        <is>
          <t>Functional</t>
        </is>
      </c>
      <c r="Z671" s="6" t="inlineStr">
        <is>
          <t>Frozen-weight composite; strongest contribution: Functional.</t>
        </is>
      </c>
      <c r="AA671" s="6" t="inlineStr">
        <is>
          <t>None explicitly named in this RTM</t>
        </is>
      </c>
      <c r="AB671" s="6" t="inlineStr">
        <is>
          <t>SCK CEN/90508872 §4.6.4.3; no named external code</t>
        </is>
      </c>
      <c r="AC671" s="6" t="inlineStr">
        <is>
          <t>Functional design/configuration review and sequence/interface demonstration</t>
        </is>
      </c>
      <c r="AD671" s="6" t="inlineStr">
        <is>
          <t>No separate deliverable explicitly named</t>
        </is>
      </c>
      <c r="AE671" s="6" t="inlineStr">
        <is>
          <t>L1 Conceptual Design; L2 Detailed Design</t>
        </is>
      </c>
      <c r="AF671" s="6" t="inlineStr">
        <is>
          <t>Section/contract-derived reference; derived evidence route</t>
        </is>
      </c>
      <c r="AG671" s="58" t="inlineStr">
        <is>
          <t>Not linked to an OFFER item</t>
        </is>
      </c>
    </row>
    <row r="672" ht="60" customHeight="1">
      <c r="A672" s="6" t="n">
        <v>667</v>
      </c>
      <c r="B672" s="6" t="inlineStr">
        <is>
          <t>RTM-316</t>
        </is>
      </c>
      <c r="C672" s="6" t="inlineStr">
        <is>
          <t>No</t>
        </is>
      </c>
      <c r="D672" s="6" t="inlineStr">
        <is>
          <t>T3 Contextual</t>
        </is>
      </c>
      <c r="E672" s="6" t="inlineStr">
        <is>
          <t>Control &amp; Interlock</t>
        </is>
      </c>
      <c r="F672" s="82" t="inlineStr">
        <is>
          <t>SYSTEM</t>
        </is>
      </c>
      <c r="G672" s="83" t="inlineStr">
        <is>
          <t>Performance</t>
        </is>
      </c>
      <c r="H672" s="59" t="inlineStr">
        <is>
          <t>—</t>
        </is>
      </c>
      <c r="I672" s="81" t="inlineStr">
        <is>
          <t>Inferred: C4 — Software &amp; Control (high conf.)</t>
        </is>
      </c>
      <c r="J672" s="6" t="n">
        <v>73</v>
      </c>
      <c r="K672" s="6" t="inlineStr">
        <is>
          <t>4.6.4.3</t>
        </is>
      </c>
      <c r="L672" s="6" t="inlineStr">
        <is>
          <t>MIT Services Integration</t>
        </is>
      </c>
      <c r="M672" s="6" t="inlineStr">
        <is>
          <t>The System shall support network addressing service and network naming service by at least one of the protocols mentioned in the MIT interface catalogue chapter "Network addressing service" [AD_05.01].</t>
        </is>
      </c>
      <c r="N672" s="6" t="inlineStr">
        <is>
          <t>The System shall support network addressing service and network naming service by at least one of the protocols mentioned in the MIT interface catalogue chapter "Network addressing service" [AD_05.01].</t>
        </is>
      </c>
      <c r="O672" s="6" t="n">
        <v>0</v>
      </c>
      <c r="P672" s="6" t="n">
        <v>0</v>
      </c>
      <c r="Q672" s="6" t="n">
        <v>0</v>
      </c>
      <c r="R672" s="6" t="n">
        <v>3</v>
      </c>
      <c r="S672" s="6" t="n">
        <v>0</v>
      </c>
      <c r="T672" s="6" t="n">
        <v>0</v>
      </c>
      <c r="U672" s="6" t="n">
        <v>0</v>
      </c>
      <c r="V672" s="6" t="n">
        <v>16</v>
      </c>
      <c r="W672" s="6" t="n">
        <v>6.38</v>
      </c>
      <c r="X672" s="6" t="n">
        <v>0.1831</v>
      </c>
      <c r="Y672" s="6" t="inlineStr">
        <is>
          <t>Functional</t>
        </is>
      </c>
      <c r="Z672" s="6" t="inlineStr">
        <is>
          <t>Frozen-weight composite; strongest contribution: Functional.</t>
        </is>
      </c>
      <c r="AA672" s="6" t="inlineStr">
        <is>
          <t>None explicitly named in this RTM</t>
        </is>
      </c>
      <c r="AB672" s="6" t="inlineStr">
        <is>
          <t>SCK CEN/90508872 §4.6.4.3; no named external code</t>
        </is>
      </c>
      <c r="AC672" s="6" t="inlineStr">
        <is>
          <t>Functional design/configuration review and sequence/interface demonstration</t>
        </is>
      </c>
      <c r="AD672" s="6" t="inlineStr">
        <is>
          <t>No separate deliverable explicitly named</t>
        </is>
      </c>
      <c r="AE672" s="6" t="inlineStr">
        <is>
          <t>L1 Conceptual Design; L2 Detailed Design</t>
        </is>
      </c>
      <c r="AF672" s="6" t="inlineStr">
        <is>
          <t>Section/contract-derived reference; derived evidence route</t>
        </is>
      </c>
      <c r="AG672" s="58" t="inlineStr">
        <is>
          <t>Not linked to an OFFER item</t>
        </is>
      </c>
    </row>
    <row r="673" ht="73" customHeight="1">
      <c r="A673" s="6" t="n">
        <v>668</v>
      </c>
      <c r="B673" s="6" t="inlineStr">
        <is>
          <t>RTM-318</t>
        </is>
      </c>
      <c r="C673" s="6" t="inlineStr">
        <is>
          <t>No</t>
        </is>
      </c>
      <c r="D673" s="6" t="inlineStr">
        <is>
          <t>T3 Contextual</t>
        </is>
      </c>
      <c r="E673" s="6" t="inlineStr">
        <is>
          <t>Control &amp; Interlock</t>
        </is>
      </c>
      <c r="F673" s="82" t="inlineStr">
        <is>
          <t>SYSTEM</t>
        </is>
      </c>
      <c r="G673" s="83" t="inlineStr">
        <is>
          <t>Performance</t>
        </is>
      </c>
      <c r="H673" s="59" t="inlineStr">
        <is>
          <t>—</t>
        </is>
      </c>
      <c r="I673" s="81" t="inlineStr">
        <is>
          <t>Inferred: C4 — Software &amp; Control (high conf.)</t>
        </is>
      </c>
      <c r="J673" s="6" t="n">
        <v>73</v>
      </c>
      <c r="K673" s="6" t="inlineStr">
        <is>
          <t>4.6.4.3</t>
        </is>
      </c>
      <c r="L673" s="6" t="inlineStr">
        <is>
          <t>MIT Services Integration</t>
        </is>
      </c>
      <c r="M673" s="6" t="inlineStr">
        <is>
          <t>The Contractor shall provide a comprehensive list of all devices, including their respective MAC addresses, prior to configuring the network. This list is crucial for tracking and managing devices, especially when configuring static IP addresses or ensuring proper DHCP assignment.</t>
        </is>
      </c>
      <c r="N673" s="6" t="inlineStr">
        <is>
          <t>The Contractor shall provide a comprehensive list of all devices, including their respective MAC addresses, prior to configuring the network. This list is crucial for tracking and managing devices, especially when configuring static IP addresses or ensuring proper DHCP assignment.</t>
        </is>
      </c>
      <c r="O673" s="6" t="n">
        <v>0</v>
      </c>
      <c r="P673" s="6" t="n">
        <v>0</v>
      </c>
      <c r="Q673" s="6" t="n">
        <v>0</v>
      </c>
      <c r="R673" s="6" t="n">
        <v>3</v>
      </c>
      <c r="S673" s="6" t="n">
        <v>0</v>
      </c>
      <c r="T673" s="6" t="n">
        <v>0</v>
      </c>
      <c r="U673" s="6" t="n">
        <v>0</v>
      </c>
      <c r="V673" s="6" t="n">
        <v>16</v>
      </c>
      <c r="W673" s="6" t="n">
        <v>6.38</v>
      </c>
      <c r="X673" s="6" t="n">
        <v>0.1831</v>
      </c>
      <c r="Y673" s="6" t="inlineStr">
        <is>
          <t>Functional</t>
        </is>
      </c>
      <c r="Z673" s="6" t="inlineStr">
        <is>
          <t>Frozen-weight composite; strongest contribution: Functional.</t>
        </is>
      </c>
      <c r="AA673" s="6" t="inlineStr">
        <is>
          <t>None explicitly named in this RTM</t>
        </is>
      </c>
      <c r="AB673" s="6" t="inlineStr">
        <is>
          <t>SCK CEN/90508872 §4.6.4.3; no named external code</t>
        </is>
      </c>
      <c r="AC673" s="6" t="inlineStr">
        <is>
          <t>Submit and review the named deliverable with RTM traceability and approval status</t>
        </is>
      </c>
      <c r="AD673" s="6" t="inlineStr">
        <is>
          <t>List / register / matrix</t>
        </is>
      </c>
      <c r="AE673" s="6" t="inlineStr">
        <is>
          <t>L1 Conceptual Design; L2 Detailed Design</t>
        </is>
      </c>
      <c r="AF673" s="6" t="inlineStr">
        <is>
          <t>Section/contract-derived reference; explicit deliverable/test wording</t>
        </is>
      </c>
      <c r="AG673" s="58" t="inlineStr">
        <is>
          <t>Not linked to an OFFER item</t>
        </is>
      </c>
    </row>
    <row r="674" ht="99" customHeight="1">
      <c r="A674" s="6" t="n">
        <v>669</v>
      </c>
      <c r="B674" s="6" t="inlineStr">
        <is>
          <t>RTM-321</t>
        </is>
      </c>
      <c r="C674" s="6" t="inlineStr">
        <is>
          <t>No</t>
        </is>
      </c>
      <c r="D674" s="6" t="inlineStr">
        <is>
          <t>T3 Contextual</t>
        </is>
      </c>
      <c r="E674" s="6" t="inlineStr">
        <is>
          <t>Control &amp; Interlock</t>
        </is>
      </c>
      <c r="F674" s="82" t="inlineStr">
        <is>
          <t>SYSTEM</t>
        </is>
      </c>
      <c r="G674" s="83" t="inlineStr">
        <is>
          <t>Performance</t>
        </is>
      </c>
      <c r="H674" s="59" t="inlineStr">
        <is>
          <t>—</t>
        </is>
      </c>
      <c r="I674" s="58" t="inlineStr">
        <is>
          <t>C8 — Commercial &amp; Execution</t>
        </is>
      </c>
      <c r="J674" s="6" t="n">
        <v>73</v>
      </c>
      <c r="K674" s="6" t="inlineStr">
        <is>
          <t>4.6.4.5</t>
        </is>
      </c>
      <c r="L674" s="6" t="inlineStr">
        <is>
          <t>Security</t>
        </is>
      </c>
      <c r="M674" s="6" t="inlineStr">
        <is>
          <t>The Contractor shall maintain an Information Security Management System (ISMS) in accordance with ISO 27001. In their offer the Applicant shall deliver, for this ISMS, either (1) an ISO 27001 certification issued by an accredited certification body and The Statement of Applicability and the applicable scope or, (2) a brief mapping statement explaining how equivalent assurances will be provided.</t>
        </is>
      </c>
      <c r="N674" s="6" t="inlineStr">
        <is>
          <t>The Contractor shall maintain an Information Security Management System (ISMS) in accordance with ISO 27001. In their offer the Applicant shall deliver, for this ISMS, either (1) an ISO 27001 certification issued by an accredited certification body and The Statement of Applicability and the applicable scope or, (2) a brief mapping statement explaining how equivalent assurances will be provided.</t>
        </is>
      </c>
      <c r="O674" s="6" t="n">
        <v>0</v>
      </c>
      <c r="P674" s="6" t="n">
        <v>0</v>
      </c>
      <c r="Q674" s="6" t="n">
        <v>0</v>
      </c>
      <c r="R674" s="6" t="n">
        <v>3</v>
      </c>
      <c r="S674" s="6" t="n">
        <v>0</v>
      </c>
      <c r="T674" s="6" t="n">
        <v>0</v>
      </c>
      <c r="U674" s="6" t="n">
        <v>0</v>
      </c>
      <c r="V674" s="6" t="n">
        <v>16</v>
      </c>
      <c r="W674" s="6" t="n">
        <v>6.38</v>
      </c>
      <c r="X674" s="6" t="n">
        <v>0.1831</v>
      </c>
      <c r="Y674" s="6" t="inlineStr">
        <is>
          <t>Functional</t>
        </is>
      </c>
      <c r="Z674" s="6" t="inlineStr">
        <is>
          <t>Frozen-weight composite; strongest contribution: Functional.</t>
        </is>
      </c>
      <c r="AA674" s="6" t="inlineStr">
        <is>
          <t>ISO 27001</t>
        </is>
      </c>
      <c r="AB674" s="6" t="inlineStr">
        <is>
          <t>ISO 27001</t>
        </is>
      </c>
      <c r="AC674" s="6" t="inlineStr">
        <is>
          <t>Design review plus final inspection/acceptance evidence</t>
        </is>
      </c>
      <c r="AD674" s="6" t="inlineStr">
        <is>
          <t>No separate deliverable explicitly named</t>
        </is>
      </c>
      <c r="AE674" s="6" t="inlineStr">
        <is>
          <t>L0 Tender / Offer; L1 Conceptual Design; L2 Detailed Design</t>
        </is>
      </c>
      <c r="AF674" s="6" t="inlineStr">
        <is>
          <t>Explicit/table-grounded standard; derived evidence route</t>
        </is>
      </c>
      <c r="AG674" s="58" t="inlineStr">
        <is>
          <t>OFFER-25 (Direct)</t>
        </is>
      </c>
    </row>
    <row r="675" ht="34" customHeight="1">
      <c r="A675" s="6" t="n">
        <v>670</v>
      </c>
      <c r="B675" s="6" t="inlineStr">
        <is>
          <t>RTM-329</t>
        </is>
      </c>
      <c r="C675" s="6" t="inlineStr">
        <is>
          <t>No</t>
        </is>
      </c>
      <c r="D675" s="6" t="inlineStr">
        <is>
          <t>T3 Contextual</t>
        </is>
      </c>
      <c r="E675" s="6" t="inlineStr">
        <is>
          <t>Control &amp; Interlock</t>
        </is>
      </c>
      <c r="F675" s="82" t="inlineStr">
        <is>
          <t>SYSTEM</t>
        </is>
      </c>
      <c r="G675" s="83" t="inlineStr">
        <is>
          <t>Performance</t>
        </is>
      </c>
      <c r="H675" s="59" t="inlineStr">
        <is>
          <t>—</t>
        </is>
      </c>
      <c r="I675" s="81" t="inlineStr">
        <is>
          <t>Inferred: C4 — Software &amp; Control (high conf.)</t>
        </is>
      </c>
      <c r="J675" s="6" t="n">
        <v>74</v>
      </c>
      <c r="K675" s="6" t="inlineStr">
        <is>
          <t>4.6.5</t>
        </is>
      </c>
      <c r="L675" s="6" t="inlineStr">
        <is>
          <t>MCS Integration</t>
        </is>
      </c>
      <c r="M675" s="6" t="inlineStr">
        <is>
          <t>The QPS:CIS shall allow the adjustment of these limits, the global cooling/heating rate during operation.</t>
        </is>
      </c>
      <c r="N675" s="6" t="inlineStr">
        <is>
          <t>The QPS:CIS shall allow the adjustment of these limits, the global cooling/heating rate during operation.</t>
        </is>
      </c>
      <c r="O675" s="6" t="n">
        <v>0</v>
      </c>
      <c r="P675" s="6" t="n">
        <v>0</v>
      </c>
      <c r="Q675" s="6" t="n">
        <v>0</v>
      </c>
      <c r="R675" s="6" t="n">
        <v>3</v>
      </c>
      <c r="S675" s="6" t="n">
        <v>0</v>
      </c>
      <c r="T675" s="6" t="n">
        <v>0</v>
      </c>
      <c r="U675" s="6" t="n">
        <v>0</v>
      </c>
      <c r="V675" s="6" t="n">
        <v>16</v>
      </c>
      <c r="W675" s="6" t="n">
        <v>6.38</v>
      </c>
      <c r="X675" s="6" t="n">
        <v>0.1831</v>
      </c>
      <c r="Y675" s="6" t="inlineStr">
        <is>
          <t>Functional</t>
        </is>
      </c>
      <c r="Z675" s="6" t="inlineStr">
        <is>
          <t>Frozen-weight composite; strongest contribution: Functional.</t>
        </is>
      </c>
      <c r="AA675" s="6" t="inlineStr">
        <is>
          <t>None explicitly named in this RTM</t>
        </is>
      </c>
      <c r="AB675" s="6" t="inlineStr">
        <is>
          <t>SCK CEN/90508872 §4.6.5; no named external code</t>
        </is>
      </c>
      <c r="AC675" s="6" t="inlineStr">
        <is>
          <t>Design review plus final inspection/acceptance evidence</t>
        </is>
      </c>
      <c r="AD675" s="6" t="inlineStr">
        <is>
          <t>No separate deliverable explicitly named</t>
        </is>
      </c>
      <c r="AE675" s="6" t="inlineStr">
        <is>
          <t>L1 Conceptual Design; L2 Detailed Design</t>
        </is>
      </c>
      <c r="AF675" s="6" t="inlineStr">
        <is>
          <t>Section/contract-derived reference; derived evidence route</t>
        </is>
      </c>
      <c r="AG675" s="58" t="inlineStr">
        <is>
          <t>Not linked to an OFFER item</t>
        </is>
      </c>
    </row>
    <row r="676" ht="47" customHeight="1">
      <c r="A676" s="6" t="n">
        <v>671</v>
      </c>
      <c r="B676" s="6" t="inlineStr">
        <is>
          <t>RTM-331</t>
        </is>
      </c>
      <c r="C676" s="6" t="inlineStr">
        <is>
          <t>No</t>
        </is>
      </c>
      <c r="D676" s="6" t="inlineStr">
        <is>
          <t>T3 Contextual</t>
        </is>
      </c>
      <c r="E676" s="6" t="inlineStr">
        <is>
          <t>Control &amp; Interlock</t>
        </is>
      </c>
      <c r="F676" s="82" t="inlineStr">
        <is>
          <t>SYSTEM</t>
        </is>
      </c>
      <c r="G676" s="83" t="inlineStr">
        <is>
          <t>Performance</t>
        </is>
      </c>
      <c r="H676" s="59" t="inlineStr">
        <is>
          <t>—</t>
        </is>
      </c>
      <c r="I676" s="81" t="inlineStr">
        <is>
          <t>Inferred: C4 — Software &amp; Control (high conf.)</t>
        </is>
      </c>
      <c r="J676" s="6" t="n">
        <v>74</v>
      </c>
      <c r="K676" s="6" t="inlineStr">
        <is>
          <t>4.6.5</t>
        </is>
      </c>
      <c r="L676" s="6" t="inlineStr">
        <is>
          <t>MCS Integration</t>
        </is>
      </c>
      <c r="M676" s="6" t="inlineStr">
        <is>
          <t>When the MCS is unavailable or a communication loss occurs, the QPS:CIS shall continue to operate as long as the system’s safety as well as personnel safety are guaranteed.</t>
        </is>
      </c>
      <c r="N676" s="6" t="inlineStr">
        <is>
          <t>When the MCS is unavailable or a communication loss occurs, the QPS:CIS shall continue to operate as long as the system’s safety as well as personnel safety are guaranteed.</t>
        </is>
      </c>
      <c r="O676" s="6" t="n">
        <v>0</v>
      </c>
      <c r="P676" s="6" t="n">
        <v>0</v>
      </c>
      <c r="Q676" s="6" t="n">
        <v>0</v>
      </c>
      <c r="R676" s="6" t="n">
        <v>3</v>
      </c>
      <c r="S676" s="6" t="n">
        <v>0</v>
      </c>
      <c r="T676" s="6" t="n">
        <v>0</v>
      </c>
      <c r="U676" s="6" t="n">
        <v>0</v>
      </c>
      <c r="V676" s="6" t="n">
        <v>16</v>
      </c>
      <c r="W676" s="6" t="n">
        <v>6.38</v>
      </c>
      <c r="X676" s="6" t="n">
        <v>0.1831</v>
      </c>
      <c r="Y676" s="6" t="inlineStr">
        <is>
          <t>Functional</t>
        </is>
      </c>
      <c r="Z676" s="6" t="inlineStr">
        <is>
          <t>Frozen-weight composite; strongest contribution: Functional.</t>
        </is>
      </c>
      <c r="AA676" s="6" t="inlineStr">
        <is>
          <t>None explicitly named in this RTM</t>
        </is>
      </c>
      <c r="AB676" s="6" t="inlineStr">
        <is>
          <t>SCK CEN/90508872 §4.6.5; no named external code</t>
        </is>
      </c>
      <c r="AC676" s="6" t="inlineStr">
        <is>
          <t>Design review plus final inspection/acceptance evidence</t>
        </is>
      </c>
      <c r="AD676" s="6" t="inlineStr">
        <is>
          <t>No separate deliverable explicitly named</t>
        </is>
      </c>
      <c r="AE676" s="6" t="inlineStr">
        <is>
          <t>L1 Conceptual Design; L2 Detailed Design</t>
        </is>
      </c>
      <c r="AF676" s="6" t="inlineStr">
        <is>
          <t>Section/contract-derived reference; derived evidence route</t>
        </is>
      </c>
      <c r="AG676" s="58" t="inlineStr">
        <is>
          <t>Not linked to an OFFER item</t>
        </is>
      </c>
    </row>
    <row r="677" ht="47" customHeight="1">
      <c r="A677" s="6" t="n">
        <v>672</v>
      </c>
      <c r="B677" s="6" t="inlineStr">
        <is>
          <t>RTM-335</t>
        </is>
      </c>
      <c r="C677" s="6" t="inlineStr">
        <is>
          <t>No</t>
        </is>
      </c>
      <c r="D677" s="6" t="inlineStr">
        <is>
          <t>T3 Contextual</t>
        </is>
      </c>
      <c r="E677" s="6" t="inlineStr">
        <is>
          <t>Control &amp; Interlock</t>
        </is>
      </c>
      <c r="F677" s="82" t="inlineStr">
        <is>
          <t>SYSTEM</t>
        </is>
      </c>
      <c r="G677" s="83" t="inlineStr">
        <is>
          <t>Control</t>
        </is>
      </c>
      <c r="H677" s="59" t="inlineStr">
        <is>
          <t>—</t>
        </is>
      </c>
      <c r="I677" s="58" t="inlineStr">
        <is>
          <t>C4 — Software &amp; Control</t>
        </is>
      </c>
      <c r="J677" s="6" t="n">
        <v>75</v>
      </c>
      <c r="K677" s="6" t="inlineStr">
        <is>
          <t>4.6.7</t>
        </is>
      </c>
      <c r="L677" s="6" t="inlineStr">
        <is>
          <t>Software development</t>
        </is>
      </c>
      <c r="M677" s="6" t="inlineStr">
        <is>
          <t>The Contractor shall identify all third-party or vendor software licenses required for modification or deployment of the control software.</t>
        </is>
      </c>
      <c r="N677" s="6" t="inlineStr">
        <is>
          <t>The Contractor shall identify all third-party or vendor software licenses required for modification or deployment of the control software.</t>
        </is>
      </c>
      <c r="O677" s="6" t="n">
        <v>0</v>
      </c>
      <c r="P677" s="6" t="n">
        <v>0</v>
      </c>
      <c r="Q677" s="6" t="n">
        <v>0</v>
      </c>
      <c r="R677" s="6" t="n">
        <v>3</v>
      </c>
      <c r="S677" s="6" t="n">
        <v>0</v>
      </c>
      <c r="T677" s="6" t="n">
        <v>0</v>
      </c>
      <c r="U677" s="6" t="n">
        <v>0</v>
      </c>
      <c r="V677" s="6" t="n">
        <v>16</v>
      </c>
      <c r="W677" s="6" t="n">
        <v>6.38</v>
      </c>
      <c r="X677" s="6" t="n">
        <v>0.1831</v>
      </c>
      <c r="Y677" s="6" t="inlineStr">
        <is>
          <t>Functional</t>
        </is>
      </c>
      <c r="Z677" s="6" t="inlineStr">
        <is>
          <t>Frozen-weight composite; strongest contribution: Functional.</t>
        </is>
      </c>
      <c r="AA677" s="6" t="inlineStr">
        <is>
          <t>None explicitly named in this RTM</t>
        </is>
      </c>
      <c r="AB677" s="6" t="inlineStr">
        <is>
          <t>Section-level: IEC 61131-3</t>
        </is>
      </c>
      <c r="AC677" s="6" t="inlineStr">
        <is>
          <t>Functional design/configuration review and sequence/interface demonstration</t>
        </is>
      </c>
      <c r="AD677" s="6" t="inlineStr">
        <is>
          <t>No separate deliverable explicitly named</t>
        </is>
      </c>
      <c r="AE677" s="6" t="inlineStr">
        <is>
          <t>L1 Conceptual Design; L2 Detailed Design</t>
        </is>
      </c>
      <c r="AF677" s="6" t="inlineStr">
        <is>
          <t>Section/contract-derived reference; derived evidence route</t>
        </is>
      </c>
      <c r="AG677" s="58" t="inlineStr">
        <is>
          <t>OFFER-26 (Direct); OFFER-27 (Supporting); OFFER-28 (Supporting)</t>
        </is>
      </c>
    </row>
    <row r="678" ht="99" customHeight="1">
      <c r="A678" s="6" t="n">
        <v>673</v>
      </c>
      <c r="B678" s="6" t="inlineStr">
        <is>
          <t>RTM-337</t>
        </is>
      </c>
      <c r="C678" s="6" t="inlineStr">
        <is>
          <t>No</t>
        </is>
      </c>
      <c r="D678" s="6" t="inlineStr">
        <is>
          <t>T3 Contextual</t>
        </is>
      </c>
      <c r="E678" s="6" t="inlineStr">
        <is>
          <t>Control &amp; Interlock</t>
        </is>
      </c>
      <c r="F678" s="82" t="inlineStr">
        <is>
          <t>SYSTEM</t>
        </is>
      </c>
      <c r="G678" s="83" t="inlineStr">
        <is>
          <t>Control</t>
        </is>
      </c>
      <c r="H678" s="59" t="inlineStr">
        <is>
          <t>—</t>
        </is>
      </c>
      <c r="I678" s="58" t="inlineStr">
        <is>
          <t>C4 — Software &amp; Control</t>
        </is>
      </c>
      <c r="J678" s="6" t="n">
        <v>75</v>
      </c>
      <c r="K678" s="6" t="inlineStr">
        <is>
          <t>4.6.7</t>
        </is>
      </c>
      <c r="L678" s="6" t="inlineStr">
        <is>
          <t>Software development</t>
        </is>
      </c>
      <c r="M678" s="6" t="inlineStr">
        <is>
          <t>The Contractor may exclude from editable source-code delivery software components containing proprietary intellectual property, including software related to turboexpander control, cold compressor control, protection, interlocks, or performance optimization. Still all applicable clauses from the GSHRC (see [AD_04], e.g., ESCROW) remain valid. For each excluded software component, the Contractor shall:</t>
        </is>
      </c>
      <c r="N678" s="6" t="inlineStr">
        <is>
          <t>The Contractor may exclude from editable source-code delivery software components containing proprietary intellectual property, including software related to turboexpander control, cold compressor control, protection, interlocks, or performance optimization. Still all applicable clauses from the GSHRC (see [AD_04], e.g., ESCROW) remain valid. For each excluded software component, the Contractor shall:</t>
        </is>
      </c>
      <c r="O678" s="6" t="n">
        <v>0</v>
      </c>
      <c r="P678" s="6" t="n">
        <v>0</v>
      </c>
      <c r="Q678" s="6" t="n">
        <v>0</v>
      </c>
      <c r="R678" s="6" t="n">
        <v>3</v>
      </c>
      <c r="S678" s="6" t="n">
        <v>0</v>
      </c>
      <c r="T678" s="6" t="n">
        <v>0</v>
      </c>
      <c r="U678" s="6" t="n">
        <v>0</v>
      </c>
      <c r="V678" s="6" t="n">
        <v>16</v>
      </c>
      <c r="W678" s="6" t="n">
        <v>6.38</v>
      </c>
      <c r="X678" s="6" t="n">
        <v>0.1831</v>
      </c>
      <c r="Y678" s="6" t="inlineStr">
        <is>
          <t>Functional</t>
        </is>
      </c>
      <c r="Z678" s="6" t="inlineStr">
        <is>
          <t>Frozen-weight composite; strongest contribution: Functional.</t>
        </is>
      </c>
      <c r="AA678" s="6" t="inlineStr">
        <is>
          <t>None explicitly named in this RTM</t>
        </is>
      </c>
      <c r="AB678" s="6" t="inlineStr">
        <is>
          <t>Section-level: IEC 61131-3</t>
        </is>
      </c>
      <c r="AC678" s="6" t="inlineStr">
        <is>
          <t>Functional design/configuration review and sequence/interface demonstration</t>
        </is>
      </c>
      <c r="AD678" s="6" t="inlineStr">
        <is>
          <t>No separate deliverable explicitly named</t>
        </is>
      </c>
      <c r="AE678" s="6" t="inlineStr">
        <is>
          <t>PAC / Handover; L1 Conceptual Design; L2 Detailed Design</t>
        </is>
      </c>
      <c r="AF678" s="6" t="inlineStr">
        <is>
          <t>Section/contract-derived reference; derived evidence route</t>
        </is>
      </c>
      <c r="AG678" s="58" t="inlineStr">
        <is>
          <t>OFFER-26 (Direct); OFFER-27 (Supporting); OFFER-28 (Supporting)</t>
        </is>
      </c>
    </row>
    <row r="679" ht="99" customHeight="1">
      <c r="A679" s="6" t="n">
        <v>674</v>
      </c>
      <c r="B679" s="6" t="inlineStr">
        <is>
          <t>RTM-340</t>
        </is>
      </c>
      <c r="C679" s="6" t="inlineStr">
        <is>
          <t>No</t>
        </is>
      </c>
      <c r="D679" s="6" t="inlineStr">
        <is>
          <t>T3 Contextual</t>
        </is>
      </c>
      <c r="E679" s="6" t="inlineStr">
        <is>
          <t>Control &amp; Interlock</t>
        </is>
      </c>
      <c r="F679" s="82" t="inlineStr">
        <is>
          <t>SYSTEM</t>
        </is>
      </c>
      <c r="G679" s="83" t="inlineStr">
        <is>
          <t>Control</t>
        </is>
      </c>
      <c r="H679" s="59" t="inlineStr">
        <is>
          <t>—</t>
        </is>
      </c>
      <c r="I679" s="58" t="inlineStr">
        <is>
          <t>C4 — Software &amp; Control</t>
        </is>
      </c>
      <c r="J679" s="6" t="n">
        <v>75</v>
      </c>
      <c r="K679" s="6" t="inlineStr">
        <is>
          <t>4.6.7</t>
        </is>
      </c>
      <c r="L679" s="6" t="inlineStr">
        <is>
          <t>Software development</t>
        </is>
      </c>
      <c r="M679" s="6" t="inlineStr">
        <is>
          <t>The use of Instruction List (IL) is highly discouraged. Higher-level languages like Structured Text (ST) are highly recommended for better clarity, maintainability, and portability of PLC programs. Therefore, the Contractor is strongly advised to avoid new implementations in IL and to migrate any existing IL-based code to ST or other recommended IEC 61131-3 languages whenever possible.</t>
        </is>
      </c>
      <c r="N679" s="6" t="inlineStr">
        <is>
          <t>The use of Instruction List (IL) is highly discouraged. Higher-level languages like Structured Text (ST) are highly recommended for better clarity, maintainability, and portability of PLC programs. Therefore, the Contractor is strongly advised to avoid new implementations in IL and to migrate any existing IL-based code to ST or other recommended IEC 61131-3 languages whenever possible.</t>
        </is>
      </c>
      <c r="O679" s="6" t="n">
        <v>0</v>
      </c>
      <c r="P679" s="6" t="n">
        <v>0</v>
      </c>
      <c r="Q679" s="6" t="n">
        <v>0</v>
      </c>
      <c r="R679" s="6" t="n">
        <v>3</v>
      </c>
      <c r="S679" s="6" t="n">
        <v>0</v>
      </c>
      <c r="T679" s="6" t="n">
        <v>0</v>
      </c>
      <c r="U679" s="6" t="n">
        <v>0</v>
      </c>
      <c r="V679" s="6" t="n">
        <v>16</v>
      </c>
      <c r="W679" s="6" t="n">
        <v>6.38</v>
      </c>
      <c r="X679" s="6" t="n">
        <v>0.1831</v>
      </c>
      <c r="Y679" s="6" t="inlineStr">
        <is>
          <t>Functional</t>
        </is>
      </c>
      <c r="Z679" s="6" t="inlineStr">
        <is>
          <t>Frozen-weight composite; strongest contribution: Functional.</t>
        </is>
      </c>
      <c r="AA679" s="6" t="inlineStr">
        <is>
          <t>IEC 61131-3</t>
        </is>
      </c>
      <c r="AB679" s="6" t="inlineStr">
        <is>
          <t>IEC 61131-3</t>
        </is>
      </c>
      <c r="AC679" s="6" t="inlineStr">
        <is>
          <t>Submit and review the named deliverable with RTM traceability and approval status</t>
        </is>
      </c>
      <c r="AD679" s="6" t="inlineStr">
        <is>
          <t>List / register / matrix</t>
        </is>
      </c>
      <c r="AE679" s="6" t="inlineStr">
        <is>
          <t>L1 Conceptual Design; L2 Detailed Design</t>
        </is>
      </c>
      <c r="AF679" s="6" t="inlineStr">
        <is>
          <t>Explicit/table-grounded standard; explicit deliverable/test wording</t>
        </is>
      </c>
      <c r="AG679" s="58" t="inlineStr">
        <is>
          <t>OFFER-26 (Supporting); OFFER-27 (Direct); OFFER-28 (Supporting)</t>
        </is>
      </c>
    </row>
    <row r="680" ht="47" customHeight="1">
      <c r="A680" s="6" t="n">
        <v>675</v>
      </c>
      <c r="B680" s="6" t="inlineStr">
        <is>
          <t>RTM-341</t>
        </is>
      </c>
      <c r="C680" s="6" t="inlineStr">
        <is>
          <t>No</t>
        </is>
      </c>
      <c r="D680" s="6" t="inlineStr">
        <is>
          <t>T3 Contextual</t>
        </is>
      </c>
      <c r="E680" s="6" t="inlineStr">
        <is>
          <t>Control &amp; Interlock</t>
        </is>
      </c>
      <c r="F680" s="82" t="inlineStr">
        <is>
          <t>SYSTEM</t>
        </is>
      </c>
      <c r="G680" s="83" t="inlineStr">
        <is>
          <t>Performance</t>
        </is>
      </c>
      <c r="H680" s="59" t="inlineStr">
        <is>
          <t>—</t>
        </is>
      </c>
      <c r="I680" s="58" t="inlineStr">
        <is>
          <t>C4 — Software &amp; Control</t>
        </is>
      </c>
      <c r="J680" s="6" t="n">
        <v>75</v>
      </c>
      <c r="K680" s="6" t="inlineStr">
        <is>
          <t>4.6.7</t>
        </is>
      </c>
      <c r="L680" s="6" t="inlineStr">
        <is>
          <t>Software development</t>
        </is>
      </c>
      <c r="M680" s="6" t="inlineStr">
        <is>
          <t>When the Software Component includes human readable information (for example, but not limited to: HMI, logging, source code), it shall be in English.</t>
        </is>
      </c>
      <c r="N680" s="6" t="inlineStr">
        <is>
          <t>When the Software Component includes human readable information (for example, but not limited to: HMI, logging, source code), it shall be in English.</t>
        </is>
      </c>
      <c r="O680" s="6" t="n">
        <v>0</v>
      </c>
      <c r="P680" s="6" t="n">
        <v>0</v>
      </c>
      <c r="Q680" s="6" t="n">
        <v>0</v>
      </c>
      <c r="R680" s="6" t="n">
        <v>3</v>
      </c>
      <c r="S680" s="6" t="n">
        <v>0</v>
      </c>
      <c r="T680" s="6" t="n">
        <v>0</v>
      </c>
      <c r="U680" s="6" t="n">
        <v>0</v>
      </c>
      <c r="V680" s="6" t="n">
        <v>16</v>
      </c>
      <c r="W680" s="6" t="n">
        <v>6.38</v>
      </c>
      <c r="X680" s="6" t="n">
        <v>0.1831</v>
      </c>
      <c r="Y680" s="6" t="inlineStr">
        <is>
          <t>Functional</t>
        </is>
      </c>
      <c r="Z680" s="6" t="inlineStr">
        <is>
          <t>Frozen-weight composite; strongest contribution: Functional.</t>
        </is>
      </c>
      <c r="AA680" s="6" t="inlineStr">
        <is>
          <t>None explicitly named in this RTM</t>
        </is>
      </c>
      <c r="AB680" s="6" t="inlineStr">
        <is>
          <t>Section-level: IEC 61131-3</t>
        </is>
      </c>
      <c r="AC680" s="6" t="inlineStr">
        <is>
          <t>Functional design/configuration review and sequence/interface demonstration</t>
        </is>
      </c>
      <c r="AD680" s="6" t="inlineStr">
        <is>
          <t>No separate deliverable explicitly named</t>
        </is>
      </c>
      <c r="AE680" s="6" t="inlineStr">
        <is>
          <t>L1 Conceptual Design; L2 Detailed Design</t>
        </is>
      </c>
      <c r="AF680" s="6" t="inlineStr">
        <is>
          <t>Section/contract-derived reference; derived evidence route</t>
        </is>
      </c>
      <c r="AG680" s="58" t="inlineStr">
        <is>
          <t>OFFER-26 (Supporting); OFFER-27 (Direct); OFFER-28 (Supporting)</t>
        </is>
      </c>
    </row>
    <row r="681" ht="125" customHeight="1">
      <c r="A681" s="6" t="n">
        <v>676</v>
      </c>
      <c r="B681" s="6" t="inlineStr">
        <is>
          <t>RTM-342</t>
        </is>
      </c>
      <c r="C681" s="6" t="inlineStr">
        <is>
          <t>No</t>
        </is>
      </c>
      <c r="D681" s="6" t="inlineStr">
        <is>
          <t>T3 Contextual</t>
        </is>
      </c>
      <c r="E681" s="6" t="inlineStr">
        <is>
          <t>Control &amp; Interlock</t>
        </is>
      </c>
      <c r="F681" s="82" t="inlineStr">
        <is>
          <t>SYSTEM</t>
        </is>
      </c>
      <c r="G681" s="83" t="inlineStr">
        <is>
          <t>Control</t>
        </is>
      </c>
      <c r="H681" s="59" t="inlineStr">
        <is>
          <t>—</t>
        </is>
      </c>
      <c r="I681" s="58" t="inlineStr">
        <is>
          <t>C4 — Software &amp; Control</t>
        </is>
      </c>
      <c r="J681" s="6" t="n">
        <v>75</v>
      </c>
      <c r="K681" s="6" t="inlineStr">
        <is>
          <t>4.6.7</t>
        </is>
      </c>
      <c r="L681" s="6" t="inlineStr">
        <is>
          <t>Software development</t>
        </is>
      </c>
      <c r="M681" s="6" t="inlineStr">
        <is>
          <t>The Contractor shall develop a functional analysis and a detailed description of all control scenarios including interfaces. The detailed description shall also include a program sequence plan (functions and procedures used in the program). For each software module, functional block, component, or data block, the Contractor shall provide a detailed description of the logical conditions and input states that govern the activation, value assignment, or change of each output parameter.</t>
        </is>
      </c>
      <c r="N681" s="6" t="inlineStr">
        <is>
          <t>The Contractor shall develop a functional analysis and a detailed description of all control scenarios including interfaces. The detailed description shall also include a program sequence plan (functions and procedures used in the program). For each software module, functional block, component, or data block, the Contractor shall provide a detailed description of the logical conditions and input states that govern the activation, value assignment, or change of each output parameter.</t>
        </is>
      </c>
      <c r="O681" s="6" t="n">
        <v>0</v>
      </c>
      <c r="P681" s="6" t="n">
        <v>0</v>
      </c>
      <c r="Q681" s="6" t="n">
        <v>0</v>
      </c>
      <c r="R681" s="6" t="n">
        <v>3</v>
      </c>
      <c r="S681" s="6" t="n">
        <v>0</v>
      </c>
      <c r="T681" s="6" t="n">
        <v>0</v>
      </c>
      <c r="U681" s="6" t="n">
        <v>0</v>
      </c>
      <c r="V681" s="6" t="n">
        <v>16</v>
      </c>
      <c r="W681" s="6" t="n">
        <v>6.38</v>
      </c>
      <c r="X681" s="6" t="n">
        <v>0.1831</v>
      </c>
      <c r="Y681" s="6" t="inlineStr">
        <is>
          <t>Functional</t>
        </is>
      </c>
      <c r="Z681" s="6" t="inlineStr">
        <is>
          <t>Frozen-weight composite; strongest contribution: Functional.</t>
        </is>
      </c>
      <c r="AA681" s="6" t="inlineStr">
        <is>
          <t>None explicitly named in this RTM</t>
        </is>
      </c>
      <c r="AB681" s="6" t="inlineStr">
        <is>
          <t>Section-level: IEC 61131-3</t>
        </is>
      </c>
      <c r="AC681" s="6" t="inlineStr">
        <is>
          <t>Submit and review the named deliverable with RTM traceability and approval status; Functional design/configuration review and sequence/interface demonstration</t>
        </is>
      </c>
      <c r="AD681" s="6" t="inlineStr">
        <is>
          <t>Procedure / work instruction</t>
        </is>
      </c>
      <c r="AE681" s="6" t="inlineStr">
        <is>
          <t>L1 Conceptual Design; L2 Detailed Design</t>
        </is>
      </c>
      <c r="AF681" s="6" t="inlineStr">
        <is>
          <t>Section/contract-derived reference; explicit deliverable/test wording</t>
        </is>
      </c>
      <c r="AG681" s="58" t="inlineStr">
        <is>
          <t>OFFER-26 (Supporting); OFFER-27 (Supporting); OFFER-28 (Direct)</t>
        </is>
      </c>
    </row>
    <row r="682" ht="99" customHeight="1">
      <c r="A682" s="6" t="n">
        <v>677</v>
      </c>
      <c r="B682" s="6" t="inlineStr">
        <is>
          <t>RTM-345</t>
        </is>
      </c>
      <c r="C682" s="6" t="inlineStr">
        <is>
          <t>No</t>
        </is>
      </c>
      <c r="D682" s="6" t="inlineStr">
        <is>
          <t>T3 Contextual</t>
        </is>
      </c>
      <c r="E682" s="6" t="inlineStr">
        <is>
          <t>Control &amp; Interlock</t>
        </is>
      </c>
      <c r="F682" s="82" t="inlineStr">
        <is>
          <t>SYSTEM</t>
        </is>
      </c>
      <c r="G682" s="83" t="inlineStr">
        <is>
          <t>Control</t>
        </is>
      </c>
      <c r="H682" s="59" t="inlineStr">
        <is>
          <t>—</t>
        </is>
      </c>
      <c r="I682" s="58" t="inlineStr">
        <is>
          <t>C4 — Software &amp; Control</t>
        </is>
      </c>
      <c r="J682" s="6" t="n">
        <v>76</v>
      </c>
      <c r="K682" s="6" t="inlineStr">
        <is>
          <t>4.6.7</t>
        </is>
      </c>
      <c r="L682" s="6" t="inlineStr">
        <is>
          <t>Software development</t>
        </is>
      </c>
      <c r="M682" s="6" t="inlineStr">
        <is>
          <t>The Contractor shall provide a complete and final listing of all operational setpoints, control-loop tuning parameters, and mode-dependent configuration values used to achieve the specified QPLANT performance.</t>
        </is>
      </c>
      <c r="N682" s="6" t="inlineStr">
        <is>
          <t>The Contractor shall provide a complete and final listing of all operational setpoints, control-loop tuning parameters, and mode-dependent configuration values used to achieve the specified QPLANT performance.
• The information provided shall include deviations from vendor default settings and tuning applicable to all operating modes.
• Operational setpoints, tuning parameters, and configuration values shall not be withheld on intellectual-property grounds.</t>
        </is>
      </c>
      <c r="O682" s="6" t="n">
        <v>0</v>
      </c>
      <c r="P682" s="6" t="n">
        <v>0</v>
      </c>
      <c r="Q682" s="6" t="n">
        <v>0</v>
      </c>
      <c r="R682" s="6" t="n">
        <v>3</v>
      </c>
      <c r="S682" s="6" t="n">
        <v>0</v>
      </c>
      <c r="T682" s="6" t="n">
        <v>0</v>
      </c>
      <c r="U682" s="6" t="n">
        <v>0</v>
      </c>
      <c r="V682" s="6" t="n">
        <v>16</v>
      </c>
      <c r="W682" s="6" t="n">
        <v>6.38</v>
      </c>
      <c r="X682" s="6" t="n">
        <v>0.1831</v>
      </c>
      <c r="Y682" s="6" t="inlineStr">
        <is>
          <t>Functional</t>
        </is>
      </c>
      <c r="Z682" s="6" t="inlineStr">
        <is>
          <t>Frozen-weight composite; strongest contribution: Functional.</t>
        </is>
      </c>
      <c r="AA682" s="6" t="inlineStr">
        <is>
          <t>None explicitly named in this RTM</t>
        </is>
      </c>
      <c r="AB682" s="6" t="inlineStr">
        <is>
          <t>Section-level: IEC 61131-3</t>
        </is>
      </c>
      <c r="AC682" s="6" t="inlineStr">
        <is>
          <t>Functional design/configuration review and sequence/interface demonstration</t>
        </is>
      </c>
      <c r="AD682" s="6" t="inlineStr">
        <is>
          <t>No separate deliverable explicitly named</t>
        </is>
      </c>
      <c r="AE682" s="6" t="inlineStr">
        <is>
          <t>L1 Conceptual Design; L2 Detailed Design</t>
        </is>
      </c>
      <c r="AF682" s="6" t="inlineStr">
        <is>
          <t>Section/contract-derived reference; derived evidence route</t>
        </is>
      </c>
      <c r="AG682" s="58" t="inlineStr">
        <is>
          <t>OFFER-26 (Supporting); OFFER-27 (Supporting); OFFER-28 (Direct)</t>
        </is>
      </c>
    </row>
    <row r="683" ht="73" customHeight="1">
      <c r="A683" s="6" t="n">
        <v>678</v>
      </c>
      <c r="B683" s="6" t="inlineStr">
        <is>
          <t>RTM-349</t>
        </is>
      </c>
      <c r="C683" s="6" t="inlineStr">
        <is>
          <t>No</t>
        </is>
      </c>
      <c r="D683" s="6" t="inlineStr">
        <is>
          <t>T3 Contextual</t>
        </is>
      </c>
      <c r="E683" s="6" t="inlineStr">
        <is>
          <t>Control &amp; Interlock</t>
        </is>
      </c>
      <c r="F683" s="82" t="inlineStr">
        <is>
          <t>SYSTEM</t>
        </is>
      </c>
      <c r="G683" s="83" t="inlineStr">
        <is>
          <t>Performance</t>
        </is>
      </c>
      <c r="H683" s="59" t="inlineStr">
        <is>
          <t>—</t>
        </is>
      </c>
      <c r="I683" s="58" t="inlineStr">
        <is>
          <t>C4 — Software &amp; Control</t>
        </is>
      </c>
      <c r="J683" s="6" t="n">
        <v>76</v>
      </c>
      <c r="K683" s="6" t="inlineStr">
        <is>
          <t>4.6.8</t>
        </is>
      </c>
      <c r="L683" s="6" t="inlineStr">
        <is>
          <t>SCADA, HMI, and Data Historian Infrastructure</t>
        </is>
      </c>
      <c r="M683" s="6" t="inlineStr">
        <is>
          <t>The QPS:SCADA solution shall serve as a reference design for a potential future integration in the MINERVA SCADA system. The Contractor shall therefore provide sufficient technical and functional documentation to support reuse and alignment.</t>
        </is>
      </c>
      <c r="N683" s="6" t="inlineStr">
        <is>
          <t>The QPS:SCADA solution shall serve as a reference design for a potential future integration in the MINERVA SCADA system. The Contractor shall therefore provide sufficient technical and functional documentation to support reuse and alignment.</t>
        </is>
      </c>
      <c r="O683" s="6" t="n">
        <v>0</v>
      </c>
      <c r="P683" s="6" t="n">
        <v>0</v>
      </c>
      <c r="Q683" s="6" t="n">
        <v>0</v>
      </c>
      <c r="R683" s="6" t="n">
        <v>3</v>
      </c>
      <c r="S683" s="6" t="n">
        <v>0</v>
      </c>
      <c r="T683" s="6" t="n">
        <v>0</v>
      </c>
      <c r="U683" s="6" t="n">
        <v>0</v>
      </c>
      <c r="V683" s="6" t="n">
        <v>16</v>
      </c>
      <c r="W683" s="6" t="n">
        <v>6.38</v>
      </c>
      <c r="X683" s="6" t="n">
        <v>0.1831</v>
      </c>
      <c r="Y683" s="6" t="inlineStr">
        <is>
          <t>Functional</t>
        </is>
      </c>
      <c r="Z683" s="6" t="inlineStr">
        <is>
          <t>Frozen-weight composite; strongest contribution: Functional.</t>
        </is>
      </c>
      <c r="AA683" s="6" t="inlineStr">
        <is>
          <t>None explicitly named in this RTM</t>
        </is>
      </c>
      <c r="AB683" s="6" t="inlineStr">
        <is>
          <t>SCK CEN/90508872 §4.6.8; no named external code</t>
        </is>
      </c>
      <c r="AC683" s="6" t="inlineStr">
        <is>
          <t>Design review plus final inspection/acceptance evidence</t>
        </is>
      </c>
      <c r="AD683" s="6" t="inlineStr">
        <is>
          <t>No separate deliverable explicitly named</t>
        </is>
      </c>
      <c r="AE683" s="6" t="inlineStr">
        <is>
          <t>L1 Conceptual Design; L2 Detailed Design</t>
        </is>
      </c>
      <c r="AF683" s="6" t="inlineStr">
        <is>
          <t>Section/contract-derived reference; derived evidence route</t>
        </is>
      </c>
      <c r="AG683" s="58" t="inlineStr">
        <is>
          <t>OFFER-29 (Direct)</t>
        </is>
      </c>
    </row>
    <row r="684" ht="60" customHeight="1">
      <c r="A684" s="6" t="n">
        <v>679</v>
      </c>
      <c r="B684" s="6" t="inlineStr">
        <is>
          <t>RTM-353</t>
        </is>
      </c>
      <c r="C684" s="6" t="inlineStr">
        <is>
          <t>No</t>
        </is>
      </c>
      <c r="D684" s="6" t="inlineStr">
        <is>
          <t>T3 Contextual</t>
        </is>
      </c>
      <c r="E684" s="6" t="inlineStr">
        <is>
          <t>Control &amp; Interlock</t>
        </is>
      </c>
      <c r="F684" s="82" t="inlineStr">
        <is>
          <t>SYSTEM</t>
        </is>
      </c>
      <c r="G684" s="83" t="inlineStr">
        <is>
          <t>Performance</t>
        </is>
      </c>
      <c r="H684" s="59" t="inlineStr">
        <is>
          <t>—</t>
        </is>
      </c>
      <c r="I684" s="58" t="inlineStr">
        <is>
          <t>C4 — Software &amp; Control</t>
        </is>
      </c>
      <c r="J684" s="6" t="n">
        <v>77</v>
      </c>
      <c r="K684" s="6" t="inlineStr">
        <is>
          <t>4.6.8</t>
        </is>
      </c>
      <c r="L684" s="6" t="inlineStr">
        <is>
          <t>SCADA, HMI, and Data Historian Infrastructure</t>
        </is>
      </c>
      <c r="M684" s="6" t="inlineStr">
        <is>
          <t>The HMI shall be designed to allow migration to newer hardware from the same manufacturer, ensuring compatibility of project files, software licenses, and configuration transfer procedures.</t>
        </is>
      </c>
      <c r="N684" s="6" t="inlineStr">
        <is>
          <t>The HMI shall be designed to allow migration to newer hardware from the same manufacturer, ensuring compatibility of project files, software licenses, and configuration transfer procedures.</t>
        </is>
      </c>
      <c r="O684" s="6" t="n">
        <v>0</v>
      </c>
      <c r="P684" s="6" t="n">
        <v>0</v>
      </c>
      <c r="Q684" s="6" t="n">
        <v>0</v>
      </c>
      <c r="R684" s="6" t="n">
        <v>3</v>
      </c>
      <c r="S684" s="6" t="n">
        <v>0</v>
      </c>
      <c r="T684" s="6" t="n">
        <v>0</v>
      </c>
      <c r="U684" s="6" t="n">
        <v>0</v>
      </c>
      <c r="V684" s="6" t="n">
        <v>16</v>
      </c>
      <c r="W684" s="6" t="n">
        <v>6.38</v>
      </c>
      <c r="X684" s="6" t="n">
        <v>0.1831</v>
      </c>
      <c r="Y684" s="6" t="inlineStr">
        <is>
          <t>Functional</t>
        </is>
      </c>
      <c r="Z684" s="6" t="inlineStr">
        <is>
          <t>Frozen-weight composite; strongest contribution: Functional.</t>
        </is>
      </c>
      <c r="AA684" s="6" t="inlineStr">
        <is>
          <t>None explicitly named in this RTM</t>
        </is>
      </c>
      <c r="AB684" s="6" t="inlineStr">
        <is>
          <t>SCK CEN/90508872 §4.6.8; no named external code</t>
        </is>
      </c>
      <c r="AC684" s="6" t="inlineStr">
        <is>
          <t>Submit and review the named deliverable with RTM traceability and approval status; Functional design/configuration review and sequence/interface demonstration</t>
        </is>
      </c>
      <c r="AD684" s="6" t="inlineStr">
        <is>
          <t>Procedure / work instruction</t>
        </is>
      </c>
      <c r="AE684" s="6" t="inlineStr">
        <is>
          <t>L1 Conceptual Design; L2 Detailed Design</t>
        </is>
      </c>
      <c r="AF684" s="6" t="inlineStr">
        <is>
          <t>Section/contract-derived reference; explicit deliverable/test wording</t>
        </is>
      </c>
      <c r="AG684" s="58" t="inlineStr">
        <is>
          <t>OFFER-29 (Direct)</t>
        </is>
      </c>
    </row>
    <row r="685" ht="73" customHeight="1">
      <c r="A685" s="6" t="n">
        <v>680</v>
      </c>
      <c r="B685" s="6" t="inlineStr">
        <is>
          <t>RTM-354</t>
        </is>
      </c>
      <c r="C685" s="6" t="inlineStr">
        <is>
          <t>No</t>
        </is>
      </c>
      <c r="D685" s="6" t="inlineStr">
        <is>
          <t>T3 Contextual</t>
        </is>
      </c>
      <c r="E685" s="6" t="inlineStr">
        <is>
          <t>Control &amp; Interlock</t>
        </is>
      </c>
      <c r="F685" s="82" t="inlineStr">
        <is>
          <t>SYSTEM</t>
        </is>
      </c>
      <c r="G685" s="83" t="inlineStr">
        <is>
          <t>Control</t>
        </is>
      </c>
      <c r="H685" s="59" t="inlineStr">
        <is>
          <t>—</t>
        </is>
      </c>
      <c r="I685" s="58" t="inlineStr">
        <is>
          <t>C4 — Software &amp; Control</t>
        </is>
      </c>
      <c r="J685" s="6" t="n">
        <v>77</v>
      </c>
      <c r="K685" s="6" t="inlineStr">
        <is>
          <t>4.6.8</t>
        </is>
      </c>
      <c r="L685" s="6" t="inlineStr">
        <is>
          <t>SCADA, HMI, and Data Historian Infrastructure</t>
        </is>
      </c>
      <c r="M685" s="6" t="inlineStr">
        <is>
          <t>Where local control is provided, the HMI shall implement a three-state control selection mechanism: Local – Free – Remote.</t>
        </is>
      </c>
      <c r="N685" s="6" t="inlineStr">
        <is>
          <t>Where local control is provided, the HMI shall implement a three-state control selection mechanism: Local – Free – Remote.
• Control may only be granted when the system is in the Free state. Read-only access shall always be permitted. Other internal state machines (e.g., regulation loops) shall remain active regardless of control mode.</t>
        </is>
      </c>
      <c r="O685" s="6" t="n">
        <v>0</v>
      </c>
      <c r="P685" s="6" t="n">
        <v>0</v>
      </c>
      <c r="Q685" s="6" t="n">
        <v>0</v>
      </c>
      <c r="R685" s="6" t="n">
        <v>3</v>
      </c>
      <c r="S685" s="6" t="n">
        <v>0</v>
      </c>
      <c r="T685" s="6" t="n">
        <v>0</v>
      </c>
      <c r="U685" s="6" t="n">
        <v>0</v>
      </c>
      <c r="V685" s="6" t="n">
        <v>16</v>
      </c>
      <c r="W685" s="6" t="n">
        <v>6.38</v>
      </c>
      <c r="X685" s="6" t="n">
        <v>0.1831</v>
      </c>
      <c r="Y685" s="6" t="inlineStr">
        <is>
          <t>Functional</t>
        </is>
      </c>
      <c r="Z685" s="6" t="inlineStr">
        <is>
          <t>Frozen-weight composite; strongest contribution: Functional.</t>
        </is>
      </c>
      <c r="AA685" s="6" t="inlineStr">
        <is>
          <t>None explicitly named in this RTM</t>
        </is>
      </c>
      <c r="AB685" s="6" t="inlineStr">
        <is>
          <t>SCK CEN/90508872 §4.6.8; no named external code</t>
        </is>
      </c>
      <c r="AC685" s="6" t="inlineStr">
        <is>
          <t>Functional design/configuration review and sequence/interface demonstration</t>
        </is>
      </c>
      <c r="AD685" s="6" t="inlineStr">
        <is>
          <t>No separate deliverable explicitly named</t>
        </is>
      </c>
      <c r="AE685" s="6" t="inlineStr">
        <is>
          <t>L1 Conceptual Design; L2 Detailed Design</t>
        </is>
      </c>
      <c r="AF685" s="6" t="inlineStr">
        <is>
          <t>Section/contract-derived reference; derived evidence route</t>
        </is>
      </c>
      <c r="AG685" s="58" t="inlineStr">
        <is>
          <t>OFFER-29 (Direct)</t>
        </is>
      </c>
    </row>
    <row r="686" ht="47" customHeight="1">
      <c r="A686" s="6" t="n">
        <v>681</v>
      </c>
      <c r="B686" s="6" t="inlineStr">
        <is>
          <t>RTM-355</t>
        </is>
      </c>
      <c r="C686" s="6" t="inlineStr">
        <is>
          <t>No</t>
        </is>
      </c>
      <c r="D686" s="6" t="inlineStr">
        <is>
          <t>T3 Contextual</t>
        </is>
      </c>
      <c r="E686" s="6" t="inlineStr">
        <is>
          <t>Control &amp; Interlock</t>
        </is>
      </c>
      <c r="F686" s="82" t="inlineStr">
        <is>
          <t>SYSTEM</t>
        </is>
      </c>
      <c r="G686" s="83" t="inlineStr">
        <is>
          <t>Control</t>
        </is>
      </c>
      <c r="H686" s="59" t="inlineStr">
        <is>
          <t>—</t>
        </is>
      </c>
      <c r="I686" s="58" t="inlineStr">
        <is>
          <t>C4 — Software &amp; Control</t>
        </is>
      </c>
      <c r="J686" s="6" t="n">
        <v>77</v>
      </c>
      <c r="K686" s="6" t="inlineStr">
        <is>
          <t>4.6.8</t>
        </is>
      </c>
      <c r="L686" s="6" t="inlineStr">
        <is>
          <t>SCADA, HMI, and Data Historian Infrastructure</t>
        </is>
      </c>
      <c r="M686" s="6" t="inlineStr">
        <is>
          <t>A system reserved in a specific control mode shall automatically transition to the Free state after a configurable inactivity timeout (maximum 5 minutes).</t>
        </is>
      </c>
      <c r="N686" s="6" t="inlineStr">
        <is>
          <t>A system reserved in a specific control mode shall automatically transition to the Free state after a configurable inactivity timeout (maximum 5 minutes).</t>
        </is>
      </c>
      <c r="O686" s="6" t="n">
        <v>0</v>
      </c>
      <c r="P686" s="6" t="n">
        <v>0</v>
      </c>
      <c r="Q686" s="6" t="n">
        <v>0</v>
      </c>
      <c r="R686" s="6" t="n">
        <v>3</v>
      </c>
      <c r="S686" s="6" t="n">
        <v>0</v>
      </c>
      <c r="T686" s="6" t="n">
        <v>0</v>
      </c>
      <c r="U686" s="6" t="n">
        <v>0</v>
      </c>
      <c r="V686" s="6" t="n">
        <v>16</v>
      </c>
      <c r="W686" s="6" t="n">
        <v>6.38</v>
      </c>
      <c r="X686" s="6" t="n">
        <v>0.1831</v>
      </c>
      <c r="Y686" s="6" t="inlineStr">
        <is>
          <t>Functional</t>
        </is>
      </c>
      <c r="Z686" s="6" t="inlineStr">
        <is>
          <t>Frozen-weight composite; strongest contribution: Functional.</t>
        </is>
      </c>
      <c r="AA686" s="6" t="inlineStr">
        <is>
          <t>None explicitly named in this RTM</t>
        </is>
      </c>
      <c r="AB686" s="6" t="inlineStr">
        <is>
          <t>SCK CEN/90508872 §4.6.8; no named external code</t>
        </is>
      </c>
      <c r="AC686" s="6" t="inlineStr">
        <is>
          <t>Functional design/configuration review and sequence/interface demonstration</t>
        </is>
      </c>
      <c r="AD686" s="6" t="inlineStr">
        <is>
          <t>No separate deliverable explicitly named</t>
        </is>
      </c>
      <c r="AE686" s="6" t="inlineStr">
        <is>
          <t>L1 Conceptual Design; L2 Detailed Design</t>
        </is>
      </c>
      <c r="AF686" s="6" t="inlineStr">
        <is>
          <t>Section/contract-derived reference; derived evidence route</t>
        </is>
      </c>
      <c r="AG686" s="58" t="inlineStr">
        <is>
          <t>OFFER-29 (Direct)</t>
        </is>
      </c>
    </row>
    <row r="687" ht="34" customHeight="1">
      <c r="A687" s="6" t="n">
        <v>682</v>
      </c>
      <c r="B687" s="6" t="inlineStr">
        <is>
          <t>RTM-358</t>
        </is>
      </c>
      <c r="C687" s="6" t="inlineStr">
        <is>
          <t>No</t>
        </is>
      </c>
      <c r="D687" s="6" t="inlineStr">
        <is>
          <t>T3 Contextual</t>
        </is>
      </c>
      <c r="E687" s="6" t="inlineStr">
        <is>
          <t>Control &amp; Interlock</t>
        </is>
      </c>
      <c r="F687" s="82" t="inlineStr">
        <is>
          <t>SYSTEM</t>
        </is>
      </c>
      <c r="G687" s="83" t="inlineStr">
        <is>
          <t>Performance</t>
        </is>
      </c>
      <c r="H687" s="59" t="inlineStr">
        <is>
          <t>—</t>
        </is>
      </c>
      <c r="I687" s="58" t="inlineStr">
        <is>
          <t>C4 — Software &amp; Control</t>
        </is>
      </c>
      <c r="J687" s="6" t="n">
        <v>77</v>
      </c>
      <c r="K687" s="6" t="inlineStr">
        <is>
          <t>4.6.8</t>
        </is>
      </c>
      <c r="L687" s="6" t="inlineStr">
        <is>
          <t>SCADA, HMI, and Data Historian Infrastructure</t>
        </is>
      </c>
      <c r="M687" s="6" t="inlineStr">
        <is>
          <t>The Operator Station HMI shall provide real-time and short-term historical trend plotting of key process variables.</t>
        </is>
      </c>
      <c r="N687" s="6" t="inlineStr">
        <is>
          <t>The Operator Station HMI shall provide real-time and short-term historical trend plotting of key process variables.</t>
        </is>
      </c>
      <c r="O687" s="6" t="n">
        <v>0</v>
      </c>
      <c r="P687" s="6" t="n">
        <v>0</v>
      </c>
      <c r="Q687" s="6" t="n">
        <v>0</v>
      </c>
      <c r="R687" s="6" t="n">
        <v>3</v>
      </c>
      <c r="S687" s="6" t="n">
        <v>0</v>
      </c>
      <c r="T687" s="6" t="n">
        <v>0</v>
      </c>
      <c r="U687" s="6" t="n">
        <v>0</v>
      </c>
      <c r="V687" s="6" t="n">
        <v>16</v>
      </c>
      <c r="W687" s="6" t="n">
        <v>6.38</v>
      </c>
      <c r="X687" s="6" t="n">
        <v>0.1831</v>
      </c>
      <c r="Y687" s="6" t="inlineStr">
        <is>
          <t>Functional</t>
        </is>
      </c>
      <c r="Z687" s="6" t="inlineStr">
        <is>
          <t>Frozen-weight composite; strongest contribution: Functional.</t>
        </is>
      </c>
      <c r="AA687" s="6" t="inlineStr">
        <is>
          <t>None explicitly named in this RTM</t>
        </is>
      </c>
      <c r="AB687" s="6" t="inlineStr">
        <is>
          <t>SCK CEN/90508872 §4.6.8; no named external code</t>
        </is>
      </c>
      <c r="AC687" s="6" t="inlineStr">
        <is>
          <t>Design review plus final inspection/acceptance evidence</t>
        </is>
      </c>
      <c r="AD687" s="6" t="inlineStr">
        <is>
          <t>No separate deliverable explicitly named</t>
        </is>
      </c>
      <c r="AE687" s="6" t="inlineStr">
        <is>
          <t>L1 Conceptual Design; L2 Detailed Design</t>
        </is>
      </c>
      <c r="AF687" s="6" t="inlineStr">
        <is>
          <t>Section/contract-derived reference; derived evidence route</t>
        </is>
      </c>
      <c r="AG687" s="58" t="inlineStr">
        <is>
          <t>OFFER-29 (Direct)</t>
        </is>
      </c>
    </row>
    <row r="688" ht="34" customHeight="1">
      <c r="A688" s="6" t="n">
        <v>683</v>
      </c>
      <c r="B688" s="6" t="inlineStr">
        <is>
          <t>RTM-362</t>
        </is>
      </c>
      <c r="C688" s="6" t="inlineStr">
        <is>
          <t>No</t>
        </is>
      </c>
      <c r="D688" s="6" t="inlineStr">
        <is>
          <t>T3 Contextual</t>
        </is>
      </c>
      <c r="E688" s="6" t="inlineStr">
        <is>
          <t>Control &amp; Interlock</t>
        </is>
      </c>
      <c r="F688" s="82" t="inlineStr">
        <is>
          <t>SYSTEM</t>
        </is>
      </c>
      <c r="G688" s="83" t="inlineStr">
        <is>
          <t>Performance</t>
        </is>
      </c>
      <c r="H688" s="59" t="inlineStr">
        <is>
          <t>—</t>
        </is>
      </c>
      <c r="I688" s="58" t="inlineStr">
        <is>
          <t>C4 — Software &amp; Control</t>
        </is>
      </c>
      <c r="J688" s="6" t="n">
        <v>77</v>
      </c>
      <c r="K688" s="6" t="inlineStr">
        <is>
          <t>4.6.8</t>
        </is>
      </c>
      <c r="L688" s="6" t="inlineStr">
        <is>
          <t>SCADA, HMI, and Data Historian Infrastructure</t>
        </is>
      </c>
      <c r="M688" s="6" t="inlineStr">
        <is>
          <t>All sensors and actuators shall be represented in the graphical views.</t>
        </is>
      </c>
      <c r="N688" s="6" t="inlineStr">
        <is>
          <t>All sensors and actuators shall be represented in the graphical views.</t>
        </is>
      </c>
      <c r="O688" s="6" t="n">
        <v>0</v>
      </c>
      <c r="P688" s="6" t="n">
        <v>0</v>
      </c>
      <c r="Q688" s="6" t="n">
        <v>0</v>
      </c>
      <c r="R688" s="6" t="n">
        <v>3</v>
      </c>
      <c r="S688" s="6" t="n">
        <v>0</v>
      </c>
      <c r="T688" s="6" t="n">
        <v>0</v>
      </c>
      <c r="U688" s="6" t="n">
        <v>0</v>
      </c>
      <c r="V688" s="6" t="n">
        <v>16</v>
      </c>
      <c r="W688" s="6" t="n">
        <v>6.38</v>
      </c>
      <c r="X688" s="6" t="n">
        <v>0.1831</v>
      </c>
      <c r="Y688" s="6" t="inlineStr">
        <is>
          <t>Functional</t>
        </is>
      </c>
      <c r="Z688" s="6" t="inlineStr">
        <is>
          <t>Frozen-weight composite; strongest contribution: Functional.</t>
        </is>
      </c>
      <c r="AA688" s="6" t="inlineStr">
        <is>
          <t>None explicitly named in this RTM</t>
        </is>
      </c>
      <c r="AB688" s="6" t="inlineStr">
        <is>
          <t>SCK CEN/90508872 §4.6.8; no named external code</t>
        </is>
      </c>
      <c r="AC688" s="6" t="inlineStr">
        <is>
          <t>Design review plus final inspection/acceptance evidence</t>
        </is>
      </c>
      <c r="AD688" s="6" t="inlineStr">
        <is>
          <t>No separate deliverable explicitly named</t>
        </is>
      </c>
      <c r="AE688" s="6" t="inlineStr">
        <is>
          <t>L1 Conceptual Design; L2 Detailed Design</t>
        </is>
      </c>
      <c r="AF688" s="6" t="inlineStr">
        <is>
          <t>Section/contract-derived reference; derived evidence route</t>
        </is>
      </c>
      <c r="AG688" s="58" t="inlineStr">
        <is>
          <t>OFFER-29 (Direct)</t>
        </is>
      </c>
    </row>
    <row r="689" ht="34" customHeight="1">
      <c r="A689" s="6" t="n">
        <v>684</v>
      </c>
      <c r="B689" s="6" t="inlineStr">
        <is>
          <t>RTM-364</t>
        </is>
      </c>
      <c r="C689" s="6" t="inlineStr">
        <is>
          <t>No</t>
        </is>
      </c>
      <c r="D689" s="6" t="inlineStr">
        <is>
          <t>T3 Contextual</t>
        </is>
      </c>
      <c r="E689" s="6" t="inlineStr">
        <is>
          <t>Control &amp; Interlock</t>
        </is>
      </c>
      <c r="F689" s="82" t="inlineStr">
        <is>
          <t>SYSTEM</t>
        </is>
      </c>
      <c r="G689" s="83" t="inlineStr">
        <is>
          <t>Performance</t>
        </is>
      </c>
      <c r="H689" s="59" t="inlineStr">
        <is>
          <t>—</t>
        </is>
      </c>
      <c r="I689" s="58" t="inlineStr">
        <is>
          <t>C4 — Software &amp; Control</t>
        </is>
      </c>
      <c r="J689" s="6" t="n">
        <v>77</v>
      </c>
      <c r="K689" s="6" t="inlineStr">
        <is>
          <t>4.6.8</t>
        </is>
      </c>
      <c r="L689" s="6" t="inlineStr">
        <is>
          <t>SCADA, HMI, and Data Historian Infrastructure</t>
        </is>
      </c>
      <c r="M689" s="6" t="inlineStr">
        <is>
          <t>The HMI software shall support at least two permission levels with distinct functional access.</t>
        </is>
      </c>
      <c r="N689" s="6" t="inlineStr">
        <is>
          <t>The HMI software shall support at least two permission levels with distinct functional access.</t>
        </is>
      </c>
      <c r="O689" s="6" t="n">
        <v>0</v>
      </c>
      <c r="P689" s="6" t="n">
        <v>0</v>
      </c>
      <c r="Q689" s="6" t="n">
        <v>0</v>
      </c>
      <c r="R689" s="6" t="n">
        <v>3</v>
      </c>
      <c r="S689" s="6" t="n">
        <v>0</v>
      </c>
      <c r="T689" s="6" t="n">
        <v>0</v>
      </c>
      <c r="U689" s="6" t="n">
        <v>0</v>
      </c>
      <c r="V689" s="6" t="n">
        <v>16</v>
      </c>
      <c r="W689" s="6" t="n">
        <v>6.38</v>
      </c>
      <c r="X689" s="6" t="n">
        <v>0.1831</v>
      </c>
      <c r="Y689" s="6" t="inlineStr">
        <is>
          <t>Functional</t>
        </is>
      </c>
      <c r="Z689" s="6" t="inlineStr">
        <is>
          <t>Frozen-weight composite; strongest contribution: Functional.</t>
        </is>
      </c>
      <c r="AA689" s="6" t="inlineStr">
        <is>
          <t>None explicitly named in this RTM</t>
        </is>
      </c>
      <c r="AB689" s="6" t="inlineStr">
        <is>
          <t>SCK CEN/90508872 §4.6.8; no named external code</t>
        </is>
      </c>
      <c r="AC689" s="6" t="inlineStr">
        <is>
          <t>Functional design/configuration review and sequence/interface demonstration</t>
        </is>
      </c>
      <c r="AD689" s="6" t="inlineStr">
        <is>
          <t>No separate deliverable explicitly named</t>
        </is>
      </c>
      <c r="AE689" s="6" t="inlineStr">
        <is>
          <t>L1 Conceptual Design; L2 Detailed Design</t>
        </is>
      </c>
      <c r="AF689" s="6" t="inlineStr">
        <is>
          <t>Section/contract-derived reference; derived evidence route</t>
        </is>
      </c>
      <c r="AG689" s="58" t="inlineStr">
        <is>
          <t>OFFER-29 (Direct)</t>
        </is>
      </c>
    </row>
    <row r="690" ht="34" customHeight="1">
      <c r="A690" s="6" t="n">
        <v>685</v>
      </c>
      <c r="B690" s="6" t="inlineStr">
        <is>
          <t>RTM-365</t>
        </is>
      </c>
      <c r="C690" s="6" t="inlineStr">
        <is>
          <t>No</t>
        </is>
      </c>
      <c r="D690" s="6" t="inlineStr">
        <is>
          <t>T3 Contextual</t>
        </is>
      </c>
      <c r="E690" s="6" t="inlineStr">
        <is>
          <t>Control &amp; Interlock</t>
        </is>
      </c>
      <c r="F690" s="82" t="inlineStr">
        <is>
          <t>SYSTEM</t>
        </is>
      </c>
      <c r="G690" s="83" t="inlineStr">
        <is>
          <t>Performance</t>
        </is>
      </c>
      <c r="H690" s="59" t="inlineStr">
        <is>
          <t>—</t>
        </is>
      </c>
      <c r="I690" s="58" t="inlineStr">
        <is>
          <t>C4 — Software &amp; Control</t>
        </is>
      </c>
      <c r="J690" s="6" t="n">
        <v>77</v>
      </c>
      <c r="K690" s="6" t="inlineStr">
        <is>
          <t>4.6.8</t>
        </is>
      </c>
      <c r="L690" s="6" t="inlineStr">
        <is>
          <t>SCADA, HMI, and Data Historian Infrastructure</t>
        </is>
      </c>
      <c r="M690" s="6" t="inlineStr">
        <is>
          <t>The QPS:CIS shall support automatic calling or emailing of on-call staff through MIT</t>
        </is>
      </c>
      <c r="N690" s="6" t="inlineStr">
        <is>
          <t>The QPS:CIS shall support automatic calling or emailing of on-call staff through MIT</t>
        </is>
      </c>
      <c r="O690" s="6" t="n">
        <v>0</v>
      </c>
      <c r="P690" s="6" t="n">
        <v>0</v>
      </c>
      <c r="Q690" s="6" t="n">
        <v>0</v>
      </c>
      <c r="R690" s="6" t="n">
        <v>3</v>
      </c>
      <c r="S690" s="6" t="n">
        <v>0</v>
      </c>
      <c r="T690" s="6" t="n">
        <v>0</v>
      </c>
      <c r="U690" s="6" t="n">
        <v>0</v>
      </c>
      <c r="V690" s="6" t="n">
        <v>16</v>
      </c>
      <c r="W690" s="6" t="n">
        <v>6.38</v>
      </c>
      <c r="X690" s="6" t="n">
        <v>0.1831</v>
      </c>
      <c r="Y690" s="6" t="inlineStr">
        <is>
          <t>Functional</t>
        </is>
      </c>
      <c r="Z690" s="6" t="inlineStr">
        <is>
          <t>Frozen-weight composite; strongest contribution: Functional.</t>
        </is>
      </c>
      <c r="AA690" s="6" t="inlineStr">
        <is>
          <t>None explicitly named in this RTM</t>
        </is>
      </c>
      <c r="AB690" s="6" t="inlineStr">
        <is>
          <t>SCK CEN/90508872 §4.6.8; no named external code</t>
        </is>
      </c>
      <c r="AC690" s="6" t="inlineStr">
        <is>
          <t>Design review plus final inspection/acceptance evidence</t>
        </is>
      </c>
      <c r="AD690" s="6" t="inlineStr">
        <is>
          <t>No separate deliverable explicitly named</t>
        </is>
      </c>
      <c r="AE690" s="6" t="inlineStr">
        <is>
          <t>L1 Conceptual Design; L2 Detailed Design</t>
        </is>
      </c>
      <c r="AF690" s="6" t="inlineStr">
        <is>
          <t>Section/contract-derived reference; derived evidence route</t>
        </is>
      </c>
      <c r="AG690" s="58" t="inlineStr">
        <is>
          <t>OFFER-29 (Direct)</t>
        </is>
      </c>
    </row>
    <row r="691" ht="34" customHeight="1">
      <c r="A691" s="6" t="n">
        <v>686</v>
      </c>
      <c r="B691" s="6" t="inlineStr">
        <is>
          <t>RTM-366</t>
        </is>
      </c>
      <c r="C691" s="6" t="inlineStr">
        <is>
          <t>No</t>
        </is>
      </c>
      <c r="D691" s="6" t="inlineStr">
        <is>
          <t>T3 Contextual</t>
        </is>
      </c>
      <c r="E691" s="6" t="inlineStr">
        <is>
          <t>Control &amp; Interlock</t>
        </is>
      </c>
      <c r="F691" s="82" t="inlineStr">
        <is>
          <t>SYSTEM</t>
        </is>
      </c>
      <c r="G691" s="83" t="inlineStr">
        <is>
          <t>Performance</t>
        </is>
      </c>
      <c r="H691" s="59" t="inlineStr">
        <is>
          <t>—</t>
        </is>
      </c>
      <c r="I691" s="58" t="inlineStr">
        <is>
          <t>C4 — Software &amp; Control</t>
        </is>
      </c>
      <c r="J691" s="6" t="n">
        <v>77</v>
      </c>
      <c r="K691" s="6" t="inlineStr">
        <is>
          <t>4.6.8</t>
        </is>
      </c>
      <c r="L691" s="6" t="inlineStr">
        <is>
          <t>SCADA, HMI, and Data Historian Infrastructure</t>
        </is>
      </c>
      <c r="M691" s="6" t="inlineStr">
        <is>
          <t>Graphical views shall be consistent with the Process &amp; Instrumentation Diagrams to ensure intuitive operation.</t>
        </is>
      </c>
      <c r="N691" s="6" t="inlineStr">
        <is>
          <t>Graphical views shall be consistent with the Process &amp; Instrumentation Diagrams to ensure intuitive operation.</t>
        </is>
      </c>
      <c r="O691" s="6" t="n">
        <v>0</v>
      </c>
      <c r="P691" s="6" t="n">
        <v>0</v>
      </c>
      <c r="Q691" s="6" t="n">
        <v>0</v>
      </c>
      <c r="R691" s="6" t="n">
        <v>3</v>
      </c>
      <c r="S691" s="6" t="n">
        <v>0</v>
      </c>
      <c r="T691" s="6" t="n">
        <v>0</v>
      </c>
      <c r="U691" s="6" t="n">
        <v>0</v>
      </c>
      <c r="V691" s="6" t="n">
        <v>16</v>
      </c>
      <c r="W691" s="6" t="n">
        <v>6.38</v>
      </c>
      <c r="X691" s="6" t="n">
        <v>0.1831</v>
      </c>
      <c r="Y691" s="6" t="inlineStr">
        <is>
          <t>Functional</t>
        </is>
      </c>
      <c r="Z691" s="6" t="inlineStr">
        <is>
          <t>Frozen-weight composite; strongest contribution: Functional.</t>
        </is>
      </c>
      <c r="AA691" s="6" t="inlineStr">
        <is>
          <t>None explicitly named in this RTM</t>
        </is>
      </c>
      <c r="AB691" s="6" t="inlineStr">
        <is>
          <t>SCK CEN/90508872 §4.6.8; no named external code</t>
        </is>
      </c>
      <c r="AC691" s="6" t="inlineStr">
        <is>
          <t>Submit and review the named deliverable with RTM traceability and approval status</t>
        </is>
      </c>
      <c r="AD691" s="6" t="inlineStr">
        <is>
          <t>Drawing / diagram</t>
        </is>
      </c>
      <c r="AE691" s="6" t="inlineStr">
        <is>
          <t>L1 Conceptual Design; L2 Detailed Design</t>
        </is>
      </c>
      <c r="AF691" s="6" t="inlineStr">
        <is>
          <t>Section/contract-derived reference; explicit deliverable/test wording</t>
        </is>
      </c>
      <c r="AG691" s="58" t="inlineStr">
        <is>
          <t>OFFER-29 (Direct)</t>
        </is>
      </c>
    </row>
    <row r="692" ht="47" customHeight="1">
      <c r="A692" s="6" t="n">
        <v>687</v>
      </c>
      <c r="B692" s="6" t="inlineStr">
        <is>
          <t>RTM-372</t>
        </is>
      </c>
      <c r="C692" s="6" t="inlineStr">
        <is>
          <t>No</t>
        </is>
      </c>
      <c r="D692" s="6" t="inlineStr">
        <is>
          <t>T3 Contextual</t>
        </is>
      </c>
      <c r="E692" s="6" t="inlineStr">
        <is>
          <t>Control &amp; Interlock</t>
        </is>
      </c>
      <c r="F692" s="82" t="inlineStr">
        <is>
          <t>SAFETY</t>
        </is>
      </c>
      <c r="G692" s="83" t="inlineStr">
        <is>
          <t>Interlock &amp; Control Safety</t>
        </is>
      </c>
      <c r="H692" s="59" t="inlineStr">
        <is>
          <t>—</t>
        </is>
      </c>
      <c r="I692" s="81" t="inlineStr">
        <is>
          <t>Inferred: C4 — Software &amp; Control (high conf.)</t>
        </is>
      </c>
      <c r="J692" s="6" t="n">
        <v>78</v>
      </c>
      <c r="K692" s="6" t="inlineStr">
        <is>
          <t>4.6.10.2</t>
        </is>
      </c>
      <c r="L692" s="6" t="inlineStr">
        <is>
          <t>Interfaces with MIS</t>
        </is>
      </c>
      <c r="M692" s="6" t="inlineStr">
        <is>
          <t>The interface between QPS (Contractor) and MIS (ICS) shall comply to the MIS interfaces listed in catalogue [AD_05.01] as hardwired slow interlock interface [AD_05.03].</t>
        </is>
      </c>
      <c r="N692" s="6" t="inlineStr">
        <is>
          <t>The interface between QPS (Contractor) and MIS (ICS) shall comply to the MIS interfaces listed in catalogue [AD_05.01] as hardwired slow interlock interface [AD_05.03].</t>
        </is>
      </c>
      <c r="O692" s="6" t="n">
        <v>0</v>
      </c>
      <c r="P692" s="6" t="n">
        <v>0</v>
      </c>
      <c r="Q692" s="6" t="n">
        <v>0</v>
      </c>
      <c r="R692" s="6" t="n">
        <v>3</v>
      </c>
      <c r="S692" s="6" t="n">
        <v>0</v>
      </c>
      <c r="T692" s="6" t="n">
        <v>0</v>
      </c>
      <c r="U692" s="6" t="n">
        <v>0</v>
      </c>
      <c r="V692" s="6" t="n">
        <v>16</v>
      </c>
      <c r="W692" s="6" t="n">
        <v>6.38</v>
      </c>
      <c r="X692" s="6" t="n">
        <v>0.1831</v>
      </c>
      <c r="Y692" s="6" t="inlineStr">
        <is>
          <t>Functional</t>
        </is>
      </c>
      <c r="Z692" s="6" t="inlineStr">
        <is>
          <t>Frozen-weight composite; strongest contribution: Functional.</t>
        </is>
      </c>
      <c r="AA692" s="6" t="inlineStr">
        <is>
          <t>None explicitly named in this RTM</t>
        </is>
      </c>
      <c r="AB692" s="6" t="inlineStr">
        <is>
          <t>SCK CEN/90508872 §4.6.10.2; no named external code</t>
        </is>
      </c>
      <c r="AC692" s="6" t="inlineStr">
        <is>
          <t>Functional design/configuration review and sequence/interface demonstration</t>
        </is>
      </c>
      <c r="AD692" s="6" t="inlineStr">
        <is>
          <t>No separate deliverable explicitly named</t>
        </is>
      </c>
      <c r="AE692" s="6" t="inlineStr">
        <is>
          <t>L1 Conceptual Design; L2 Detailed Design</t>
        </is>
      </c>
      <c r="AF692" s="6" t="inlineStr">
        <is>
          <t>Section/contract-derived reference; derived evidence route</t>
        </is>
      </c>
      <c r="AG692" s="58" t="inlineStr">
        <is>
          <t>Not linked to an OFFER item</t>
        </is>
      </c>
    </row>
    <row r="693" ht="47" customHeight="1">
      <c r="A693" s="6" t="n">
        <v>688</v>
      </c>
      <c r="B693" s="6" t="inlineStr">
        <is>
          <t>RTM-373</t>
        </is>
      </c>
      <c r="C693" s="6" t="inlineStr">
        <is>
          <t>No</t>
        </is>
      </c>
      <c r="D693" s="6" t="inlineStr">
        <is>
          <t>T3 Contextual</t>
        </is>
      </c>
      <c r="E693" s="6" t="inlineStr">
        <is>
          <t>Control &amp; Interlock</t>
        </is>
      </c>
      <c r="F693" s="82" t="inlineStr">
        <is>
          <t>SYSTEM</t>
        </is>
      </c>
      <c r="G693" s="83" t="inlineStr">
        <is>
          <t>Control</t>
        </is>
      </c>
      <c r="H693" s="59" t="inlineStr">
        <is>
          <t>—</t>
        </is>
      </c>
      <c r="I693" s="81" t="inlineStr">
        <is>
          <t>Inferred: C4 — Software &amp; Control (high conf.)</t>
        </is>
      </c>
      <c r="J693" s="6" t="n">
        <v>78</v>
      </c>
      <c r="K693" s="6" t="inlineStr">
        <is>
          <t>4.6.10.3</t>
        </is>
      </c>
      <c r="L693" s="6" t="inlineStr">
        <is>
          <t>Interfaces with MIT</t>
        </is>
      </c>
      <c r="M693" s="6" t="inlineStr">
        <is>
          <t>Where the system has an interface with MIT, the system shall comply with the MIT architecture, processes, and interfaces.</t>
        </is>
      </c>
      <c r="N693" s="6" t="inlineStr">
        <is>
          <t>Where the system has an interface with MIT, the system shall comply with the MIT architecture, processes, and interfaces.</t>
        </is>
      </c>
      <c r="O693" s="6" t="n">
        <v>0</v>
      </c>
      <c r="P693" s="6" t="n">
        <v>0</v>
      </c>
      <c r="Q693" s="6" t="n">
        <v>0</v>
      </c>
      <c r="R693" s="6" t="n">
        <v>3</v>
      </c>
      <c r="S693" s="6" t="n">
        <v>0</v>
      </c>
      <c r="T693" s="6" t="n">
        <v>0</v>
      </c>
      <c r="U693" s="6" t="n">
        <v>0</v>
      </c>
      <c r="V693" s="6" t="n">
        <v>16</v>
      </c>
      <c r="W693" s="6" t="n">
        <v>6.38</v>
      </c>
      <c r="X693" s="6" t="n">
        <v>0.1831</v>
      </c>
      <c r="Y693" s="6" t="inlineStr">
        <is>
          <t>Functional</t>
        </is>
      </c>
      <c r="Z693" s="6" t="inlineStr">
        <is>
          <t>Frozen-weight composite; strongest contribution: Functional.</t>
        </is>
      </c>
      <c r="AA693" s="6" t="inlineStr">
        <is>
          <t>None explicitly named in this RTM</t>
        </is>
      </c>
      <c r="AB693" s="6" t="inlineStr">
        <is>
          <t>SCK CEN/90508872 §4.6.10.3; no named external code</t>
        </is>
      </c>
      <c r="AC693" s="6" t="inlineStr">
        <is>
          <t>Functional design/configuration review and sequence/interface demonstration</t>
        </is>
      </c>
      <c r="AD693" s="6" t="inlineStr">
        <is>
          <t>No separate deliverable explicitly named</t>
        </is>
      </c>
      <c r="AE693" s="6" t="inlineStr">
        <is>
          <t>L1 Conceptual Design; L2 Detailed Design</t>
        </is>
      </c>
      <c r="AF693" s="6" t="inlineStr">
        <is>
          <t>Section/contract-derived reference; derived evidence route</t>
        </is>
      </c>
      <c r="AG693" s="58" t="inlineStr">
        <is>
          <t>Not linked to an OFFER item</t>
        </is>
      </c>
    </row>
    <row r="694" ht="47" customHeight="1">
      <c r="A694" s="6" t="n">
        <v>689</v>
      </c>
      <c r="B694" s="6" t="inlineStr">
        <is>
          <t>RTM-374</t>
        </is>
      </c>
      <c r="C694" s="6" t="inlineStr">
        <is>
          <t>No</t>
        </is>
      </c>
      <c r="D694" s="6" t="inlineStr">
        <is>
          <t>T3 Contextual</t>
        </is>
      </c>
      <c r="E694" s="6" t="inlineStr">
        <is>
          <t>Control &amp; Interlock</t>
        </is>
      </c>
      <c r="F694" s="82" t="inlineStr">
        <is>
          <t>SYSTEM</t>
        </is>
      </c>
      <c r="G694" s="83" t="inlineStr">
        <is>
          <t>Performance</t>
        </is>
      </c>
      <c r="H694" s="59" t="inlineStr">
        <is>
          <t>—</t>
        </is>
      </c>
      <c r="I694" s="81" t="inlineStr">
        <is>
          <t>Inferred: C4 — Software &amp; Control (high conf.)</t>
        </is>
      </c>
      <c r="J694" s="6" t="n">
        <v>78</v>
      </c>
      <c r="K694" s="6" t="inlineStr">
        <is>
          <t>4.6.10.3</t>
        </is>
      </c>
      <c r="L694" s="6" t="inlineStr">
        <is>
          <t>Interfaces with MIT</t>
        </is>
      </c>
      <c r="M694" s="6" t="inlineStr">
        <is>
          <t>The interface between QPS (Contractor) and SCK CEN Information Technology shall comply to the MIT interfaces as listed in catalogue [AD_05.01].</t>
        </is>
      </c>
      <c r="N694" s="6" t="inlineStr">
        <is>
          <t>The interface between QPS (Contractor) and SCK CEN Information Technology shall comply to the MIT interfaces as listed in catalogue [AD_05.01].</t>
        </is>
      </c>
      <c r="O694" s="6" t="n">
        <v>0</v>
      </c>
      <c r="P694" s="6" t="n">
        <v>0</v>
      </c>
      <c r="Q694" s="6" t="n">
        <v>0</v>
      </c>
      <c r="R694" s="6" t="n">
        <v>3</v>
      </c>
      <c r="S694" s="6" t="n">
        <v>0</v>
      </c>
      <c r="T694" s="6" t="n">
        <v>0</v>
      </c>
      <c r="U694" s="6" t="n">
        <v>0</v>
      </c>
      <c r="V694" s="6" t="n">
        <v>16</v>
      </c>
      <c r="W694" s="6" t="n">
        <v>6.38</v>
      </c>
      <c r="X694" s="6" t="n">
        <v>0.1831</v>
      </c>
      <c r="Y694" s="6" t="inlineStr">
        <is>
          <t>Functional</t>
        </is>
      </c>
      <c r="Z694" s="6" t="inlineStr">
        <is>
          <t>Frozen-weight composite; strongest contribution: Functional.</t>
        </is>
      </c>
      <c r="AA694" s="6" t="inlineStr">
        <is>
          <t>None explicitly named in this RTM</t>
        </is>
      </c>
      <c r="AB694" s="6" t="inlineStr">
        <is>
          <t>SCK CEN/90508872 §4.6.10.3; no named external code</t>
        </is>
      </c>
      <c r="AC694" s="6" t="inlineStr">
        <is>
          <t>Functional design/configuration review and sequence/interface demonstration</t>
        </is>
      </c>
      <c r="AD694" s="6" t="inlineStr">
        <is>
          <t>No separate deliverable explicitly named</t>
        </is>
      </c>
      <c r="AE694" s="6" t="inlineStr">
        <is>
          <t>L1 Conceptual Design; L2 Detailed Design</t>
        </is>
      </c>
      <c r="AF694" s="6" t="inlineStr">
        <is>
          <t>Section/contract-derived reference; derived evidence route</t>
        </is>
      </c>
      <c r="AG694" s="58" t="inlineStr">
        <is>
          <t>Not linked to an OFFER item</t>
        </is>
      </c>
    </row>
    <row r="695" ht="60" customHeight="1">
      <c r="A695" s="6" t="n">
        <v>690</v>
      </c>
      <c r="B695" s="6" t="inlineStr">
        <is>
          <t>RTM-376</t>
        </is>
      </c>
      <c r="C695" s="6" t="inlineStr">
        <is>
          <t>No</t>
        </is>
      </c>
      <c r="D695" s="6" t="inlineStr">
        <is>
          <t>T3 Contextual</t>
        </is>
      </c>
      <c r="E695" s="6" t="inlineStr">
        <is>
          <t>Control &amp; Interlock</t>
        </is>
      </c>
      <c r="F695" s="82" t="inlineStr">
        <is>
          <t>SYSTEM</t>
        </is>
      </c>
      <c r="G695" s="83" t="inlineStr">
        <is>
          <t>Performance</t>
        </is>
      </c>
      <c r="H695" s="59" t="inlineStr">
        <is>
          <t>—</t>
        </is>
      </c>
      <c r="I695" s="81" t="inlineStr">
        <is>
          <t>Inferred: C4 — Software &amp; Control (high conf.)</t>
        </is>
      </c>
      <c r="J695" s="6" t="n">
        <v>78</v>
      </c>
      <c r="K695" s="6" t="inlineStr">
        <is>
          <t>4.6.10.3</t>
        </is>
      </c>
      <c r="L695" s="6" t="inlineStr">
        <is>
          <t>Interfaces with MIT</t>
        </is>
      </c>
      <c r="M695" s="6" t="inlineStr">
        <is>
          <t>The QPS shall be connected to the MIT IP network using a single logical routed connection ("layer 3"). On both sides, a single gateway IP will be configured as destination IP for packet forwarding.</t>
        </is>
      </c>
      <c r="N695" s="6" t="inlineStr">
        <is>
          <t>The QPS shall be connected to the MIT IP network using a single logical routed connection ("layer 3"). On both sides, a single gateway IP will be configured as destination IP for packet forwarding.</t>
        </is>
      </c>
      <c r="O695" s="6" t="n">
        <v>0</v>
      </c>
      <c r="P695" s="6" t="n">
        <v>0</v>
      </c>
      <c r="Q695" s="6" t="n">
        <v>0</v>
      </c>
      <c r="R695" s="6" t="n">
        <v>3</v>
      </c>
      <c r="S695" s="6" t="n">
        <v>0</v>
      </c>
      <c r="T695" s="6" t="n">
        <v>0</v>
      </c>
      <c r="U695" s="6" t="n">
        <v>0</v>
      </c>
      <c r="V695" s="6" t="n">
        <v>16</v>
      </c>
      <c r="W695" s="6" t="n">
        <v>6.38</v>
      </c>
      <c r="X695" s="6" t="n">
        <v>0.1831</v>
      </c>
      <c r="Y695" s="6" t="inlineStr">
        <is>
          <t>Functional</t>
        </is>
      </c>
      <c r="Z695" s="6" t="inlineStr">
        <is>
          <t>Frozen-weight composite; strongest contribution: Functional.</t>
        </is>
      </c>
      <c r="AA695" s="6" t="inlineStr">
        <is>
          <t>None explicitly named in this RTM</t>
        </is>
      </c>
      <c r="AB695" s="6" t="inlineStr">
        <is>
          <t>SCK CEN/90508872 §4.6.10.3; no named external code</t>
        </is>
      </c>
      <c r="AC695" s="6" t="inlineStr">
        <is>
          <t>Design review plus final inspection/acceptance evidence</t>
        </is>
      </c>
      <c r="AD695" s="6" t="inlineStr">
        <is>
          <t>No separate deliverable explicitly named</t>
        </is>
      </c>
      <c r="AE695" s="6" t="inlineStr">
        <is>
          <t>L1 Conceptual Design; L2 Detailed Design</t>
        </is>
      </c>
      <c r="AF695" s="6" t="inlineStr">
        <is>
          <t>Section/contract-derived reference; derived evidence route</t>
        </is>
      </c>
      <c r="AG695" s="58" t="inlineStr">
        <is>
          <t>Not linked to an OFFER item</t>
        </is>
      </c>
    </row>
    <row r="696" ht="60" customHeight="1">
      <c r="A696" s="6" t="n">
        <v>691</v>
      </c>
      <c r="B696" s="6" t="inlineStr">
        <is>
          <t>RTM-377</t>
        </is>
      </c>
      <c r="C696" s="6" t="inlineStr">
        <is>
          <t>No</t>
        </is>
      </c>
      <c r="D696" s="6" t="inlineStr">
        <is>
          <t>T3 Contextual</t>
        </is>
      </c>
      <c r="E696" s="6" t="inlineStr">
        <is>
          <t>Control &amp; Interlock</t>
        </is>
      </c>
      <c r="F696" s="82" t="inlineStr">
        <is>
          <t>SYSTEM</t>
        </is>
      </c>
      <c r="G696" s="83" t="inlineStr">
        <is>
          <t>Performance</t>
        </is>
      </c>
      <c r="H696" s="59" t="inlineStr">
        <is>
          <t>—</t>
        </is>
      </c>
      <c r="I696" s="81" t="inlineStr">
        <is>
          <t>Inferred: C4 — Software &amp; Control (high conf.)</t>
        </is>
      </c>
      <c r="J696" s="6" t="n">
        <v>78</v>
      </c>
      <c r="K696" s="6" t="inlineStr">
        <is>
          <t>4.6.10.3</t>
        </is>
      </c>
      <c r="L696" s="6" t="inlineStr">
        <is>
          <t>Interfaces with MIT</t>
        </is>
      </c>
      <c r="M696" s="6" t="inlineStr">
        <is>
          <t>Where the QPS:CIS or one of its components supports system logging, the contractor shall provide system logs remotely through at least one of the protocols mentioned in the MIT interface catalogue chapter "System logging".</t>
        </is>
      </c>
      <c r="N696" s="6" t="inlineStr">
        <is>
          <t>Where the QPS:CIS or one of its components supports system logging, the contractor shall provide system logs remotely through at least one of the protocols mentioned in the MIT interface catalogue chapter "System logging".</t>
        </is>
      </c>
      <c r="O696" s="6" t="n">
        <v>0</v>
      </c>
      <c r="P696" s="6" t="n">
        <v>0</v>
      </c>
      <c r="Q696" s="6" t="n">
        <v>0</v>
      </c>
      <c r="R696" s="6" t="n">
        <v>3</v>
      </c>
      <c r="S696" s="6" t="n">
        <v>0</v>
      </c>
      <c r="T696" s="6" t="n">
        <v>0</v>
      </c>
      <c r="U696" s="6" t="n">
        <v>0</v>
      </c>
      <c r="V696" s="6" t="n">
        <v>16</v>
      </c>
      <c r="W696" s="6" t="n">
        <v>6.38</v>
      </c>
      <c r="X696" s="6" t="n">
        <v>0.1831</v>
      </c>
      <c r="Y696" s="6" t="inlineStr">
        <is>
          <t>Functional</t>
        </is>
      </c>
      <c r="Z696" s="6" t="inlineStr">
        <is>
          <t>Frozen-weight composite; strongest contribution: Functional.</t>
        </is>
      </c>
      <c r="AA696" s="6" t="inlineStr">
        <is>
          <t>None explicitly named in this RTM</t>
        </is>
      </c>
      <c r="AB696" s="6" t="inlineStr">
        <is>
          <t>SCK CEN/90508872 §4.6.10.3; no named external code</t>
        </is>
      </c>
      <c r="AC696" s="6" t="inlineStr">
        <is>
          <t>Functional design/configuration review and sequence/interface demonstration</t>
        </is>
      </c>
      <c r="AD696" s="6" t="inlineStr">
        <is>
          <t>No separate deliverable explicitly named</t>
        </is>
      </c>
      <c r="AE696" s="6" t="inlineStr">
        <is>
          <t>L1 Conceptual Design; L2 Detailed Design</t>
        </is>
      </c>
      <c r="AF696" s="6" t="inlineStr">
        <is>
          <t>Section/contract-derived reference; derived evidence route</t>
        </is>
      </c>
      <c r="AG696" s="58" t="inlineStr">
        <is>
          <t>Not linked to an OFFER item</t>
        </is>
      </c>
    </row>
    <row r="697" ht="60" customHeight="1">
      <c r="A697" s="6" t="n">
        <v>692</v>
      </c>
      <c r="B697" s="6" t="inlineStr">
        <is>
          <t>RTM-378</t>
        </is>
      </c>
      <c r="C697" s="6" t="inlineStr">
        <is>
          <t>No</t>
        </is>
      </c>
      <c r="D697" s="6" t="inlineStr">
        <is>
          <t>T3 Contextual</t>
        </is>
      </c>
      <c r="E697" s="6" t="inlineStr">
        <is>
          <t>Control &amp; Interlock</t>
        </is>
      </c>
      <c r="F697" s="82" t="inlineStr">
        <is>
          <t>SYSTEM</t>
        </is>
      </c>
      <c r="G697" s="83" t="inlineStr">
        <is>
          <t>Performance</t>
        </is>
      </c>
      <c r="H697" s="59" t="inlineStr">
        <is>
          <t>—</t>
        </is>
      </c>
      <c r="I697" s="81" t="inlineStr">
        <is>
          <t>Inferred: C4 — Software &amp; Control (high conf.)</t>
        </is>
      </c>
      <c r="J697" s="6" t="n">
        <v>78</v>
      </c>
      <c r="K697" s="6" t="inlineStr">
        <is>
          <t>4.6.10.3</t>
        </is>
      </c>
      <c r="L697" s="6" t="inlineStr">
        <is>
          <t>Interfaces with MIT</t>
        </is>
      </c>
      <c r="M697" s="6" t="inlineStr">
        <is>
          <t>Logs can be encrypted during transport if the security classification of the data permits this, but in this case the decryption procedure and required secret(s) need to be provided.</t>
        </is>
      </c>
      <c r="N697" s="6" t="inlineStr">
        <is>
          <t>Logs can be encrypted during transport if the security classification of the data permits this, but in this case the decryption procedure and required secret(s) need to be provided.</t>
        </is>
      </c>
      <c r="O697" s="6" t="n">
        <v>0</v>
      </c>
      <c r="P697" s="6" t="n">
        <v>0</v>
      </c>
      <c r="Q697" s="6" t="n">
        <v>0</v>
      </c>
      <c r="R697" s="6" t="n">
        <v>3</v>
      </c>
      <c r="S697" s="6" t="n">
        <v>0</v>
      </c>
      <c r="T697" s="6" t="n">
        <v>0</v>
      </c>
      <c r="U697" s="6" t="n">
        <v>0</v>
      </c>
      <c r="V697" s="6" t="n">
        <v>16</v>
      </c>
      <c r="W697" s="6" t="n">
        <v>6.38</v>
      </c>
      <c r="X697" s="6" t="n">
        <v>0.1831</v>
      </c>
      <c r="Y697" s="6" t="inlineStr">
        <is>
          <t>Functional</t>
        </is>
      </c>
      <c r="Z697" s="6" t="inlineStr">
        <is>
          <t>Frozen-weight composite; strongest contribution: Functional.</t>
        </is>
      </c>
      <c r="AA697" s="6" t="inlineStr">
        <is>
          <t>None explicitly named in this RTM</t>
        </is>
      </c>
      <c r="AB697" s="6" t="inlineStr">
        <is>
          <t>SCK CEN/90508872 §4.6.10.3; no named external code</t>
        </is>
      </c>
      <c r="AC697" s="6" t="inlineStr">
        <is>
          <t>Submit and review the named deliverable with RTM traceability and approval status; Functional design/configuration review and sequence/interface demonstration</t>
        </is>
      </c>
      <c r="AD697" s="6" t="inlineStr">
        <is>
          <t>Procedure / work instruction</t>
        </is>
      </c>
      <c r="AE697" s="6" t="inlineStr">
        <is>
          <t>L1 Conceptual Design; L2 Detailed Design</t>
        </is>
      </c>
      <c r="AF697" s="6" t="inlineStr">
        <is>
          <t>Section/contract-derived reference; explicit deliverable/test wording</t>
        </is>
      </c>
      <c r="AG697" s="58" t="inlineStr">
        <is>
          <t>Not linked to an OFFER item</t>
        </is>
      </c>
    </row>
    <row r="698" ht="47" customHeight="1">
      <c r="A698" s="6" t="n">
        <v>693</v>
      </c>
      <c r="B698" s="6" t="inlineStr">
        <is>
          <t>RTM-379</t>
        </is>
      </c>
      <c r="C698" s="6" t="inlineStr">
        <is>
          <t>No</t>
        </is>
      </c>
      <c r="D698" s="6" t="inlineStr">
        <is>
          <t>T3 Contextual</t>
        </is>
      </c>
      <c r="E698" s="6" t="inlineStr">
        <is>
          <t>Control &amp; Interlock</t>
        </is>
      </c>
      <c r="F698" s="82" t="inlineStr">
        <is>
          <t>SYSTEM</t>
        </is>
      </c>
      <c r="G698" s="83" t="inlineStr">
        <is>
          <t>Performance</t>
        </is>
      </c>
      <c r="H698" s="59" t="inlineStr">
        <is>
          <t>—</t>
        </is>
      </c>
      <c r="I698" s="81" t="inlineStr">
        <is>
          <t>Inferred: C4 — Software &amp; Control (high conf.)</t>
        </is>
      </c>
      <c r="J698" s="6" t="n">
        <v>78</v>
      </c>
      <c r="K698" s="6" t="inlineStr">
        <is>
          <t>4.6.10.3</t>
        </is>
      </c>
      <c r="L698" s="6" t="inlineStr">
        <is>
          <t>Interfaces with MIT</t>
        </is>
      </c>
      <c r="M698" s="6" t="inlineStr">
        <is>
          <t>The QPS:CIS shall support timing synchronization by at least one of the protocols mentioned in the MIT interface catalogue chapter "Timing synchronization".</t>
        </is>
      </c>
      <c r="N698" s="6" t="inlineStr">
        <is>
          <t>The QPS:CIS shall support timing synchronization by at least one of the protocols mentioned in the MIT interface catalogue chapter "Timing synchronization".</t>
        </is>
      </c>
      <c r="O698" s="6" t="n">
        <v>0</v>
      </c>
      <c r="P698" s="6" t="n">
        <v>0</v>
      </c>
      <c r="Q698" s="6" t="n">
        <v>0</v>
      </c>
      <c r="R698" s="6" t="n">
        <v>3</v>
      </c>
      <c r="S698" s="6" t="n">
        <v>0</v>
      </c>
      <c r="T698" s="6" t="n">
        <v>0</v>
      </c>
      <c r="U698" s="6" t="n">
        <v>0</v>
      </c>
      <c r="V698" s="6" t="n">
        <v>16</v>
      </c>
      <c r="W698" s="6" t="n">
        <v>6.38</v>
      </c>
      <c r="X698" s="6" t="n">
        <v>0.1831</v>
      </c>
      <c r="Y698" s="6" t="inlineStr">
        <is>
          <t>Functional</t>
        </is>
      </c>
      <c r="Z698" s="6" t="inlineStr">
        <is>
          <t>Frozen-weight composite; strongest contribution: Functional.</t>
        </is>
      </c>
      <c r="AA698" s="6" t="inlineStr">
        <is>
          <t>None explicitly named in this RTM</t>
        </is>
      </c>
      <c r="AB698" s="6" t="inlineStr">
        <is>
          <t>SCK CEN/90508872 §4.6.10.3; no named external code</t>
        </is>
      </c>
      <c r="AC698" s="6" t="inlineStr">
        <is>
          <t>Functional design/configuration review and sequence/interface demonstration</t>
        </is>
      </c>
      <c r="AD698" s="6" t="inlineStr">
        <is>
          <t>No separate deliverable explicitly named</t>
        </is>
      </c>
      <c r="AE698" s="6" t="inlineStr">
        <is>
          <t>L1 Conceptual Design; L2 Detailed Design</t>
        </is>
      </c>
      <c r="AF698" s="6" t="inlineStr">
        <is>
          <t>Section/contract-derived reference; derived evidence route</t>
        </is>
      </c>
      <c r="AG698" s="58" t="inlineStr">
        <is>
          <t>Not linked to an OFFER item</t>
        </is>
      </c>
    </row>
    <row r="699" ht="60" customHeight="1">
      <c r="A699" s="6" t="n">
        <v>694</v>
      </c>
      <c r="B699" s="6" t="inlineStr">
        <is>
          <t>RTM-380</t>
        </is>
      </c>
      <c r="C699" s="6" t="inlineStr">
        <is>
          <t>No</t>
        </is>
      </c>
      <c r="D699" s="6" t="inlineStr">
        <is>
          <t>T3 Contextual</t>
        </is>
      </c>
      <c r="E699" s="6" t="inlineStr">
        <is>
          <t>Control &amp; Interlock</t>
        </is>
      </c>
      <c r="F699" s="82" t="inlineStr">
        <is>
          <t>SYSTEM</t>
        </is>
      </c>
      <c r="G699" s="83" t="inlineStr">
        <is>
          <t>Performance</t>
        </is>
      </c>
      <c r="H699" s="59" t="inlineStr">
        <is>
          <t>—</t>
        </is>
      </c>
      <c r="I699" s="81" t="inlineStr">
        <is>
          <t>Inferred: C4 — Software &amp; Control (high conf.)</t>
        </is>
      </c>
      <c r="J699" s="6" t="n">
        <v>79</v>
      </c>
      <c r="K699" s="6" t="inlineStr">
        <is>
          <t>4.6.10.3</t>
        </is>
      </c>
      <c r="L699" s="6" t="inlineStr">
        <is>
          <t>Interfaces with MIT</t>
        </is>
      </c>
      <c r="M699" s="6" t="inlineStr">
        <is>
          <t>Where the QPS:CIS requires remote access; Systems shall provide remote access through at least one of the protocols listed in the MIT interface catalogue chapter "Remote access".</t>
        </is>
      </c>
      <c r="N699" s="6" t="inlineStr">
        <is>
          <t>Where the QPS:CIS requires remote access; Systems shall provide remote access through at least one of the protocols listed in the MIT interface catalogue chapter "Remote access".</t>
        </is>
      </c>
      <c r="O699" s="6" t="n">
        <v>0</v>
      </c>
      <c r="P699" s="6" t="n">
        <v>0</v>
      </c>
      <c r="Q699" s="6" t="n">
        <v>0</v>
      </c>
      <c r="R699" s="6" t="n">
        <v>3</v>
      </c>
      <c r="S699" s="6" t="n">
        <v>0</v>
      </c>
      <c r="T699" s="6" t="n">
        <v>0</v>
      </c>
      <c r="U699" s="6" t="n">
        <v>0</v>
      </c>
      <c r="V699" s="6" t="n">
        <v>16</v>
      </c>
      <c r="W699" s="6" t="n">
        <v>6.38</v>
      </c>
      <c r="X699" s="6" t="n">
        <v>0.1831</v>
      </c>
      <c r="Y699" s="6" t="inlineStr">
        <is>
          <t>Functional</t>
        </is>
      </c>
      <c r="Z699" s="6" t="inlineStr">
        <is>
          <t>Frozen-weight composite; strongest contribution: Functional.</t>
        </is>
      </c>
      <c r="AA699" s="6" t="inlineStr">
        <is>
          <t>None explicitly named in this RTM</t>
        </is>
      </c>
      <c r="AB699" s="6" t="inlineStr">
        <is>
          <t>SCK CEN/90508872 §4.6.10.3; no named external code</t>
        </is>
      </c>
      <c r="AC699" s="6" t="inlineStr">
        <is>
          <t>Functional design/configuration review and sequence/interface demonstration</t>
        </is>
      </c>
      <c r="AD699" s="6" t="inlineStr">
        <is>
          <t>No separate deliverable explicitly named</t>
        </is>
      </c>
      <c r="AE699" s="6" t="inlineStr">
        <is>
          <t>L1 Conceptual Design; L2 Detailed Design</t>
        </is>
      </c>
      <c r="AF699" s="6" t="inlineStr">
        <is>
          <t>Section/contract-derived reference; derived evidence route</t>
        </is>
      </c>
      <c r="AG699" s="58" t="inlineStr">
        <is>
          <t>Not linked to an OFFER item</t>
        </is>
      </c>
    </row>
    <row r="700" ht="47" customHeight="1">
      <c r="A700" s="6" t="n">
        <v>695</v>
      </c>
      <c r="B700" s="6" t="inlineStr">
        <is>
          <t>RTM-381</t>
        </is>
      </c>
      <c r="C700" s="6" t="inlineStr">
        <is>
          <t>No</t>
        </is>
      </c>
      <c r="D700" s="6" t="inlineStr">
        <is>
          <t>T3 Contextual</t>
        </is>
      </c>
      <c r="E700" s="6" t="inlineStr">
        <is>
          <t>Control &amp; Interlock</t>
        </is>
      </c>
      <c r="F700" s="82" t="inlineStr">
        <is>
          <t>SYSTEM</t>
        </is>
      </c>
      <c r="G700" s="83" t="inlineStr">
        <is>
          <t>Control</t>
        </is>
      </c>
      <c r="H700" s="59" t="inlineStr">
        <is>
          <t>—</t>
        </is>
      </c>
      <c r="I700" s="81" t="inlineStr">
        <is>
          <t>Inferred: C4 — Software &amp; Control (high conf.)</t>
        </is>
      </c>
      <c r="J700" s="6" t="n">
        <v>79</v>
      </c>
      <c r="K700" s="6" t="inlineStr">
        <is>
          <t>4.6.10.3</t>
        </is>
      </c>
      <c r="L700" s="6" t="inlineStr">
        <is>
          <t>Interfaces with MIT</t>
        </is>
      </c>
      <c r="M700" s="6" t="inlineStr">
        <is>
          <t>The system naming and tagging structure shall be frozen at Concept Design (L1) and shall not be modified without formal configuration control approval.</t>
        </is>
      </c>
      <c r="N700" s="6" t="inlineStr">
        <is>
          <t>The system naming and tagging structure shall be frozen at Concept Design (L1) and shall not be modified without formal configuration control approval.</t>
        </is>
      </c>
      <c r="O700" s="6" t="n">
        <v>0</v>
      </c>
      <c r="P700" s="6" t="n">
        <v>0</v>
      </c>
      <c r="Q700" s="6" t="n">
        <v>0</v>
      </c>
      <c r="R700" s="6" t="n">
        <v>3</v>
      </c>
      <c r="S700" s="6" t="n">
        <v>0</v>
      </c>
      <c r="T700" s="6" t="n">
        <v>0</v>
      </c>
      <c r="U700" s="6" t="n">
        <v>0</v>
      </c>
      <c r="V700" s="6" t="n">
        <v>16</v>
      </c>
      <c r="W700" s="6" t="n">
        <v>6.38</v>
      </c>
      <c r="X700" s="6" t="n">
        <v>0.1831</v>
      </c>
      <c r="Y700" s="6" t="inlineStr">
        <is>
          <t>Functional</t>
        </is>
      </c>
      <c r="Z700" s="6" t="inlineStr">
        <is>
          <t>Frozen-weight composite; strongest contribution: Functional.</t>
        </is>
      </c>
      <c r="AA700" s="6" t="inlineStr">
        <is>
          <t>None explicitly named in this RTM</t>
        </is>
      </c>
      <c r="AB700" s="6" t="inlineStr">
        <is>
          <t>SCK CEN/90508872 §4.6.10.3; no named external code</t>
        </is>
      </c>
      <c r="AC700" s="6" t="inlineStr">
        <is>
          <t>Functional design/configuration review and sequence/interface demonstration</t>
        </is>
      </c>
      <c r="AD700" s="6" t="inlineStr">
        <is>
          <t>No separate deliverable explicitly named</t>
        </is>
      </c>
      <c r="AE700" s="6" t="inlineStr">
        <is>
          <t>L1 Conceptual Design; L2 Detailed Design</t>
        </is>
      </c>
      <c r="AF700" s="6" t="inlineStr">
        <is>
          <t>Section/contract-derived reference; derived evidence route</t>
        </is>
      </c>
      <c r="AG700" s="58" t="inlineStr">
        <is>
          <t>Not linked to an OFFER item</t>
        </is>
      </c>
    </row>
    <row r="701" ht="60" customHeight="1">
      <c r="A701" s="6" t="n">
        <v>696</v>
      </c>
      <c r="B701" s="6" t="inlineStr">
        <is>
          <t>RTM-382</t>
        </is>
      </c>
      <c r="C701" s="6" t="inlineStr">
        <is>
          <t>No</t>
        </is>
      </c>
      <c r="D701" s="6" t="inlineStr">
        <is>
          <t>T3 Contextual</t>
        </is>
      </c>
      <c r="E701" s="6" t="inlineStr">
        <is>
          <t>Control &amp; Interlock</t>
        </is>
      </c>
      <c r="F701" s="82" t="inlineStr">
        <is>
          <t>SYSTEM</t>
        </is>
      </c>
      <c r="G701" s="83" t="inlineStr">
        <is>
          <t>Control</t>
        </is>
      </c>
      <c r="H701" s="59" t="inlineStr">
        <is>
          <t>—</t>
        </is>
      </c>
      <c r="I701" s="81" t="inlineStr">
        <is>
          <t>Inferred: C4 — Software &amp; Control (high conf.)</t>
        </is>
      </c>
      <c r="J701" s="6" t="n">
        <v>79</v>
      </c>
      <c r="K701" s="6" t="inlineStr">
        <is>
          <t>4.6.10.3</t>
        </is>
      </c>
      <c r="L701" s="6" t="inlineStr">
        <is>
          <t>Interfaces with MIT</t>
        </is>
      </c>
      <c r="M701" s="6" t="inlineStr">
        <is>
          <t>The control architecture shall implement QPS:CIS as the parent control layer with subordinate subsystem and skid-level CIS integration, with naming consistent to the project namespace conventions.</t>
        </is>
      </c>
      <c r="N701" s="6" t="inlineStr">
        <is>
          <t>The control architecture shall implement QPS:CIS as the parent control layer with subordinate subsystem and skid-level CIS integration, with naming consistent to the project namespace conventions.</t>
        </is>
      </c>
      <c r="O701" s="6" t="n">
        <v>0</v>
      </c>
      <c r="P701" s="6" t="n">
        <v>0</v>
      </c>
      <c r="Q701" s="6" t="n">
        <v>0</v>
      </c>
      <c r="R701" s="6" t="n">
        <v>3</v>
      </c>
      <c r="S701" s="6" t="n">
        <v>0</v>
      </c>
      <c r="T701" s="6" t="n">
        <v>0</v>
      </c>
      <c r="U701" s="6" t="n">
        <v>0</v>
      </c>
      <c r="V701" s="6" t="n">
        <v>16</v>
      </c>
      <c r="W701" s="6" t="n">
        <v>6.38</v>
      </c>
      <c r="X701" s="6" t="n">
        <v>0.1831</v>
      </c>
      <c r="Y701" s="6" t="inlineStr">
        <is>
          <t>Functional</t>
        </is>
      </c>
      <c r="Z701" s="6" t="inlineStr">
        <is>
          <t>Frozen-weight composite; strongest contribution: Functional.</t>
        </is>
      </c>
      <c r="AA701" s="6" t="inlineStr">
        <is>
          <t>None explicitly named in this RTM</t>
        </is>
      </c>
      <c r="AB701" s="6" t="inlineStr">
        <is>
          <t>SCK CEN/90508872 §4.6.10.3; no named external code</t>
        </is>
      </c>
      <c r="AC701" s="6" t="inlineStr">
        <is>
          <t>Functional design/configuration review and sequence/interface demonstration</t>
        </is>
      </c>
      <c r="AD701" s="6" t="inlineStr">
        <is>
          <t>No separate deliverable explicitly named</t>
        </is>
      </c>
      <c r="AE701" s="6" t="inlineStr">
        <is>
          <t>L1 Conceptual Design; L2 Detailed Design</t>
        </is>
      </c>
      <c r="AF701" s="6" t="inlineStr">
        <is>
          <t>Section/contract-derived reference; derived evidence route</t>
        </is>
      </c>
      <c r="AG701" s="58" t="inlineStr">
        <is>
          <t>Not linked to an OFFER item</t>
        </is>
      </c>
    </row>
    <row r="702" ht="73" customHeight="1">
      <c r="A702" s="6" t="n">
        <v>697</v>
      </c>
      <c r="B702" s="6" t="inlineStr">
        <is>
          <t>RTM-698</t>
        </is>
      </c>
      <c r="C702" s="6" t="inlineStr">
        <is>
          <t>No</t>
        </is>
      </c>
      <c r="D702" s="6" t="inlineStr">
        <is>
          <t>T3 Contextual</t>
        </is>
      </c>
      <c r="E702" s="6" t="inlineStr">
        <is>
          <t>Codes &amp; Standards</t>
        </is>
      </c>
      <c r="F702" s="82" t="inlineStr">
        <is>
          <t>SYSTEM</t>
        </is>
      </c>
      <c r="G702" s="83" t="inlineStr">
        <is>
          <t>Constraint</t>
        </is>
      </c>
      <c r="H702" s="59" t="inlineStr">
        <is>
          <t>—</t>
        </is>
      </c>
      <c r="I702" s="58" t="inlineStr">
        <is>
          <t>C7 — Quality, Testing &amp; Risk</t>
        </is>
      </c>
      <c r="J702" s="6" t="n">
        <v>128</v>
      </c>
      <c r="K702" s="6" t="inlineStr">
        <is>
          <t>9.3</t>
        </is>
      </c>
      <c r="L702" s="6" t="inlineStr">
        <is>
          <t>Electromagnetic interference</t>
        </is>
      </c>
      <c r="M702" s="6" t="inlineStr">
        <is>
          <t>The Contractor shall propose a solution, subject to approval by SCK CEN, to minimize the effects of electromagnetic interference (EMI). The solution shall address shielding, cabling, signal routing, voltage level separation, and earthing strategy.</t>
        </is>
      </c>
      <c r="N702" s="6" t="inlineStr">
        <is>
          <t>The Contractor shall propose a solution, subject to approval by SCK CEN, to minimize the effects of electromagnetic interference (EMI). The solution shall address shielding, cabling, signal routing, voltage level separation, and earthing strategy.</t>
        </is>
      </c>
      <c r="O702" s="6" t="n">
        <v>2</v>
      </c>
      <c r="P702" s="6" t="n">
        <v>0</v>
      </c>
      <c r="Q702" s="6" t="n">
        <v>0</v>
      </c>
      <c r="R702" s="6" t="n">
        <v>0</v>
      </c>
      <c r="S702" s="6" t="n">
        <v>0</v>
      </c>
      <c r="T702" s="6" t="n">
        <v>0</v>
      </c>
      <c r="U702" s="6" t="n">
        <v>0</v>
      </c>
      <c r="V702" s="6" t="n">
        <v>13.333333</v>
      </c>
      <c r="W702" s="6" t="n">
        <v>3.4674</v>
      </c>
      <c r="X702" s="6" t="n">
        <v>0.1373</v>
      </c>
      <c r="Y702" s="6" t="inlineStr">
        <is>
          <t>Safety / Legal</t>
        </is>
      </c>
      <c r="Z702" s="6" t="inlineStr">
        <is>
          <t>Frozen-weight composite; strongest contribution: Safety / Legal.</t>
        </is>
      </c>
      <c r="AA702" s="6" t="inlineStr">
        <is>
          <t>None explicitly named in this RTM</t>
        </is>
      </c>
      <c r="AB702" s="6" t="inlineStr">
        <is>
          <t>Section-level: EN 61000-6-2; EN 61000-6-4</t>
        </is>
      </c>
      <c r="AC702" s="6" t="inlineStr">
        <is>
          <t>Design review plus final inspection/acceptance evidence</t>
        </is>
      </c>
      <c r="AD702" s="6" t="inlineStr">
        <is>
          <t>No separate deliverable explicitly named</t>
        </is>
      </c>
      <c r="AE702" s="6" t="inlineStr">
        <is>
          <t>L0 Tender / Offer; L1 Conceptual Design; L2 Detailed Design; L3 Procurement &amp; Manufacturing / FAT; L4 Installation; L5 Standalone Commissioning; L6 Site Acceptance Testing</t>
        </is>
      </c>
      <c r="AF702" s="6" t="inlineStr">
        <is>
          <t>Section/contract-derived reference; derived evidence route</t>
        </is>
      </c>
      <c r="AG702" s="58" t="inlineStr">
        <is>
          <t>OFFER-49 (Supporting)</t>
        </is>
      </c>
    </row>
    <row r="703" ht="99" customHeight="1">
      <c r="A703" s="6" t="n">
        <v>698</v>
      </c>
      <c r="B703" s="6" t="inlineStr">
        <is>
          <t>RTM-634</t>
        </is>
      </c>
      <c r="C703" s="6" t="inlineStr">
        <is>
          <t>No</t>
        </is>
      </c>
      <c r="D703" s="6" t="inlineStr">
        <is>
          <t>T3 Contextual</t>
        </is>
      </c>
      <c r="E703" s="6" t="inlineStr">
        <is>
          <t>Contract Performance</t>
        </is>
      </c>
      <c r="F703" s="82" t="inlineStr">
        <is>
          <t>PROJECT</t>
        </is>
      </c>
      <c r="G703" s="83" t="inlineStr">
        <is>
          <t>Documentation &amp; Compliance</t>
        </is>
      </c>
      <c r="H703" s="59" t="inlineStr">
        <is>
          <t>—</t>
        </is>
      </c>
      <c r="I703" s="81" t="inlineStr">
        <is>
          <t>Inferred: C8 — Commercial &amp; Execution (medium conf.)</t>
        </is>
      </c>
      <c r="J703" s="6" t="n">
        <v>120</v>
      </c>
      <c r="K703" s="6" t="inlineStr">
        <is>
          <t>7.4.2</t>
        </is>
      </c>
      <c r="L703" s="6" t="inlineStr">
        <is>
          <t>Meetings</t>
        </is>
      </c>
      <c r="M703" s="6" t="inlineStr">
        <is>
          <t>Meetings shall take place at either of below locations:</t>
        </is>
      </c>
      <c r="N703" s="6" t="inlineStr">
        <is>
          <t>Meetings shall take place at either of below locations:
• The Contractor’s premises.
• SCK CEN: Boeretang 200, 2400 Mol, Belgium or Avenue Hermann-Debroux 40, 1160 Brussels, Belgium.
• Any other location mutually agreed upon by the Contractor and SCK CEN, such as the premises of the deliverable’s component Contractors.
• In audio or video conferencing.</t>
        </is>
      </c>
      <c r="O703" s="6" t="n">
        <v>1</v>
      </c>
      <c r="P703" s="6" t="n">
        <v>0</v>
      </c>
      <c r="Q703" s="6" t="n">
        <v>0</v>
      </c>
      <c r="R703" s="6" t="n">
        <v>1</v>
      </c>
      <c r="S703" s="6" t="n">
        <v>0</v>
      </c>
      <c r="T703" s="6" t="n">
        <v>0</v>
      </c>
      <c r="U703" s="6" t="n">
        <v>1</v>
      </c>
      <c r="V703" s="6" t="n">
        <v>13</v>
      </c>
      <c r="W703" s="6" t="n">
        <v>3.1207</v>
      </c>
      <c r="X703" s="6" t="n">
        <v>0.1323</v>
      </c>
      <c r="Y703" s="6" t="inlineStr">
        <is>
          <t>Safety / Legal</t>
        </is>
      </c>
      <c r="Z703" s="6" t="inlineStr">
        <is>
          <t>Frozen-weight composite; strongest contribution: Safety / Legal.</t>
        </is>
      </c>
      <c r="AA703" s="6" t="inlineStr">
        <is>
          <t>None explicitly named in this RTM</t>
        </is>
      </c>
      <c r="AB703" s="6" t="inlineStr">
        <is>
          <t>SCK CEN/90508872 §7.4.2; no named external code</t>
        </is>
      </c>
      <c r="AC703" s="6" t="inlineStr">
        <is>
          <t>Design review plus final inspection/acceptance evidence</t>
        </is>
      </c>
      <c r="AD703" s="6" t="inlineStr">
        <is>
          <t>No separate deliverable explicitly named</t>
        </is>
      </c>
      <c r="AE703" s="6" t="inlineStr">
        <is>
          <t>L0 Tender / Offer; L1 Conceptual Design; L2 Detailed Design; L3 Procurement &amp; Manufacturing / FAT; L4 Installation; L5 Standalone Commissioning; L6 Site Acceptance Testing</t>
        </is>
      </c>
      <c r="AF703" s="6" t="inlineStr">
        <is>
          <t>Section/contract-derived reference; derived evidence route</t>
        </is>
      </c>
      <c r="AG703" s="58" t="inlineStr">
        <is>
          <t>Not linked to an OFFER item</t>
        </is>
      </c>
    </row>
    <row r="704" ht="60" customHeight="1">
      <c r="A704" s="6" t="n">
        <v>699</v>
      </c>
      <c r="B704" s="6" t="inlineStr">
        <is>
          <t>RTM-636</t>
        </is>
      </c>
      <c r="C704" s="6" t="inlineStr">
        <is>
          <t>No</t>
        </is>
      </c>
      <c r="D704" s="6" t="inlineStr">
        <is>
          <t>T3 Contextual</t>
        </is>
      </c>
      <c r="E704" s="6" t="inlineStr">
        <is>
          <t>Contract Performance</t>
        </is>
      </c>
      <c r="F704" s="82" t="inlineStr">
        <is>
          <t>PROJECT</t>
        </is>
      </c>
      <c r="G704" s="83" t="inlineStr">
        <is>
          <t>Documentation &amp; Compliance</t>
        </is>
      </c>
      <c r="H704" s="59" t="inlineStr">
        <is>
          <t>—</t>
        </is>
      </c>
      <c r="I704" s="81" t="inlineStr">
        <is>
          <t>Inferred: C8 — Commercial &amp; Execution (medium conf.)</t>
        </is>
      </c>
      <c r="J704" s="6" t="n">
        <v>120</v>
      </c>
      <c r="K704" s="6" t="inlineStr">
        <is>
          <t>7.4.2</t>
        </is>
      </c>
      <c r="L704" s="6" t="inlineStr">
        <is>
          <t>Meetings</t>
        </is>
      </c>
      <c r="M704" s="6" t="inlineStr">
        <is>
          <t>Travel expenses shall be paid by the party who travels.</t>
        </is>
      </c>
      <c r="N704" s="6" t="inlineStr">
        <is>
          <t>Travel expenses shall be paid by the party who travels.</t>
        </is>
      </c>
      <c r="O704" s="6" t="n">
        <v>1</v>
      </c>
      <c r="P704" s="6" t="n">
        <v>0</v>
      </c>
      <c r="Q704" s="6" t="n">
        <v>0</v>
      </c>
      <c r="R704" s="6" t="n">
        <v>1</v>
      </c>
      <c r="S704" s="6" t="n">
        <v>0</v>
      </c>
      <c r="T704" s="6" t="n">
        <v>0</v>
      </c>
      <c r="U704" s="6" t="n">
        <v>1</v>
      </c>
      <c r="V704" s="6" t="n">
        <v>13</v>
      </c>
      <c r="W704" s="6" t="n">
        <v>3.1207</v>
      </c>
      <c r="X704" s="6" t="n">
        <v>0.1323</v>
      </c>
      <c r="Y704" s="6" t="inlineStr">
        <is>
          <t>Safety / Legal</t>
        </is>
      </c>
      <c r="Z704" s="6" t="inlineStr">
        <is>
          <t>Frozen-weight composite; strongest contribution: Safety / Legal.</t>
        </is>
      </c>
      <c r="AA704" s="6" t="inlineStr">
        <is>
          <t>None explicitly named in this RTM</t>
        </is>
      </c>
      <c r="AB704" s="6" t="inlineStr">
        <is>
          <t>SCK CEN/90508872 §7.4.2; no named external code</t>
        </is>
      </c>
      <c r="AC704" s="6" t="inlineStr">
        <is>
          <t>Design review plus final inspection/acceptance evidence</t>
        </is>
      </c>
      <c r="AD704" s="6" t="inlineStr">
        <is>
          <t>No separate deliverable explicitly named</t>
        </is>
      </c>
      <c r="AE704" s="6" t="inlineStr">
        <is>
          <t>L0 Tender / Offer; L1 Conceptual Design; L2 Detailed Design; L3 Procurement &amp; Manufacturing / FAT; L4 Installation; L5 Standalone Commissioning; L6 Site Acceptance Testing</t>
        </is>
      </c>
      <c r="AF704" s="6" t="inlineStr">
        <is>
          <t>Section/contract-derived reference; derived evidence route</t>
        </is>
      </c>
      <c r="AG704" s="58" t="inlineStr">
        <is>
          <t>Not linked to an OFFER item</t>
        </is>
      </c>
    </row>
    <row r="705" ht="60" customHeight="1">
      <c r="A705" s="6" t="n">
        <v>700</v>
      </c>
      <c r="B705" s="6" t="inlineStr">
        <is>
          <t>RTM-637</t>
        </is>
      </c>
      <c r="C705" s="6" t="inlineStr">
        <is>
          <t>No</t>
        </is>
      </c>
      <c r="D705" s="6" t="inlineStr">
        <is>
          <t>T3 Contextual</t>
        </is>
      </c>
      <c r="E705" s="6" t="inlineStr">
        <is>
          <t>Contract Performance</t>
        </is>
      </c>
      <c r="F705" s="82" t="inlineStr">
        <is>
          <t>PROJECT</t>
        </is>
      </c>
      <c r="G705" s="83" t="inlineStr">
        <is>
          <t>Documentation &amp; Compliance</t>
        </is>
      </c>
      <c r="H705" s="59" t="inlineStr">
        <is>
          <t>—</t>
        </is>
      </c>
      <c r="I705" s="81" t="inlineStr">
        <is>
          <t>Inferred: C8 — Commercial &amp; Execution (medium conf.)</t>
        </is>
      </c>
      <c r="J705" s="6" t="n">
        <v>120</v>
      </c>
      <c r="K705" s="6" t="inlineStr">
        <is>
          <t>7.4.2.1</t>
        </is>
      </c>
      <c r="L705" s="6" t="inlineStr">
        <is>
          <t>Progress Meetings</t>
        </is>
      </c>
      <c r="M705" s="6" t="inlineStr">
        <is>
          <t>The Contractor shall organize at least monthly Progress meetings between the Contractor and SCK CEN.</t>
        </is>
      </c>
      <c r="N705" s="6" t="inlineStr">
        <is>
          <t>The Contractor shall organize at least monthly Progress meetings between the Contractor and SCK CEN.</t>
        </is>
      </c>
      <c r="O705" s="6" t="n">
        <v>1</v>
      </c>
      <c r="P705" s="6" t="n">
        <v>0</v>
      </c>
      <c r="Q705" s="6" t="n">
        <v>0</v>
      </c>
      <c r="R705" s="6" t="n">
        <v>1</v>
      </c>
      <c r="S705" s="6" t="n">
        <v>0</v>
      </c>
      <c r="T705" s="6" t="n">
        <v>0</v>
      </c>
      <c r="U705" s="6" t="n">
        <v>1</v>
      </c>
      <c r="V705" s="6" t="n">
        <v>13</v>
      </c>
      <c r="W705" s="6" t="n">
        <v>3.1207</v>
      </c>
      <c r="X705" s="6" t="n">
        <v>0.1323</v>
      </c>
      <c r="Y705" s="6" t="inlineStr">
        <is>
          <t>Safety / Legal</t>
        </is>
      </c>
      <c r="Z705" s="6" t="inlineStr">
        <is>
          <t>Frozen-weight composite; strongest contribution: Safety / Legal.</t>
        </is>
      </c>
      <c r="AA705" s="6" t="inlineStr">
        <is>
          <t>None explicitly named in this RTM</t>
        </is>
      </c>
      <c r="AB705" s="6" t="inlineStr">
        <is>
          <t>SCK CEN/90508872 §7.4.2.1; no named external code</t>
        </is>
      </c>
      <c r="AC705" s="6" t="inlineStr">
        <is>
          <t>Design review plus final inspection/acceptance evidence</t>
        </is>
      </c>
      <c r="AD705" s="6" t="inlineStr">
        <is>
          <t>No separate deliverable explicitly named</t>
        </is>
      </c>
      <c r="AE705" s="6" t="inlineStr">
        <is>
          <t>L0 Tender / Offer; L1 Conceptual Design; L2 Detailed Design; L3 Procurement &amp; Manufacturing / FAT; L4 Installation; L5 Standalone Commissioning; L6 Site Acceptance Testing</t>
        </is>
      </c>
      <c r="AF705" s="6" t="inlineStr">
        <is>
          <t>Section/contract-derived reference; derived evidence route</t>
        </is>
      </c>
      <c r="AG705" s="58" t="inlineStr">
        <is>
          <t>Not linked to an OFFER item</t>
        </is>
      </c>
    </row>
    <row r="706" ht="60" customHeight="1">
      <c r="A706" s="6" t="n">
        <v>701</v>
      </c>
      <c r="B706" s="6" t="inlineStr">
        <is>
          <t>RTM-639</t>
        </is>
      </c>
      <c r="C706" s="6" t="inlineStr">
        <is>
          <t>No</t>
        </is>
      </c>
      <c r="D706" s="6" t="inlineStr">
        <is>
          <t>T3 Contextual</t>
        </is>
      </c>
      <c r="E706" s="6" t="inlineStr">
        <is>
          <t>Contract Performance</t>
        </is>
      </c>
      <c r="F706" s="82" t="inlineStr">
        <is>
          <t>PROJECT</t>
        </is>
      </c>
      <c r="G706" s="83" t="inlineStr">
        <is>
          <t>Documentation &amp; Compliance</t>
        </is>
      </c>
      <c r="H706" s="59" t="inlineStr">
        <is>
          <t>—</t>
        </is>
      </c>
      <c r="I706" s="81" t="inlineStr">
        <is>
          <t>Inferred: C8 — Commercial &amp; Execution (medium conf.)</t>
        </is>
      </c>
      <c r="J706" s="6" t="n">
        <v>121</v>
      </c>
      <c r="K706" s="6" t="inlineStr">
        <is>
          <t>7.4.2.3</t>
        </is>
      </c>
      <c r="L706" s="6" t="inlineStr">
        <is>
          <t>Technical Review Meetings</t>
        </is>
      </c>
      <c r="M706" s="6" t="inlineStr">
        <is>
          <t>The Contractor shall organize Technical Review Meetings with the necessary stakeholders to define the technical baseline and identify any evolutions between reviews.</t>
        </is>
      </c>
      <c r="N706" s="6" t="inlineStr">
        <is>
          <t>The Contractor shall organize Technical Review Meetings with the necessary stakeholders to define the technical baseline and identify any evolutions between reviews.</t>
        </is>
      </c>
      <c r="O706" s="6" t="n">
        <v>1</v>
      </c>
      <c r="P706" s="6" t="n">
        <v>0</v>
      </c>
      <c r="Q706" s="6" t="n">
        <v>0</v>
      </c>
      <c r="R706" s="6" t="n">
        <v>1</v>
      </c>
      <c r="S706" s="6" t="n">
        <v>0</v>
      </c>
      <c r="T706" s="6" t="n">
        <v>0</v>
      </c>
      <c r="U706" s="6" t="n">
        <v>1</v>
      </c>
      <c r="V706" s="6" t="n">
        <v>13</v>
      </c>
      <c r="W706" s="6" t="n">
        <v>3.1207</v>
      </c>
      <c r="X706" s="6" t="n">
        <v>0.1323</v>
      </c>
      <c r="Y706" s="6" t="inlineStr">
        <is>
          <t>Safety / Legal</t>
        </is>
      </c>
      <c r="Z706" s="6" t="inlineStr">
        <is>
          <t>Frozen-weight composite; strongest contribution: Safety / Legal.</t>
        </is>
      </c>
      <c r="AA706" s="6" t="inlineStr">
        <is>
          <t>None explicitly named in this RTM</t>
        </is>
      </c>
      <c r="AB706" s="6" t="inlineStr">
        <is>
          <t>SCK CEN/90508872 §7.4.2.3; no named external code</t>
        </is>
      </c>
      <c r="AC706" s="6" t="inlineStr">
        <is>
          <t>Design review plus final inspection/acceptance evidence</t>
        </is>
      </c>
      <c r="AD706" s="6" t="inlineStr">
        <is>
          <t>No separate deliverable explicitly named</t>
        </is>
      </c>
      <c r="AE706" s="6" t="inlineStr">
        <is>
          <t>L0 Tender / Offer; L1 Conceptual Design; L2 Detailed Design; L3 Procurement &amp; Manufacturing / FAT; L4 Installation; L5 Standalone Commissioning; L6 Site Acceptance Testing</t>
        </is>
      </c>
      <c r="AF706" s="6" t="inlineStr">
        <is>
          <t>Section/contract-derived reference; derived evidence route</t>
        </is>
      </c>
      <c r="AG706" s="58" t="inlineStr">
        <is>
          <t>Not linked to an OFFER item</t>
        </is>
      </c>
    </row>
    <row r="707" ht="86" customHeight="1">
      <c r="A707" s="6" t="n">
        <v>702</v>
      </c>
      <c r="B707" s="6" t="inlineStr">
        <is>
          <t>RTM-472</t>
        </is>
      </c>
      <c r="C707" s="6" t="inlineStr">
        <is>
          <t>No</t>
        </is>
      </c>
      <c r="D707" s="6" t="inlineStr">
        <is>
          <t>T3 Contextual</t>
        </is>
      </c>
      <c r="E707" s="6" t="inlineStr">
        <is>
          <t>Transport &amp; Logistics</t>
        </is>
      </c>
      <c r="F707" s="82" t="inlineStr">
        <is>
          <t>PROJECT</t>
        </is>
      </c>
      <c r="G707" s="83" t="inlineStr">
        <is>
          <t>Governance &amp; Responsibility</t>
        </is>
      </c>
      <c r="H707" s="59" t="inlineStr">
        <is>
          <t>—</t>
        </is>
      </c>
      <c r="I707" s="58" t="inlineStr">
        <is>
          <t>Not linked to an OFFER item</t>
        </is>
      </c>
      <c r="J707" s="6" t="n">
        <v>91</v>
      </c>
      <c r="K707" s="6" t="inlineStr">
        <is>
          <t>4.9</t>
        </is>
      </c>
      <c r="L707" s="6" t="inlineStr">
        <is>
          <t>Transportation and Logistics Requirements</t>
        </is>
      </c>
      <c r="M707" s="6" t="inlineStr">
        <is>
          <t>The Contractor shall be responsible for the correct packaging prior to transport. This shall include, at minimum:</t>
        </is>
      </c>
      <c r="N707" s="6" t="inlineStr">
        <is>
          <t>The Contractor shall be responsible for the correct packaging prior to transport. This shall include, at minimum:
• Filling and sealing of all process circuits with inert gas.
• The installation of shock indicators and pressure gauges, where applicable.
• A visual inspection of the packaged items prior to shipment.</t>
        </is>
      </c>
      <c r="O707" s="6" t="n">
        <v>0</v>
      </c>
      <c r="P707" s="6" t="n">
        <v>0</v>
      </c>
      <c r="Q707" s="6" t="n">
        <v>0</v>
      </c>
      <c r="R707" s="6" t="n">
        <v>0</v>
      </c>
      <c r="S707" s="6" t="n">
        <v>3</v>
      </c>
      <c r="T707" s="6" t="n">
        <v>0</v>
      </c>
      <c r="U707" s="6" t="n">
        <v>0</v>
      </c>
      <c r="V707" s="6" t="n">
        <v>12</v>
      </c>
      <c r="W707" s="6" t="n">
        <v>2.1498</v>
      </c>
      <c r="X707" s="6" t="n">
        <v>0.1189</v>
      </c>
      <c r="Y707" s="6" t="inlineStr">
        <is>
          <t>Quality / Verifiability</t>
        </is>
      </c>
      <c r="Z707" s="6" t="inlineStr">
        <is>
          <t>Frozen-weight composite; strongest contribution: Quality / Verifiability.</t>
        </is>
      </c>
      <c r="AA707" s="6" t="inlineStr">
        <is>
          <t>None explicitly named in this RTM</t>
        </is>
      </c>
      <c r="AB707" s="6" t="inlineStr">
        <is>
          <t>SCK CEN/90508872 §4.9; no named external code</t>
        </is>
      </c>
      <c r="AC707" s="6" t="inlineStr">
        <is>
          <t>Document review, inspection, certification, audit or traceable QC record</t>
        </is>
      </c>
      <c r="AD707" s="6" t="inlineStr">
        <is>
          <t>No separate deliverable explicitly named</t>
        </is>
      </c>
      <c r="AE707" s="6" t="inlineStr">
        <is>
          <t>L4 Installation; L3 Procurement &amp; Manufacturing / FAT</t>
        </is>
      </c>
      <c r="AF707" s="6" t="inlineStr">
        <is>
          <t>Section/contract-derived reference; derived evidence route</t>
        </is>
      </c>
      <c r="AG707" s="58" t="inlineStr">
        <is>
          <t>Not linked to an OFFER item</t>
        </is>
      </c>
    </row>
    <row r="708" ht="112" customHeight="1">
      <c r="A708" s="6" t="n">
        <v>703</v>
      </c>
      <c r="B708" s="6" t="inlineStr">
        <is>
          <t>RTM-474</t>
        </is>
      </c>
      <c r="C708" s="6" t="inlineStr">
        <is>
          <t>No</t>
        </is>
      </c>
      <c r="D708" s="6" t="inlineStr">
        <is>
          <t>T3 Contextual</t>
        </is>
      </c>
      <c r="E708" s="6" t="inlineStr">
        <is>
          <t>Transport &amp; Logistics</t>
        </is>
      </c>
      <c r="F708" s="82" t="inlineStr">
        <is>
          <t>PROJECT</t>
        </is>
      </c>
      <c r="G708" s="83" t="inlineStr">
        <is>
          <t>Governance &amp; Responsibility</t>
        </is>
      </c>
      <c r="H708" s="59" t="inlineStr">
        <is>
          <t>—</t>
        </is>
      </c>
      <c r="I708" s="58" t="inlineStr">
        <is>
          <t>Not linked to an OFFER item</t>
        </is>
      </c>
      <c r="J708" s="6" t="n">
        <v>91</v>
      </c>
      <c r="K708" s="6" t="inlineStr">
        <is>
          <t>4.9</t>
        </is>
      </c>
      <c r="L708" s="6" t="inlineStr">
        <is>
          <t>Transportation and Logistics Requirements</t>
        </is>
      </c>
      <c r="M708" s="6" t="inlineStr">
        <is>
          <t>Upon arrival at the SCK CEN site, the Contractor shall perform at least the following incoming-inspection actions:</t>
        </is>
      </c>
      <c r="N708" s="6" t="inlineStr">
        <is>
          <t>Upon arrival at the SCK CEN site, the Contractor shall perform at least the following incoming-inspection actions:
• Inventory check.
• Visual checks.
• Comparison of pressure readings before and after transport.
• Readout of shock and acceleration indicators.
• Identification and documentation of any transport-related damage or deviation.</t>
        </is>
      </c>
      <c r="O708" s="6" t="n">
        <v>0</v>
      </c>
      <c r="P708" s="6" t="n">
        <v>0</v>
      </c>
      <c r="Q708" s="6" t="n">
        <v>0</v>
      </c>
      <c r="R708" s="6" t="n">
        <v>0</v>
      </c>
      <c r="S708" s="6" t="n">
        <v>3</v>
      </c>
      <c r="T708" s="6" t="n">
        <v>0</v>
      </c>
      <c r="U708" s="6" t="n">
        <v>0</v>
      </c>
      <c r="V708" s="6" t="n">
        <v>12</v>
      </c>
      <c r="W708" s="6" t="n">
        <v>2.1498</v>
      </c>
      <c r="X708" s="6" t="n">
        <v>0.1189</v>
      </c>
      <c r="Y708" s="6" t="inlineStr">
        <is>
          <t>Quality / Verifiability</t>
        </is>
      </c>
      <c r="Z708" s="6" t="inlineStr">
        <is>
          <t>Frozen-weight composite; strongest contribution: Quality / Verifiability.</t>
        </is>
      </c>
      <c r="AA708" s="6" t="inlineStr">
        <is>
          <t>None explicitly named in this RTM</t>
        </is>
      </c>
      <c r="AB708" s="6" t="inlineStr">
        <is>
          <t>SCK CEN/90508872 §4.9; no named external code</t>
        </is>
      </c>
      <c r="AC708" s="6" t="inlineStr">
        <is>
          <t>Document review, inspection, certification, audit or traceable QC record</t>
        </is>
      </c>
      <c r="AD708" s="6" t="inlineStr">
        <is>
          <t>No separate deliverable explicitly named</t>
        </is>
      </c>
      <c r="AE708" s="6" t="inlineStr">
        <is>
          <t>L3 Procurement &amp; Manufacturing / FAT; L4 Installation</t>
        </is>
      </c>
      <c r="AF708" s="6" t="inlineStr">
        <is>
          <t>Section/contract-derived reference; derived evidence route</t>
        </is>
      </c>
      <c r="AG708" s="58" t="inlineStr">
        <is>
          <t>Not linked to an OFFER item</t>
        </is>
      </c>
    </row>
    <row r="709" ht="99" customHeight="1">
      <c r="A709" s="6" t="n">
        <v>704</v>
      </c>
      <c r="B709" s="6" t="inlineStr">
        <is>
          <t>RTM-622</t>
        </is>
      </c>
      <c r="C709" s="6" t="inlineStr">
        <is>
          <t>No</t>
        </is>
      </c>
      <c r="D709" s="6" t="inlineStr">
        <is>
          <t>T3 Contextual</t>
        </is>
      </c>
      <c r="E709" s="6" t="inlineStr">
        <is>
          <t>Contract Performance</t>
        </is>
      </c>
      <c r="F709" s="82" t="inlineStr">
        <is>
          <t>PROJECT</t>
        </is>
      </c>
      <c r="G709" s="83" t="inlineStr">
        <is>
          <t>Documentation &amp; Compliance</t>
        </is>
      </c>
      <c r="H709" s="59" t="inlineStr">
        <is>
          <t>—</t>
        </is>
      </c>
      <c r="I709" s="81" t="inlineStr">
        <is>
          <t>Inferred: C8 — Commercial &amp; Execution (medium conf.)</t>
        </is>
      </c>
      <c r="J709" s="6" t="n">
        <v>119</v>
      </c>
      <c r="K709" s="6" t="inlineStr">
        <is>
          <t>7.1</t>
        </is>
      </c>
      <c r="L709" s="6" t="inlineStr">
        <is>
          <t>General Organization</t>
        </is>
      </c>
      <c r="M709" s="6" t="inlineStr">
        <is>
          <t>The Contractor shall notify SCK CEN in writing in case a different Project Manager is appointed. Replacement of the Project Manager is subject to prior written approval by SCK CEN. In case of replacement, the substitute shall always have a level of education, skills, and experience equivalent to or better than the original resource proposed for this role.</t>
        </is>
      </c>
      <c r="N709" s="6" t="inlineStr">
        <is>
          <t>The Contractor shall notify SCK CEN in writing in case a different Project Manager is appointed. Replacement of the Project Manager is subject to prior written approval by SCK CEN. In case of replacement, the substitute shall always have a level of education, skills, and experience equivalent to or better than the original resource proposed for this role.</t>
        </is>
      </c>
      <c r="O709" s="6" t="n">
        <v>1</v>
      </c>
      <c r="P709" s="6" t="n">
        <v>0</v>
      </c>
      <c r="Q709" s="6" t="n">
        <v>0</v>
      </c>
      <c r="R709" s="6" t="n">
        <v>1</v>
      </c>
      <c r="S709" s="6" t="n">
        <v>0</v>
      </c>
      <c r="T709" s="6" t="n">
        <v>0</v>
      </c>
      <c r="U709" s="6" t="n">
        <v>0</v>
      </c>
      <c r="V709" s="6" t="n">
        <v>12</v>
      </c>
      <c r="W709" s="6" t="n">
        <v>2.1498</v>
      </c>
      <c r="X709" s="6" t="n">
        <v>0.1189</v>
      </c>
      <c r="Y709" s="6" t="inlineStr">
        <is>
          <t>Safety / Legal</t>
        </is>
      </c>
      <c r="Z709" s="6" t="inlineStr">
        <is>
          <t>Frozen-weight composite; strongest contribution: Safety / Legal.</t>
        </is>
      </c>
      <c r="AA709" s="6" t="inlineStr">
        <is>
          <t>None explicitly named in this RTM</t>
        </is>
      </c>
      <c r="AB709" s="6" t="inlineStr">
        <is>
          <t>SCK CEN/90508872 §7.1; no named external code</t>
        </is>
      </c>
      <c r="AC709" s="6" t="inlineStr">
        <is>
          <t>Design review plus final inspection/acceptance evidence</t>
        </is>
      </c>
      <c r="AD709" s="6" t="inlineStr">
        <is>
          <t>No separate deliverable explicitly named</t>
        </is>
      </c>
      <c r="AE709" s="6" t="inlineStr">
        <is>
          <t>L0 Tender / Offer; L1 Conceptual Design; L2 Detailed Design; L3 Procurement &amp; Manufacturing / FAT; L4 Installation; L5 Standalone Commissioning; L6 Site Acceptance Testing</t>
        </is>
      </c>
      <c r="AF709" s="6" t="inlineStr">
        <is>
          <t>Section/contract-derived reference; derived evidence route</t>
        </is>
      </c>
      <c r="AG709" s="58" t="inlineStr">
        <is>
          <t>Not linked to an OFFER item</t>
        </is>
      </c>
    </row>
    <row r="710" ht="60" customHeight="1">
      <c r="A710" s="6" t="n">
        <v>705</v>
      </c>
      <c r="B710" s="6" t="inlineStr">
        <is>
          <t>RTM-623</t>
        </is>
      </c>
      <c r="C710" s="6" t="inlineStr">
        <is>
          <t>No</t>
        </is>
      </c>
      <c r="D710" s="6" t="inlineStr">
        <is>
          <t>T3 Contextual</t>
        </is>
      </c>
      <c r="E710" s="6" t="inlineStr">
        <is>
          <t>Contract Performance</t>
        </is>
      </c>
      <c r="F710" s="82" t="inlineStr">
        <is>
          <t>PROJECT</t>
        </is>
      </c>
      <c r="G710" s="83" t="inlineStr">
        <is>
          <t>Documentation &amp; Compliance</t>
        </is>
      </c>
      <c r="H710" s="59" t="inlineStr">
        <is>
          <t>—</t>
        </is>
      </c>
      <c r="I710" s="81" t="inlineStr">
        <is>
          <t>Inferred: C8 — Commercial &amp; Execution (medium conf.)</t>
        </is>
      </c>
      <c r="J710" s="6" t="n">
        <v>119</v>
      </c>
      <c r="K710" s="6" t="inlineStr">
        <is>
          <t>7.1</t>
        </is>
      </c>
      <c r="L710" s="6" t="inlineStr">
        <is>
          <t>General Organization</t>
        </is>
      </c>
      <c r="M710" s="6" t="inlineStr">
        <is>
          <t>At the conclusion of the Contract, SCK CEN shall designate the Leading Officer for the Contract and inform the Contractor. The Contractor shall be notified of any change in writing.</t>
        </is>
      </c>
      <c r="N710" s="6" t="inlineStr">
        <is>
          <t>At the conclusion of the Contract, SCK CEN shall designate the Leading Officer for the Contract and inform the Contractor. The Contractor shall be notified of any change in writing.</t>
        </is>
      </c>
      <c r="O710" s="6" t="n">
        <v>1</v>
      </c>
      <c r="P710" s="6" t="n">
        <v>0</v>
      </c>
      <c r="Q710" s="6" t="n">
        <v>0</v>
      </c>
      <c r="R710" s="6" t="n">
        <v>1</v>
      </c>
      <c r="S710" s="6" t="n">
        <v>0</v>
      </c>
      <c r="T710" s="6" t="n">
        <v>0</v>
      </c>
      <c r="U710" s="6" t="n">
        <v>0</v>
      </c>
      <c r="V710" s="6" t="n">
        <v>12</v>
      </c>
      <c r="W710" s="6" t="n">
        <v>2.1498</v>
      </c>
      <c r="X710" s="6" t="n">
        <v>0.1189</v>
      </c>
      <c r="Y710" s="6" t="inlineStr">
        <is>
          <t>Safety / Legal</t>
        </is>
      </c>
      <c r="Z710" s="6" t="inlineStr">
        <is>
          <t>Frozen-weight composite; strongest contribution: Safety / Legal.</t>
        </is>
      </c>
      <c r="AA710" s="6" t="inlineStr">
        <is>
          <t>None explicitly named in this RTM</t>
        </is>
      </c>
      <c r="AB710" s="6" t="inlineStr">
        <is>
          <t>SCK CEN/90508872 §7.1; no named external code</t>
        </is>
      </c>
      <c r="AC710" s="6" t="inlineStr">
        <is>
          <t>Design review plus final inspection/acceptance evidence</t>
        </is>
      </c>
      <c r="AD710" s="6" t="inlineStr">
        <is>
          <t>No separate deliverable explicitly named</t>
        </is>
      </c>
      <c r="AE710" s="6" t="inlineStr">
        <is>
          <t>L0 Tender / Offer; L1 Conceptual Design; L2 Detailed Design; L3 Procurement &amp; Manufacturing / FAT; L4 Installation; L5 Standalone Commissioning; L6 Site Acceptance Testing</t>
        </is>
      </c>
      <c r="AF710" s="6" t="inlineStr">
        <is>
          <t>Section/contract-derived reference; derived evidence route</t>
        </is>
      </c>
      <c r="AG710" s="58" t="inlineStr">
        <is>
          <t>Not linked to an OFFER item</t>
        </is>
      </c>
    </row>
    <row r="711" ht="60" customHeight="1">
      <c r="A711" s="6" t="n">
        <v>706</v>
      </c>
      <c r="B711" s="6" t="inlineStr">
        <is>
          <t>RTM-625</t>
        </is>
      </c>
      <c r="C711" s="6" t="inlineStr">
        <is>
          <t>No</t>
        </is>
      </c>
      <c r="D711" s="6" t="inlineStr">
        <is>
          <t>T3 Contextual</t>
        </is>
      </c>
      <c r="E711" s="6" t="inlineStr">
        <is>
          <t>Contract Performance</t>
        </is>
      </c>
      <c r="F711" s="82" t="inlineStr">
        <is>
          <t>PROJECT</t>
        </is>
      </c>
      <c r="G711" s="83" t="inlineStr">
        <is>
          <t>Documentation &amp; Compliance</t>
        </is>
      </c>
      <c r="H711" s="59" t="inlineStr">
        <is>
          <t>—</t>
        </is>
      </c>
      <c r="I711" s="81" t="inlineStr">
        <is>
          <t>Inferred: C8 — Commercial &amp; Execution (medium conf.)</t>
        </is>
      </c>
      <c r="J711" s="6" t="n">
        <v>119</v>
      </c>
      <c r="K711" s="6" t="inlineStr">
        <is>
          <t>7.2</t>
        </is>
      </c>
      <c r="L711" s="6" t="inlineStr">
        <is>
          <t>Communication</t>
        </is>
      </c>
      <c r="M711" s="6" t="inlineStr">
        <is>
          <t>All communication, including - but not limited to - tender documents, offers, technical documentation, any correspondence, and all meetings, related to the Contract, shall be in English.</t>
        </is>
      </c>
      <c r="N711" s="6" t="inlineStr">
        <is>
          <t>All communication, including - but not limited to - tender documents, offers, technical documentation, any correspondence, and all meetings, related to the Contract, shall be in English.</t>
        </is>
      </c>
      <c r="O711" s="6" t="n">
        <v>1</v>
      </c>
      <c r="P711" s="6" t="n">
        <v>0</v>
      </c>
      <c r="Q711" s="6" t="n">
        <v>0</v>
      </c>
      <c r="R711" s="6" t="n">
        <v>1</v>
      </c>
      <c r="S711" s="6" t="n">
        <v>0</v>
      </c>
      <c r="T711" s="6" t="n">
        <v>0</v>
      </c>
      <c r="U711" s="6" t="n">
        <v>0</v>
      </c>
      <c r="V711" s="6" t="n">
        <v>12</v>
      </c>
      <c r="W711" s="6" t="n">
        <v>2.1498</v>
      </c>
      <c r="X711" s="6" t="n">
        <v>0.1189</v>
      </c>
      <c r="Y711" s="6" t="inlineStr">
        <is>
          <t>Safety / Legal</t>
        </is>
      </c>
      <c r="Z711" s="6" t="inlineStr">
        <is>
          <t>Frozen-weight composite; strongest contribution: Safety / Legal.</t>
        </is>
      </c>
      <c r="AA711" s="6" t="inlineStr">
        <is>
          <t>None explicitly named in this RTM</t>
        </is>
      </c>
      <c r="AB711" s="6" t="inlineStr">
        <is>
          <t>SCK CEN/90508872 §7.2; no named external code</t>
        </is>
      </c>
      <c r="AC711" s="6" t="inlineStr">
        <is>
          <t>Design review plus final inspection/acceptance evidence</t>
        </is>
      </c>
      <c r="AD711" s="6" t="inlineStr">
        <is>
          <t>No separate deliverable explicitly named</t>
        </is>
      </c>
      <c r="AE711" s="6" t="inlineStr">
        <is>
          <t>L0 Tender / Offer; L1 Conceptual Design; L2 Detailed Design; L3 Procurement &amp; Manufacturing / FAT; L4 Installation; L5 Standalone Commissioning; L6 Site Acceptance Testing</t>
        </is>
      </c>
      <c r="AF711" s="6" t="inlineStr">
        <is>
          <t>Section/contract-derived reference; derived evidence route</t>
        </is>
      </c>
      <c r="AG711" s="58" t="inlineStr">
        <is>
          <t>Not linked to an OFFER item</t>
        </is>
      </c>
    </row>
    <row r="712" ht="73" customHeight="1">
      <c r="A712" s="6" t="n">
        <v>707</v>
      </c>
      <c r="B712" s="6" t="inlineStr">
        <is>
          <t>RTM-626</t>
        </is>
      </c>
      <c r="C712" s="6" t="inlineStr">
        <is>
          <t>No</t>
        </is>
      </c>
      <c r="D712" s="6" t="inlineStr">
        <is>
          <t>T3 Contextual</t>
        </is>
      </c>
      <c r="E712" s="6" t="inlineStr">
        <is>
          <t>Contract Performance</t>
        </is>
      </c>
      <c r="F712" s="82" t="inlineStr">
        <is>
          <t>PROJECT</t>
        </is>
      </c>
      <c r="G712" s="83" t="inlineStr">
        <is>
          <t>Documentation &amp; Compliance</t>
        </is>
      </c>
      <c r="H712" s="59" t="inlineStr">
        <is>
          <t>—</t>
        </is>
      </c>
      <c r="I712" s="81" t="inlineStr">
        <is>
          <t>Inferred: C8 — Commercial &amp; Execution (medium conf.)</t>
        </is>
      </c>
      <c r="J712" s="6" t="n">
        <v>119</v>
      </c>
      <c r="K712" s="6" t="inlineStr">
        <is>
          <t>7.2</t>
        </is>
      </c>
      <c r="L712" s="6" t="inlineStr">
        <is>
          <t>Communication</t>
        </is>
      </c>
      <c r="M712" s="6" t="inlineStr">
        <is>
          <t>Any information that a Party considers significant enough to bring to the attention of the other Party, shall be deemed correctly communicated if exchanged in writing (e-mail suffices) between the designated persons in charge of the general organization of the Contract.</t>
        </is>
      </c>
      <c r="N712" s="6" t="inlineStr">
        <is>
          <t>Any information that a Party considers significant enough to bring to the attention of the other Party, shall be deemed correctly communicated if exchanged in writing (e-mail suffices) between the designated persons in charge of the general organization of the Contract.</t>
        </is>
      </c>
      <c r="O712" s="6" t="n">
        <v>1</v>
      </c>
      <c r="P712" s="6" t="n">
        <v>0</v>
      </c>
      <c r="Q712" s="6" t="n">
        <v>0</v>
      </c>
      <c r="R712" s="6" t="n">
        <v>1</v>
      </c>
      <c r="S712" s="6" t="n">
        <v>0</v>
      </c>
      <c r="T712" s="6" t="n">
        <v>0</v>
      </c>
      <c r="U712" s="6" t="n">
        <v>0</v>
      </c>
      <c r="V712" s="6" t="n">
        <v>12</v>
      </c>
      <c r="W712" s="6" t="n">
        <v>2.1498</v>
      </c>
      <c r="X712" s="6" t="n">
        <v>0.1189</v>
      </c>
      <c r="Y712" s="6" t="inlineStr">
        <is>
          <t>Safety / Legal</t>
        </is>
      </c>
      <c r="Z712" s="6" t="inlineStr">
        <is>
          <t>Frozen-weight composite; strongest contribution: Safety / Legal.</t>
        </is>
      </c>
      <c r="AA712" s="6" t="inlineStr">
        <is>
          <t>None explicitly named in this RTM</t>
        </is>
      </c>
      <c r="AB712" s="6" t="inlineStr">
        <is>
          <t>SCK CEN/90508872 §7.2; no named external code</t>
        </is>
      </c>
      <c r="AC712" s="6" t="inlineStr">
        <is>
          <t>Design review plus final inspection/acceptance evidence</t>
        </is>
      </c>
      <c r="AD712" s="6" t="inlineStr">
        <is>
          <t>No separate deliverable explicitly named</t>
        </is>
      </c>
      <c r="AE712" s="6" t="inlineStr">
        <is>
          <t>L0 Tender / Offer; L1 Conceptual Design; L2 Detailed Design; L3 Procurement &amp; Manufacturing / FAT; L4 Installation; L5 Standalone Commissioning; L6 Site Acceptance Testing</t>
        </is>
      </c>
      <c r="AF712" s="6" t="inlineStr">
        <is>
          <t>Section/contract-derived reference; derived evidence route</t>
        </is>
      </c>
      <c r="AG712" s="58" t="inlineStr">
        <is>
          <t>Not linked to an OFFER item</t>
        </is>
      </c>
    </row>
    <row r="713" ht="99" customHeight="1">
      <c r="A713" s="6" t="n">
        <v>708</v>
      </c>
      <c r="B713" s="6" t="inlineStr">
        <is>
          <t>RTM-627</t>
        </is>
      </c>
      <c r="C713" s="6" t="inlineStr">
        <is>
          <t>No</t>
        </is>
      </c>
      <c r="D713" s="6" t="inlineStr">
        <is>
          <t>T3 Contextual</t>
        </is>
      </c>
      <c r="E713" s="6" t="inlineStr">
        <is>
          <t>Contract Performance</t>
        </is>
      </c>
      <c r="F713" s="82" t="inlineStr">
        <is>
          <t>PROJECT</t>
        </is>
      </c>
      <c r="G713" s="83" t="inlineStr">
        <is>
          <t>Documentation &amp; Compliance</t>
        </is>
      </c>
      <c r="H713" s="59" t="inlineStr">
        <is>
          <t>—</t>
        </is>
      </c>
      <c r="I713" s="81" t="inlineStr">
        <is>
          <t>Inferred: C8 — Commercial &amp; Execution (medium conf.)</t>
        </is>
      </c>
      <c r="J713" s="6" t="n">
        <v>119</v>
      </c>
      <c r="K713" s="6" t="inlineStr">
        <is>
          <t>7.2</t>
        </is>
      </c>
      <c r="L713" s="6" t="inlineStr">
        <is>
          <t>Communication</t>
        </is>
      </c>
      <c r="M713" s="6" t="inlineStr">
        <is>
          <t>Any contract-related request – of technical or any other nature – directed by SCK CEN to the Contractor shall be adequately responded to within five Business Days. If such request cannot be answered within this lead time, e.g., due to a technical question requiring additional time to be answered, the Contractor shall at least communicate (within this lead time) when SCK CEN will receive the answer.</t>
        </is>
      </c>
      <c r="N713" s="6" t="inlineStr">
        <is>
          <t>Any contract-related request – of technical or any other nature – directed by SCK CEN to the Contractor shall be adequately responded to within five Business Days. If such request cannot be answered within this lead time, e.g., due to a technical question requiring additional time to be answered, the Contractor shall at least communicate (within this lead time) when SCK CEN will receive the answer.</t>
        </is>
      </c>
      <c r="O713" s="6" t="n">
        <v>1</v>
      </c>
      <c r="P713" s="6" t="n">
        <v>0</v>
      </c>
      <c r="Q713" s="6" t="n">
        <v>0</v>
      </c>
      <c r="R713" s="6" t="n">
        <v>1</v>
      </c>
      <c r="S713" s="6" t="n">
        <v>0</v>
      </c>
      <c r="T713" s="6" t="n">
        <v>0</v>
      </c>
      <c r="U713" s="6" t="n">
        <v>0</v>
      </c>
      <c r="V713" s="6" t="n">
        <v>12</v>
      </c>
      <c r="W713" s="6" t="n">
        <v>2.1498</v>
      </c>
      <c r="X713" s="6" t="n">
        <v>0.1189</v>
      </c>
      <c r="Y713" s="6" t="inlineStr">
        <is>
          <t>Safety / Legal</t>
        </is>
      </c>
      <c r="Z713" s="6" t="inlineStr">
        <is>
          <t>Frozen-weight composite; strongest contribution: Safety / Legal.</t>
        </is>
      </c>
      <c r="AA713" s="6" t="inlineStr">
        <is>
          <t>None explicitly named in this RTM</t>
        </is>
      </c>
      <c r="AB713" s="6" t="inlineStr">
        <is>
          <t>SCK CEN/90508872 §7.2; no named external code</t>
        </is>
      </c>
      <c r="AC713" s="6" t="inlineStr">
        <is>
          <t>Design review plus final inspection/acceptance evidence</t>
        </is>
      </c>
      <c r="AD713" s="6" t="inlineStr">
        <is>
          <t>No separate deliverable explicitly named</t>
        </is>
      </c>
      <c r="AE713" s="6" t="inlineStr">
        <is>
          <t>L0 Tender / Offer; L1 Conceptual Design; L2 Detailed Design; L3 Procurement &amp; Manufacturing / FAT; L4 Installation; L5 Standalone Commissioning; L6 Site Acceptance Testing</t>
        </is>
      </c>
      <c r="AF713" s="6" t="inlineStr">
        <is>
          <t>Section/contract-derived reference; derived evidence route</t>
        </is>
      </c>
      <c r="AG713" s="58" t="inlineStr">
        <is>
          <t>Not linked to an OFFER item</t>
        </is>
      </c>
    </row>
    <row r="714" ht="60" customHeight="1">
      <c r="A714" s="6" t="n">
        <v>709</v>
      </c>
      <c r="B714" s="6" t="inlineStr">
        <is>
          <t>RTM-628</t>
        </is>
      </c>
      <c r="C714" s="6" t="inlineStr">
        <is>
          <t>No</t>
        </is>
      </c>
      <c r="D714" s="6" t="inlineStr">
        <is>
          <t>T3 Contextual</t>
        </is>
      </c>
      <c r="E714" s="6" t="inlineStr">
        <is>
          <t>Contract Performance</t>
        </is>
      </c>
      <c r="F714" s="82" t="inlineStr">
        <is>
          <t>PROJECT</t>
        </is>
      </c>
      <c r="G714" s="83" t="inlineStr">
        <is>
          <t>Documentation &amp; Compliance</t>
        </is>
      </c>
      <c r="H714" s="59" t="inlineStr">
        <is>
          <t>—</t>
        </is>
      </c>
      <c r="I714" s="81" t="inlineStr">
        <is>
          <t>Inferred: C8 — Commercial &amp; Execution (medium conf.)</t>
        </is>
      </c>
      <c r="J714" s="6" t="n">
        <v>119</v>
      </c>
      <c r="K714" s="6" t="inlineStr">
        <is>
          <t>7.2</t>
        </is>
      </c>
      <c r="L714" s="6" t="inlineStr">
        <is>
          <t>Communication</t>
        </is>
      </c>
      <c r="M714" s="6" t="inlineStr">
        <is>
          <t>If the Contractor anticipates any delays or difficulties in meeting the schedule, planned deliveries or any other milestone within its offer, it shall promptly notify SCK CEN.</t>
        </is>
      </c>
      <c r="N714" s="6" t="inlineStr">
        <is>
          <t>If the Contractor anticipates any delays or difficulties in meeting the schedule, planned deliveries or any other milestone within its offer, it shall promptly notify SCK CEN.</t>
        </is>
      </c>
      <c r="O714" s="6" t="n">
        <v>1</v>
      </c>
      <c r="P714" s="6" t="n">
        <v>0</v>
      </c>
      <c r="Q714" s="6" t="n">
        <v>0</v>
      </c>
      <c r="R714" s="6" t="n">
        <v>1</v>
      </c>
      <c r="S714" s="6" t="n">
        <v>0</v>
      </c>
      <c r="T714" s="6" t="n">
        <v>0</v>
      </c>
      <c r="U714" s="6" t="n">
        <v>0</v>
      </c>
      <c r="V714" s="6" t="n">
        <v>12</v>
      </c>
      <c r="W714" s="6" t="n">
        <v>2.1498</v>
      </c>
      <c r="X714" s="6" t="n">
        <v>0.1189</v>
      </c>
      <c r="Y714" s="6" t="inlineStr">
        <is>
          <t>Safety / Legal</t>
        </is>
      </c>
      <c r="Z714" s="6" t="inlineStr">
        <is>
          <t>Frozen-weight composite; strongest contribution: Safety / Legal.</t>
        </is>
      </c>
      <c r="AA714" s="6" t="inlineStr">
        <is>
          <t>None explicitly named in this RTM</t>
        </is>
      </c>
      <c r="AB714" s="6" t="inlineStr">
        <is>
          <t>SCK CEN/90508872 §7.2; no named external code</t>
        </is>
      </c>
      <c r="AC714" s="6" t="inlineStr">
        <is>
          <t>Submit and review the named deliverable with RTM traceability and approval status</t>
        </is>
      </c>
      <c r="AD714" s="6" t="inlineStr">
        <is>
          <t>Schedule / milestone plan</t>
        </is>
      </c>
      <c r="AE714" s="6" t="inlineStr">
        <is>
          <t>L0 Tender / Offer; L1 Conceptual Design; L2 Detailed Design; L3 Procurement &amp; Manufacturing / FAT; L4 Installation; L5 Standalone Commissioning; L6 Site Acceptance Testing</t>
        </is>
      </c>
      <c r="AF714" s="6" t="inlineStr">
        <is>
          <t>Section/contract-derived reference; explicit deliverable/test wording</t>
        </is>
      </c>
      <c r="AG714" s="58" t="inlineStr">
        <is>
          <t>Not linked to an OFFER item</t>
        </is>
      </c>
    </row>
    <row r="715" ht="99" customHeight="1">
      <c r="A715" s="6" t="n">
        <v>710</v>
      </c>
      <c r="B715" s="6" t="inlineStr">
        <is>
          <t>RTM-640</t>
        </is>
      </c>
      <c r="C715" s="6" t="inlineStr">
        <is>
          <t>No</t>
        </is>
      </c>
      <c r="D715" s="6" t="inlineStr">
        <is>
          <t>T3 Contextual</t>
        </is>
      </c>
      <c r="E715" s="6" t="inlineStr">
        <is>
          <t>Contract Performance</t>
        </is>
      </c>
      <c r="F715" s="82" t="inlineStr">
        <is>
          <t>PROJECT</t>
        </is>
      </c>
      <c r="G715" s="83" t="inlineStr">
        <is>
          <t>Documentation &amp; Compliance</t>
        </is>
      </c>
      <c r="H715" s="59" t="inlineStr">
        <is>
          <t>—</t>
        </is>
      </c>
      <c r="I715" s="58" t="inlineStr">
        <is>
          <t>C7 — Quality, Testing &amp; Risk</t>
        </is>
      </c>
      <c r="J715" s="6" t="n">
        <v>121</v>
      </c>
      <c r="K715" s="6" t="inlineStr">
        <is>
          <t>7.5</t>
        </is>
      </c>
      <c r="L715" s="6" t="inlineStr">
        <is>
          <t>Risk Assessment &amp; Management Plan</t>
        </is>
      </c>
      <c r="M715" s="6" t="inlineStr">
        <is>
          <t>During contract execution, the Contractor shall detail, complete, and continuously maintain the Risk Assessment &amp; Management Plan. The Contractor shall continuously monitor, identify, and document any new risks that might threaten the successful completion of the Contract in any way. The Contractor shall duly implement the mitigation strategy in accordance with this plan.</t>
        </is>
      </c>
      <c r="N715" s="6" t="inlineStr">
        <is>
          <t>During contract execution, the Contractor shall detail, complete, and continuously maintain the Risk Assessment &amp; Management Plan. The Contractor shall continuously monitor, identify, and document any new risks that might threaten the successful completion of the Contract in any way. The Contractor shall duly implement the mitigation strategy in accordance with this plan.</t>
        </is>
      </c>
      <c r="O715" s="6" t="n">
        <v>1</v>
      </c>
      <c r="P715" s="6" t="n">
        <v>0</v>
      </c>
      <c r="Q715" s="6" t="n">
        <v>0</v>
      </c>
      <c r="R715" s="6" t="n">
        <v>1</v>
      </c>
      <c r="S715" s="6" t="n">
        <v>0</v>
      </c>
      <c r="T715" s="6" t="n">
        <v>0</v>
      </c>
      <c r="U715" s="6" t="n">
        <v>0</v>
      </c>
      <c r="V715" s="6" t="n">
        <v>12</v>
      </c>
      <c r="W715" s="6" t="n">
        <v>2.1498</v>
      </c>
      <c r="X715" s="6" t="n">
        <v>0.1189</v>
      </c>
      <c r="Y715" s="6" t="inlineStr">
        <is>
          <t>Safety / Legal</t>
        </is>
      </c>
      <c r="Z715" s="6" t="inlineStr">
        <is>
          <t>Frozen-weight composite; strongest contribution: Safety / Legal.</t>
        </is>
      </c>
      <c r="AA715" s="6" t="inlineStr">
        <is>
          <t>None explicitly named in this RTM</t>
        </is>
      </c>
      <c r="AB715" s="6" t="inlineStr">
        <is>
          <t>SCK CEN/90508872 §7.5; no named external code</t>
        </is>
      </c>
      <c r="AC715" s="6" t="inlineStr">
        <is>
          <t>Submit and review the named deliverable with RTM traceability and approval status</t>
        </is>
      </c>
      <c r="AD715" s="6" t="inlineStr">
        <is>
          <t>Risk Assessment / HAZOP / FMECA</t>
        </is>
      </c>
      <c r="AE715" s="6" t="inlineStr">
        <is>
          <t>L0 Tender / Offer; L1 Conceptual Design; L2 Detailed Design; L3 Procurement &amp; Manufacturing / FAT; L4 Installation; L5 Standalone Commissioning; L6 Site Acceptance Testing</t>
        </is>
      </c>
      <c r="AF715" s="6" t="inlineStr">
        <is>
          <t>Section/contract-derived reference; explicit deliverable/test wording</t>
        </is>
      </c>
      <c r="AG715" s="58" t="inlineStr">
        <is>
          <t>OFFER-46 (Direct)</t>
        </is>
      </c>
    </row>
    <row r="716" ht="86" customHeight="1">
      <c r="A716" s="6" t="n">
        <v>711</v>
      </c>
      <c r="B716" s="6" t="inlineStr">
        <is>
          <t>RTM-641</t>
        </is>
      </c>
      <c r="C716" s="6" t="inlineStr">
        <is>
          <t>No</t>
        </is>
      </c>
      <c r="D716" s="6" t="inlineStr">
        <is>
          <t>T3 Contextual</t>
        </is>
      </c>
      <c r="E716" s="6" t="inlineStr">
        <is>
          <t>Contract Performance</t>
        </is>
      </c>
      <c r="F716" s="82" t="inlineStr">
        <is>
          <t>PROJECT</t>
        </is>
      </c>
      <c r="G716" s="83" t="inlineStr">
        <is>
          <t>Documentation &amp; Compliance</t>
        </is>
      </c>
      <c r="H716" s="59" t="inlineStr">
        <is>
          <t>—</t>
        </is>
      </c>
      <c r="I716" s="81" t="inlineStr">
        <is>
          <t>Inferred: C8 — Commercial &amp; Execution (medium conf.)</t>
        </is>
      </c>
      <c r="J716" s="6" t="n">
        <v>121</v>
      </c>
      <c r="K716" s="6" t="inlineStr">
        <is>
          <t>7.6</t>
        </is>
      </c>
      <c r="L716" s="6" t="inlineStr">
        <is>
          <t>Factory Access</t>
        </is>
      </c>
      <c r="M716" s="6" t="inlineStr">
        <is>
          <t>During the performance of the Contract, SCK CEN and/or its representatives shall have access during normal working hours to (all) the location(s) where (part of) the Contract is being performed (including Contractor’s and Subcontractors' premises). The Contractor shall be notified of any site visit at least five Business Days in advance.</t>
        </is>
      </c>
      <c r="N716" s="6" t="inlineStr">
        <is>
          <t>During the performance of the Contract, SCK CEN and/or its representatives shall have access during normal working hours to (all) the location(s) where (part of) the Contract is being performed (including Contractor’s and Subcontractors' premises). The Contractor shall be notified of any site visit at least five Business Days in advance.</t>
        </is>
      </c>
      <c r="O716" s="6" t="n">
        <v>1</v>
      </c>
      <c r="P716" s="6" t="n">
        <v>0</v>
      </c>
      <c r="Q716" s="6" t="n">
        <v>0</v>
      </c>
      <c r="R716" s="6" t="n">
        <v>1</v>
      </c>
      <c r="S716" s="6" t="n">
        <v>0</v>
      </c>
      <c r="T716" s="6" t="n">
        <v>0</v>
      </c>
      <c r="U716" s="6" t="n">
        <v>0</v>
      </c>
      <c r="V716" s="6" t="n">
        <v>12</v>
      </c>
      <c r="W716" s="6" t="n">
        <v>2.1498</v>
      </c>
      <c r="X716" s="6" t="n">
        <v>0.1189</v>
      </c>
      <c r="Y716" s="6" t="inlineStr">
        <is>
          <t>Safety / Legal</t>
        </is>
      </c>
      <c r="Z716" s="6" t="inlineStr">
        <is>
          <t>Frozen-weight composite; strongest contribution: Safety / Legal.</t>
        </is>
      </c>
      <c r="AA716" s="6" t="inlineStr">
        <is>
          <t>None explicitly named in this RTM</t>
        </is>
      </c>
      <c r="AB716" s="6" t="inlineStr">
        <is>
          <t>SCK CEN/90508872 §7.6; no named external code</t>
        </is>
      </c>
      <c r="AC716" s="6" t="inlineStr">
        <is>
          <t>Design review plus final inspection/acceptance evidence</t>
        </is>
      </c>
      <c r="AD716" s="6" t="inlineStr">
        <is>
          <t>No separate deliverable explicitly named</t>
        </is>
      </c>
      <c r="AE716" s="6" t="inlineStr">
        <is>
          <t>L0 Tender / Offer; L1 Conceptual Design; L2 Detailed Design; L3 Procurement &amp; Manufacturing / FAT; L4 Installation; L5 Standalone Commissioning; L6 Site Acceptance Testing</t>
        </is>
      </c>
      <c r="AF716" s="6" t="inlineStr">
        <is>
          <t>Section/contract-derived reference; derived evidence route</t>
        </is>
      </c>
      <c r="AG716" s="58" t="inlineStr">
        <is>
          <t>Not linked to an OFFER item</t>
        </is>
      </c>
    </row>
    <row r="717" ht="34" customHeight="1">
      <c r="A717" s="6" t="n">
        <v>712</v>
      </c>
      <c r="B717" s="6" t="inlineStr">
        <is>
          <t>RTM-055</t>
        </is>
      </c>
      <c r="C717" s="6" t="inlineStr">
        <is>
          <t>No</t>
        </is>
      </c>
      <c r="D717" s="6" t="inlineStr">
        <is>
          <t>T3 Contextual</t>
        </is>
      </c>
      <c r="E717" s="6" t="inlineStr">
        <is>
          <t>Global Design Criteria</t>
        </is>
      </c>
      <c r="F717" s="82" t="inlineStr">
        <is>
          <t>SYSTEM</t>
        </is>
      </c>
      <c r="G717" s="83" t="inlineStr">
        <is>
          <t>Performance</t>
        </is>
      </c>
      <c r="H717" s="59" t="inlineStr">
        <is>
          <t>—</t>
        </is>
      </c>
      <c r="I717" s="81" t="inlineStr">
        <is>
          <t>Inferred: C1 — Performance (medium conf.)</t>
        </is>
      </c>
      <c r="J717" s="6" t="n">
        <v>37</v>
      </c>
      <c r="K717" s="6" t="inlineStr">
        <is>
          <t>4.3.1</t>
        </is>
      </c>
      <c r="L717" s="6" t="inlineStr">
        <is>
          <t>Lifetime</t>
        </is>
      </c>
      <c r="M717" s="6" t="inlineStr">
        <is>
          <t>The QPS shall have a minimum service life of ≥40 years.</t>
        </is>
      </c>
      <c r="N717" s="6" t="inlineStr">
        <is>
          <t>The QPS shall have a minimum service life of ≥40 years.</t>
        </is>
      </c>
      <c r="O717" s="6" t="n">
        <v>0</v>
      </c>
      <c r="P717" s="6" t="n">
        <v>0</v>
      </c>
      <c r="Q717" s="6" t="n">
        <v>0</v>
      </c>
      <c r="R717" s="6" t="n">
        <v>0</v>
      </c>
      <c r="S717" s="6" t="n">
        <v>1</v>
      </c>
      <c r="T717" s="6" t="n">
        <v>3</v>
      </c>
      <c r="U717" s="6" t="n">
        <v>0</v>
      </c>
      <c r="V717" s="6" t="n">
        <v>11</v>
      </c>
      <c r="W717" s="6" t="n">
        <v>1.387</v>
      </c>
      <c r="X717" s="6" t="n">
        <v>0.1088</v>
      </c>
      <c r="Y717" s="6" t="inlineStr">
        <is>
          <t>Lifecycle</t>
        </is>
      </c>
      <c r="Z717" s="6" t="inlineStr">
        <is>
          <t>Frozen-weight composite; strongest contribution: Lifecycle.</t>
        </is>
      </c>
      <c r="AA717" s="6" t="inlineStr">
        <is>
          <t>None explicitly named in this RTM</t>
        </is>
      </c>
      <c r="AB717" s="6" t="inlineStr">
        <is>
          <t>SCK CEN/90508872 §4.3.1; no named external code</t>
        </is>
      </c>
      <c r="AC717" s="6" t="inlineStr">
        <is>
          <t>Calculation/model plus calibrated measurement or recorded trend</t>
        </is>
      </c>
      <c r="AD717" s="6" t="inlineStr">
        <is>
          <t>No separate deliverable explicitly named</t>
        </is>
      </c>
      <c r="AE717" s="6" t="inlineStr">
        <is>
          <t>L1 Conceptual Design; L2 Detailed Design</t>
        </is>
      </c>
      <c r="AF717" s="6" t="inlineStr">
        <is>
          <t>Section/contract-derived reference; derived evidence route</t>
        </is>
      </c>
      <c r="AG717" s="58" t="inlineStr">
        <is>
          <t>Not linked to an OFFER item</t>
        </is>
      </c>
    </row>
    <row r="718" ht="99" customHeight="1">
      <c r="A718" s="6" t="n">
        <v>713</v>
      </c>
      <c r="B718" s="6" t="inlineStr">
        <is>
          <t>RTM-080</t>
        </is>
      </c>
      <c r="C718" s="6" t="inlineStr">
        <is>
          <t>No</t>
        </is>
      </c>
      <c r="D718" s="6" t="inlineStr">
        <is>
          <t>T3 Contextual</t>
        </is>
      </c>
      <c r="E718" s="6" t="inlineStr">
        <is>
          <t>Subsystems</t>
        </is>
      </c>
      <c r="F718" s="82" t="inlineStr">
        <is>
          <t>SYSTEM</t>
        </is>
      </c>
      <c r="G718" s="83" t="inlineStr">
        <is>
          <t>Performance</t>
        </is>
      </c>
      <c r="H718" s="59" t="inlineStr">
        <is>
          <t>—</t>
        </is>
      </c>
      <c r="I718" s="81" t="inlineStr">
        <is>
          <t>Inferred: C3 — Mechanical &amp; Equipment (medium conf.)</t>
        </is>
      </c>
      <c r="J718" s="6" t="n">
        <v>42</v>
      </c>
      <c r="K718" s="6" t="inlineStr">
        <is>
          <t>4.4.1.2</t>
        </is>
      </c>
      <c r="L718" s="6" t="inlineStr">
        <is>
          <t>Helium guards</t>
        </is>
      </c>
      <c r="M718" s="6" t="inlineStr">
        <is>
          <t>The Contractor shall design and implement helium guards to prevent air ingress on any non-welded seals that separate ambient air from sub‑atmospheric helium circuits. This shall include, but is not limited to:</t>
        </is>
      </c>
      <c r="N718" s="6" t="inlineStr">
        <is>
          <t>The Contractor shall design and implement helium guards to prevent air ingress on any non-welded seals that separate ambient air from sub‑atmospheric helium circuits. This shall include, but is not limited to:
• Sealed flanges
• Valve stems
• Instrument connections
• Sampling or purge ports</t>
        </is>
      </c>
      <c r="O718" s="6" t="n">
        <v>0</v>
      </c>
      <c r="P718" s="6" t="n">
        <v>0</v>
      </c>
      <c r="Q718" s="6" t="n">
        <v>0</v>
      </c>
      <c r="R718" s="6" t="n">
        <v>2</v>
      </c>
      <c r="S718" s="6" t="n">
        <v>0</v>
      </c>
      <c r="T718" s="6" t="n">
        <v>0</v>
      </c>
      <c r="U718" s="6" t="n">
        <v>0</v>
      </c>
      <c r="V718" s="6" t="n">
        <v>10.666667</v>
      </c>
      <c r="W718" s="6" t="n">
        <v>0.9015</v>
      </c>
      <c r="X718" s="6" t="n">
        <v>0.1026</v>
      </c>
      <c r="Y718" s="6" t="inlineStr">
        <is>
          <t>Functional</t>
        </is>
      </c>
      <c r="Z718" s="6" t="inlineStr">
        <is>
          <t>Frozen-weight composite; strongest contribution: Functional.</t>
        </is>
      </c>
      <c r="AA718" s="6" t="inlineStr">
        <is>
          <t>None explicitly named in this RTM</t>
        </is>
      </c>
      <c r="AB718" s="6" t="inlineStr">
        <is>
          <t>SCK CEN/90508872 §4.4.1.2; no named external code</t>
        </is>
      </c>
      <c r="AC718" s="6" t="inlineStr">
        <is>
          <t>Design review plus final inspection/acceptance evidence</t>
        </is>
      </c>
      <c r="AD718" s="6" t="inlineStr">
        <is>
          <t>No separate deliverable explicitly named</t>
        </is>
      </c>
      <c r="AE718" s="6" t="inlineStr">
        <is>
          <t>L1 Conceptual Design; L2 Detailed Design</t>
        </is>
      </c>
      <c r="AF718" s="6" t="inlineStr">
        <is>
          <t>Section/contract-derived reference; derived evidence route</t>
        </is>
      </c>
      <c r="AG718" s="58" t="inlineStr">
        <is>
          <t>Not linked to an OFFER item</t>
        </is>
      </c>
    </row>
    <row r="719" ht="47" customHeight="1">
      <c r="A719" s="6" t="n">
        <v>714</v>
      </c>
      <c r="B719" s="6" t="inlineStr">
        <is>
          <t>RTM-081</t>
        </is>
      </c>
      <c r="C719" s="6" t="inlineStr">
        <is>
          <t>No</t>
        </is>
      </c>
      <c r="D719" s="6" t="inlineStr">
        <is>
          <t>T3 Contextual</t>
        </is>
      </c>
      <c r="E719" s="6" t="inlineStr">
        <is>
          <t>Subsystems</t>
        </is>
      </c>
      <c r="F719" s="82" t="inlineStr">
        <is>
          <t>SYSTEM</t>
        </is>
      </c>
      <c r="G719" s="83" t="inlineStr">
        <is>
          <t>Performance</t>
        </is>
      </c>
      <c r="H719" s="59" t="inlineStr">
        <is>
          <t>—</t>
        </is>
      </c>
      <c r="I719" s="81" t="inlineStr">
        <is>
          <t>Inferred: C2 — Process Design (low conf.)</t>
        </is>
      </c>
      <c r="J719" s="6" t="n">
        <v>42</v>
      </c>
      <c r="K719" s="6" t="inlineStr">
        <is>
          <t>4.4.1.2</t>
        </is>
      </c>
      <c r="L719" s="6" t="inlineStr">
        <is>
          <t>Helium guards</t>
        </is>
      </c>
      <c r="M719" s="6" t="inlineStr">
        <is>
          <t>For each helium guard, the Contractor shall define and substantiate:</t>
        </is>
      </c>
      <c r="N719" s="6" t="inlineStr">
        <is>
          <t>For each helium guard, the Contractor shall define and substantiate:
• The nominal guard pressure
• The allowable guard pressure range (including maximum allowable pressure).</t>
        </is>
      </c>
      <c r="O719" s="6" t="n">
        <v>0</v>
      </c>
      <c r="P719" s="6" t="n">
        <v>0</v>
      </c>
      <c r="Q719" s="6" t="n">
        <v>0</v>
      </c>
      <c r="R719" s="6" t="n">
        <v>2</v>
      </c>
      <c r="S719" s="6" t="n">
        <v>0</v>
      </c>
      <c r="T719" s="6" t="n">
        <v>0</v>
      </c>
      <c r="U719" s="6" t="n">
        <v>0</v>
      </c>
      <c r="V719" s="6" t="n">
        <v>10.666667</v>
      </c>
      <c r="W719" s="6" t="n">
        <v>0.9015</v>
      </c>
      <c r="X719" s="6" t="n">
        <v>0.1026</v>
      </c>
      <c r="Y719" s="6" t="inlineStr">
        <is>
          <t>Functional</t>
        </is>
      </c>
      <c r="Z719" s="6" t="inlineStr">
        <is>
          <t>Frozen-weight composite; strongest contribution: Functional.</t>
        </is>
      </c>
      <c r="AA719" s="6" t="inlineStr">
        <is>
          <t>None explicitly named in this RTM</t>
        </is>
      </c>
      <c r="AB719" s="6" t="inlineStr">
        <is>
          <t>SCK CEN/90508872 §4.4.1.2; no named external code</t>
        </is>
      </c>
      <c r="AC719" s="6" t="inlineStr">
        <is>
          <t>Design review plus final inspection/acceptance evidence</t>
        </is>
      </c>
      <c r="AD719" s="6" t="inlineStr">
        <is>
          <t>No separate deliverable explicitly named</t>
        </is>
      </c>
      <c r="AE719" s="6" t="inlineStr">
        <is>
          <t>L1 Conceptual Design; L2 Detailed Design</t>
        </is>
      </c>
      <c r="AF719" s="6" t="inlineStr">
        <is>
          <t>Section/contract-derived reference; derived evidence route</t>
        </is>
      </c>
      <c r="AG719" s="58" t="inlineStr">
        <is>
          <t>Not linked to an OFFER item</t>
        </is>
      </c>
    </row>
    <row r="720" ht="138" customHeight="1">
      <c r="A720" s="6" t="n">
        <v>715</v>
      </c>
      <c r="B720" s="6" t="inlineStr">
        <is>
          <t>RTM-082</t>
        </is>
      </c>
      <c r="C720" s="6" t="inlineStr">
        <is>
          <t>No</t>
        </is>
      </c>
      <c r="D720" s="6" t="inlineStr">
        <is>
          <t>T3 Contextual</t>
        </is>
      </c>
      <c r="E720" s="6" t="inlineStr">
        <is>
          <t>Subsystems</t>
        </is>
      </c>
      <c r="F720" s="82" t="inlineStr">
        <is>
          <t>SYSTEM</t>
        </is>
      </c>
      <c r="G720" s="83" t="inlineStr">
        <is>
          <t>Performance</t>
        </is>
      </c>
      <c r="H720" s="59" t="inlineStr">
        <is>
          <t>—</t>
        </is>
      </c>
      <c r="I720" s="81" t="inlineStr">
        <is>
          <t>Inferred: C2 — Process Design (low conf.)</t>
        </is>
      </c>
      <c r="J720" s="6" t="n">
        <v>42</v>
      </c>
      <c r="K720" s="6" t="inlineStr">
        <is>
          <t>4.4.1.2</t>
        </is>
      </c>
      <c r="L720" s="6" t="inlineStr">
        <is>
          <t>Helium guards</t>
        </is>
      </c>
      <c r="M720" s="6" t="inlineStr">
        <is>
          <t>The helium guards shall comply with the following requirements:</t>
        </is>
      </c>
      <c r="N720" s="6" t="inlineStr">
        <is>
          <t>The helium guards shall comply with the following requirements:
• All helium guards shall be maintained above atmospheric pressure under all operating conditions.
• Each helium guard shall consist of a “double-seal configuration,” where two seals form an intermediate space filled with guarding helium.
• Use of an “enclosure configuration,” where a protective enclosure surrounding the Part is maintained with guarding helium, shall only be accepted if duly justified by the Contractor and subject to prior written approval by SCK CEN.
• Each helium guard shall be connected to a dedicated guard supply line.</t>
        </is>
      </c>
      <c r="O720" s="6" t="n">
        <v>0</v>
      </c>
      <c r="P720" s="6" t="n">
        <v>0</v>
      </c>
      <c r="Q720" s="6" t="n">
        <v>0</v>
      </c>
      <c r="R720" s="6" t="n">
        <v>2</v>
      </c>
      <c r="S720" s="6" t="n">
        <v>0</v>
      </c>
      <c r="T720" s="6" t="n">
        <v>0</v>
      </c>
      <c r="U720" s="6" t="n">
        <v>0</v>
      </c>
      <c r="V720" s="6" t="n">
        <v>10.666667</v>
      </c>
      <c r="W720" s="6" t="n">
        <v>0.9015</v>
      </c>
      <c r="X720" s="6" t="n">
        <v>0.1026</v>
      </c>
      <c r="Y720" s="6" t="inlineStr">
        <is>
          <t>Functional</t>
        </is>
      </c>
      <c r="Z720" s="6" t="inlineStr">
        <is>
          <t>Frozen-weight composite; strongest contribution: Functional.</t>
        </is>
      </c>
      <c r="AA720" s="6" t="inlineStr">
        <is>
          <t>None explicitly named in this RTM</t>
        </is>
      </c>
      <c r="AB720" s="6" t="inlineStr">
        <is>
          <t>SCK CEN/90508872 §4.4.1.2; no named external code</t>
        </is>
      </c>
      <c r="AC720" s="6" t="inlineStr">
        <is>
          <t>Design review plus final inspection/acceptance evidence</t>
        </is>
      </c>
      <c r="AD720" s="6" t="inlineStr">
        <is>
          <t>No separate deliverable explicitly named</t>
        </is>
      </c>
      <c r="AE720" s="6" t="inlineStr">
        <is>
          <t>L1 Conceptual Design; L2 Detailed Design</t>
        </is>
      </c>
      <c r="AF720" s="6" t="inlineStr">
        <is>
          <t>Section/contract-derived reference; derived evidence route</t>
        </is>
      </c>
      <c r="AG720" s="58" t="inlineStr">
        <is>
          <t>Not linked to an OFFER item</t>
        </is>
      </c>
    </row>
    <row r="721" ht="73" customHeight="1">
      <c r="A721" s="6" t="n">
        <v>716</v>
      </c>
      <c r="B721" s="6" t="inlineStr">
        <is>
          <t>RTM-084</t>
        </is>
      </c>
      <c r="C721" s="6" t="inlineStr">
        <is>
          <t>No</t>
        </is>
      </c>
      <c r="D721" s="6" t="inlineStr">
        <is>
          <t>T3 Contextual</t>
        </is>
      </c>
      <c r="E721" s="6" t="inlineStr">
        <is>
          <t>Subsystems</t>
        </is>
      </c>
      <c r="F721" s="82" t="inlineStr">
        <is>
          <t>SYSTEM</t>
        </is>
      </c>
      <c r="G721" s="83" t="inlineStr">
        <is>
          <t>Performance</t>
        </is>
      </c>
      <c r="H721" s="59" t="inlineStr">
        <is>
          <t>—</t>
        </is>
      </c>
      <c r="I721" s="81" t="inlineStr">
        <is>
          <t>Inferred: C2 — Process Design (low conf.)</t>
        </is>
      </c>
      <c r="J721" s="6" t="n">
        <v>43</v>
      </c>
      <c r="K721" s="6" t="inlineStr">
        <is>
          <t>4.4.1.3</t>
        </is>
      </c>
      <c r="L721" s="6" t="inlineStr">
        <is>
          <t>Venting lines</t>
        </is>
      </c>
      <c r="M721" s="6" t="inlineStr">
        <is>
          <t>Where operation of any helium exhaust presents an asphyxiation risk, the Contractor shall route the corresponding exhaust outside the building via a dedicated vent line.</t>
        </is>
      </c>
      <c r="N721" s="6" t="inlineStr">
        <is>
          <t>Where operation of any helium exhaust presents an asphyxiation risk, the Contractor shall route the corresponding exhaust outside the building via a dedicated vent line.
• The need of each dedicated vent line shall be confirmed no later than the end of the Conceptual Design phase.</t>
        </is>
      </c>
      <c r="O721" s="6" t="n">
        <v>0</v>
      </c>
      <c r="P721" s="6" t="n">
        <v>0</v>
      </c>
      <c r="Q721" s="6" t="n">
        <v>0</v>
      </c>
      <c r="R721" s="6" t="n">
        <v>2</v>
      </c>
      <c r="S721" s="6" t="n">
        <v>0</v>
      </c>
      <c r="T721" s="6" t="n">
        <v>0</v>
      </c>
      <c r="U721" s="6" t="n">
        <v>0</v>
      </c>
      <c r="V721" s="6" t="n">
        <v>10.666667</v>
      </c>
      <c r="W721" s="6" t="n">
        <v>0.9015</v>
      </c>
      <c r="X721" s="6" t="n">
        <v>0.1026</v>
      </c>
      <c r="Y721" s="6" t="inlineStr">
        <is>
          <t>Functional</t>
        </is>
      </c>
      <c r="Z721" s="6" t="inlineStr">
        <is>
          <t>Frozen-weight composite; strongest contribution: Functional.</t>
        </is>
      </c>
      <c r="AA721" s="6" t="inlineStr">
        <is>
          <t>None explicitly named in this RTM</t>
        </is>
      </c>
      <c r="AB721" s="6" t="inlineStr">
        <is>
          <t>SCK CEN/90508872 §4.4.1.3; no named external code</t>
        </is>
      </c>
      <c r="AC721" s="6" t="inlineStr">
        <is>
          <t>Design review plus final inspection/acceptance evidence</t>
        </is>
      </c>
      <c r="AD721" s="6" t="inlineStr">
        <is>
          <t>No separate deliverable explicitly named</t>
        </is>
      </c>
      <c r="AE721" s="6" t="inlineStr">
        <is>
          <t>L1 Conceptual Design; L2 Detailed Design</t>
        </is>
      </c>
      <c r="AF721" s="6" t="inlineStr">
        <is>
          <t>Section/contract-derived reference; derived evidence route</t>
        </is>
      </c>
      <c r="AG721" s="58" t="inlineStr">
        <is>
          <t>Not linked to an OFFER item</t>
        </is>
      </c>
    </row>
    <row r="722" ht="34" customHeight="1">
      <c r="A722" s="6" t="n">
        <v>717</v>
      </c>
      <c r="B722" s="6" t="inlineStr">
        <is>
          <t>RTM-085</t>
        </is>
      </c>
      <c r="C722" s="6" t="inlineStr">
        <is>
          <t>No</t>
        </is>
      </c>
      <c r="D722" s="6" t="inlineStr">
        <is>
          <t>T3 Contextual</t>
        </is>
      </c>
      <c r="E722" s="6" t="inlineStr">
        <is>
          <t>Subsystems</t>
        </is>
      </c>
      <c r="F722" s="82" t="inlineStr">
        <is>
          <t>SYSTEM</t>
        </is>
      </c>
      <c r="G722" s="83" t="inlineStr">
        <is>
          <t>Performance</t>
        </is>
      </c>
      <c r="H722" s="59" t="inlineStr">
        <is>
          <t>—</t>
        </is>
      </c>
      <c r="I722" s="81" t="inlineStr">
        <is>
          <t>Inferred: C2 — Process Design (low conf.)</t>
        </is>
      </c>
      <c r="J722" s="6" t="n">
        <v>43</v>
      </c>
      <c r="K722" s="6" t="inlineStr">
        <is>
          <t>4.4.1.4</t>
        </is>
      </c>
      <c r="L722" s="6" t="inlineStr">
        <is>
          <t>Filters</t>
        </is>
      </c>
      <c r="M722" s="6" t="inlineStr">
        <is>
          <t>The Contractor shall define the number and location of filters required to protect the QPS equipment.</t>
        </is>
      </c>
      <c r="N722" s="6" t="inlineStr">
        <is>
          <t>The Contractor shall define the number and location of filters required to protect the QPS equipment.</t>
        </is>
      </c>
      <c r="O722" s="6" t="n">
        <v>0</v>
      </c>
      <c r="P722" s="6" t="n">
        <v>0</v>
      </c>
      <c r="Q722" s="6" t="n">
        <v>0</v>
      </c>
      <c r="R722" s="6" t="n">
        <v>2</v>
      </c>
      <c r="S722" s="6" t="n">
        <v>0</v>
      </c>
      <c r="T722" s="6" t="n">
        <v>0</v>
      </c>
      <c r="U722" s="6" t="n">
        <v>0</v>
      </c>
      <c r="V722" s="6" t="n">
        <v>10.666667</v>
      </c>
      <c r="W722" s="6" t="n">
        <v>0.9015</v>
      </c>
      <c r="X722" s="6" t="n">
        <v>0.1026</v>
      </c>
      <c r="Y722" s="6" t="inlineStr">
        <is>
          <t>Functional</t>
        </is>
      </c>
      <c r="Z722" s="6" t="inlineStr">
        <is>
          <t>Frozen-weight composite; strongest contribution: Functional.</t>
        </is>
      </c>
      <c r="AA722" s="6" t="inlineStr">
        <is>
          <t>None explicitly named in this RTM</t>
        </is>
      </c>
      <c r="AB722" s="6" t="inlineStr">
        <is>
          <t>SCK CEN/90508872 §4.4.1.4; no named external code</t>
        </is>
      </c>
      <c r="AC722" s="6" t="inlineStr">
        <is>
          <t>Design review plus final inspection/acceptance evidence</t>
        </is>
      </c>
      <c r="AD722" s="6" t="inlineStr">
        <is>
          <t>No separate deliverable explicitly named</t>
        </is>
      </c>
      <c r="AE722" s="6" t="inlineStr">
        <is>
          <t>L1 Conceptual Design; L2 Detailed Design</t>
        </is>
      </c>
      <c r="AF722" s="6" t="inlineStr">
        <is>
          <t>Section/contract-derived reference; derived evidence route</t>
        </is>
      </c>
      <c r="AG722" s="58" t="inlineStr">
        <is>
          <t>Not linked to an OFFER item</t>
        </is>
      </c>
    </row>
    <row r="723" ht="34" customHeight="1">
      <c r="A723" s="6" t="n">
        <v>718</v>
      </c>
      <c r="B723" s="6" t="inlineStr">
        <is>
          <t>RTM-272</t>
        </is>
      </c>
      <c r="C723" s="6" t="inlineStr">
        <is>
          <t>No</t>
        </is>
      </c>
      <c r="D723" s="6" t="inlineStr">
        <is>
          <t>T3 Contextual</t>
        </is>
      </c>
      <c r="E723" s="6" t="inlineStr">
        <is>
          <t>Subsystems</t>
        </is>
      </c>
      <c r="F723" s="82" t="inlineStr">
        <is>
          <t>SYSTEM</t>
        </is>
      </c>
      <c r="G723" s="83" t="inlineStr">
        <is>
          <t>Performance</t>
        </is>
      </c>
      <c r="H723" s="59" t="inlineStr">
        <is>
          <t>—</t>
        </is>
      </c>
      <c r="I723" s="58" t="inlineStr">
        <is>
          <t>C1 — Performance</t>
        </is>
      </c>
      <c r="J723" s="6" t="n">
        <v>65</v>
      </c>
      <c r="K723" s="6" t="inlineStr">
        <is>
          <t>4.4.8.1</t>
        </is>
      </c>
      <c r="L723" s="6" t="inlineStr">
        <is>
          <t>Dewar Filling Station</t>
        </is>
      </c>
      <c r="M723" s="6" t="inlineStr">
        <is>
          <t>The Contractor shall assume that the dewar has no instrumentation.</t>
        </is>
      </c>
      <c r="N723" s="6" t="inlineStr">
        <is>
          <t>The Contractor shall assume that the dewar has no instrumentation.</t>
        </is>
      </c>
      <c r="O723" s="6" t="n">
        <v>0</v>
      </c>
      <c r="P723" s="6" t="n">
        <v>0</v>
      </c>
      <c r="Q723" s="6" t="n">
        <v>0</v>
      </c>
      <c r="R723" s="6" t="n">
        <v>2</v>
      </c>
      <c r="S723" s="6" t="n">
        <v>0</v>
      </c>
      <c r="T723" s="6" t="n">
        <v>0</v>
      </c>
      <c r="U723" s="6" t="n">
        <v>0</v>
      </c>
      <c r="V723" s="6" t="n">
        <v>10.666667</v>
      </c>
      <c r="W723" s="6" t="n">
        <v>0.9015</v>
      </c>
      <c r="X723" s="6" t="n">
        <v>0.1026</v>
      </c>
      <c r="Y723" s="6" t="inlineStr">
        <is>
          <t>Functional</t>
        </is>
      </c>
      <c r="Z723" s="6" t="inlineStr">
        <is>
          <t>Frozen-weight composite; strongest contribution: Functional.</t>
        </is>
      </c>
      <c r="AA723" s="6" t="inlineStr">
        <is>
          <t>None explicitly named in this RTM</t>
        </is>
      </c>
      <c r="AB723" s="6" t="inlineStr">
        <is>
          <t>SCK CEN/90508872 §4.4.8.1; no named external code</t>
        </is>
      </c>
      <c r="AC723" s="6" t="inlineStr">
        <is>
          <t>Design review plus final inspection/acceptance evidence</t>
        </is>
      </c>
      <c r="AD723" s="6" t="inlineStr">
        <is>
          <t>No separate deliverable explicitly named</t>
        </is>
      </c>
      <c r="AE723" s="6" t="inlineStr">
        <is>
          <t>L1 Conceptual Design; L2 Detailed Design</t>
        </is>
      </c>
      <c r="AF723" s="6" t="inlineStr">
        <is>
          <t>Section/contract-derived reference; derived evidence route</t>
        </is>
      </c>
      <c r="AG723" s="58" t="inlineStr">
        <is>
          <t>OFFER-23 (Direct)</t>
        </is>
      </c>
    </row>
    <row r="724" ht="47" customHeight="1">
      <c r="A724" s="6" t="n">
        <v>719</v>
      </c>
      <c r="B724" s="6" t="inlineStr">
        <is>
          <t>RTM-557</t>
        </is>
      </c>
      <c r="C724" s="6" t="inlineStr">
        <is>
          <t>No</t>
        </is>
      </c>
      <c r="D724" s="6" t="inlineStr">
        <is>
          <t>T3 Contextual</t>
        </is>
      </c>
      <c r="E724" s="6" t="inlineStr">
        <is>
          <t>Other Deliverables</t>
        </is>
      </c>
      <c r="F724" s="82" t="inlineStr">
        <is>
          <t>PROJECT</t>
        </is>
      </c>
      <c r="G724" s="83" t="inlineStr">
        <is>
          <t>Governance &amp; Responsibility</t>
        </is>
      </c>
      <c r="H724" s="59" t="inlineStr">
        <is>
          <t>—</t>
        </is>
      </c>
      <c r="I724" s="81" t="inlineStr">
        <is>
          <t>Inferred: C6 — Reliability &amp; Maintenance (high conf.)</t>
        </is>
      </c>
      <c r="J724" s="6" t="n">
        <v>107</v>
      </c>
      <c r="K724" s="6" t="inlineStr">
        <is>
          <t>4.14.1</t>
        </is>
      </c>
      <c r="L724" s="6" t="inlineStr">
        <is>
          <t>Fluid Inventory</t>
        </is>
      </c>
      <c r="M724" s="6" t="inlineStr">
        <is>
          <t>The Contractor shall provide all the Helium inventory required by the QPS itself during performance of the Contract, including any replenishment required during this period.</t>
        </is>
      </c>
      <c r="N724" s="6" t="inlineStr">
        <is>
          <t>The Contractor shall provide all the Helium inventory required by the QPS itself during performance of the Contract, including any replenishment required during this period.</t>
        </is>
      </c>
      <c r="O724" s="6" t="n">
        <v>1</v>
      </c>
      <c r="P724" s="6" t="n">
        <v>0</v>
      </c>
      <c r="Q724" s="6" t="n">
        <v>0</v>
      </c>
      <c r="R724" s="6" t="n">
        <v>0</v>
      </c>
      <c r="S724" s="6" t="n">
        <v>0</v>
      </c>
      <c r="T724" s="6" t="n">
        <v>0</v>
      </c>
      <c r="U724" s="6" t="n">
        <v>0</v>
      </c>
      <c r="V724" s="6" t="n">
        <v>6.666667</v>
      </c>
      <c r="W724" s="6" t="n">
        <v>0.3467</v>
      </c>
      <c r="X724" s="6" t="n">
        <v>0.09569999999999999</v>
      </c>
      <c r="Y724" s="6" t="inlineStr">
        <is>
          <t>Safety / Legal</t>
        </is>
      </c>
      <c r="Z724" s="6" t="inlineStr">
        <is>
          <t>Frozen-weight composite; strongest contribution: Safety / Legal.</t>
        </is>
      </c>
      <c r="AA724" s="6" t="inlineStr">
        <is>
          <t>None explicitly named in this RTM</t>
        </is>
      </c>
      <c r="AB724" s="6" t="inlineStr">
        <is>
          <t>SCK CEN/90508872 §4.14.1; no named external code</t>
        </is>
      </c>
      <c r="AC724" s="6" t="inlineStr">
        <is>
          <t>Design review plus final inspection/acceptance evidence</t>
        </is>
      </c>
      <c r="AD724" s="6" t="inlineStr">
        <is>
          <t>No separate deliverable explicitly named</t>
        </is>
      </c>
      <c r="AE724" s="6" t="inlineStr">
        <is>
          <t>L1 Conceptual Design; L2 Detailed Design</t>
        </is>
      </c>
      <c r="AF724" s="6" t="inlineStr">
        <is>
          <t>Section/contract-derived reference; derived evidence route</t>
        </is>
      </c>
      <c r="AG724" s="58" t="inlineStr">
        <is>
          <t>Not linked to an OFFER item</t>
        </is>
      </c>
    </row>
    <row r="725" ht="60" customHeight="1">
      <c r="A725" s="6" t="n">
        <v>720</v>
      </c>
      <c r="B725" s="6" t="inlineStr">
        <is>
          <t>RTM-558</t>
        </is>
      </c>
      <c r="C725" s="6" t="inlineStr">
        <is>
          <t>No</t>
        </is>
      </c>
      <c r="D725" s="6" t="inlineStr">
        <is>
          <t>T3 Contextual</t>
        </is>
      </c>
      <c r="E725" s="6" t="inlineStr">
        <is>
          <t>Other Deliverables</t>
        </is>
      </c>
      <c r="F725" s="82" t="inlineStr">
        <is>
          <t>PROJECT</t>
        </is>
      </c>
      <c r="G725" s="83" t="inlineStr">
        <is>
          <t>Governance &amp; Responsibility</t>
        </is>
      </c>
      <c r="H725" s="59" t="inlineStr">
        <is>
          <t>—</t>
        </is>
      </c>
      <c r="I725" s="81" t="inlineStr">
        <is>
          <t>Inferred: C6 — Reliability &amp; Maintenance (high conf.)</t>
        </is>
      </c>
      <c r="J725" s="6" t="n">
        <v>107</v>
      </c>
      <c r="K725" s="6" t="inlineStr">
        <is>
          <t>4.14.1</t>
        </is>
      </c>
      <c r="L725" s="6" t="inlineStr">
        <is>
          <t>Fluid Inventory</t>
        </is>
      </c>
      <c r="M725" s="6" t="inlineStr">
        <is>
          <t>If LN2 Precooling is implemented (§4.2.5), the Contractor shall provide all the LN2 inventory required by the QPS itself during performance of the Contract, including any replenishment required during this period.</t>
        </is>
      </c>
      <c r="N725" s="6" t="inlineStr">
        <is>
          <t>If LN2 Precooling is implemented (§4.2.5), the Contractor shall provide all the LN2 inventory required by the QPS itself during performance of the Contract, including any replenishment required during this period.</t>
        </is>
      </c>
      <c r="O725" s="6" t="n">
        <v>1</v>
      </c>
      <c r="P725" s="6" t="n">
        <v>0</v>
      </c>
      <c r="Q725" s="6" t="n">
        <v>0</v>
      </c>
      <c r="R725" s="6" t="n">
        <v>0</v>
      </c>
      <c r="S725" s="6" t="n">
        <v>0</v>
      </c>
      <c r="T725" s="6" t="n">
        <v>0</v>
      </c>
      <c r="U725" s="6" t="n">
        <v>0</v>
      </c>
      <c r="V725" s="6" t="n">
        <v>6.666667</v>
      </c>
      <c r="W725" s="6" t="n">
        <v>0.3467</v>
      </c>
      <c r="X725" s="6" t="n">
        <v>0.09569999999999999</v>
      </c>
      <c r="Y725" s="6" t="inlineStr">
        <is>
          <t>Safety / Legal</t>
        </is>
      </c>
      <c r="Z725" s="6" t="inlineStr">
        <is>
          <t>Frozen-weight composite; strongest contribution: Safety / Legal.</t>
        </is>
      </c>
      <c r="AA725" s="6" t="inlineStr">
        <is>
          <t>None explicitly named in this RTM</t>
        </is>
      </c>
      <c r="AB725" s="6" t="inlineStr">
        <is>
          <t>SCK CEN/90508872 §4.14.1; no named external code</t>
        </is>
      </c>
      <c r="AC725" s="6" t="inlineStr">
        <is>
          <t>Design review plus final inspection/acceptance evidence</t>
        </is>
      </c>
      <c r="AD725" s="6" t="inlineStr">
        <is>
          <t>No separate deliverable explicitly named</t>
        </is>
      </c>
      <c r="AE725" s="6" t="inlineStr">
        <is>
          <t>L1 Conceptual Design; L2 Detailed Design</t>
        </is>
      </c>
      <c r="AF725" s="6" t="inlineStr">
        <is>
          <t>Section/contract-derived reference; derived evidence route</t>
        </is>
      </c>
      <c r="AG725" s="58" t="inlineStr">
        <is>
          <t>Not linked to an OFFER item</t>
        </is>
      </c>
    </row>
    <row r="726" ht="60" customHeight="1">
      <c r="A726" s="6" t="n">
        <v>721</v>
      </c>
      <c r="B726" s="6" t="inlineStr">
        <is>
          <t>RTM-614</t>
        </is>
      </c>
      <c r="C726" s="6" t="inlineStr">
        <is>
          <t>No</t>
        </is>
      </c>
      <c r="D726" s="6" t="inlineStr">
        <is>
          <t>T3 Contextual</t>
        </is>
      </c>
      <c r="E726" s="6" t="inlineStr">
        <is>
          <t>Schedule</t>
        </is>
      </c>
      <c r="F726" s="82" t="inlineStr">
        <is>
          <t>PROJECT</t>
        </is>
      </c>
      <c r="G726" s="83" t="inlineStr">
        <is>
          <t>Governance &amp; Responsibility</t>
        </is>
      </c>
      <c r="H726" s="59" t="inlineStr">
        <is>
          <t>—</t>
        </is>
      </c>
      <c r="I726" s="58" t="inlineStr">
        <is>
          <t>C8 — Commercial &amp; Execution</t>
        </is>
      </c>
      <c r="J726" s="6" t="n">
        <v>116</v>
      </c>
      <c r="K726" s="6" t="inlineStr">
        <is>
          <t>6.1</t>
        </is>
      </c>
      <c r="L726" s="6" t="inlineStr">
        <is>
          <t>Contract Phases</t>
        </is>
      </c>
      <c r="M726" s="6" t="inlineStr">
        <is>
          <t>Contractual performance shall proceed in phases. A phase will only be considered as completed when all associated deliverables (including documentation) are approved by SCK CEN.</t>
        </is>
      </c>
      <c r="N726" s="6" t="inlineStr">
        <is>
          <t>Contractual performance shall proceed in phases. A phase will only be considered as completed when all associated deliverables (including documentation) are approved by SCK CEN.</t>
        </is>
      </c>
      <c r="O726" s="6" t="n">
        <v>0</v>
      </c>
      <c r="P726" s="6" t="n">
        <v>0</v>
      </c>
      <c r="Q726" s="6" t="n">
        <v>0</v>
      </c>
      <c r="R726" s="6" t="n">
        <v>1</v>
      </c>
      <c r="S726" s="6" t="n">
        <v>0</v>
      </c>
      <c r="T726" s="6" t="n">
        <v>0</v>
      </c>
      <c r="U726" s="6" t="n">
        <v>1</v>
      </c>
      <c r="V726" s="6" t="n">
        <v>6.333333</v>
      </c>
      <c r="W726" s="6" t="n">
        <v>0.1387</v>
      </c>
      <c r="X726" s="6" t="n">
        <v>0.09320000000000001</v>
      </c>
      <c r="Y726" s="6" t="inlineStr">
        <is>
          <t>Functional</t>
        </is>
      </c>
      <c r="Z726" s="6" t="inlineStr">
        <is>
          <t>Frozen-weight composite; strongest contribution: Functional.</t>
        </is>
      </c>
      <c r="AA726" s="6" t="inlineStr">
        <is>
          <t>None explicitly named in this RTM</t>
        </is>
      </c>
      <c r="AB726" s="6" t="inlineStr">
        <is>
          <t>SCK CEN/90508872 §6.1; no named external code</t>
        </is>
      </c>
      <c r="AC726" s="6" t="inlineStr">
        <is>
          <t>Design review plus final inspection/acceptance evidence</t>
        </is>
      </c>
      <c r="AD726" s="6" t="inlineStr">
        <is>
          <t>No separate deliverable explicitly named</t>
        </is>
      </c>
      <c r="AE726" s="6" t="inlineStr">
        <is>
          <t>L0 Tender / Offer; L1 Conceptual Design; L2 Detailed Design; L3 Procurement &amp; Manufacturing / FAT; L4 Installation; L5 Standalone Commissioning; L6 Site Acceptance Testing</t>
        </is>
      </c>
      <c r="AF726" s="6" t="inlineStr">
        <is>
          <t>Section/contract-derived reference; derived evidence route</t>
        </is>
      </c>
      <c r="AG726" s="58" t="inlineStr">
        <is>
          <t>OFFER-44 (Supporting)</t>
        </is>
      </c>
    </row>
    <row r="727" ht="47" customHeight="1">
      <c r="A727" s="6" t="n">
        <v>722</v>
      </c>
      <c r="B727" s="6" t="inlineStr">
        <is>
          <t>RTM-473</t>
        </is>
      </c>
      <c r="C727" s="6" t="inlineStr">
        <is>
          <t>No</t>
        </is>
      </c>
      <c r="D727" s="6" t="inlineStr">
        <is>
          <t>T3 Contextual</t>
        </is>
      </c>
      <c r="E727" s="6" t="inlineStr">
        <is>
          <t>Transport &amp; Logistics</t>
        </is>
      </c>
      <c r="F727" s="82" t="inlineStr">
        <is>
          <t>PROJECT</t>
        </is>
      </c>
      <c r="G727" s="83" t="inlineStr">
        <is>
          <t>Governance &amp; Responsibility</t>
        </is>
      </c>
      <c r="H727" s="59" t="inlineStr">
        <is>
          <t>—</t>
        </is>
      </c>
      <c r="I727" s="58" t="inlineStr">
        <is>
          <t>Not linked to an OFFER item</t>
        </is>
      </c>
      <c r="J727" s="6" t="n">
        <v>91</v>
      </c>
      <c r="K727" s="6" t="inlineStr">
        <is>
          <t>4.9</t>
        </is>
      </c>
      <c r="L727" s="6" t="inlineStr">
        <is>
          <t>Transportation and Logistics Requirements</t>
        </is>
      </c>
      <c r="M727" s="6" t="inlineStr">
        <is>
          <t>The Contractor shall be responsible for the loading, transport, intermediate storage (if applicable) and unloading of all QPLANT components.</t>
        </is>
      </c>
      <c r="N727" s="6" t="inlineStr">
        <is>
          <t>The Contractor shall be responsible for the loading, transport, intermediate storage (if applicable) and unloading of all QPLANT components.</t>
        </is>
      </c>
      <c r="O727" s="6" t="n">
        <v>0</v>
      </c>
      <c r="P727" s="6" t="n">
        <v>0</v>
      </c>
      <c r="Q727" s="6" t="n">
        <v>0</v>
      </c>
      <c r="R727" s="6" t="n">
        <v>0</v>
      </c>
      <c r="S727" s="6" t="n">
        <v>0</v>
      </c>
      <c r="T727" s="6" t="n">
        <v>0</v>
      </c>
      <c r="U727" s="6" t="n">
        <v>0</v>
      </c>
      <c r="V727" s="6" t="n">
        <v>0</v>
      </c>
      <c r="W727" s="6" t="n">
        <v>0</v>
      </c>
      <c r="X727" s="6" t="n">
        <v>0.0915</v>
      </c>
      <c r="Y727" s="6" t="inlineStr">
        <is>
          <t>Safety / Legal / Reliability / Performance / Functional / Quality / Verifiability / Lifecycle / Cost</t>
        </is>
      </c>
      <c r="Z727" s="6" t="inlineStr">
        <is>
          <t>Frozen-weight composite; strongest contribution: Safety / Legal / Reliability / Performance / Functional / Quality / Verifiability / Lifecycle / Cost.</t>
        </is>
      </c>
      <c r="AA727" s="6" t="inlineStr">
        <is>
          <t>None explicitly named in this RTM</t>
        </is>
      </c>
      <c r="AB727" s="6" t="inlineStr">
        <is>
          <t>SCK CEN/90508872 §4.9; no named external code</t>
        </is>
      </c>
      <c r="AC727" s="6" t="inlineStr">
        <is>
          <t>Design review plus final inspection/acceptance evidence</t>
        </is>
      </c>
      <c r="AD727" s="6" t="inlineStr">
        <is>
          <t>No separate deliverable explicitly named</t>
        </is>
      </c>
      <c r="AE727" s="6" t="inlineStr">
        <is>
          <t>L3 Procurement &amp; Manufacturing / FAT; L4 Installation</t>
        </is>
      </c>
      <c r="AF727" s="6" t="inlineStr">
        <is>
          <t>Section/contract-derived reference; derived evidence route</t>
        </is>
      </c>
      <c r="AG727" s="58" t="inlineStr">
        <is>
          <t>Not linked to an OFFER item</t>
        </is>
      </c>
    </row>
  </sheetData>
  <autoFilter ref="A5:AF727"/>
  <mergeCells count="2">
    <mergeCell ref="A2:AG2"/>
    <mergeCell ref="A1:AG1"/>
  </mergeCells>
  <conditionalFormatting sqref="D6:D727">
    <cfRule type="expression" priority="1" dxfId="11">
      <formula>D6="T0 Gate"</formula>
    </cfRule>
    <cfRule type="expression" priority="2" dxfId="10">
      <formula>D6="T1 Primary"</formula>
    </cfRule>
    <cfRule type="expression" priority="3" dxfId="9">
      <formula>D6="T2 Secondary"</formula>
    </cfRule>
    <cfRule type="expression" priority="4" dxfId="8">
      <formula>D6="T3 Contextual"</formula>
    </cfRule>
  </conditionalFormatting>
  <conditionalFormatting sqref="I6:I727">
    <cfRule type="expression" priority="8" dxfId="70" stopIfTrue="0">
      <formula>ISNUMBER(SEARCH("C1 —",I6))</formula>
    </cfRule>
    <cfRule type="expression" priority="9" dxfId="71" stopIfTrue="0">
      <formula>ISNUMBER(SEARCH("C2 —",I6))</formula>
    </cfRule>
    <cfRule type="expression" priority="10" dxfId="72" stopIfTrue="0">
      <formula>ISNUMBER(SEARCH("C3 —",I6))</formula>
    </cfRule>
    <cfRule type="expression" priority="11" dxfId="73" stopIfTrue="0">
      <formula>ISNUMBER(SEARCH("C4 —",I6))</formula>
    </cfRule>
    <cfRule type="expression" priority="12" dxfId="74" stopIfTrue="0">
      <formula>ISNUMBER(SEARCH("C5 —",I6))</formula>
    </cfRule>
    <cfRule type="expression" priority="13" dxfId="75" stopIfTrue="0">
      <formula>ISNUMBER(SEARCH("C6 —",I6))</formula>
    </cfRule>
    <cfRule type="expression" priority="14" dxfId="76" stopIfTrue="0">
      <formula>ISNUMBER(SEARCH("C7 —",I6))</formula>
    </cfRule>
    <cfRule type="expression" priority="15" dxfId="77" stopIfTrue="0">
      <formula>ISNUMBER(SEARCH("C8 —",I6))</formula>
    </cfRule>
  </conditionalFormatting>
  <conditionalFormatting sqref="C6:C727">
    <cfRule type="cellIs" priority="16" operator="equal" dxfId="85">
      <formula>"Yes"</formula>
    </cfRule>
    <cfRule type="cellIs" priority="17" operator="equal" dxfId="86">
      <formula>"No"</formula>
    </cfRule>
  </conditionalFormatting>
  <conditionalFormatting sqref="O6:O727">
    <cfRule type="colorScale" priority="18">
      <colorScale>
        <cfvo type="num" val="0"/>
        <cfvo type="num" val="3"/>
        <color rgb="00FFFFFF"/>
        <color rgb="00CC0000"/>
      </colorScale>
    </cfRule>
  </conditionalFormatting>
  <conditionalFormatting sqref="P6:P727">
    <cfRule type="colorScale" priority="19">
      <colorScale>
        <cfvo type="num" val="0"/>
        <cfvo type="num" val="3"/>
        <color rgb="00FFFFFF"/>
        <color rgb="002E7D32"/>
      </colorScale>
    </cfRule>
  </conditionalFormatting>
  <conditionalFormatting sqref="Q6:Q727">
    <cfRule type="colorScale" priority="20">
      <colorScale>
        <cfvo type="num" val="0"/>
        <cfvo type="num" val="3"/>
        <color rgb="00FFFFFF"/>
        <color rgb="002B6CB0"/>
      </colorScale>
    </cfRule>
  </conditionalFormatting>
  <conditionalFormatting sqref="R6:R727">
    <cfRule type="colorScale" priority="21">
      <colorScale>
        <cfvo type="num" val="0"/>
        <cfvo type="num" val="3"/>
        <color rgb="00FFFFFF"/>
        <color rgb="00674EA7"/>
      </colorScale>
    </cfRule>
  </conditionalFormatting>
  <conditionalFormatting sqref="S6:S727">
    <cfRule type="colorScale" priority="22">
      <colorScale>
        <cfvo type="num" val="0"/>
        <cfvo type="num" val="3"/>
        <color rgb="00FFFFFF"/>
        <color rgb="00B45F06"/>
      </colorScale>
    </cfRule>
  </conditionalFormatting>
  <conditionalFormatting sqref="T6:T727">
    <cfRule type="colorScale" priority="23">
      <colorScale>
        <cfvo type="num" val="0"/>
        <cfvo type="num" val="3"/>
        <color rgb="00FFFFFF"/>
        <color rgb="006A3D9A"/>
      </colorScale>
    </cfRule>
  </conditionalFormatting>
  <conditionalFormatting sqref="U6:U727">
    <cfRule type="colorScale" priority="24">
      <colorScale>
        <cfvo type="num" val="0"/>
        <cfvo type="num" val="3"/>
        <color rgb="00FFFFFF"/>
        <color rgb="00BF9000"/>
      </colorScale>
    </cfRule>
  </conditionalFormatting>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H54"/>
  <sheetViews>
    <sheetView showGridLines="0" workbookViewId="0">
      <selection activeCell="A1" sqref="A1"/>
    </sheetView>
  </sheetViews>
  <sheetFormatPr baseColWidth="8" defaultRowHeight="15"/>
  <cols>
    <col width="26"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237" t="inlineStr">
        <is>
          <t>PCA_ANALYSIS -- structure of the 7 BT scoring dimensions across all 722 RTMs</t>
        </is>
      </c>
    </row>
    <row r="2" ht="28" customHeight="1">
      <c r="A2" s="238" t="inlineStr">
        <is>
          <t>Generated by scripts/compute_pca.py against current/QPS_OFFER_Evaluation_FULL_v23.xlsx (722 items) -- z-score standardized, sklearn.decomposition.PCA, 7 raw 0-3 dimension scores (L/R/P/F/Q/LC/C). Re-run compute_pca.py any time RTM_RANKING's dimension scores change; do not hand-edit this sheet.</t>
        </is>
      </c>
    </row>
    <row r="4">
      <c r="A4" s="239" t="inlineStr">
        <is>
          <t>Explained variance</t>
        </is>
      </c>
    </row>
    <row r="5">
      <c r="A5" s="240" t="inlineStr">
        <is>
          <t>Component</t>
        </is>
      </c>
      <c r="B5" s="240" t="inlineStr">
        <is>
          <t>Variance %</t>
        </is>
      </c>
      <c r="C5" s="240" t="inlineStr">
        <is>
          <t>Cumulative %</t>
        </is>
      </c>
    </row>
    <row r="6">
      <c r="A6" s="241" t="inlineStr">
        <is>
          <t>PC1</t>
        </is>
      </c>
      <c r="B6" s="242" t="n">
        <v>0.306</v>
      </c>
      <c r="C6" s="242" t="n">
        <v>0.306</v>
      </c>
    </row>
    <row r="7">
      <c r="A7" s="241" t="inlineStr">
        <is>
          <t>PC2</t>
        </is>
      </c>
      <c r="B7" s="242" t="n">
        <v>0.165</v>
      </c>
      <c r="C7" s="242" t="n">
        <v>0.471</v>
      </c>
    </row>
    <row r="8">
      <c r="A8" s="241" t="inlineStr">
        <is>
          <t>PC3</t>
        </is>
      </c>
      <c r="B8" s="242" t="n">
        <v>0.138</v>
      </c>
      <c r="C8" s="242" t="n">
        <v>0.609</v>
      </c>
    </row>
    <row r="9">
      <c r="A9" s="241" t="inlineStr">
        <is>
          <t>PC4</t>
        </is>
      </c>
      <c r="B9" s="242" t="n">
        <v>0.124</v>
      </c>
      <c r="C9" s="242" t="n">
        <v>0.732</v>
      </c>
    </row>
    <row r="10">
      <c r="A10" s="241" t="inlineStr">
        <is>
          <t>PC5</t>
        </is>
      </c>
      <c r="B10" s="242" t="n">
        <v>0.113</v>
      </c>
      <c r="C10" s="242" t="n">
        <v>0.845</v>
      </c>
    </row>
    <row r="11">
      <c r="A11" s="241" t="inlineStr">
        <is>
          <t>PC6</t>
        </is>
      </c>
      <c r="B11" s="242" t="n">
        <v>0.08900000000000001</v>
      </c>
      <c r="C11" s="242" t="n">
        <v>0.9340000000000001</v>
      </c>
    </row>
    <row r="12">
      <c r="A12" s="241" t="inlineStr">
        <is>
          <t>PC7</t>
        </is>
      </c>
      <c r="B12" s="242" t="n">
        <v>0.066</v>
      </c>
      <c r="C12" s="242" t="n">
        <v>1</v>
      </c>
    </row>
    <row r="13">
      <c r="A13" s="238" t="inlineStr">
        <is>
          <t>7 components needed to reach 100% -- no 1-2 factor collapse. Validates keeping all 7 weighted dimensions rather than a simpler score.</t>
        </is>
      </c>
    </row>
    <row r="15">
      <c r="A15" s="239" t="inlineStr">
        <is>
          <t>Loadings (PC1-PC3) -- how each raw dimension contributes</t>
        </is>
      </c>
    </row>
    <row r="16">
      <c r="A16" s="240" t="inlineStr">
        <is>
          <t>Dimension</t>
        </is>
      </c>
      <c r="B16" s="240" t="inlineStr">
        <is>
          <t>Full name</t>
        </is>
      </c>
      <c r="C16" s="240" t="inlineStr">
        <is>
          <t>PC1</t>
        </is>
      </c>
      <c r="D16" s="240" t="inlineStr">
        <is>
          <t>PC2</t>
        </is>
      </c>
      <c r="E16" s="240" t="inlineStr">
        <is>
          <t>PC3</t>
        </is>
      </c>
    </row>
    <row r="17">
      <c r="A17" s="241" t="inlineStr">
        <is>
          <t>L</t>
        </is>
      </c>
      <c r="B17" s="241" t="inlineStr">
        <is>
          <t>Safety / Legal</t>
        </is>
      </c>
      <c r="C17" s="241" t="n">
        <v>0.523</v>
      </c>
      <c r="D17" s="241" t="n">
        <v>-0.109</v>
      </c>
      <c r="E17" s="241" t="n">
        <v>-0.204</v>
      </c>
    </row>
    <row r="18">
      <c r="A18" s="241" t="inlineStr">
        <is>
          <t>R</t>
        </is>
      </c>
      <c r="B18" s="241" t="inlineStr">
        <is>
          <t>Reliability</t>
        </is>
      </c>
      <c r="C18" s="241" t="n">
        <v>-0.039</v>
      </c>
      <c r="D18" s="241" t="n">
        <v>0.762</v>
      </c>
      <c r="E18" s="241" t="n">
        <v>0.077</v>
      </c>
    </row>
    <row r="19">
      <c r="A19" s="241" t="inlineStr">
        <is>
          <t>P</t>
        </is>
      </c>
      <c r="B19" s="241" t="inlineStr">
        <is>
          <t>Performance</t>
        </is>
      </c>
      <c r="C19" s="241" t="n">
        <v>-0.392</v>
      </c>
      <c r="D19" s="241" t="n">
        <v>-0.248</v>
      </c>
      <c r="E19" s="241" t="n">
        <v>0.387</v>
      </c>
    </row>
    <row r="20">
      <c r="A20" s="241" t="inlineStr">
        <is>
          <t>F</t>
        </is>
      </c>
      <c r="B20" s="241" t="inlineStr">
        <is>
          <t>Functional</t>
        </is>
      </c>
      <c r="C20" s="241" t="n">
        <v>-0.465</v>
      </c>
      <c r="D20" s="241" t="n">
        <v>0.146</v>
      </c>
      <c r="E20" s="241" t="n">
        <v>-0.105</v>
      </c>
    </row>
    <row r="21">
      <c r="A21" s="241" t="inlineStr">
        <is>
          <t>Q</t>
        </is>
      </c>
      <c r="B21" s="241" t="inlineStr">
        <is>
          <t>Quality / Verifiability</t>
        </is>
      </c>
      <c r="C21" s="241" t="n">
        <v>0.425</v>
      </c>
      <c r="D21" s="241" t="n">
        <v>-0.265</v>
      </c>
      <c r="E21" s="241" t="n">
        <v>-0.044</v>
      </c>
    </row>
    <row r="22">
      <c r="A22" s="241" t="inlineStr">
        <is>
          <t>LC</t>
        </is>
      </c>
      <c r="B22" s="241" t="inlineStr">
        <is>
          <t>Lifecycle</t>
        </is>
      </c>
      <c r="C22" s="241" t="n">
        <v>0.358</v>
      </c>
      <c r="D22" s="241" t="n">
        <v>0.502</v>
      </c>
      <c r="E22" s="241" t="n">
        <v>0.118</v>
      </c>
    </row>
    <row r="23">
      <c r="A23" s="241" t="inlineStr">
        <is>
          <t>C</t>
        </is>
      </c>
      <c r="B23" s="241" t="inlineStr">
        <is>
          <t>Cost</t>
        </is>
      </c>
      <c r="C23" s="241" t="n">
        <v>0.215</v>
      </c>
      <c r="D23" s="241" t="n">
        <v>-0.046</v>
      </c>
      <c r="E23" s="241" t="n">
        <v>0.881</v>
      </c>
    </row>
    <row r="25" ht="48" customHeight="1">
      <c r="A25" s="243" t="inlineStr">
        <is>
          <t>Reading: PC1 (compliance/quality vs. engineering-performance emphasis) is the closest thing to a dominant axis but only explains 30.6% alone. PC2 loads almost entirely on Reliability + Lifecycle. PC3 is a near-pure Cost axis (0.88 loading) -- Cost is structurally independent of the other 6 dimensions, confirming it needs its own weight rather than being inferable from the rest.</t>
        </is>
      </c>
    </row>
    <row r="27">
      <c r="A27" s="239" t="inlineStr">
        <is>
          <t>Domain-level position on PC1 / PC2 (mean per domain)</t>
        </is>
      </c>
    </row>
    <row r="28">
      <c r="A28" s="240" t="inlineStr">
        <is>
          <t>Domain</t>
        </is>
      </c>
      <c r="B28" s="240" t="inlineStr">
        <is>
          <t>n (RTMs)</t>
        </is>
      </c>
      <c r="C28" s="240" t="inlineStr">
        <is>
          <t>PC1 mean</t>
        </is>
      </c>
      <c r="D28" s="240" t="inlineStr">
        <is>
          <t>PC2 mean</t>
        </is>
      </c>
    </row>
    <row r="29">
      <c r="A29" s="241" t="inlineStr">
        <is>
          <t>Subsystems</t>
        </is>
      </c>
      <c r="B29" s="241" t="n">
        <v>202</v>
      </c>
      <c r="C29" s="241" t="n">
        <v>-1.04</v>
      </c>
      <c r="D29" s="241" t="n">
        <v>0.06</v>
      </c>
    </row>
    <row r="30">
      <c r="A30" s="241" t="inlineStr">
        <is>
          <t>Control &amp; Interlock</t>
        </is>
      </c>
      <c r="B30" s="241" t="n">
        <v>86</v>
      </c>
      <c r="C30" s="241" t="n">
        <v>-0.74</v>
      </c>
      <c r="D30" s="241" t="n">
        <v>0.39</v>
      </c>
    </row>
    <row r="31">
      <c r="A31" s="241" t="inlineStr">
        <is>
          <t>Acceptance Testing</t>
        </is>
      </c>
      <c r="B31" s="241" t="n">
        <v>66</v>
      </c>
      <c r="C31" s="241" t="n">
        <v>1.22</v>
      </c>
      <c r="D31" s="241" t="n">
        <v>-0.67</v>
      </c>
    </row>
    <row r="32">
      <c r="A32" s="241" t="inlineStr">
        <is>
          <t>Buildings &amp; Utilities</t>
        </is>
      </c>
      <c r="B32" s="241" t="n">
        <v>53</v>
      </c>
      <c r="C32" s="241" t="n">
        <v>-1.27</v>
      </c>
      <c r="D32" s="241" t="n">
        <v>0.31</v>
      </c>
    </row>
    <row r="33">
      <c r="A33" s="241" t="inlineStr">
        <is>
          <t>Process &amp; Functional</t>
        </is>
      </c>
      <c r="B33" s="241" t="n">
        <v>49</v>
      </c>
      <c r="C33" s="241" t="n">
        <v>-1.28</v>
      </c>
      <c r="D33" s="241" t="n">
        <v>-0.65</v>
      </c>
    </row>
    <row r="34">
      <c r="A34" s="241" t="inlineStr">
        <is>
          <t>Quality Assurance &amp; Control</t>
        </is>
      </c>
      <c r="B34" s="241" t="n">
        <v>45</v>
      </c>
      <c r="C34" s="241" t="n">
        <v>2.24</v>
      </c>
      <c r="D34" s="241" t="n">
        <v>-0.83</v>
      </c>
    </row>
    <row r="35">
      <c r="A35" s="241" t="inlineStr">
        <is>
          <t>Design &amp; Fabrication</t>
        </is>
      </c>
      <c r="B35" s="241" t="n">
        <v>35</v>
      </c>
      <c r="C35" s="241" t="n">
        <v>0.13</v>
      </c>
      <c r="D35" s="241" t="n">
        <v>-0.42</v>
      </c>
    </row>
    <row r="36">
      <c r="A36" s="241" t="inlineStr">
        <is>
          <t>Technical Documentation</t>
        </is>
      </c>
      <c r="B36" s="241" t="n">
        <v>28</v>
      </c>
      <c r="C36" s="241" t="n">
        <v>2.06</v>
      </c>
      <c r="D36" s="241" t="n">
        <v>0.62</v>
      </c>
    </row>
    <row r="37">
      <c r="A37" s="241" t="inlineStr">
        <is>
          <t>Global Design Criteria</t>
        </is>
      </c>
      <c r="B37" s="241" t="n">
        <v>24</v>
      </c>
      <c r="C37" s="241" t="n">
        <v>0.64</v>
      </c>
      <c r="D37" s="241" t="n">
        <v>0.66</v>
      </c>
    </row>
    <row r="38">
      <c r="A38" s="241" t="inlineStr">
        <is>
          <t>Contract Performance</t>
        </is>
      </c>
      <c r="B38" s="241" t="n">
        <v>21</v>
      </c>
      <c r="C38" s="241" t="n">
        <v>0.66</v>
      </c>
      <c r="D38" s="241" t="n">
        <v>-0.37</v>
      </c>
    </row>
    <row r="39">
      <c r="A39" s="241" t="inlineStr">
        <is>
          <t>Safety &amp; Protection</t>
        </is>
      </c>
      <c r="B39" s="241" t="n">
        <v>20</v>
      </c>
      <c r="C39" s="241" t="n">
        <v>1.31</v>
      </c>
      <c r="D39" s="241" t="n">
        <v>-0.25</v>
      </c>
    </row>
    <row r="40">
      <c r="A40" s="241" t="inlineStr">
        <is>
          <t>Codes &amp; Standards</t>
        </is>
      </c>
      <c r="B40" s="241" t="n">
        <v>19</v>
      </c>
      <c r="C40" s="241" t="n">
        <v>1.71</v>
      </c>
      <c r="D40" s="241" t="n">
        <v>-0.25</v>
      </c>
    </row>
    <row r="41">
      <c r="A41" s="241" t="inlineStr">
        <is>
          <t>Acceptance &amp; Warranty</t>
        </is>
      </c>
      <c r="B41" s="241" t="n">
        <v>17</v>
      </c>
      <c r="C41" s="241" t="n">
        <v>3.24</v>
      </c>
      <c r="D41" s="241" t="n">
        <v>1.52</v>
      </c>
    </row>
    <row r="42">
      <c r="A42" s="241" t="inlineStr">
        <is>
          <t>Cryogenic Interfaces</t>
        </is>
      </c>
      <c r="B42" s="241" t="n">
        <v>17</v>
      </c>
      <c r="C42" s="241" t="n">
        <v>-1.02</v>
      </c>
      <c r="D42" s="241" t="n">
        <v>-0.24</v>
      </c>
    </row>
    <row r="43">
      <c r="A43" s="241" t="inlineStr">
        <is>
          <t>Training</t>
        </is>
      </c>
      <c r="B43" s="241" t="n">
        <v>8</v>
      </c>
      <c r="C43" s="241" t="n">
        <v>1.17</v>
      </c>
      <c r="D43" s="241" t="n">
        <v>2.01</v>
      </c>
    </row>
    <row r="44">
      <c r="A44" s="241" t="inlineStr">
        <is>
          <t>Schedule</t>
        </is>
      </c>
      <c r="B44" s="241" t="n">
        <v>7</v>
      </c>
      <c r="C44" s="241" t="n">
        <v>0.87</v>
      </c>
      <c r="D44" s="241" t="n">
        <v>-0.43</v>
      </c>
    </row>
    <row r="45">
      <c r="A45" s="241" t="inlineStr">
        <is>
          <t>Other Deliverables</t>
        </is>
      </c>
      <c r="B45" s="241" t="n">
        <v>6</v>
      </c>
      <c r="C45" s="241" t="n">
        <v>1.03</v>
      </c>
      <c r="D45" s="241" t="n">
        <v>1.56</v>
      </c>
    </row>
    <row r="46">
      <c r="A46" s="241" t="inlineStr">
        <is>
          <t>General / Compliance</t>
        </is>
      </c>
      <c r="B46" s="241" t="n">
        <v>5</v>
      </c>
      <c r="C46" s="241" t="n">
        <v>1.46</v>
      </c>
      <c r="D46" s="241" t="n">
        <v>-0.58</v>
      </c>
    </row>
    <row r="47">
      <c r="A47" s="241" t="inlineStr">
        <is>
          <t>Commissioning</t>
        </is>
      </c>
      <c r="B47" s="241" t="n">
        <v>4</v>
      </c>
      <c r="C47" s="241" t="n">
        <v>-0.36</v>
      </c>
      <c r="D47" s="241" t="n">
        <v>0.18</v>
      </c>
    </row>
    <row r="48">
      <c r="A48" s="241" t="inlineStr">
        <is>
          <t>Installation</t>
        </is>
      </c>
      <c r="B48" s="241" t="n">
        <v>4</v>
      </c>
      <c r="C48" s="241" t="n">
        <v>-0.16</v>
      </c>
      <c r="D48" s="241" t="n">
        <v>-0.25</v>
      </c>
    </row>
    <row r="49">
      <c r="A49" s="241" t="inlineStr">
        <is>
          <t>After-Sales</t>
        </is>
      </c>
      <c r="B49" s="241" t="n">
        <v>3</v>
      </c>
      <c r="C49" s="241" t="n">
        <v>1.93</v>
      </c>
      <c r="D49" s="241" t="n">
        <v>3.63</v>
      </c>
    </row>
    <row r="50">
      <c r="A50" s="241" t="inlineStr">
        <is>
          <t>Transport &amp; Logistics</t>
        </is>
      </c>
      <c r="B50" s="241" t="n">
        <v>3</v>
      </c>
      <c r="C50" s="241" t="n">
        <v>0.73</v>
      </c>
      <c r="D50" s="241" t="n">
        <v>-0.67</v>
      </c>
    </row>
    <row r="52">
      <c r="A52" s="238" t="inlineStr">
        <is>
          <t>Bulk vs. distinctive: 548 items (76%) sit in the central, typical PC1/PC2 zone; 174 items (24%) sit in the outer, distinctive zone -- an unusually strong lean into one or two dimensions rather than a typical blend.</t>
        </is>
      </c>
    </row>
    <row r="54">
      <c r="A54" s="238" t="inlineStr">
        <is>
          <t>Per-item PC1/PC2/PC3 scores (all 722 RTMs) are exported to the Navigator's PCA / Structure tab (scatter view), not duplicated here as a 722-row table -- see QPS_RTM_BT_Navigator.html. Source: pca_results_v23.json.</t>
        </is>
      </c>
    </row>
  </sheetData>
  <mergeCells count="6">
    <mergeCell ref="A54:F54"/>
    <mergeCell ref="A52:F52"/>
    <mergeCell ref="A13:F13"/>
    <mergeCell ref="A2:H2"/>
    <mergeCell ref="A1:H1"/>
    <mergeCell ref="A25:F25"/>
  </mergeCells>
  <pageMargins left="0.75" right="0.75" top="1" bottom="1" header="0.5" footer="0.5"/>
</worksheet>
</file>

<file path=xl/worksheets/sheet14.xml><?xml version="1.0" encoding="utf-8"?>
<worksheet xmlns="http://schemas.openxmlformats.org/spreadsheetml/2006/main">
  <sheetPr>
    <tabColor rgb="001FA7A0"/>
    <outlinePr summaryBelow="1" summaryRight="1"/>
    <pageSetUpPr/>
  </sheetPr>
  <dimension ref="A1:I13"/>
  <sheetViews>
    <sheetView showGridLines="0" topLeftCell="A1" zoomScale="90" zoomScaleNormal="90" workbookViewId="0">
      <selection activeCell="A1" sqref="A1"/>
    </sheetView>
  </sheetViews>
  <sheetFormatPr baseColWidth="8" defaultRowHeight="15"/>
  <cols>
    <col width="12" customWidth="1" min="1" max="1"/>
    <col width="26" customWidth="1" min="2" max="2"/>
    <col width="70" customWidth="1" min="3" max="3"/>
    <col width="14" customWidth="1" min="4" max="4"/>
    <col width="13" customWidth="1" min="5" max="5"/>
    <col width="13" customWidth="1" min="6" max="6"/>
    <col width="13" customWidth="1" min="7" max="7"/>
    <col width="13" customWidth="1" min="8" max="8"/>
  </cols>
  <sheetData>
    <row r="1" ht="32" customHeight="1">
      <c r="A1" s="44" t="inlineStr">
        <is>
          <t>OFFER item clusters (C1-C8)</t>
        </is>
      </c>
    </row>
    <row r="2">
      <c r="A2" s="45" t="inlineStr">
        <is>
          <t>Thematic grouping of the 50 OFFER items -- filter aid only, clusters do NOT rank (per the engineering handover). Source: canonical QPS_OFFER_Cluster_v3_6.xlsx, BT_Clusters sheet.</t>
        </is>
      </c>
    </row>
    <row r="3">
      <c r="A3" s="187">
        <f>HYPERLINK("#START_HERE!A1","Start")</f>
        <v/>
      </c>
      <c r="B3" s="187">
        <f>HYPERLINK("#DASHBOARD!A1","Dashboard")</f>
        <v/>
      </c>
      <c r="C3" s="187">
        <f>HYPERLINK("#RTM_LOOKUP!A1","RTM Lookup")</f>
        <v/>
      </c>
      <c r="D3" s="187">
        <f>HYPERLINK("#DASHBOARD_2!A1","Filter view")</f>
        <v/>
      </c>
      <c r="E3" s="187">
        <f>HYPERLINK("#RTM_REVIEW_QUEUE!A1","Queue")</f>
        <v/>
      </c>
      <c r="F3" s="187">
        <f>HYPERLINK("#RTM_RANKING!A1","Ranking")</f>
        <v/>
      </c>
      <c r="G3" s="187">
        <f>HYPERLINK("#DOMAIN_SUMMARY!A1","Domains")</f>
        <v/>
      </c>
      <c r="H3" s="187">
        <f>HYPERLINK("#CLUSTERS!A1","Clusters")</f>
        <v/>
      </c>
      <c r="I3" s="187">
        <f>HYPERLINK("#TAXONOMY!A1","Taxonomy")</f>
        <v/>
      </c>
    </row>
    <row r="5">
      <c r="A5" s="46" t="inlineStr">
        <is>
          <t>Cluster ID</t>
        </is>
      </c>
      <c r="B5" s="46" t="inlineStr">
        <is>
          <t>Cluster Name</t>
        </is>
      </c>
      <c r="C5" s="46" t="inlineStr">
        <is>
          <t>OFFER items in cluster</t>
        </is>
      </c>
      <c r="D5" s="46" t="inlineStr">
        <is>
          <t>Count</t>
        </is>
      </c>
      <c r="E5" s="46" t="inlineStr"/>
      <c r="F5" s="46" t="inlineStr"/>
    </row>
    <row r="6">
      <c r="A6" s="98" t="inlineStr">
        <is>
          <t>C1</t>
        </is>
      </c>
      <c r="B6" s="99" t="inlineStr">
        <is>
          <t>Performance</t>
        </is>
      </c>
      <c r="C6" s="100" t="inlineStr">
        <is>
          <t>OFFER-04; OFFER-06; OFFER-12; OFFER-23</t>
        </is>
      </c>
      <c r="D6" s="99" t="n">
        <v>4</v>
      </c>
      <c r="E6" s="50" t="n"/>
      <c r="F6" s="50" t="n"/>
    </row>
    <row r="7">
      <c r="A7" s="101" t="inlineStr">
        <is>
          <t>C2</t>
        </is>
      </c>
      <c r="B7" s="102" t="inlineStr">
        <is>
          <t>Process Design</t>
        </is>
      </c>
      <c r="C7" s="103" t="inlineStr">
        <is>
          <t>OFFER-07; OFFER-08; OFFER-09; OFFER-10; OFFER-18; OFFER-19; OFFER-21; OFFER-22; OFFER-24</t>
        </is>
      </c>
      <c r="D7" s="102" t="n">
        <v>9</v>
      </c>
      <c r="E7" s="54" t="n"/>
      <c r="F7" s="54" t="n"/>
    </row>
    <row r="8">
      <c r="A8" s="104" t="inlineStr">
        <is>
          <t>C3</t>
        </is>
      </c>
      <c r="B8" s="105" t="inlineStr">
        <is>
          <t>Mechanical &amp; Equipment</t>
        </is>
      </c>
      <c r="C8" s="106" t="inlineStr">
        <is>
          <t>OFFER-13; OFFER-14; OFFER-15; OFFER-16</t>
        </is>
      </c>
      <c r="D8" s="105" t="n">
        <v>4</v>
      </c>
      <c r="E8" s="50" t="n"/>
      <c r="F8" s="50" t="n"/>
    </row>
    <row r="9">
      <c r="A9" s="107" t="inlineStr">
        <is>
          <t>C4</t>
        </is>
      </c>
      <c r="B9" s="108" t="inlineStr">
        <is>
          <t>Software &amp; Control</t>
        </is>
      </c>
      <c r="C9" s="109" t="inlineStr">
        <is>
          <t>OFFER-26; OFFER-27; OFFER-28; OFFER-29; OFFER-30; OFFER-37</t>
        </is>
      </c>
      <c r="D9" s="108" t="n">
        <v>6</v>
      </c>
      <c r="E9" s="54" t="n"/>
      <c r="F9" s="54" t="n"/>
    </row>
    <row r="10">
      <c r="A10" s="110" t="inlineStr">
        <is>
          <t>C5</t>
        </is>
      </c>
      <c r="B10" s="111" t="inlineStr">
        <is>
          <t>Infrastructure &amp; Integration</t>
        </is>
      </c>
      <c r="C10" s="112" t="inlineStr">
        <is>
          <t>OFFER-17; OFFER-31; OFFER-32; OFFER-33; OFFER-34; OFFER-35; OFFER-36</t>
        </is>
      </c>
      <c r="D10" s="111" t="n">
        <v>7</v>
      </c>
      <c r="E10" s="50" t="n"/>
      <c r="F10" s="50" t="n"/>
    </row>
    <row r="11">
      <c r="A11" s="113" t="inlineStr">
        <is>
          <t>C6</t>
        </is>
      </c>
      <c r="B11" s="114" t="inlineStr">
        <is>
          <t>Reliability &amp; Maintenance</t>
        </is>
      </c>
      <c r="C11" s="115" t="inlineStr">
        <is>
          <t>OFFER-11; OFFER-38; OFFER-41; OFFER-43; OFFER-50</t>
        </is>
      </c>
      <c r="D11" s="114" t="n">
        <v>5</v>
      </c>
      <c r="E11" s="54" t="n"/>
      <c r="F11" s="54" t="n"/>
    </row>
    <row r="12">
      <c r="A12" s="116" t="inlineStr">
        <is>
          <t>C7</t>
        </is>
      </c>
      <c r="B12" s="117" t="inlineStr">
        <is>
          <t>Quality, Testing &amp; Risk</t>
        </is>
      </c>
      <c r="C12" s="118" t="inlineStr">
        <is>
          <t>OFFER-20; OFFER-39; OFFER-40; OFFER-46; OFFER-47; OFFER-48; OFFER-49</t>
        </is>
      </c>
      <c r="D12" s="117" t="n">
        <v>7</v>
      </c>
      <c r="E12" s="50" t="n"/>
      <c r="F12" s="50" t="n"/>
    </row>
    <row r="13">
      <c r="A13" s="119" t="inlineStr">
        <is>
          <t>C8</t>
        </is>
      </c>
      <c r="B13" s="120" t="inlineStr">
        <is>
          <t>Commercial &amp; Execution</t>
        </is>
      </c>
      <c r="C13" s="121" t="inlineStr">
        <is>
          <t>OFFER-01; OFFER-02; OFFER-03; OFFER-05; OFFER-25; OFFER-42; OFFER-44; OFFER-45</t>
        </is>
      </c>
      <c r="D13" s="120" t="n">
        <v>8</v>
      </c>
      <c r="E13" s="54" t="n"/>
      <c r="F13" s="54" t="n"/>
    </row>
  </sheetData>
  <mergeCells count="2">
    <mergeCell ref="A2:F2"/>
    <mergeCell ref="A1:F1"/>
  </mergeCells>
  <pageMargins left="0.75" right="0.75" top="1" bottom="1" header="0.5" footer="0.5"/>
</worksheet>
</file>

<file path=xl/worksheets/sheet15.xml><?xml version="1.0" encoding="utf-8"?>
<worksheet xmlns="http://schemas.openxmlformats.org/spreadsheetml/2006/main">
  <sheetPr>
    <tabColor rgb="000B5FA5"/>
    <outlinePr summaryBelow="1" summaryRight="1"/>
    <pageSetUpPr/>
  </sheetPr>
  <dimension ref="A1:I87"/>
  <sheetViews>
    <sheetView showGridLines="0" topLeftCell="A1" zoomScale="90" zoomScaleNormal="90" workbookViewId="0">
      <selection activeCell="A1" sqref="A1"/>
    </sheetView>
  </sheetViews>
  <sheetFormatPr baseColWidth="8" defaultRowHeight="15"/>
  <cols>
    <col width="24" customWidth="1" min="1" max="1"/>
    <col width="44" customWidth="1" min="2" max="2"/>
    <col width="44" customWidth="1" min="3" max="3"/>
    <col width="55" customWidth="1" min="4" max="4"/>
    <col width="42" customWidth="1" min="5" max="5"/>
    <col width="40" customWidth="1" min="6" max="6"/>
    <col width="13" customWidth="1" min="7" max="7"/>
    <col width="13" customWidth="1" min="8" max="8"/>
  </cols>
  <sheetData>
    <row r="1" ht="32" customHeight="1">
      <c r="A1" s="44" t="inlineStr">
        <is>
          <t>Requirement taxonomy &amp; definitions</t>
        </is>
      </c>
    </row>
    <row r="2">
      <c r="A2" s="45" t="inlineStr">
        <is>
          <t>Reference material: Requirement Type, lifecycle supergroups, and the OFFER disposition vocabulary. Read this before using the Type/Category columns on RTM_RANKING and RTM_REVIEW_QUEUE.</t>
        </is>
      </c>
    </row>
    <row r="3">
      <c r="A3" s="187">
        <f>HYPERLINK("#START_HERE!A1","Start")</f>
        <v/>
      </c>
      <c r="B3" s="187">
        <f>HYPERLINK("#DASHBOARD!A1","Dashboard")</f>
        <v/>
      </c>
      <c r="C3" s="187">
        <f>HYPERLINK("#RTM_LOOKUP!A1","RTM Lookup")</f>
        <v/>
      </c>
      <c r="D3" s="187">
        <f>HYPERLINK("#DASHBOARD_2!A1","Filter view")</f>
        <v/>
      </c>
      <c r="E3" s="187">
        <f>HYPERLINK("#RTM_REVIEW_QUEUE!A1","Queue")</f>
        <v/>
      </c>
      <c r="F3" s="187">
        <f>HYPERLINK("#RTM_RANKING!A1","Ranking")</f>
        <v/>
      </c>
      <c r="G3" s="187">
        <f>HYPERLINK("#DOMAIN_SUMMARY!A1","Domains")</f>
        <v/>
      </c>
      <c r="H3" s="187">
        <f>HYPERLINK("#CLUSTERS!A1","Clusters")</f>
        <v/>
      </c>
      <c r="I3" s="187">
        <f>HYPERLINK("#TAXONOMY!A1","Taxonomy")</f>
        <v/>
      </c>
    </row>
    <row r="5">
      <c r="A5" s="55" t="inlineStr">
        <is>
          <t>Requirement Type</t>
        </is>
      </c>
    </row>
    <row r="6">
      <c r="A6" s="46" t="inlineStr">
        <is>
          <t>Type</t>
        </is>
      </c>
      <c r="B6" s="46" t="inlineStr">
        <is>
          <t>Definition</t>
        </is>
      </c>
      <c r="C6" s="46" t="inlineStr">
        <is>
          <t>Subcategories</t>
        </is>
      </c>
      <c r="D6" s="46" t="inlineStr">
        <is>
          <t>Example (T0 Gate)</t>
        </is>
      </c>
    </row>
    <row r="7" ht="44" customHeight="1">
      <c r="A7" s="51" t="inlineStr">
        <is>
          <t>SYSTEM</t>
        </is>
      </c>
      <c r="B7" s="53" t="inlineStr">
        <is>
          <t>A technical property or behaviour the delivered QPS itself must exhibit, verified by calculation, test, or design review.</t>
        </is>
      </c>
      <c r="C7" s="53" t="inlineStr">
        <is>
          <t>Performance (efficiency/capacity/thermal figures) / Constraint (physical, material, interface, environmental boundary) / Control (control-system behaviour, interlock logic, functional-safety response)</t>
        </is>
      </c>
      <c r="D7" s="52" t="inlineStr">
        <is>
          <t>RTM-075 invCOP calculation (Performance)</t>
        </is>
      </c>
    </row>
    <row r="8" ht="44" customHeight="1">
      <c r="A8" s="51" t="inlineStr">
        <is>
          <t>PROJECT</t>
        </is>
      </c>
      <c r="B8" s="53" t="inlineStr">
        <is>
          <t>An action or administrative responsibility the Contractor (the organisation) must carry out -- a WBS task, not a system property.</t>
        </is>
      </c>
      <c r="C8" s="53" t="inlineStr">
        <is>
          <t>Documentation &amp; Compliance (submit/produce a specific record) / Governance &amp; Responsibility (who is accountable) / Quality Assurance (QAP-driven process control)</t>
        </is>
      </c>
      <c r="D8" s="52" t="inlineStr">
        <is>
          <t>RTM-693 Technical File submission</t>
        </is>
      </c>
    </row>
    <row r="9" ht="44" customHeight="1">
      <c r="A9" s="51" t="inlineStr">
        <is>
          <t>SAFETY</t>
        </is>
      </c>
      <c r="B9" s="53" t="inlineStr">
        <is>
          <t>The requirement's SUBJECT is elimination, reduction, or mitigation of a hazard to personnel or equipment.</t>
        </is>
      </c>
      <c r="C9" s="53" t="inlineStr">
        <is>
          <t>Personnel Protection / Equipment Protection / Interlock &amp; Control Safety / Regulatory-Certification</t>
        </is>
      </c>
      <c r="D9" s="52" t="inlineStr">
        <is>
          <t>RTM-596 fail-safe hard-wired interlocks</t>
        </is>
      </c>
    </row>
    <row r="11" ht="44" customHeight="1">
      <c r="A11" s="56" t="inlineStr">
        <is>
          <t>Note: many T0 items are dual-natured (e.g. "submit a risk analysis" is a PROJECT action about a SAFETY subject). SAFETY is used when the hazard itself is the requirement's substance; PROJECT is used when the ask is fundamentally administrative even if safety-adjacent. This is a judgment call, not a mechanical rule -- flagged here rather than hidden.</t>
        </is>
      </c>
    </row>
    <row r="13">
      <c r="A13" s="55" t="inlineStr">
        <is>
          <t>Lifecycle supergroups</t>
        </is>
      </c>
    </row>
    <row r="14">
      <c r="A14" s="46" t="inlineStr">
        <is>
          <t>Supergroup</t>
        </is>
      </c>
      <c r="B14" s="46" t="inlineStr">
        <is>
          <t>Applicable phase(s) it covers</t>
        </is>
      </c>
      <c r="C14" s="46" t="inlineStr">
        <is>
          <t>What evidence looks like at this stage</t>
        </is>
      </c>
      <c r="D14" s="46" t="inlineStr"/>
    </row>
    <row r="15" ht="40" customHeight="1">
      <c r="A15" s="51" t="inlineStr">
        <is>
          <t>Design</t>
        </is>
      </c>
      <c r="B15" s="53" t="inlineStr">
        <is>
          <t>L0 Tender / Offer, L1 Conceptual Design, L2 Detailed Design</t>
        </is>
      </c>
      <c r="C15" s="53" t="inlineStr">
        <is>
          <t>A design artefact -- calculation, drawing, specification. Not yet a physical test.</t>
        </is>
      </c>
    </row>
    <row r="16" ht="40" customHeight="1">
      <c r="A16" s="51" t="inlineStr">
        <is>
          <t>Build</t>
        </is>
      </c>
      <c r="B16" s="53" t="inlineStr">
        <is>
          <t>L3 Procurement &amp; Manufacturing / FAT</t>
        </is>
      </c>
      <c r="C16" s="53" t="inlineStr">
        <is>
          <t>Factory-floor test and inspection records.</t>
        </is>
      </c>
    </row>
    <row r="17" ht="40" customHeight="1">
      <c r="A17" s="51" t="inlineStr">
        <is>
          <t>Field</t>
        </is>
      </c>
      <c r="B17" s="53" t="inlineStr">
        <is>
          <t>L4 Installation, L5 Standalone Commissioning</t>
        </is>
      </c>
      <c r="C17" s="53" t="inlineStr">
        <is>
          <t>Site records and functional demonstration, ahead of witnessed acceptance.</t>
        </is>
      </c>
    </row>
    <row r="18" ht="40" customHeight="1">
      <c r="A18" s="51" t="inlineStr">
        <is>
          <t>Closeout</t>
        </is>
      </c>
      <c r="B18" s="53" t="inlineStr">
        <is>
          <t>L6 Site Acceptance Testing, PAC / Handover</t>
        </is>
      </c>
      <c r="C18" s="53" t="inlineStr">
        <is>
          <t>The final witnessed test and handover documentation -- many requirements can only be FORMALLY closed here, even though work toward them started much earlier.</t>
        </is>
      </c>
    </row>
    <row r="20" ht="44" customHeight="1">
      <c r="A20" s="56" t="inlineStr">
        <is>
          <t>A requirement can be partially/gradually fulfilled across supergroups and formally closed at a different point than where work on it started -- e.g. a calculation closes in Design while a witnessed test on the same RTM can only close at L6. This workbook does not yet track partial-closure state per phase; that is a possible future enhancement, flagged here as not built rather than silently assumed.</t>
        </is>
      </c>
    </row>
    <row r="22">
      <c r="A22" s="55" t="inlineStr">
        <is>
          <t>OFFER disposition vocabulary</t>
        </is>
      </c>
    </row>
    <row r="23">
      <c r="A23" s="46" t="inlineStr">
        <is>
          <t>Disposition</t>
        </is>
      </c>
      <c r="B23" s="46" t="inlineStr">
        <is>
          <t>Definition</t>
        </is>
      </c>
      <c r="C23" s="46" t="inlineStr"/>
      <c r="D23" s="46" t="inlineStr"/>
    </row>
    <row r="24" ht="30" customHeight="1">
      <c r="A24" s="51" t="inlineStr">
        <is>
          <t>Deviation</t>
        </is>
      </c>
      <c r="B24" s="53" t="inlineStr">
        <is>
          <t>The OFFER response explicitly departs from the RTM's stated requirement, disclosed by the bidder as a deviation per §4.1 offer rules.</t>
        </is>
      </c>
      <c r="C24" s="79" t="n"/>
      <c r="D24" s="80" t="n"/>
    </row>
    <row r="25" ht="30" customHeight="1">
      <c r="A25" s="51" t="inlineStr">
        <is>
          <t>Clarification</t>
        </is>
      </c>
      <c r="B25" s="53" t="inlineStr">
        <is>
          <t>The OFFER response is ambiguous or incomplete such that a formal RFI/clarification is needed before a disposition can be assigned.</t>
        </is>
      </c>
      <c r="C25" s="79" t="n"/>
      <c r="D25" s="80" t="n"/>
    </row>
    <row r="26" ht="30" customHeight="1">
      <c r="A26" s="51" t="inlineStr">
        <is>
          <t>Not Fulfilled (NF)</t>
        </is>
      </c>
      <c r="B26" s="53" t="inlineStr">
        <is>
          <t>The OFFER response does not address the requirement at all, or contradicts it, with no evidence of compliance.</t>
        </is>
      </c>
      <c r="C26" s="79" t="n"/>
      <c r="D26" s="80" t="n"/>
    </row>
    <row r="27" ht="30" customHeight="1">
      <c r="A27" s="51" t="inlineStr">
        <is>
          <t>Partially Fulfilled</t>
        </is>
      </c>
      <c r="B27" s="53" t="inlineStr">
        <is>
          <t>Some but not all elements of a multi-part requirement are evidenced.</t>
        </is>
      </c>
      <c r="C27" s="79" t="n"/>
      <c r="D27" s="80" t="n"/>
    </row>
    <row r="28" ht="30" customHeight="1">
      <c r="A28" s="51" t="inlineStr">
        <is>
          <t>Conditionally Accepted</t>
        </is>
      </c>
      <c r="B28" s="53" t="inlineStr">
        <is>
          <t>Acceptable subject to a stated follow-up condition (e.g. a document still to be delivered, a test still to be witnessed).</t>
        </is>
      </c>
      <c r="C28" s="79" t="n"/>
      <c r="D28" s="80" t="n"/>
    </row>
    <row r="29" ht="30" customHeight="1">
      <c r="A29" s="51" t="inlineStr">
        <is>
          <t>Unconditionally Accepted</t>
        </is>
      </c>
      <c r="B29" s="53" t="inlineStr">
        <is>
          <t>Fully evidenced and compliant with no outstanding condition.</t>
        </is>
      </c>
      <c r="C29" s="79" t="n"/>
      <c r="D29" s="80" t="n"/>
    </row>
    <row r="31" ht="58" customHeight="1">
      <c r="A31" s="56" t="inlineStr">
        <is>
          <t>Relationship to STATUS (Compliance_Legend): STATUS is the document-review triage state used per-bidder in EVALUATION_WORKSPACE (OK / OK-Minor / Minor disc. / Major disc. / NOK / MISS / ERROR / TBD). The disposition vocabulary above is the RTM-level compliance FINDING recorded once a reviewer has read the OFFER text against a specific requirement. The two track different things -- workspace-level triage vs. per-requirement compliance finding -- and are not meant to be forced into a 1:1 mapping.</t>
        </is>
      </c>
    </row>
    <row r="34">
      <c r="A34" s="55" t="inlineStr">
        <is>
          <t>Classification coverage &amp; confidence</t>
        </is>
      </c>
    </row>
    <row r="35" ht="60" customHeight="1">
      <c r="A35" s="84" t="inlineStr">
        <is>
          <t>43 T0 Gate RTMs above were individually hand-read and classified (shown in bold black in RTM_RANKING/RTM_REVIEW_QUEUE). The remaining 679 RTMs' Requirement Type and Category (shown in italic blue) are RULE-CLASSIFIED -- a keyword/domain heuristic (classify_all_rtms.py), not a hand review. Their Subcategory is left as "—" (not sub-typed this round) rather than guessed. Treat italic-blue rows as a starting point for review, not a verified classification.</t>
        </is>
      </c>
    </row>
    <row r="37" ht="90" customHeight="1">
      <c r="A37" s="84" t="inlineStr">
        <is>
          <t>Cluster: 293 RTMs have a Direct/Supporting/Broad/Contextual crosswalk link to an OFFER item (shown in plain black, e.g. "C7 — Quality, Testing &amp; Risk"). The other 429 had no link at all. 353 of those got an INFERRED cluster (shown in italic amber, e.g. "Inferred: C4 — Software &amp; Control (medium conf.)") from their Domain's cluster affinity among the 293 known links (plus a keyword tie-break for the ambiguous Subsystems domain). 76 RTMs (Technical Documentation, Safety &amp; Protection, Cryogenic Interfaces, Commissioning, Installation, Transport &amp; Logistics) are left "Not linked to an OFFER item" because their whole domain has zero ground-truth links to infer from -- guessing without any grounding data would cross into fabrication, so those are left honestly unclassified instead.</t>
        </is>
      </c>
    </row>
    <row r="40">
      <c r="A40" s="55" t="inlineStr">
        <is>
          <t>OFFER evidence-type vocabulary (by EPIC)</t>
        </is>
      </c>
    </row>
    <row r="41">
      <c r="A41" s="196" t="inlineStr">
        <is>
          <t>EPIC</t>
        </is>
      </c>
      <c r="B41" s="196" t="inlineStr">
        <is>
          <t>Evidence-type descriptor (canonical wording -- DELIVERABLES!F reuses this verbatim)</t>
        </is>
      </c>
    </row>
    <row r="42" ht="30" customHeight="1">
      <c r="A42" s="197" t="inlineStr">
        <is>
          <t>SYSTEM_PERFORMANCE</t>
        </is>
      </c>
      <c r="B42" s="198" t="inlineStr">
        <is>
          <t>Calculation/model plus calibrated measurement or witnessed test against the stated performance criteria.</t>
        </is>
      </c>
      <c r="C42" s="205" t="n"/>
      <c r="D42" s="205" t="n"/>
      <c r="E42" s="205" t="n"/>
      <c r="F42" s="206" t="n"/>
    </row>
    <row r="43" ht="30" customHeight="1">
      <c r="A43" s="197" t="inlineStr">
        <is>
          <t>PROCESS_DESIGN</t>
        </is>
      </c>
      <c r="B43" s="198" t="inlineStr">
        <is>
          <t>Process/design documentation review (P&amp;ID, mass/energy balance, or equivalent) against the stated design criteria.</t>
        </is>
      </c>
      <c r="C43" s="205" t="n"/>
      <c r="D43" s="205" t="n"/>
      <c r="E43" s="205" t="n"/>
      <c r="F43" s="206" t="n"/>
    </row>
    <row r="44" ht="30" customHeight="1">
      <c r="A44" s="197" t="inlineStr">
        <is>
          <t>MECHANICAL_DESIGN</t>
        </is>
      </c>
      <c r="B44" s="198" t="inlineStr">
        <is>
          <t>Design/fabrication documentation review (drawings, material certificates, weld/NDT records) against the stated criteria.</t>
        </is>
      </c>
      <c r="C44" s="205" t="n"/>
      <c r="D44" s="205" t="n"/>
      <c r="E44" s="205" t="n"/>
      <c r="F44" s="206" t="n"/>
    </row>
    <row r="45" ht="30" customHeight="1">
      <c r="A45" s="197" t="inlineStr">
        <is>
          <t>SOFTWARE</t>
        </is>
      </c>
      <c r="B45" s="198" t="inlineStr">
        <is>
          <t>Functional design/configuration review and interface or sequence demonstration (FAT/SAT) against the stated behaviour.</t>
        </is>
      </c>
      <c r="C45" s="205" t="n"/>
      <c r="D45" s="205" t="n"/>
      <c r="E45" s="205" t="n"/>
      <c r="F45" s="206" t="n"/>
    </row>
    <row r="46" ht="30" customHeight="1">
      <c r="A46" s="197" t="inlineStr">
        <is>
          <t>CONTROL_SYSTEM</t>
        </is>
      </c>
      <c r="B46" s="198" t="inlineStr">
        <is>
          <t>Functional design/configuration review and interface or sequence demonstration (FAT/SAT) against the stated behaviour.</t>
        </is>
      </c>
      <c r="C46" s="205" t="n"/>
      <c r="D46" s="205" t="n"/>
      <c r="E46" s="205" t="n"/>
      <c r="F46" s="206" t="n"/>
    </row>
    <row r="47" ht="30" customHeight="1">
      <c r="A47" s="197" t="inlineStr">
        <is>
          <t>INFRASTRUCTURE</t>
        </is>
      </c>
      <c r="B47" s="198" t="inlineStr">
        <is>
          <t>Design documentation review plus site or structural verification against the stated criteria.</t>
        </is>
      </c>
      <c r="C47" s="205" t="n"/>
      <c r="D47" s="205" t="n"/>
      <c r="E47" s="205" t="n"/>
      <c r="F47" s="206" t="n"/>
    </row>
    <row r="48" ht="30" customHeight="1">
      <c r="A48" s="197" t="inlineStr">
        <is>
          <t>OPERATIONS_MAINTENANCE</t>
        </is>
      </c>
      <c r="B48" s="198" t="inlineStr">
        <is>
          <t>Procedure/plan document review plus RAM or maintenance substantiation.</t>
        </is>
      </c>
      <c r="C48" s="205" t="n"/>
      <c r="D48" s="205" t="n"/>
      <c r="E48" s="205" t="n"/>
      <c r="F48" s="206" t="n"/>
    </row>
    <row r="49" ht="30" customHeight="1">
      <c r="A49" s="197" t="inlineStr">
        <is>
          <t>QUALITY_RISK</t>
        </is>
      </c>
      <c r="B49" s="198" t="inlineStr">
        <is>
          <t>Document review, audit, or a traceable QC/risk-register record against the stated criteria.</t>
        </is>
      </c>
      <c r="C49" s="205" t="n"/>
      <c r="D49" s="205" t="n"/>
      <c r="E49" s="205" t="n"/>
      <c r="F49" s="206" t="n"/>
    </row>
    <row r="50" ht="30" customHeight="1">
      <c r="A50" s="197" t="inlineStr">
        <is>
          <t>COMMERCIAL</t>
        </is>
      </c>
      <c r="B50" s="198" t="inlineStr">
        <is>
          <t>Document review and traceability/approval-status confirmation (a governance or commercial deliverable, not a technical test).</t>
        </is>
      </c>
      <c r="C50" s="205" t="n"/>
      <c r="D50" s="205" t="n"/>
      <c r="E50" s="205" t="n"/>
      <c r="F50" s="206" t="n"/>
    </row>
    <row r="51" ht="30" customHeight="1">
      <c r="A51" s="197" t="inlineStr">
        <is>
          <t>PROJECT_EXECUTION</t>
        </is>
      </c>
      <c r="B51" s="198" t="inlineStr">
        <is>
          <t>Document review and traceability/approval-status confirmation (a governance or commercial deliverable, not a technical test).</t>
        </is>
      </c>
      <c r="C51" s="205" t="n"/>
      <c r="D51" s="205" t="n"/>
      <c r="E51" s="205" t="n"/>
      <c r="F51" s="206" t="n"/>
    </row>
    <row r="54">
      <c r="A54" s="55" t="inlineStr">
        <is>
          <t>Category vs. Primary Dimension -- are they the same thing?</t>
        </is>
      </c>
    </row>
    <row r="55" ht="95" customHeight="1">
      <c r="A55" s="94" t="inlineStr">
        <is>
          <t>No -- confirmed by cross-tabulating the live data, not assumed. Category (RTM_RANKING/OFFER_RANKING) is a CONTENT classification -- what kind of requirement this is, using the same vocabulary as the Requirement Type subcategories above. Primary Dimension is a SCORING classification -- which of the seven frozen-weight BT axes (Safety/Legal, Reliability, Performance, Functional, Quality/Verifiability, Lifecycle, Cost -- defined once in WEIGHTS_METHOD, not repeated here) this item scored highest on. For most Category values the split across 3+ Primary Dimensions with no majority confirms these are genuinely different axes, not a duplicate label. The one exception worth knowing when reading the ranking: "Quality Assurance" RTMs (91%) and "Compliance / Quality" OFFER items (83%) score highest on Safety / Legal, not Quality / Verifiability, despite the category name -- don't assume a "Quality"-named category means the Quality/Verifiability dimension drove its score.</t>
        </is>
      </c>
    </row>
    <row r="57">
      <c r="A57" s="122" t="inlineStr">
        <is>
          <t>RTM: Category -&gt; top Primary Dimension (by share of that Category's RTMs)</t>
        </is>
      </c>
    </row>
    <row r="58">
      <c r="A58" s="196" t="inlineStr">
        <is>
          <t>Category</t>
        </is>
      </c>
      <c r="B58" s="196" t="inlineStr">
        <is>
          <t>n</t>
        </is>
      </c>
      <c r="C58" s="196" t="inlineStr">
        <is>
          <t>Top Primary Dimension</t>
        </is>
      </c>
      <c r="D58" s="196" t="inlineStr">
        <is>
          <t>Share</t>
        </is>
      </c>
    </row>
    <row r="59">
      <c r="A59" s="199" t="inlineStr">
        <is>
          <t>Performance</t>
        </is>
      </c>
      <c r="B59" s="199" t="n">
        <v>344</v>
      </c>
      <c r="C59" s="199" t="inlineStr">
        <is>
          <t>Performance</t>
        </is>
      </c>
      <c r="D59" s="199" t="inlineStr">
        <is>
          <t>47%</t>
        </is>
      </c>
    </row>
    <row r="60">
      <c r="A60" s="199" t="inlineStr">
        <is>
          <t>Governance &amp; Responsibility</t>
        </is>
      </c>
      <c r="B60" s="199" t="n">
        <v>114</v>
      </c>
      <c r="C60" s="199" t="inlineStr">
        <is>
          <t>Safety / Legal</t>
        </is>
      </c>
      <c r="D60" s="199" t="inlineStr">
        <is>
          <t>31%</t>
        </is>
      </c>
    </row>
    <row r="61">
      <c r="A61" s="199" t="inlineStr">
        <is>
          <t>Documentation &amp; Compliance</t>
        </is>
      </c>
      <c r="B61" s="199" t="n">
        <v>90</v>
      </c>
      <c r="C61" s="199" t="inlineStr">
        <is>
          <t>Safety / Legal</t>
        </is>
      </c>
      <c r="D61" s="199" t="inlineStr">
        <is>
          <t>34%</t>
        </is>
      </c>
    </row>
    <row r="62">
      <c r="A62" s="199" t="inlineStr">
        <is>
          <t>Control</t>
        </is>
      </c>
      <c r="B62" s="199" t="n">
        <v>74</v>
      </c>
      <c r="C62" s="199" t="inlineStr">
        <is>
          <t>Performance</t>
        </is>
      </c>
      <c r="D62" s="199" t="inlineStr">
        <is>
          <t>39%</t>
        </is>
      </c>
    </row>
    <row r="63">
      <c r="A63" s="199" t="inlineStr">
        <is>
          <t>Quality Assurance</t>
        </is>
      </c>
      <c r="B63" s="199" t="n">
        <v>45</v>
      </c>
      <c r="C63" s="199" t="inlineStr">
        <is>
          <t>Safety / Legal</t>
        </is>
      </c>
      <c r="D63" s="199" t="inlineStr">
        <is>
          <t>91%</t>
        </is>
      </c>
    </row>
    <row r="64">
      <c r="A64" s="199" t="inlineStr">
        <is>
          <t>Constraint</t>
        </is>
      </c>
      <c r="B64" s="199" t="n">
        <v>33</v>
      </c>
      <c r="C64" s="199" t="inlineStr">
        <is>
          <t>Performance</t>
        </is>
      </c>
      <c r="D64" s="199" t="inlineStr">
        <is>
          <t>30%</t>
        </is>
      </c>
    </row>
    <row r="65">
      <c r="A65" s="199" t="inlineStr">
        <is>
          <t>Interlock &amp; Control Safety</t>
        </is>
      </c>
      <c r="B65" s="199" t="n">
        <v>12</v>
      </c>
      <c r="C65" s="199" t="inlineStr">
        <is>
          <t>Safety / Legal</t>
        </is>
      </c>
      <c r="D65" s="199" t="inlineStr">
        <is>
          <t>50%</t>
        </is>
      </c>
    </row>
    <row r="66">
      <c r="A66" s="199" t="inlineStr">
        <is>
          <t>Equipment Protection</t>
        </is>
      </c>
      <c r="B66" s="199" t="n">
        <v>6</v>
      </c>
      <c r="C66" s="199" t="inlineStr">
        <is>
          <t>Safety / Legal</t>
        </is>
      </c>
      <c r="D66" s="199" t="inlineStr">
        <is>
          <t>50%</t>
        </is>
      </c>
    </row>
    <row r="67">
      <c r="A67" s="199" t="inlineStr">
        <is>
          <t>Personnel Protection</t>
        </is>
      </c>
      <c r="B67" s="199" t="n">
        <v>3</v>
      </c>
      <c r="C67" s="199" t="inlineStr">
        <is>
          <t>Safety / Legal</t>
        </is>
      </c>
      <c r="D67" s="199" t="inlineStr">
        <is>
          <t>100%</t>
        </is>
      </c>
    </row>
    <row r="68">
      <c r="A68" s="199" t="inlineStr">
        <is>
          <t>Regulatory / Certification</t>
        </is>
      </c>
      <c r="B68" s="199" t="n">
        <v>1</v>
      </c>
      <c r="C68" s="199" t="inlineStr">
        <is>
          <t>Safety / Legal</t>
        </is>
      </c>
      <c r="D68" s="199" t="inlineStr">
        <is>
          <t>100%</t>
        </is>
      </c>
    </row>
    <row r="70">
      <c r="A70" s="122" t="inlineStr">
        <is>
          <t>OFFER: Category -&gt; top Primary Dimension (by share of that Category's OFFER items)</t>
        </is>
      </c>
    </row>
    <row r="71">
      <c r="A71" s="196" t="inlineStr">
        <is>
          <t>Category</t>
        </is>
      </c>
      <c r="B71" s="196" t="inlineStr">
        <is>
          <t>n</t>
        </is>
      </c>
      <c r="C71" s="196" t="inlineStr">
        <is>
          <t>Top Primary Dimension</t>
        </is>
      </c>
      <c r="D71" s="196" t="inlineStr">
        <is>
          <t>Share</t>
        </is>
      </c>
    </row>
    <row r="72">
      <c r="A72" s="199" t="inlineStr">
        <is>
          <t>Performance / Process / Utilities</t>
        </is>
      </c>
      <c r="B72" s="199" t="n">
        <v>15</v>
      </c>
      <c r="C72" s="199" t="inlineStr">
        <is>
          <t>Performance</t>
        </is>
      </c>
      <c r="D72" s="199" t="inlineStr">
        <is>
          <t>60%</t>
        </is>
      </c>
    </row>
    <row r="73">
      <c r="A73" s="199" t="inlineStr">
        <is>
          <t>Configuration / Layout / Support</t>
        </is>
      </c>
      <c r="B73" s="199" t="n">
        <v>11</v>
      </c>
      <c r="C73" s="199" t="inlineStr">
        <is>
          <t>Functional</t>
        </is>
      </c>
      <c r="D73" s="199" t="inlineStr">
        <is>
          <t>36%</t>
        </is>
      </c>
    </row>
    <row r="74">
      <c r="A74" s="199" t="inlineStr">
        <is>
          <t>Controls / Software / Management</t>
        </is>
      </c>
      <c r="B74" s="199" t="n">
        <v>10</v>
      </c>
      <c r="C74" s="199" t="inlineStr">
        <is>
          <t>Functional</t>
        </is>
      </c>
      <c r="D74" s="199" t="inlineStr">
        <is>
          <t>60%</t>
        </is>
      </c>
    </row>
    <row r="75">
      <c r="A75" s="199" t="inlineStr">
        <is>
          <t>Reliability / RAM / Service</t>
        </is>
      </c>
      <c r="B75" s="199" t="n">
        <v>8</v>
      </c>
      <c r="C75" s="199" t="inlineStr">
        <is>
          <t>Reliability</t>
        </is>
      </c>
      <c r="D75" s="199" t="inlineStr">
        <is>
          <t>88%</t>
        </is>
      </c>
    </row>
    <row r="76">
      <c r="A76" s="199" t="inlineStr">
        <is>
          <t>Compliance / Quality</t>
        </is>
      </c>
      <c r="B76" s="199" t="n">
        <v>6</v>
      </c>
      <c r="C76" s="199" t="inlineStr">
        <is>
          <t>Safety / Legal</t>
        </is>
      </c>
      <c r="D76" s="199" t="inlineStr">
        <is>
          <t>83%</t>
        </is>
      </c>
    </row>
    <row r="78">
      <c r="A78" s="73" t="inlineStr">
        <is>
          <t>RTM ↔ OFFER Relation Types (crosswalk)</t>
        </is>
      </c>
    </row>
    <row r="79" ht="30" customHeight="1">
      <c r="A79" s="203" t="inlineStr">
        <is>
          <t>Live vocabulary from RTM_CROSSWALK!J (Relation type), bucketed into the same 4 families the HTML Navigator's OFFER Lookup tab colour-codes. Counts below are computed directly from the current crosswalk, not estimated. This answers the 'what does each relation type mean and how/why is it used' question raised against the Navigator's colour-coded link-type badges.</t>
        </is>
      </c>
    </row>
    <row r="81" ht="18" customHeight="1">
      <c r="A81" s="204" t="inlineStr">
        <is>
          <t>Relation type</t>
        </is>
      </c>
      <c r="B81" s="204" t="inlineStr">
        <is>
          <t>Count</t>
        </is>
      </c>
      <c r="C81" s="204" t="inlineStr">
        <is>
          <t>Share</t>
        </is>
      </c>
      <c r="D81" s="204" t="inlineStr">
        <is>
          <t>Definition</t>
        </is>
      </c>
      <c r="E81" s="204" t="inlineStr">
        <is>
          <t>How/why it's used</t>
        </is>
      </c>
      <c r="F81" s="204" t="inlineStr">
        <is>
          <t>Live example</t>
        </is>
      </c>
    </row>
    <row r="82" ht="58" customHeight="1">
      <c r="A82" s="207" t="inlineStr">
        <is>
          <t>Direct</t>
        </is>
      </c>
      <c r="B82" s="208" t="n">
        <v>190</v>
      </c>
      <c r="C82" s="208" t="inlineStr">
        <is>
          <t>50.4%</t>
        </is>
      </c>
      <c r="D82" s="209" t="inlineStr">
        <is>
          <t>The linked RTM is the exact contract clause (or the primary evidence anchor) the OFFER text is answering -- same section, one-to-one match. The tightest link type: treat as the item's real compliance basis.</t>
        </is>
      </c>
      <c r="E82" s="209" t="inlineStr">
        <is>
          <t>Confirm the OFFER response actually addresses this specific clause, not just the general topic.</t>
        </is>
      </c>
      <c r="F82" s="209" t="inlineStr">
        <is>
          <t>Direct — primary evidence anchor</t>
        </is>
      </c>
    </row>
    <row r="83" ht="58" customHeight="1">
      <c r="A83" s="210" t="inlineStr">
        <is>
          <t>Supporting</t>
        </is>
      </c>
      <c r="B83" s="199" t="n">
        <v>137</v>
      </c>
      <c r="C83" s="199" t="inlineStr">
        <is>
          <t>36.3%</t>
        </is>
      </c>
      <c r="D83" s="198" t="inlineStr">
        <is>
          <t>The RTM shares a section, subsystem, or thematic grouping with the OFFER item (FAT/SAT structure, applicable-standards subsections, schedule phases, QAP detail, warranty context) but is not the exact clause being answered -- contextual reinforcement, not standalone fulfilment.</t>
        </is>
      </c>
      <c r="E83" s="198" t="inlineStr">
        <is>
          <t>Useful corroboration, but don't treat as a complete compliance answer on its own -- check whether a Direct link also exists.</t>
        </is>
      </c>
      <c r="F83" s="198" t="inlineStr">
        <is>
          <t>Supporting — shared section</t>
        </is>
      </c>
    </row>
    <row r="84" ht="58" customHeight="1">
      <c r="A84" s="211" t="inlineStr">
        <is>
          <t>Broad/contextual</t>
        </is>
      </c>
      <c r="B84" s="208" t="n">
        <v>44</v>
      </c>
      <c r="C84" s="208" t="inlineStr">
        <is>
          <t>11.7%</t>
        </is>
      </c>
      <c r="D84" s="209" t="inlineStr">
        <is>
          <t>The OFFER item asks a broad, top-level question (e.g. "what are the key specifications") that a whole cluster of subsystem-level RTMs feeds into, without a clause-by-clause match to any single one.</t>
        </is>
      </c>
      <c r="E84" s="209" t="inlineStr">
        <is>
          <t>Expect several RTMs per OFFER item here by design -- this is a many-to-one relationship, not a missing Direct link.</t>
        </is>
      </c>
      <c r="F84" s="209" t="inlineStr">
        <is>
          <t>Broad/contextual — main component specification</t>
        </is>
      </c>
    </row>
    <row r="85" ht="58" customHeight="1">
      <c r="A85" s="212" t="inlineStr">
        <is>
          <t>Contextual</t>
        </is>
      </c>
      <c r="B85" s="199" t="n">
        <v>6</v>
      </c>
      <c r="C85" s="199" t="inlineStr">
        <is>
          <t>1.6%</t>
        </is>
      </c>
      <c r="D85" s="198" t="inlineStr">
        <is>
          <t>The OFFER item asks something that is not itself an RTM requirement (a techno-economic comparison, a maintenance-hours estimate, a commercial price extension) -- the linked RTMs provide background/definitional context for judging the OFFER answer, not a compliance match.</t>
        </is>
      </c>
      <c r="E85" s="198" t="inlineStr">
        <is>
          <t>Don't score these as evidence gaps -- the RTM was never going to be a direct answer to this kind of OFFER ask.</t>
        </is>
      </c>
      <c r="F85" s="198" t="inlineStr">
        <is>
          <t>Contextual — offer-only comparative justification</t>
        </is>
      </c>
    </row>
    <row r="87" ht="32" customHeight="1">
      <c r="A87" s="201" t="inlineStr">
        <is>
          <t>377 total crosswalk rows across 293 linked RTMs (a single RTM can appear against more than one OFFER item, so row count &gt; linked-RTM count). Bucketed from RTM_CROSSWALK!J's live sub-typed values (e.g. "Direct — exact contract section", "Supporting — FAT/SAT detailed requirements") -- see RTM_CROSSWALK!J directly for the finer-grained sub-classification within each of these 4 families.</t>
        </is>
      </c>
    </row>
  </sheetData>
  <mergeCells count="27">
    <mergeCell ref="B47:F47"/>
    <mergeCell ref="A37:I37"/>
    <mergeCell ref="A20:D20"/>
    <mergeCell ref="B46:F46"/>
    <mergeCell ref="B29:D29"/>
    <mergeCell ref="A55:F55"/>
    <mergeCell ref="B28:D28"/>
    <mergeCell ref="B43:F43"/>
    <mergeCell ref="A31:D31"/>
    <mergeCell ref="B48:F48"/>
    <mergeCell ref="B42:F42"/>
    <mergeCell ref="A11:D11"/>
    <mergeCell ref="A35:I35"/>
    <mergeCell ref="B24:D24"/>
    <mergeCell ref="B44:F44"/>
    <mergeCell ref="A1:D1"/>
    <mergeCell ref="B26:D26"/>
    <mergeCell ref="B25:D25"/>
    <mergeCell ref="B49:F49"/>
    <mergeCell ref="B51:F51"/>
    <mergeCell ref="A79:F79"/>
    <mergeCell ref="B27:D27"/>
    <mergeCell ref="B45:F45"/>
    <mergeCell ref="A2:D2"/>
    <mergeCell ref="A78:F78"/>
    <mergeCell ref="B50:F50"/>
    <mergeCell ref="A87:F87"/>
  </mergeCells>
  <pageMargins left="0.75" right="0.75" top="1" bottom="1" header="0.5" footer="0.5"/>
</worksheet>
</file>

<file path=xl/worksheets/sheet16.xml><?xml version="1.0" encoding="utf-8"?>
<worksheet xmlns="http://schemas.openxmlformats.org/spreadsheetml/2006/main">
  <sheetPr>
    <tabColor rgb="001FA7A0"/>
    <outlinePr summaryBelow="1" summaryRight="1"/>
    <pageSetUpPr/>
  </sheetPr>
  <dimension ref="A1:L41"/>
  <sheetViews>
    <sheetView topLeftCell="A1" zoomScale="90" zoomScaleNormal="90" workbookViewId="0">
      <selection activeCell="A1" sqref="A1"/>
    </sheetView>
  </sheetViews>
  <sheetFormatPr baseColWidth="8" defaultRowHeight="15"/>
  <cols>
    <col width="30" customWidth="1" min="1" max="1"/>
    <col width="12" customWidth="1" min="2" max="2"/>
    <col width="13" customWidth="1" min="3" max="3"/>
    <col width="10" customWidth="1" min="4" max="4"/>
    <col width="13" customWidth="1" min="5" max="5"/>
    <col width="13" customWidth="1" min="6" max="6"/>
    <col width="16" customWidth="1" min="7" max="7"/>
    <col width="12" customWidth="1" min="9" max="9"/>
    <col width="52" customWidth="1" min="10" max="10"/>
    <col width="16" customWidth="1" min="11" max="11"/>
    <col width="18" customWidth="1" min="12" max="12"/>
  </cols>
  <sheetData>
    <row r="1" ht="32.1" customHeight="1">
      <c r="A1" s="41" t="inlineStr">
        <is>
          <t>RTM domain summary</t>
        </is>
      </c>
    </row>
    <row r="2" ht="30" customHeight="1">
      <c r="A2" s="42" t="inlineStr">
        <is>
          <t>Counts and average importance by contract domain for review allocation.</t>
        </is>
      </c>
    </row>
    <row r="3" ht="21.95" customHeight="1">
      <c r="A3" s="186">
        <f>HYPERLINK("#START_HERE!A1","Start")</f>
        <v/>
      </c>
      <c r="B3" s="186">
        <f>HYPERLINK("#DASHBOARD!A1","Dashboard")</f>
        <v/>
      </c>
      <c r="C3" s="186">
        <f>HYPERLINK("#RTM_RANKING!A1","Ranking")</f>
        <v/>
      </c>
      <c r="D3" s="186">
        <f>HYPERLINK("#DOMAIN_SUMMARY!A1","Domains")</f>
        <v/>
      </c>
      <c r="E3" s="186">
        <f>HYPERLINK("#WEIGHTS_METHOD!A1","Method")</f>
        <v/>
      </c>
      <c r="F3" s="186">
        <f>HYPERLINK("#STANDARDS!A1","Standards")</f>
        <v/>
      </c>
      <c r="G3" s="186">
        <f>HYPERLINK("#DELIVERABLES!A1","Proof")</f>
        <v/>
      </c>
      <c r="H3" s="24" t="n"/>
      <c r="I3" s="24" t="n"/>
      <c r="J3" s="24" t="n"/>
      <c r="K3" s="24" t="n"/>
      <c r="L3" s="24" t="n"/>
    </row>
    <row r="5" ht="33.95" customHeight="1">
      <c r="A5" s="25" t="inlineStr">
        <is>
          <t>Domain</t>
        </is>
      </c>
      <c r="B5" s="25" t="inlineStr">
        <is>
          <t>RTM count</t>
        </is>
      </c>
      <c r="C5" s="25" t="inlineStr">
        <is>
          <t>Gate count</t>
        </is>
      </c>
      <c r="D5" s="25" t="inlineStr">
        <is>
          <t>T1 count</t>
        </is>
      </c>
      <c r="E5" s="25" t="inlineStr">
        <is>
          <t>T2 count</t>
        </is>
      </c>
      <c r="F5" s="25" t="inlineStr">
        <is>
          <t>T3 count</t>
        </is>
      </c>
      <c r="G5" s="25" t="inlineStr">
        <is>
          <t>Average Weighted S</t>
        </is>
      </c>
      <c r="H5" s="25" t="inlineStr">
        <is>
          <t>Maximum Weighted S</t>
        </is>
      </c>
      <c r="I5" s="25" t="inlineStr">
        <is>
          <t>Top RTM</t>
        </is>
      </c>
      <c r="J5" s="25" t="inlineStr">
        <is>
          <t>Top RTM statement</t>
        </is>
      </c>
      <c r="K5" s="25" t="inlineStr">
        <is>
          <t>Explicit standards</t>
        </is>
      </c>
      <c r="L5" s="25" t="inlineStr">
        <is>
          <t>Explicit deliverables</t>
        </is>
      </c>
    </row>
    <row r="6" ht="44.1" customHeight="1">
      <c r="A6" s="6" t="inlineStr">
        <is>
          <t>Subsystems</t>
        </is>
      </c>
      <c r="B6" s="6" t="n">
        <v>202</v>
      </c>
      <c r="C6" s="6" t="n">
        <v>0</v>
      </c>
      <c r="D6" s="6" t="n">
        <v>50</v>
      </c>
      <c r="E6" s="6" t="n">
        <v>77</v>
      </c>
      <c r="F6" s="6" t="n">
        <v>75</v>
      </c>
      <c r="G6" s="6" t="n">
        <v>31.9587</v>
      </c>
      <c r="H6" s="6" t="n">
        <v>64.66670000000001</v>
      </c>
      <c r="I6" s="6" t="inlineStr">
        <is>
          <t>RTM-161</t>
        </is>
      </c>
      <c r="J6" s="6" t="inlineStr">
        <is>
          <t>The Contractor shall include, in the operation and maintenance manual, at minimum, the following oil-related information:</t>
        </is>
      </c>
      <c r="K6" s="6" t="n">
        <v>5</v>
      </c>
      <c r="L6" s="6" t="n">
        <v>13</v>
      </c>
    </row>
    <row r="7" ht="44.1" customHeight="1">
      <c r="A7" s="6" t="inlineStr">
        <is>
          <t>Control &amp; Interlock</t>
        </is>
      </c>
      <c r="B7" s="6" t="n">
        <v>86</v>
      </c>
      <c r="C7" s="6" t="n">
        <v>1</v>
      </c>
      <c r="D7" s="6" t="n">
        <v>14</v>
      </c>
      <c r="E7" s="6" t="n">
        <v>16</v>
      </c>
      <c r="F7" s="6" t="n">
        <v>55</v>
      </c>
      <c r="G7" s="6" t="n">
        <v>24.907</v>
      </c>
      <c r="H7" s="6" t="n">
        <v>66.33329999999999</v>
      </c>
      <c r="I7" s="6" t="inlineStr">
        <is>
          <t>RTM-327</t>
        </is>
      </c>
      <c r="J7" s="6" t="inlineStr">
        <is>
          <t>The Contractor shall identify all products with digital elements (as per the EU Cyber Resilience Act (CRA)), which are used in the system. For each of these the Contractor shall (1) verify that Commercial Off-The-Shelf (COTS) products have a valid CE marking, and (2) provide technical documentation and a Declaration of Conformity to show compliance with the CRA for custom-built products. For both the documentation shall be provided to SCK CEN for review and approval prior to SAT.</t>
        </is>
      </c>
      <c r="K7" s="6" t="n">
        <v>4</v>
      </c>
      <c r="L7" s="6" t="n">
        <v>15</v>
      </c>
    </row>
    <row r="8" ht="44.1" customHeight="1">
      <c r="A8" s="6" t="inlineStr">
        <is>
          <t>Acceptance Testing</t>
        </is>
      </c>
      <c r="B8" s="6" t="n">
        <v>66</v>
      </c>
      <c r="C8" s="6" t="n">
        <v>1</v>
      </c>
      <c r="D8" s="6" t="n">
        <v>30</v>
      </c>
      <c r="E8" s="6" t="n">
        <v>28</v>
      </c>
      <c r="F8" s="6" t="n">
        <v>7</v>
      </c>
      <c r="G8" s="6" t="n">
        <v>36.9646</v>
      </c>
      <c r="H8" s="6" t="n">
        <v>67.33329999999999</v>
      </c>
      <c r="I8" s="6" t="inlineStr">
        <is>
          <t>RTM-514</t>
        </is>
      </c>
      <c r="J8" s="6" t="inlineStr">
        <is>
          <t>The Contractor shall demonstrate the correct operational behaviour of the safety-related functions during the SAT.</t>
        </is>
      </c>
      <c r="K8" s="6" t="n">
        <v>0</v>
      </c>
      <c r="L8" s="6" t="n">
        <v>13</v>
      </c>
    </row>
    <row r="9" ht="44.1" customHeight="1">
      <c r="A9" s="6" t="inlineStr">
        <is>
          <t>Buildings &amp; Utilities</t>
        </is>
      </c>
      <c r="B9" s="6" t="n">
        <v>53</v>
      </c>
      <c r="C9" s="6" t="n">
        <v>0</v>
      </c>
      <c r="D9" s="6" t="n">
        <v>19</v>
      </c>
      <c r="E9" s="6" t="n">
        <v>7</v>
      </c>
      <c r="F9" s="6" t="n">
        <v>27</v>
      </c>
      <c r="G9" s="6" t="n">
        <v>31.9497</v>
      </c>
      <c r="H9" s="6" t="n">
        <v>58</v>
      </c>
      <c r="I9" s="6" t="inlineStr">
        <is>
          <t>RTM-416</t>
        </is>
      </c>
      <c r="J9" s="6" t="inlineStr">
        <is>
          <t>The water heat exchangers shall comply with the following water conditions:</t>
        </is>
      </c>
      <c r="K9" s="6" t="n">
        <v>4</v>
      </c>
      <c r="L9" s="6" t="n">
        <v>2</v>
      </c>
    </row>
    <row r="10" ht="44.1" customHeight="1">
      <c r="A10" s="6" t="inlineStr">
        <is>
          <t>Process &amp; Functional</t>
        </is>
      </c>
      <c r="B10" s="6" t="n">
        <v>49</v>
      </c>
      <c r="C10" s="6" t="n">
        <v>0</v>
      </c>
      <c r="D10" s="6" t="n">
        <v>15</v>
      </c>
      <c r="E10" s="6" t="n">
        <v>22</v>
      </c>
      <c r="F10" s="6" t="n">
        <v>12</v>
      </c>
      <c r="G10" s="6" t="n">
        <v>34.483</v>
      </c>
      <c r="H10" s="6" t="n">
        <v>61.3333</v>
      </c>
      <c r="I10" s="6" t="inlineStr">
        <is>
          <t>RTM-026</t>
        </is>
      </c>
      <c r="J10" s="6" t="inlineStr">
        <is>
          <t>The Contractor shall provide documented procedures for purging and conditioning of the QPS. The procedures shall include, at minimum:</t>
        </is>
      </c>
      <c r="K10" s="6" t="n">
        <v>0</v>
      </c>
      <c r="L10" s="6" t="n">
        <v>5</v>
      </c>
    </row>
    <row r="11" ht="44.1" customHeight="1">
      <c r="A11" s="6" t="inlineStr">
        <is>
          <t>Quality Assurance &amp; Control</t>
        </is>
      </c>
      <c r="B11" s="6" t="n">
        <v>45</v>
      </c>
      <c r="C11" s="6" t="n">
        <v>1</v>
      </c>
      <c r="D11" s="6" t="n">
        <v>5</v>
      </c>
      <c r="E11" s="6" t="n">
        <v>39</v>
      </c>
      <c r="F11" s="6" t="n">
        <v>0</v>
      </c>
      <c r="G11" s="6" t="n">
        <v>29.037</v>
      </c>
      <c r="H11" s="6" t="n">
        <v>57.6667</v>
      </c>
      <c r="I11" s="6" t="inlineStr">
        <is>
          <t>RTM-686</t>
        </is>
      </c>
      <c r="J11" s="6" t="inlineStr">
        <is>
          <t>Together with the delivery, the Contractor shall submit to SCK CEN a Declaration of Conformity certifying that all the requirements have been met. Such declaration shall include at least the following information:</t>
        </is>
      </c>
      <c r="K11" s="6" t="n">
        <v>5</v>
      </c>
      <c r="L11" s="6" t="n">
        <v>16</v>
      </c>
    </row>
    <row r="12" ht="44.1" customHeight="1">
      <c r="A12" s="6" t="inlineStr">
        <is>
          <t>Design &amp; Fabrication</t>
        </is>
      </c>
      <c r="B12" s="6" t="n">
        <v>35</v>
      </c>
      <c r="C12" s="6" t="n">
        <v>0</v>
      </c>
      <c r="D12" s="6" t="n">
        <v>4</v>
      </c>
      <c r="E12" s="6" t="n">
        <v>5</v>
      </c>
      <c r="F12" s="6" t="n">
        <v>26</v>
      </c>
      <c r="G12" s="6" t="n">
        <v>23.6476</v>
      </c>
      <c r="H12" s="6" t="n">
        <v>56</v>
      </c>
      <c r="I12" s="6" t="inlineStr">
        <is>
          <t>RTM-462</t>
        </is>
      </c>
      <c r="J12" s="6" t="inlineStr">
        <is>
          <t>The examination of welds shall comply with the following requirements:</t>
        </is>
      </c>
      <c r="K12" s="6" t="n">
        <v>12</v>
      </c>
      <c r="L12" s="6" t="n">
        <v>14</v>
      </c>
    </row>
    <row r="13" ht="44.1" customHeight="1">
      <c r="A13" s="6" t="inlineStr">
        <is>
          <t>Technical Documentation</t>
        </is>
      </c>
      <c r="B13" s="6" t="n">
        <v>28</v>
      </c>
      <c r="C13" s="6" t="n">
        <v>0</v>
      </c>
      <c r="D13" s="6" t="n">
        <v>4</v>
      </c>
      <c r="E13" s="6" t="n">
        <v>4</v>
      </c>
      <c r="F13" s="6" t="n">
        <v>20</v>
      </c>
      <c r="G13" s="6" t="n">
        <v>26.8571</v>
      </c>
      <c r="H13" s="6" t="n">
        <v>52</v>
      </c>
      <c r="I13" s="6" t="inlineStr">
        <is>
          <t>RTM-573</t>
        </is>
      </c>
      <c r="J13" s="6" t="inlineStr">
        <is>
          <t>The Engineering File shall cover, at least, the following aspects:</t>
        </is>
      </c>
      <c r="K13" s="6" t="n">
        <v>3</v>
      </c>
      <c r="L13" s="6" t="n">
        <v>20</v>
      </c>
    </row>
    <row r="14" ht="44.1" customHeight="1">
      <c r="A14" s="6" t="inlineStr">
        <is>
          <t>Global Design Criteria</t>
        </is>
      </c>
      <c r="B14" s="6" t="n">
        <v>24</v>
      </c>
      <c r="C14" s="6" t="n">
        <v>1</v>
      </c>
      <c r="D14" s="6" t="n">
        <v>5</v>
      </c>
      <c r="E14" s="6" t="n">
        <v>13</v>
      </c>
      <c r="F14" s="6" t="n">
        <v>5</v>
      </c>
      <c r="G14" s="6" t="n">
        <v>30.6528</v>
      </c>
      <c r="H14" s="6" t="n">
        <v>47.6667</v>
      </c>
      <c r="I14" s="6" t="inlineStr">
        <is>
          <t>RTM-075</t>
        </is>
      </c>
      <c r="J14" s="6" t="inlineStr">
        <is>
          <t>If LN2 Precooling is implemented (§4.2.5), the Contractor shall include an equivalent electrical power contribution in the invCOP calculation based on fixed reference unit prices. To this end, the LN2 consumption shall be converted to an equivalent electrical power (W_LN2_eq) using:</t>
        </is>
      </c>
      <c r="K14" s="6" t="n">
        <v>1</v>
      </c>
      <c r="L14" s="6" t="n">
        <v>7</v>
      </c>
    </row>
    <row r="15" ht="44.1" customHeight="1">
      <c r="A15" s="6" t="inlineStr">
        <is>
          <t>Contract Performance</t>
        </is>
      </c>
      <c r="B15" s="6" t="n">
        <v>21</v>
      </c>
      <c r="C15" s="6" t="n">
        <v>0</v>
      </c>
      <c r="D15" s="6" t="n">
        <v>0</v>
      </c>
      <c r="E15" s="6" t="n">
        <v>2</v>
      </c>
      <c r="F15" s="6" t="n">
        <v>19</v>
      </c>
      <c r="G15" s="6" t="n">
        <v>16.5238</v>
      </c>
      <c r="H15" s="6" t="n">
        <v>35</v>
      </c>
      <c r="I15" s="6" t="inlineStr">
        <is>
          <t>RTM-633</t>
        </is>
      </c>
      <c r="J15" s="6" t="inlineStr">
        <is>
          <t>The Contractor shall implement a digital dashboard giving SCK CEN a snapshot up-to-date information on the status and progress of the Contract. The information shall be continuously (at least monthly) updated with the latest information. The Contractor shall produce and submit monthly progress reports to SCK CEN at least three Business Days prior to the monthly progress meeting. If comments or revisions arise during the progress meeting, the Contractor shall issue an updated version five business days after the meeting. The dashboard shall, as a minimum, include the following:</t>
        </is>
      </c>
      <c r="K15" s="6" t="n">
        <v>0</v>
      </c>
      <c r="L15" s="6" t="n">
        <v>4</v>
      </c>
    </row>
    <row r="16" ht="44.1" customHeight="1">
      <c r="A16" s="6" t="inlineStr">
        <is>
          <t>Safety &amp; Protection</t>
        </is>
      </c>
      <c r="B16" s="6" t="n">
        <v>20</v>
      </c>
      <c r="C16" s="6" t="n">
        <v>20</v>
      </c>
      <c r="D16" s="6" t="n">
        <v>0</v>
      </c>
      <c r="E16" s="6" t="n">
        <v>0</v>
      </c>
      <c r="F16" s="6" t="n">
        <v>0</v>
      </c>
      <c r="G16" s="6" t="n">
        <v>31.9</v>
      </c>
      <c r="H16" s="6" t="n">
        <v>58.6667</v>
      </c>
      <c r="I16" s="6" t="inlineStr">
        <is>
          <t>RTM-595</t>
        </is>
      </c>
      <c r="J16" s="6" t="inlineStr">
        <is>
          <t>The Contractor shall perform a risk analysis (e.g. HAZOP, FMECA, or an equivalent methodology) and shall implement the required mitigation measures.</t>
        </is>
      </c>
      <c r="K16" s="6" t="n">
        <v>3</v>
      </c>
      <c r="L16" s="6" t="n">
        <v>4</v>
      </c>
    </row>
    <row r="17" ht="44.1" customHeight="1">
      <c r="A17" s="6" t="inlineStr">
        <is>
          <t>Codes &amp; Standards</t>
        </is>
      </c>
      <c r="B17" s="6" t="n">
        <v>19</v>
      </c>
      <c r="C17" s="6" t="n">
        <v>15</v>
      </c>
      <c r="D17" s="6" t="n">
        <v>0</v>
      </c>
      <c r="E17" s="6" t="n">
        <v>2</v>
      </c>
      <c r="F17" s="6" t="n">
        <v>2</v>
      </c>
      <c r="G17" s="6" t="n">
        <v>28.7719</v>
      </c>
      <c r="H17" s="6" t="n">
        <v>62.6667</v>
      </c>
      <c r="I17" s="6" t="inlineStr">
        <is>
          <t>RTM-693</t>
        </is>
      </c>
      <c r="J17" s="6" t="inlineStr">
        <is>
          <t>To demonstrate conformity with the applicable EU directives, the Contractor shall submit the Technical File well before the shipment of the first QPS parts. The Technical File shall include at least:</t>
        </is>
      </c>
      <c r="K17" s="6" t="n">
        <v>12</v>
      </c>
      <c r="L17" s="6" t="n">
        <v>6</v>
      </c>
    </row>
    <row r="18" ht="44.1" customHeight="1">
      <c r="A18" s="6" t="inlineStr">
        <is>
          <t>Acceptance &amp; Warranty</t>
        </is>
      </c>
      <c r="B18" s="6" t="n">
        <v>17</v>
      </c>
      <c r="C18" s="6" t="n">
        <v>0</v>
      </c>
      <c r="D18" s="6" t="n">
        <v>1</v>
      </c>
      <c r="E18" s="6" t="n">
        <v>12</v>
      </c>
      <c r="F18" s="6" t="n">
        <v>4</v>
      </c>
      <c r="G18" s="6" t="n">
        <v>31.6275</v>
      </c>
      <c r="H18" s="6" t="n">
        <v>47</v>
      </c>
      <c r="I18" s="6" t="inlineStr">
        <is>
          <t>RTM-714</t>
        </is>
      </c>
      <c r="J18" s="6" t="inlineStr">
        <is>
          <t>The Contractor’s warranty obligation shall not apply:</t>
        </is>
      </c>
      <c r="K18" s="6" t="n">
        <v>0</v>
      </c>
      <c r="L18" s="6" t="n">
        <v>2</v>
      </c>
    </row>
    <row r="19" ht="44.1" customHeight="1">
      <c r="A19" s="6" t="inlineStr">
        <is>
          <t>Cryogenic Interfaces</t>
        </is>
      </c>
      <c r="B19" s="6" t="n">
        <v>17</v>
      </c>
      <c r="C19" s="6" t="n">
        <v>0</v>
      </c>
      <c r="D19" s="6" t="n">
        <v>0</v>
      </c>
      <c r="E19" s="6" t="n">
        <v>7</v>
      </c>
      <c r="F19" s="6" t="n">
        <v>10</v>
      </c>
      <c r="G19" s="6" t="n">
        <v>23.5294</v>
      </c>
      <c r="H19" s="6" t="n">
        <v>34.6667</v>
      </c>
      <c r="I19" s="6" t="inlineStr">
        <is>
          <t>RTM-289</t>
        </is>
      </c>
      <c r="J19" s="6" t="inlineStr">
        <is>
          <t>The flow conditions at QRB.U shall be:</t>
        </is>
      </c>
      <c r="K19" s="6" t="n">
        <v>0</v>
      </c>
      <c r="L19" s="6" t="n">
        <v>0</v>
      </c>
    </row>
    <row r="20" ht="44.1" customHeight="1">
      <c r="A20" s="6" t="inlineStr">
        <is>
          <t>Training</t>
        </is>
      </c>
      <c r="B20" s="6" t="n">
        <v>8</v>
      </c>
      <c r="C20" s="6" t="n">
        <v>0</v>
      </c>
      <c r="D20" s="6" t="n">
        <v>3</v>
      </c>
      <c r="E20" s="6" t="n">
        <v>4</v>
      </c>
      <c r="F20" s="6" t="n">
        <v>1</v>
      </c>
      <c r="G20" s="6" t="n">
        <v>36.75</v>
      </c>
      <c r="H20" s="6" t="n">
        <v>49.3333</v>
      </c>
      <c r="I20" s="6" t="inlineStr">
        <is>
          <t>RTM-487</t>
        </is>
      </c>
      <c r="J20" s="6" t="inlineStr">
        <is>
          <t>The operation and abnormal-event response training shall include, at minimum:</t>
        </is>
      </c>
      <c r="K20" s="6" t="n">
        <v>0</v>
      </c>
      <c r="L20" s="6" t="n">
        <v>3</v>
      </c>
    </row>
    <row r="21" ht="44.1" customHeight="1">
      <c r="A21" s="6" t="inlineStr">
        <is>
          <t>Schedule</t>
        </is>
      </c>
      <c r="B21" s="6" t="n">
        <v>7</v>
      </c>
      <c r="C21" s="6" t="n">
        <v>0</v>
      </c>
      <c r="D21" s="6" t="n">
        <v>0</v>
      </c>
      <c r="E21" s="6" t="n">
        <v>1</v>
      </c>
      <c r="F21" s="6" t="n">
        <v>6</v>
      </c>
      <c r="G21" s="6" t="n">
        <v>19.9524</v>
      </c>
      <c r="H21" s="6" t="n">
        <v>31.6667</v>
      </c>
      <c r="I21" s="6" t="inlineStr">
        <is>
          <t>RTM-620</t>
        </is>
      </c>
      <c r="J21" s="6" t="inlineStr">
        <is>
          <t>In this phase, the Contractor shall, at least, perform the following activities:</t>
        </is>
      </c>
      <c r="K21" s="6" t="n">
        <v>0</v>
      </c>
      <c r="L21" s="6" t="n">
        <v>3</v>
      </c>
    </row>
    <row r="22" ht="44.1" customHeight="1">
      <c r="A22" s="6" t="inlineStr">
        <is>
          <t>Other Deliverables</t>
        </is>
      </c>
      <c r="B22" s="6" t="n">
        <v>6</v>
      </c>
      <c r="C22" s="6" t="n">
        <v>0</v>
      </c>
      <c r="D22" s="6" t="n">
        <v>1</v>
      </c>
      <c r="E22" s="6" t="n">
        <v>3</v>
      </c>
      <c r="F22" s="6" t="n">
        <v>2</v>
      </c>
      <c r="G22" s="6" t="n">
        <v>22.6111</v>
      </c>
      <c r="H22" s="6" t="n">
        <v>37.3333</v>
      </c>
      <c r="I22" s="6" t="inlineStr">
        <is>
          <t>RTM-559</t>
        </is>
      </c>
      <c r="J22" s="6" t="inlineStr">
        <is>
          <t>The Contractor shall identify, document, and supply all proprietary, special, and operational tools and equipment required for operation, installation, commissioning, and maintenance.</t>
        </is>
      </c>
      <c r="K22" s="6" t="n">
        <v>0</v>
      </c>
      <c r="L22" s="6" t="n">
        <v>0</v>
      </c>
    </row>
    <row r="23" ht="44.1" customHeight="1">
      <c r="A23" s="6" t="inlineStr">
        <is>
          <t>General / Compliance</t>
        </is>
      </c>
      <c r="B23" s="6" t="n">
        <v>5</v>
      </c>
      <c r="C23" s="6" t="n">
        <v>4</v>
      </c>
      <c r="D23" s="6" t="n">
        <v>0</v>
      </c>
      <c r="E23" s="6" t="n">
        <v>0</v>
      </c>
      <c r="F23" s="6" t="n">
        <v>1</v>
      </c>
      <c r="G23" s="6" t="n">
        <v>23.4667</v>
      </c>
      <c r="H23" s="6" t="n">
        <v>36</v>
      </c>
      <c r="I23" s="6" t="inlineStr">
        <is>
          <t>RTM-002</t>
        </is>
      </c>
      <c r="J23" s="6" t="inlineStr">
        <is>
          <t>The Contractor shall be fully responsible for the correct definition and execution of all activities (including, but not limited to, engineering, manufacturing, packaging, transportation, delivery, installation, testing, commissioning, QC, QA) necessary to duly perform the Contract and to ensure that (each item in) the Contractor’s scope of supply and (each activity in) the Contractor’s scope of work duly meet the requirements imposed on them.</t>
        </is>
      </c>
      <c r="K23" s="6" t="n">
        <v>0</v>
      </c>
      <c r="L23" s="6" t="n">
        <v>1</v>
      </c>
    </row>
    <row r="24" ht="44.1" customHeight="1">
      <c r="A24" s="6" t="inlineStr">
        <is>
          <t>Commissioning</t>
        </is>
      </c>
      <c r="B24" s="6" t="n">
        <v>4</v>
      </c>
      <c r="C24" s="6" t="n">
        <v>0</v>
      </c>
      <c r="D24" s="6" t="n">
        <v>2</v>
      </c>
      <c r="E24" s="6" t="n">
        <v>0</v>
      </c>
      <c r="F24" s="6" t="n">
        <v>2</v>
      </c>
      <c r="G24" s="6" t="n">
        <v>44.3333</v>
      </c>
      <c r="H24" s="6" t="n">
        <v>76.66670000000001</v>
      </c>
      <c r="I24" s="6" t="inlineStr">
        <is>
          <t>RTM-482</t>
        </is>
      </c>
      <c r="J24" s="6" t="inlineStr">
        <is>
          <t>The Contractor shall perform all required performance and capacity testing to validate full compliance with all specified performance, capacity, and quality criteria defined in this Technical Specification.</t>
        </is>
      </c>
      <c r="K24" s="6" t="n">
        <v>0</v>
      </c>
      <c r="L24" s="6" t="n">
        <v>1</v>
      </c>
    </row>
    <row r="25" ht="44.1" customHeight="1">
      <c r="A25" s="6" t="inlineStr">
        <is>
          <t>Installation</t>
        </is>
      </c>
      <c r="B25" s="6" t="n">
        <v>4</v>
      </c>
      <c r="C25" s="6" t="n">
        <v>0</v>
      </c>
      <c r="D25" s="6" t="n">
        <v>1</v>
      </c>
      <c r="E25" s="6" t="n">
        <v>1</v>
      </c>
      <c r="F25" s="6" t="n">
        <v>2</v>
      </c>
      <c r="G25" s="6" t="n">
        <v>35.5</v>
      </c>
      <c r="H25" s="6" t="n">
        <v>62</v>
      </c>
      <c r="I25" s="6" t="inlineStr">
        <is>
          <t>RTM-478</t>
        </is>
      </c>
      <c r="J25" s="6" t="inlineStr">
        <is>
          <t>The Contractor shall perform, at minimum, the following installation-related activities and checks, and shall record the outcome in the Installation File:</t>
        </is>
      </c>
      <c r="K25" s="6" t="n">
        <v>0</v>
      </c>
      <c r="L25" s="6" t="n">
        <v>2</v>
      </c>
    </row>
    <row r="26" ht="44.1" customHeight="1">
      <c r="A26" s="6" t="inlineStr">
        <is>
          <t>After-Sales</t>
        </is>
      </c>
      <c r="B26" s="6" t="n">
        <v>3</v>
      </c>
      <c r="C26" s="6" t="n">
        <v>0</v>
      </c>
      <c r="D26" s="6" t="n">
        <v>2</v>
      </c>
      <c r="E26" s="6" t="n">
        <v>1</v>
      </c>
      <c r="F26" s="6" t="n">
        <v>0</v>
      </c>
      <c r="G26" s="6" t="n">
        <v>42</v>
      </c>
      <c r="H26" s="6" t="n">
        <v>51.6667</v>
      </c>
      <c r="I26" s="6" t="inlineStr">
        <is>
          <t>RTM-564</t>
        </is>
      </c>
      <c r="J26" s="6" t="inlineStr">
        <is>
          <t>The technical support shall provide fault identification/analysis and troubleshooting, as well as universal support, for all and any aspects of the QPSs, including but not limited to maintenance, technical assistance during integrated user commissioning, software &amp; firmware, etc.</t>
        </is>
      </c>
      <c r="K26" s="6" t="n">
        <v>0</v>
      </c>
      <c r="L26" s="6" t="n">
        <v>0</v>
      </c>
    </row>
    <row r="27" ht="44.1" customHeight="1">
      <c r="A27" s="6" t="inlineStr">
        <is>
          <t>Transport &amp; Logistics</t>
        </is>
      </c>
      <c r="B27" s="6" t="n">
        <v>3</v>
      </c>
      <c r="C27" s="6" t="n">
        <v>0</v>
      </c>
      <c r="D27" s="6" t="n">
        <v>0</v>
      </c>
      <c r="E27" s="6" t="n">
        <v>0</v>
      </c>
      <c r="F27" s="6" t="n">
        <v>3</v>
      </c>
      <c r="G27" s="6" t="n">
        <v>8</v>
      </c>
      <c r="H27" s="6" t="n">
        <v>12</v>
      </c>
      <c r="I27" s="6" t="inlineStr">
        <is>
          <t>RTM-472</t>
        </is>
      </c>
      <c r="J27" s="6" t="inlineStr">
        <is>
          <t>The Contractor shall be responsible for the correct packaging prior to transport. This shall include, at minimum:</t>
        </is>
      </c>
      <c r="K27" s="6" t="n">
        <v>0</v>
      </c>
      <c r="L27" s="6" t="n">
        <v>0</v>
      </c>
    </row>
    <row r="29">
      <c r="A29" s="55" t="inlineStr">
        <is>
          <t>Cluster breakdown (C1-C8) — thematic, not ranking</t>
        </is>
      </c>
    </row>
    <row r="30">
      <c r="A30" s="56" t="inlineStr">
        <is>
          <t>Same 722 RTMs, regrouped by which OFFER cluster their linked OFFER item(s) belong to (via RTM_CROSSWALK). RTMs with no crosswalk link show as 'Not linked'. This is a filter aid, same as the CLUSTERS sheet -- it does not change any RTM's rank or tier.</t>
        </is>
      </c>
    </row>
    <row r="32">
      <c r="A32" s="46" t="inlineStr">
        <is>
          <t>Cluster</t>
        </is>
      </c>
      <c r="B32" s="46" t="inlineStr">
        <is>
          <t>RTM count</t>
        </is>
      </c>
    </row>
    <row r="33">
      <c r="A33" s="52" t="inlineStr">
        <is>
          <t>C1 — Performance</t>
        </is>
      </c>
      <c r="B33" s="52" t="n">
        <v>22</v>
      </c>
    </row>
    <row r="34">
      <c r="A34" s="48" t="inlineStr">
        <is>
          <t>C2 — Process Design</t>
        </is>
      </c>
      <c r="B34" s="48" t="n">
        <v>38</v>
      </c>
    </row>
    <row r="35">
      <c r="A35" s="52" t="inlineStr">
        <is>
          <t>C3 — Mechanical &amp; Equipment</t>
        </is>
      </c>
      <c r="B35" s="52" t="n">
        <v>24</v>
      </c>
    </row>
    <row r="36">
      <c r="A36" s="48" t="inlineStr">
        <is>
          <t>C4 — Software &amp; Control</t>
        </is>
      </c>
      <c r="B36" s="48" t="n">
        <v>39</v>
      </c>
    </row>
    <row r="37">
      <c r="A37" s="52" t="inlineStr">
        <is>
          <t>C5 — Infrastructure &amp; Integration</t>
        </is>
      </c>
      <c r="B37" s="52" t="n">
        <v>25</v>
      </c>
    </row>
    <row r="38">
      <c r="A38" s="48" t="inlineStr">
        <is>
          <t>C6 — Reliability &amp; Maintenance</t>
        </is>
      </c>
      <c r="B38" s="48" t="n">
        <v>21</v>
      </c>
    </row>
    <row r="39">
      <c r="A39" s="52" t="inlineStr">
        <is>
          <t>C7 — Quality, Testing &amp; Risk</t>
        </is>
      </c>
      <c r="B39" s="52" t="n">
        <v>99</v>
      </c>
    </row>
    <row r="40">
      <c r="A40" s="48" t="inlineStr">
        <is>
          <t>C8 — Commercial &amp; Execution</t>
        </is>
      </c>
      <c r="B40" s="48" t="n">
        <v>25</v>
      </c>
    </row>
    <row r="41">
      <c r="A41" s="52" t="inlineStr">
        <is>
          <t>Not linked</t>
        </is>
      </c>
      <c r="B41" s="52" t="n">
        <v>429</v>
      </c>
    </row>
  </sheetData>
  <autoFilter ref="A5:L41"/>
  <mergeCells count="3">
    <mergeCell ref="A30:F30"/>
    <mergeCell ref="A2:L2"/>
    <mergeCell ref="A1:L1"/>
  </mergeCells>
  <pageMargins left="0.75" right="0.75" top="1" bottom="1" header="0.5" footer="0.5"/>
</worksheet>
</file>

<file path=xl/worksheets/sheet17.xml><?xml version="1.0" encoding="utf-8"?>
<worksheet xmlns="http://schemas.openxmlformats.org/spreadsheetml/2006/main">
  <sheetPr>
    <tabColor rgb="001FA7A0"/>
    <outlinePr summaryBelow="1" summaryRight="1"/>
    <pageSetUpPr/>
  </sheetPr>
  <dimension ref="A1:W294"/>
  <sheetViews>
    <sheetView showGridLines="0" topLeftCell="A1" zoomScale="70" zoomScaleNormal="7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2" customWidth="1" min="2" max="2"/>
    <col width="14" customWidth="1" min="3" max="3"/>
    <col width="20" customWidth="1" min="4" max="4"/>
    <col width="22" customWidth="1" min="5" max="5"/>
    <col width="20" customWidth="1" min="6" max="6"/>
    <col width="22" customWidth="1" min="7" max="7"/>
    <col width="12" customWidth="1" min="8" max="8"/>
    <col width="10" customWidth="1" min="9" max="9"/>
    <col width="9" customWidth="1" min="10" max="10"/>
    <col width="9" customWidth="1" min="11" max="11"/>
    <col width="22" customWidth="1" min="12" max="12"/>
    <col width="9" customWidth="1" min="13" max="13"/>
    <col width="14" customWidth="1" min="14" max="14"/>
    <col width="44" customWidth="1" min="15" max="15"/>
    <col width="26" customWidth="1" min="16" max="16"/>
    <col width="34" customWidth="1" min="17" max="17"/>
    <col width="40" customWidth="1" min="18" max="18"/>
    <col width="30" customWidth="1" min="19" max="19"/>
    <col width="22" customWidth="1" min="20" max="20"/>
    <col width="20" customWidth="1" min="21" max="21"/>
    <col width="30" customWidth="1" min="22" max="22"/>
    <col width="30" customWidth="1" min="23" max="23"/>
  </cols>
  <sheetData>
    <row r="1" ht="32" customHeight="1">
      <c r="A1" s="44" t="inlineStr">
        <is>
          <t>RTM review queue — priority subset</t>
        </is>
      </c>
    </row>
    <row r="2">
      <c r="A2" s="45" t="inlineStr">
        <is>
          <t>Standalone queue: all T0/T1 RTMs plus deliverable-heavy requirements. Columns run ID/navigation -&gt; tier &amp; ranking -&gt; verification, deliverables &amp; codes/standards (grouped) -&gt; disposition (reviewer input, right-hand side).</t>
        </is>
      </c>
    </row>
    <row r="3">
      <c r="A3" s="187">
        <f>HYPERLINK("#START_HERE!A1","Start")</f>
        <v/>
      </c>
      <c r="B3" s="187">
        <f>HYPERLINK("#DASHBOARD!A1","Dashboard")</f>
        <v/>
      </c>
      <c r="C3" s="187">
        <f>HYPERLINK("#RTM_LOOKUP!A1","RTM Lookup")</f>
        <v/>
      </c>
      <c r="D3" s="187">
        <f>HYPERLINK("#DASHBOARD_2!A1","Filter view")</f>
        <v/>
      </c>
      <c r="E3" s="187">
        <f>HYPERLINK("#RTM_REVIEW_QUEUE!A1","Queue")</f>
        <v/>
      </c>
      <c r="F3" s="187">
        <f>HYPERLINK("#RTM_RANKING!A1","Ranking")</f>
        <v/>
      </c>
      <c r="G3" s="187">
        <f>HYPERLINK("#DOMAIN_SUMMARY!A1","Domains")</f>
        <v/>
      </c>
      <c r="H3" s="187">
        <f>HYPERLINK("#CLUSTERS!A1","Clusters")</f>
        <v/>
      </c>
      <c r="I3" s="187">
        <f>HYPERLINK("#TAXONOMY!A1","Taxonomy")</f>
        <v/>
      </c>
    </row>
    <row r="5">
      <c r="A5" s="46" t="inlineStr">
        <is>
          <t>Rank</t>
        </is>
      </c>
      <c r="B5" s="46" t="inlineStr">
        <is>
          <t>RTM ID</t>
        </is>
      </c>
      <c r="C5" s="46" t="inlineStr">
        <is>
          <t>Requirement Type</t>
        </is>
      </c>
      <c r="D5" s="46" t="inlineStr">
        <is>
          <t>Category</t>
        </is>
      </c>
      <c r="E5" s="46" t="inlineStr">
        <is>
          <t>Subcategory</t>
        </is>
      </c>
      <c r="F5" s="46" t="inlineStr">
        <is>
          <t>Domain</t>
        </is>
      </c>
      <c r="G5" s="46" t="inlineStr">
        <is>
          <t>Cluster</t>
        </is>
      </c>
      <c r="H5" s="46" t="inlineStr">
        <is>
          <t>Tier</t>
        </is>
      </c>
      <c r="I5" s="46" t="inlineStr">
        <is>
          <t>Weighted S</t>
        </is>
      </c>
      <c r="J5" s="46" t="inlineStr">
        <is>
          <t>BT win %</t>
        </is>
      </c>
      <c r="K5" s="46" t="inlineStr">
        <is>
          <t>Section</t>
        </is>
      </c>
      <c r="L5" s="46" t="inlineStr">
        <is>
          <t>Section title</t>
        </is>
      </c>
      <c r="M5" s="46" t="inlineStr">
        <is>
          <t>PDF page</t>
        </is>
      </c>
      <c r="N5" s="46" t="inlineStr">
        <is>
          <t>Primary dimension</t>
        </is>
      </c>
      <c r="O5" s="46" t="inlineStr">
        <is>
          <t>Shall statement</t>
        </is>
      </c>
      <c r="P5" s="46" t="inlineStr">
        <is>
          <t>Actual explicit code / standard</t>
        </is>
      </c>
      <c r="Q5" s="46" t="inlineStr">
        <is>
          <t>Explicit deliverable / proof</t>
        </is>
      </c>
      <c r="R5" s="46" t="inlineStr">
        <is>
          <t>Evidence / measurability (V&amp;V)</t>
        </is>
      </c>
      <c r="S5" s="46" t="inlineStr">
        <is>
          <t>Applicable phase(s)</t>
        </is>
      </c>
      <c r="T5" s="46" t="inlineStr">
        <is>
          <t>Basis / review</t>
        </is>
      </c>
      <c r="U5" s="46" t="inlineStr">
        <is>
          <t>Disposition</t>
        </is>
      </c>
      <c r="V5" s="46" t="inlineStr">
        <is>
          <t>Comments</t>
        </is>
      </c>
      <c r="W5" s="46" t="inlineStr">
        <is>
          <t>Cross-link / check to perform</t>
        </is>
      </c>
    </row>
    <row r="6" ht="190" customHeight="1">
      <c r="A6" s="60" t="n">
        <v>1</v>
      </c>
      <c r="B6" s="60" t="inlineStr">
        <is>
          <t>RTM-693</t>
        </is>
      </c>
      <c r="C6" s="61" t="inlineStr">
        <is>
          <t>PROJECT</t>
        </is>
      </c>
      <c r="D6" s="60" t="inlineStr">
        <is>
          <t>Documentation &amp; Compliance</t>
        </is>
      </c>
      <c r="E6" s="60" t="inlineStr">
        <is>
          <t>Technical File assembly</t>
        </is>
      </c>
      <c r="F6" s="60" t="inlineStr">
        <is>
          <t>Codes &amp; Standards</t>
        </is>
      </c>
      <c r="G6" s="60" t="inlineStr">
        <is>
          <t>C7 — Quality, Testing &amp; Risk</t>
        </is>
      </c>
      <c r="H6" s="60" t="inlineStr">
        <is>
          <t>T0 Gate</t>
        </is>
      </c>
      <c r="I6" s="60" t="n">
        <v>62.6667</v>
      </c>
      <c r="J6" s="60" t="n">
        <v>100</v>
      </c>
      <c r="K6" s="60" t="inlineStr">
        <is>
          <t>9.1</t>
        </is>
      </c>
      <c r="L6" s="60" t="inlineStr">
        <is>
          <t>Applicable legislation</t>
        </is>
      </c>
      <c r="M6" s="60" t="n">
        <v>129</v>
      </c>
      <c r="N6" s="60" t="inlineStr">
        <is>
          <t>Safety / Legal</t>
        </is>
      </c>
      <c r="O6" s="49" t="inlineStr">
        <is>
          <t>To demonstrate conformity with the applicable EU directives, the Contractor shall submit the Technical File well before the shipment of the first QPS parts. The Technical File shall include at least:</t>
        </is>
      </c>
      <c r="P6" s="49" t="inlineStr">
        <is>
          <t>EU declaration of conformity; CE marking</t>
        </is>
      </c>
      <c r="Q6" s="49" t="inlineStr">
        <is>
          <t>EU Declaration of Conformity; Declaration of Conformity; Technical File; Drawing / diagram; Datasheet / technical specification; List / register / matrix</t>
        </is>
      </c>
      <c r="R6" s="49" t="inlineStr">
        <is>
          <t>Technical File submitted and checked line-by-line against this RTM's own 8-item checklist (general description; overall + specific drawings; protective-measures/residual-risk description; standards list; multilingual EN/NL safe-use instructions; component DoC copies where applicable; QPS EU DoC; CE nameplate copy) -- and confirmed to land BEFORE first-parts shipment, not at FAT/SAT. A Technical File that is content-complete but late against the shipment milestone does not satisfy this RTM.</t>
        </is>
      </c>
      <c r="S6" s="49" t="inlineStr">
        <is>
          <t>L4 Installation; L0 Tender / Offer; L1 Conceptual Design; L2 Detailed Design; L3 Procurement &amp; Manufacturing / FAT; L5 Standalone Commissioning; L6 Site Acceptance Testing</t>
        </is>
      </c>
      <c r="T6" s="49" t="inlineStr">
        <is>
          <t>Explicit/table-grounded standard; explicit deliverable/test wording</t>
        </is>
      </c>
      <c r="U6" s="60" t="inlineStr">
        <is>
          <t>TBD</t>
        </is>
      </c>
      <c r="V6" s="213" t="n"/>
      <c r="W6" s="49" t="n"/>
    </row>
    <row r="7" ht="190" customHeight="1">
      <c r="A7" s="62" t="n">
        <v>2</v>
      </c>
      <c r="B7" s="62" t="inlineStr">
        <is>
          <t>RTM-595</t>
        </is>
      </c>
      <c r="C7" s="63" t="inlineStr">
        <is>
          <t>SAFETY</t>
        </is>
      </c>
      <c r="D7" s="62" t="inlineStr">
        <is>
          <t>Personnel Protection</t>
        </is>
      </c>
      <c r="E7" s="62" t="inlineStr">
        <is>
          <t>Hazard identification</t>
        </is>
      </c>
      <c r="F7" s="62" t="inlineStr">
        <is>
          <t>Safety &amp; Protection</t>
        </is>
      </c>
      <c r="G7" s="62" t="inlineStr">
        <is>
          <t>Not linked to an OFFER item</t>
        </is>
      </c>
      <c r="H7" s="62" t="inlineStr">
        <is>
          <t>T0 Gate</t>
        </is>
      </c>
      <c r="I7" s="62" t="n">
        <v>58.6667</v>
      </c>
      <c r="J7" s="62" t="n">
        <v>99.8613</v>
      </c>
      <c r="K7" s="62" t="inlineStr">
        <is>
          <t>5</t>
        </is>
      </c>
      <c r="L7" s="62" t="inlineStr">
        <is>
          <t>Safety and Protection Requirements</t>
        </is>
      </c>
      <c r="M7" s="62" t="n">
        <v>116</v>
      </c>
      <c r="N7" s="62" t="inlineStr">
        <is>
          <t>Safety / Legal</t>
        </is>
      </c>
      <c r="O7" s="53" t="inlineStr">
        <is>
          <t>The Contractor shall perform a risk analysis (e.g. HAZOP, FMECA, or an equivalent methodology) and shall implement the required mitigation measures.</t>
        </is>
      </c>
      <c r="P7" s="53" t="inlineStr">
        <is>
          <t>None explicitly named in this RTM</t>
        </is>
      </c>
      <c r="Q7" s="53" t="inlineStr">
        <is>
          <t>Risk Assessment / HAZOP / FMECA</t>
        </is>
      </c>
      <c r="R7" s="53" t="inlineStr">
        <is>
          <t>HAZOP/FMECA report cross-referenced against this RTM's own named hazard scenario list (QPS external interfaces; loss of utility; MIS Interlock Interface failure; off-nominal operation; operator error; internal QPS failure incl. insulation-vacuum loss / QPLANT trip) with a traceable mitigation per scenario -- reject a generic template HAZOP whose scenario list doesn't visibly cover all six. Submitted with the Conceptual Design Report, updated in the Detailed Design Report if findings change.</t>
        </is>
      </c>
      <c r="S7" s="53" t="inlineStr">
        <is>
          <t>L1 Conceptual Design; L2 Detailed Design; L0 Tender / Offer; L3 Procurement &amp; Manufacturing / FAT; L4 Installation; L5 Standalone Commissioning; L6 Site Acceptance Testing</t>
        </is>
      </c>
      <c r="T7" s="53" t="inlineStr">
        <is>
          <t>Section/contract-derived reference; explicit deliverable/test wording</t>
        </is>
      </c>
      <c r="U7" s="62" t="inlineStr">
        <is>
          <t>TBD</t>
        </is>
      </c>
      <c r="V7" s="213" t="n"/>
      <c r="W7" s="53" t="n"/>
    </row>
    <row r="8" ht="134" customHeight="1">
      <c r="A8" s="60" t="n">
        <v>3</v>
      </c>
      <c r="B8" s="60" t="inlineStr">
        <is>
          <t>RTM-687</t>
        </is>
      </c>
      <c r="C8" s="61" t="inlineStr">
        <is>
          <t>PROJECT</t>
        </is>
      </c>
      <c r="D8" s="60" t="inlineStr">
        <is>
          <t>Quality Assurance</t>
        </is>
      </c>
      <c r="E8" s="60" t="inlineStr">
        <is>
          <t>Standards-compliance traceability</t>
        </is>
      </c>
      <c r="F8" s="60" t="inlineStr">
        <is>
          <t>Codes &amp; Standards</t>
        </is>
      </c>
      <c r="G8" s="60" t="inlineStr">
        <is>
          <t>C7 — Quality, Testing &amp; Risk</t>
        </is>
      </c>
      <c r="H8" s="60" t="inlineStr">
        <is>
          <t>T0 Gate</t>
        </is>
      </c>
      <c r="I8" s="60" t="n">
        <v>57.6667</v>
      </c>
      <c r="J8" s="60" t="n">
        <v>99.7226</v>
      </c>
      <c r="K8" s="60" t="inlineStr">
        <is>
          <t>9</t>
        </is>
      </c>
      <c r="L8" s="60" t="inlineStr">
        <is>
          <t>Applicable legislation, Codes and Standards</t>
        </is>
      </c>
      <c r="M8" s="60" t="n">
        <v>129</v>
      </c>
      <c r="N8" s="60" t="inlineStr">
        <is>
          <t>Safety / Legal</t>
        </is>
      </c>
      <c r="O8" s="49" t="inlineStr">
        <is>
          <t>Compliance with a listed standard shall not be limited to design calculations or certificates but shall, where applicable, be reflected in:</t>
        </is>
      </c>
      <c r="P8" s="49" t="inlineStr">
        <is>
          <t>None explicitly named in this RTM</t>
        </is>
      </c>
      <c r="Q8" s="49" t="inlineStr">
        <is>
          <t>Maintenance / RCM Plan; Design / calculation package; Certificate / calibration evidence</t>
        </is>
      </c>
      <c r="R8" s="49" t="inlineStr">
        <is>
          <t>Standards compliance traced into all four places this RTM names, not just a design calc or certificate: installation practice (procedure/checklist), commissioning &amp; acceptance test criteria, training material content, and maintenance strategy/RCM plan. A certificate alone, with no downstream trace into these four, does not satisfy this RTM.</t>
        </is>
      </c>
      <c r="S8" s="49" t="inlineStr">
        <is>
          <t>L4 Installation; L0 Tender / Offer; L1 Conceptual Design; L2 Detailed Design; L3 Procurement &amp; Manufacturing / FAT; L5 Standalone Commissioning; L6 Site Acceptance Testing</t>
        </is>
      </c>
      <c r="T8" s="49" t="inlineStr">
        <is>
          <t>Section/contract-derived reference; explicit deliverable/test wording</t>
        </is>
      </c>
      <c r="U8" s="60" t="inlineStr">
        <is>
          <t>TBD</t>
        </is>
      </c>
      <c r="V8" s="213" t="n"/>
      <c r="W8" s="49" t="n"/>
    </row>
    <row r="9" ht="148" customHeight="1">
      <c r="A9" s="62" t="n">
        <v>4</v>
      </c>
      <c r="B9" s="62" t="inlineStr">
        <is>
          <t>RTM-700</t>
        </is>
      </c>
      <c r="C9" s="63" t="inlineStr">
        <is>
          <t>SYSTEM</t>
        </is>
      </c>
      <c r="D9" s="62" t="inlineStr">
        <is>
          <t>Constraint</t>
        </is>
      </c>
      <c r="E9" s="62" t="inlineStr">
        <is>
          <t>EMC design constraint</t>
        </is>
      </c>
      <c r="F9" s="62" t="inlineStr">
        <is>
          <t>Codes &amp; Standards</t>
        </is>
      </c>
      <c r="G9" s="62" t="inlineStr">
        <is>
          <t>C7 — Quality, Testing &amp; Risk</t>
        </is>
      </c>
      <c r="H9" s="62" t="inlineStr">
        <is>
          <t>T0 Gate</t>
        </is>
      </c>
      <c r="I9" s="62" t="n">
        <v>54.6667</v>
      </c>
      <c r="J9" s="62" t="n">
        <v>99.5839</v>
      </c>
      <c r="K9" s="62" t="inlineStr">
        <is>
          <t>9.3</t>
        </is>
      </c>
      <c r="L9" s="62" t="inlineStr">
        <is>
          <t>Electromagnetic interference</t>
        </is>
      </c>
      <c r="M9" s="62" t="n">
        <v>130</v>
      </c>
      <c r="N9" s="62" t="inlineStr">
        <is>
          <t>Safety / Legal</t>
        </is>
      </c>
      <c r="O9" s="53" t="inlineStr">
        <is>
          <t>The proposed solution shall comply with the relevant sections of EN 61000-6-2 (Immunity for industrial environments) and EN 61000-6-4 (Emission for industrial environments), or an equivalent standard approved by SCK CEN. The Contractor shall verify correct implementation by at least:</t>
        </is>
      </c>
      <c r="P9" s="53" t="inlineStr">
        <is>
          <t>EN 61000-6-2; EN 61000-6-4</t>
        </is>
      </c>
      <c r="Q9" s="53" t="inlineStr">
        <is>
          <t>Design / calculation package; Certificate / calibration evidence; Inspection record / checklist; Drawing / diagram</t>
        </is>
      </c>
      <c r="R9" s="53" t="inlineStr">
        <is>
          <t>EMI layout drawing and shielding measures in the design dossier; a wiring/installation checklist actually verified during a site inspection (not just planned); EMC type-test certificates specifically naming the sensitive components this RTM calls out (sensors, analysers, PLCs) -- evidence should identify which components were tested, not a blanket EN 61000-6-2/6-4 compliance statement.</t>
        </is>
      </c>
      <c r="S9" s="53" t="inlineStr">
        <is>
          <t>L4 Installation; L0 Tender / Offer; L1 Conceptual Design; L2 Detailed Design; L3 Procurement &amp; Manufacturing / FAT; L5 Standalone Commissioning; L6 Site Acceptance Testing</t>
        </is>
      </c>
      <c r="T9" s="53" t="inlineStr">
        <is>
          <t>Explicit/table-grounded standard; explicit deliverable/test wording</t>
        </is>
      </c>
      <c r="U9" s="62" t="inlineStr">
        <is>
          <t>TBD</t>
        </is>
      </c>
      <c r="V9" s="213" t="n"/>
      <c r="W9" s="53" t="n"/>
    </row>
    <row r="10" ht="134" customHeight="1">
      <c r="A10" s="60" t="n">
        <v>5</v>
      </c>
      <c r="B10" s="60" t="inlineStr">
        <is>
          <t>RTM-608</t>
        </is>
      </c>
      <c r="C10" s="61" t="inlineStr">
        <is>
          <t>PROJECT</t>
        </is>
      </c>
      <c r="D10" s="60" t="inlineStr">
        <is>
          <t>Governance &amp; Responsibility</t>
        </is>
      </c>
      <c r="E10" s="60" t="inlineStr">
        <is>
          <t>Site safety-file gate</t>
        </is>
      </c>
      <c r="F10" s="60" t="inlineStr">
        <is>
          <t>Safety &amp; Protection</t>
        </is>
      </c>
      <c r="G10" s="60" t="inlineStr">
        <is>
          <t>Not linked to an OFFER item</t>
        </is>
      </c>
      <c r="H10" s="60" t="inlineStr">
        <is>
          <t>T0 Gate</t>
        </is>
      </c>
      <c r="I10" s="60" t="n">
        <v>48.6667</v>
      </c>
      <c r="J10" s="60" t="n">
        <v>99.4452</v>
      </c>
      <c r="K10" s="60" t="inlineStr">
        <is>
          <t>5.2</t>
        </is>
      </c>
      <c r="L10" s="60" t="inlineStr">
        <is>
          <t>Personnel Safety</t>
        </is>
      </c>
      <c r="M10" s="60" t="n">
        <v>117</v>
      </c>
      <c r="N10" s="60" t="inlineStr">
        <is>
          <t>Safety / Legal</t>
        </is>
      </c>
      <c r="O10" s="49" t="inlineStr">
        <is>
          <t>The Contractor shall submit a project-specific safety file for review and approval prior to start of site activities. The safety file shall include, as a minimum:</t>
        </is>
      </c>
      <c r="P10" s="49" t="inlineStr">
        <is>
          <t>None explicitly named in this RTM</t>
        </is>
      </c>
      <c r="Q10" s="49" t="inlineStr">
        <is>
          <t>Installation File</t>
        </is>
      </c>
      <c r="R10" s="49" t="inlineStr">
        <is>
          <t>Safety-file review/acceptance record dated BEFORE the first site-activity start date -- a scheduling gate, not just a content checklist. PIF inputs and residual-risk records present; Annex 12 Safety Charter signed by every contractor/subcontractor actually on site, cross-checked against the site personnel list rather than a template signature page.</t>
        </is>
      </c>
      <c r="S10" s="49" t="inlineStr">
        <is>
          <t>L4 Installation; PAC / Handover; L0 Tender / Offer; L1 Conceptual Design; L2 Detailed Design; L3 Procurement &amp; Manufacturing / FAT; L5 Standalone Commissioning; L6 Site Acceptance Testing</t>
        </is>
      </c>
      <c r="T10" s="49" t="inlineStr">
        <is>
          <t>Section/contract-derived reference; explicit deliverable/test wording</t>
        </is>
      </c>
      <c r="U10" s="60" t="inlineStr">
        <is>
          <t>TBD</t>
        </is>
      </c>
      <c r="V10" s="213" t="n"/>
      <c r="W10" s="49" t="n"/>
    </row>
    <row r="11" ht="162" customHeight="1">
      <c r="A11" s="62" t="n">
        <v>6</v>
      </c>
      <c r="B11" s="62" t="inlineStr">
        <is>
          <t>RTM-327</t>
        </is>
      </c>
      <c r="C11" s="63" t="inlineStr">
        <is>
          <t>PROJECT</t>
        </is>
      </c>
      <c r="D11" s="62" t="inlineStr">
        <is>
          <t>Documentation &amp; Compliance</t>
        </is>
      </c>
      <c r="E11" s="62" t="inlineStr">
        <is>
          <t>CRA digital-element inventory</t>
        </is>
      </c>
      <c r="F11" s="62" t="inlineStr">
        <is>
          <t>Control &amp; Interlock</t>
        </is>
      </c>
      <c r="G11" s="62" t="inlineStr">
        <is>
          <t>C8 — Commercial &amp; Execution</t>
        </is>
      </c>
      <c r="H11" s="62" t="inlineStr">
        <is>
          <t>T0 Gate</t>
        </is>
      </c>
      <c r="I11" s="62" t="n">
        <v>48</v>
      </c>
      <c r="J11" s="62" t="n">
        <v>99.1678</v>
      </c>
      <c r="K11" s="62" t="inlineStr">
        <is>
          <t>4.6.4.5</t>
        </is>
      </c>
      <c r="L11" s="62" t="inlineStr">
        <is>
          <t>Security</t>
        </is>
      </c>
      <c r="M11" s="62" t="n">
        <v>75</v>
      </c>
      <c r="N11" s="62" t="inlineStr">
        <is>
          <t>Safety / Legal</t>
        </is>
      </c>
      <c r="O11" s="53" t="inlineStr">
        <is>
          <t>The Contractor shall identify all products with digital elements (as per the EU Cyber Resilience Act (CRA)), which are used in the system. For each of these the Contractor shall (1) verify that Commercial Off-The-Shelf (COTS) products have a valid CE marking, and (2) provide technical documentation and a Declaration of Conformity to show compliance with the CRA for custom-built products. For both the documentation shall be provided to SCK CEN for review and approval prior to SAT.</t>
        </is>
      </c>
      <c r="P11" s="53" t="inlineStr">
        <is>
          <t>EU Cyber Resilience Act (CRA); CE marking</t>
        </is>
      </c>
      <c r="Q11" s="53" t="inlineStr">
        <is>
          <t>Declaration of Conformity</t>
        </is>
      </c>
      <c r="R11" s="53" t="inlineStr">
        <is>
          <t>An itemised inventory of every digital-element product used in the system (the inventory itself is the first piece of evidence) split COTS (CE marking checked per item) vs. custom-built (DoC per item) -- a single blanket CRA-compliance statement without an itemised list does not satisfy this RTM. Must land before SAT, tracked as a pre-SAT milestone, not a SAT-day submission.</t>
        </is>
      </c>
      <c r="S11" s="53" t="inlineStr">
        <is>
          <t>L6 Site Acceptance Testing; L1 Conceptual Design; L2 Detailed Design</t>
        </is>
      </c>
      <c r="T11" s="53" t="inlineStr">
        <is>
          <t>Explicit/table-grounded standard; explicit deliverable/test wording</t>
        </is>
      </c>
      <c r="U11" s="62" t="inlineStr">
        <is>
          <t>TBD</t>
        </is>
      </c>
      <c r="V11" s="213" t="n"/>
      <c r="W11" s="53" t="n"/>
    </row>
    <row r="12" ht="120" customHeight="1">
      <c r="A12" s="60" t="n">
        <v>7</v>
      </c>
      <c r="B12" s="60" t="inlineStr">
        <is>
          <t>RTM-514</t>
        </is>
      </c>
      <c r="C12" s="61" t="inlineStr">
        <is>
          <t>SAFETY</t>
        </is>
      </c>
      <c r="D12" s="60" t="inlineStr">
        <is>
          <t>Interlock &amp; Control Safety</t>
        </is>
      </c>
      <c r="E12" s="60" t="inlineStr">
        <is>
          <t>SAT safety-function demonstration</t>
        </is>
      </c>
      <c r="F12" s="60" t="inlineStr">
        <is>
          <t>Acceptance Testing</t>
        </is>
      </c>
      <c r="G12" s="60" t="inlineStr">
        <is>
          <t>C7 — Quality, Testing &amp; Risk</t>
        </is>
      </c>
      <c r="H12" s="60" t="inlineStr">
        <is>
          <t>T0 Gate</t>
        </is>
      </c>
      <c r="I12" s="60" t="n">
        <v>48</v>
      </c>
      <c r="J12" s="60" t="n">
        <v>99.1678</v>
      </c>
      <c r="K12" s="60" t="inlineStr">
        <is>
          <t>4.13.3.1</t>
        </is>
      </c>
      <c r="L12" s="60" t="inlineStr">
        <is>
          <t>Demonstration of functional behaviour and operability</t>
        </is>
      </c>
      <c r="M12" s="60" t="n">
        <v>99</v>
      </c>
      <c r="N12" s="60" t="inlineStr">
        <is>
          <t>Safety / Legal</t>
        </is>
      </c>
      <c r="O12" s="49" t="inlineStr">
        <is>
          <t>The Contractor shall demonstrate the correct operational behaviour of the safety-related functions during the SAT.</t>
        </is>
      </c>
      <c r="P12" s="49" t="inlineStr">
        <is>
          <t>None explicitly named in this RTM</t>
        </is>
      </c>
      <c r="Q12" s="49" t="inlineStr">
        <is>
          <t>No separate deliverable explicitly named</t>
        </is>
      </c>
      <c r="R12" s="49" t="inlineStr">
        <is>
          <t>SAT test procedure exercising each named safety-related function individually against its own stated safety-integrity requirement, with pass/fail criteria fixed BEFORE the test runs. This is an L6-only closure -- a clean design review or FAT result cannot pre-satisfy it; only the witnessed SAT record can.</t>
        </is>
      </c>
      <c r="S12" s="49" t="inlineStr">
        <is>
          <t>L6 Site Acceptance Testing; L1 Conceptual Design; L2 Detailed Design</t>
        </is>
      </c>
      <c r="T12" s="49" t="inlineStr">
        <is>
          <t>Section/contract-derived reference; explicit deliverable/test wording</t>
        </is>
      </c>
      <c r="U12" s="60" t="inlineStr">
        <is>
          <t>TBD</t>
        </is>
      </c>
      <c r="V12" s="213" t="n"/>
      <c r="W12" s="49" t="n"/>
    </row>
    <row r="13" ht="106" customHeight="1">
      <c r="A13" s="62" t="n">
        <v>8</v>
      </c>
      <c r="B13" s="62" t="inlineStr">
        <is>
          <t>RTM-613</t>
        </is>
      </c>
      <c r="C13" s="63" t="inlineStr">
        <is>
          <t>SAFETY</t>
        </is>
      </c>
      <c r="D13" s="62" t="inlineStr">
        <is>
          <t>Interlock &amp; Control Safety</t>
        </is>
      </c>
      <c r="E13" s="62" t="inlineStr">
        <is>
          <t>ODH integration test (dual record)</t>
        </is>
      </c>
      <c r="F13" s="62" t="inlineStr">
        <is>
          <t>Safety &amp; Protection</t>
        </is>
      </c>
      <c r="G13" s="62" t="inlineStr">
        <is>
          <t>Not linked to an OFFER item</t>
        </is>
      </c>
      <c r="H13" s="62" t="inlineStr">
        <is>
          <t>T0 Gate</t>
        </is>
      </c>
      <c r="I13" s="62" t="n">
        <v>48</v>
      </c>
      <c r="J13" s="62" t="n">
        <v>99.1678</v>
      </c>
      <c r="K13" s="62" t="inlineStr">
        <is>
          <t>5.2.1</t>
        </is>
      </c>
      <c r="L13" s="62" t="inlineStr">
        <is>
          <t>Oxygen-Deficiency Hazard</t>
        </is>
      </c>
      <c r="M13" s="62" t="n">
        <v>117</v>
      </c>
      <c r="N13" s="62" t="inlineStr">
        <is>
          <t>Safety / Legal</t>
        </is>
      </c>
      <c r="O13" s="53" t="inlineStr">
        <is>
          <t>The Contractor shall perform all the required functional testing of this integration during standalone commissioning and demonstrate it during the SAT.</t>
        </is>
      </c>
      <c r="P13" s="53" t="inlineStr">
        <is>
          <t>None explicitly named in this RTM</t>
        </is>
      </c>
      <c r="Q13" s="53" t="inlineStr">
        <is>
          <t>No separate deliverable explicitly named</t>
        </is>
      </c>
      <c r="R13" s="53" t="inlineStr">
        <is>
          <t>Functional test evidence in TWO places, both required, not either/or: the Commissioning File (standalone, pre-SAT) and the Acceptance Test File (SAT) -- verify the two records test the same ODH integration points rather than the SAT test being a lighter repeat of commissioning.</t>
        </is>
      </c>
      <c r="S13" s="53" t="inlineStr">
        <is>
          <t>L5 Standalone Commissioning; L6 Site Acceptance Testing; L0 Tender / Offer; L1 Conceptual Design; L2 Detailed Design; L3 Procurement &amp; Manufacturing / FAT; L4 Installation</t>
        </is>
      </c>
      <c r="T13" s="53" t="inlineStr">
        <is>
          <t>Section/contract-derived reference; explicit deliverable/test wording</t>
        </is>
      </c>
      <c r="U13" s="62" t="inlineStr">
        <is>
          <t>TBD</t>
        </is>
      </c>
      <c r="V13" s="213" t="n"/>
      <c r="W13" s="53" t="n"/>
    </row>
    <row r="14" ht="162" customHeight="1">
      <c r="A14" s="60" t="n">
        <v>9</v>
      </c>
      <c r="B14" s="60" t="inlineStr">
        <is>
          <t>RTM-075</t>
        </is>
      </c>
      <c r="C14" s="61" t="inlineStr">
        <is>
          <t>SYSTEM</t>
        </is>
      </c>
      <c r="D14" s="60" t="inlineStr">
        <is>
          <t>Performance</t>
        </is>
      </c>
      <c r="E14" s="60" t="inlineStr">
        <is>
          <t>invCOP calculation (fixed unit prices)</t>
        </is>
      </c>
      <c r="F14" s="60" t="inlineStr">
        <is>
          <t>Global Design Criteria</t>
        </is>
      </c>
      <c r="G14" s="60" t="inlineStr">
        <is>
          <t>C1 — Performance</t>
        </is>
      </c>
      <c r="H14" s="60" t="inlineStr">
        <is>
          <t>T0 Gate</t>
        </is>
      </c>
      <c r="I14" s="60" t="n">
        <v>43</v>
      </c>
      <c r="J14" s="60" t="n">
        <v>98.8904</v>
      </c>
      <c r="K14" s="60" t="inlineStr">
        <is>
          <t>4.3.4.1</t>
        </is>
      </c>
      <c r="L14" s="60" t="inlineStr">
        <is>
          <t>Inverse Coefficient of Performance (invCOP)</t>
        </is>
      </c>
      <c r="M14" s="60" t="n">
        <v>41</v>
      </c>
      <c r="N14" s="60" t="inlineStr">
        <is>
          <t>Safety / Legal / Performance</t>
        </is>
      </c>
      <c r="O14" s="49" t="inlineStr">
        <is>
          <t>If LN2 Precooling is implemented (§4.2.5), the Contractor shall include an equivalent electrical power contribution in the invCOP calculation based on fixed reference unit prices. To this end, the LN2 consumption shall be converted to an equivalent electrical power (W_LN2_eq) using:</t>
        </is>
      </c>
      <c r="P14" s="49" t="inlineStr">
        <is>
          <t>None explicitly named in this RTM</t>
        </is>
      </c>
      <c r="Q14" s="49" t="inlineStr">
        <is>
          <t>No separate deliverable explicitly named</t>
        </is>
      </c>
      <c r="R14" s="49" t="inlineStr">
        <is>
          <t>Calculation sheet applying the RTM's own W_LN2_eq formula using the CONTRACT-FIXED reference prices (160 €/ton LN2, 180 €/MWh electricity) -- reject any invCOP submission that substitutes the bidder's own market prices, since this RTM fixes them explicitly. Applicability is conditional on LN2 Precooling being implemented at all; confirm the bidder's own §4.2.5 design choice before checking this line.</t>
        </is>
      </c>
      <c r="S14" s="49" t="inlineStr">
        <is>
          <t>PAC / Handover; L1 Conceptual Design; L2 Detailed Design</t>
        </is>
      </c>
      <c r="T14" s="49" t="inlineStr">
        <is>
          <t>Section/contract-derived reference; derived evidence route</t>
        </is>
      </c>
      <c r="U14" s="60" t="inlineStr">
        <is>
          <t>TBD</t>
        </is>
      </c>
      <c r="V14" s="213" t="n"/>
      <c r="W14" s="49" t="n"/>
    </row>
    <row r="15" ht="134" customHeight="1">
      <c r="A15" s="62" t="n">
        <v>10</v>
      </c>
      <c r="B15" s="62" t="inlineStr">
        <is>
          <t>RTM-600</t>
        </is>
      </c>
      <c r="C15" s="63" t="inlineStr">
        <is>
          <t>SYSTEM</t>
        </is>
      </c>
      <c r="D15" s="62" t="inlineStr">
        <is>
          <t>Constraint</t>
        </is>
      </c>
      <c r="E15" s="62" t="inlineStr">
        <is>
          <t>Redundancy for inaccessible components</t>
        </is>
      </c>
      <c r="F15" s="62" t="inlineStr">
        <is>
          <t>Safety &amp; Protection</t>
        </is>
      </c>
      <c r="G15" s="62" t="inlineStr">
        <is>
          <t>Not linked to an OFFER item</t>
        </is>
      </c>
      <c r="H15" s="62" t="inlineStr">
        <is>
          <t>T0 Gate</t>
        </is>
      </c>
      <c r="I15" s="62" t="n">
        <v>42</v>
      </c>
      <c r="J15" s="62" t="n">
        <v>98.7517</v>
      </c>
      <c r="K15" s="62" t="inlineStr">
        <is>
          <t>5</t>
        </is>
      </c>
      <c r="L15" s="62" t="inlineStr">
        <is>
          <t>Safety and Protection Requirements</t>
        </is>
      </c>
      <c r="M15" s="62" t="n">
        <v>116</v>
      </c>
      <c r="N15" s="62" t="inlineStr">
        <is>
          <t>Reliability</t>
        </is>
      </c>
      <c r="O15" s="53" t="inlineStr">
        <is>
          <t>The QPS shall include redundant measurement channels and stand-by heaters for all inaccessible components and for components whose failure would jeopardize machine integrity.</t>
        </is>
      </c>
      <c r="P15" s="53" t="inlineStr">
        <is>
          <t>None explicitly named in this RTM</t>
        </is>
      </c>
      <c r="Q15" s="53" t="inlineStr">
        <is>
          <t>No separate deliverable explicitly named</t>
        </is>
      </c>
      <c r="R15" s="53" t="inlineStr">
        <is>
          <t>P&amp;ID / instrument list identifying which components are actually 'inaccessible' in THIS specific design (a project-specific judgment, not a generic rule) with a redundant measurement channel and stand-by heater confirmed against each one named -- a generic 'redundancy provided' claim with no component-level list should not pass.</t>
        </is>
      </c>
      <c r="S15" s="53" t="inlineStr">
        <is>
          <t>L0 Tender / Offer; L1 Conceptual Design; L2 Detailed Design; L3 Procurement &amp; Manufacturing / FAT; L4 Installation; L5 Standalone Commissioning; L6 Site Acceptance Testing</t>
        </is>
      </c>
      <c r="T15" s="53" t="inlineStr">
        <is>
          <t>Section/contract-derived reference; derived evidence route</t>
        </is>
      </c>
      <c r="U15" s="62" t="inlineStr">
        <is>
          <t>TBD</t>
        </is>
      </c>
      <c r="V15" s="213" t="n"/>
      <c r="W15" s="53" t="n"/>
    </row>
    <row r="16" ht="162" customHeight="1">
      <c r="A16" s="60" t="n">
        <v>11</v>
      </c>
      <c r="B16" s="60" t="inlineStr">
        <is>
          <t>RTM-002</t>
        </is>
      </c>
      <c r="C16" s="61" t="inlineStr">
        <is>
          <t>PROJECT</t>
        </is>
      </c>
      <c r="D16" s="60" t="inlineStr">
        <is>
          <t>Governance &amp; Responsibility</t>
        </is>
      </c>
      <c r="E16" s="60" t="inlineStr">
        <is>
          <t>Scope-definition consistency</t>
        </is>
      </c>
      <c r="F16" s="60" t="inlineStr">
        <is>
          <t>General / Compliance</t>
        </is>
      </c>
      <c r="G16" s="60" t="inlineStr">
        <is>
          <t>C8 — Commercial &amp; Execution</t>
        </is>
      </c>
      <c r="H16" s="60" t="inlineStr">
        <is>
          <t>T0 Gate</t>
        </is>
      </c>
      <c r="I16" s="60" t="n">
        <v>36</v>
      </c>
      <c r="J16" s="60" t="n">
        <v>98.2663</v>
      </c>
      <c r="K16" s="60" t="inlineStr">
        <is>
          <t>4.1</t>
        </is>
      </c>
      <c r="L16" s="60" t="inlineStr">
        <is>
          <t>General Requirements</t>
        </is>
      </c>
      <c r="M16" s="60" t="n">
        <v>24</v>
      </c>
      <c r="N16" s="60" t="inlineStr">
        <is>
          <t>Safety / Legal</t>
        </is>
      </c>
      <c r="O16" s="49" t="inlineStr">
        <is>
          <t>The Contractor shall be fully responsible for the correct definition and execution of all activities (including, but not limited to, engineering, manufacturing, packaging, transportation, delivery, installation, testing, commissioning, QC, QA) necessary to duly perform the Contract and to ensure that (each item in) the Contractor’s scope of supply and (each activity in) the Contractor’s scope of work duly meet the requirements imposed on them.</t>
        </is>
      </c>
      <c r="P16" s="49" t="inlineStr">
        <is>
          <t>None explicitly named in this RTM</t>
        </is>
      </c>
      <c r="Q16" s="49" t="inlineStr">
        <is>
          <t>No separate deliverable explicitly named</t>
        </is>
      </c>
      <c r="R16" s="49" t="inlineStr">
        <is>
          <t>No single test closes this one -- track via change-log discipline: any requirement the Contractor defines for itself beyond the explicit contract text (once accepted in the Offer or during a Contractual Phase) must reappear consistently in the Contractor's later design/QA records. Evidence is the ABSENCE of drift between what was offered and what's later produced, checked at each design-review gate.</t>
        </is>
      </c>
      <c r="S16" s="49" t="inlineStr">
        <is>
          <t>L3 Procurement &amp; Manufacturing / FAT; L4 Installation; PAC / Handover; L1 Conceptual Design; L2 Detailed Design</t>
        </is>
      </c>
      <c r="T16" s="49" t="inlineStr">
        <is>
          <t>Section/contract-derived reference; explicit deliverable/test wording</t>
        </is>
      </c>
      <c r="U16" s="60" t="inlineStr">
        <is>
          <t>TBD</t>
        </is>
      </c>
      <c r="V16" s="213" t="n"/>
      <c r="W16" s="49" t="n"/>
    </row>
    <row r="17" ht="134" customHeight="1">
      <c r="A17" s="62" t="n">
        <v>12</v>
      </c>
      <c r="B17" s="62" t="inlineStr">
        <is>
          <t>RTM-596</t>
        </is>
      </c>
      <c r="C17" s="63" t="inlineStr">
        <is>
          <t>SAFETY</t>
        </is>
      </c>
      <c r="D17" s="62" t="inlineStr">
        <is>
          <t>Interlock &amp; Control Safety</t>
        </is>
      </c>
      <c r="E17" s="62" t="inlineStr">
        <is>
          <t>Fail-safe hard-wired interlocks</t>
        </is>
      </c>
      <c r="F17" s="62" t="inlineStr">
        <is>
          <t>Safety &amp; Protection</t>
        </is>
      </c>
      <c r="G17" s="62" t="inlineStr">
        <is>
          <t>Not linked to an OFFER item</t>
        </is>
      </c>
      <c r="H17" s="62" t="inlineStr">
        <is>
          <t>T0 Gate</t>
        </is>
      </c>
      <c r="I17" s="62" t="n">
        <v>36</v>
      </c>
      <c r="J17" s="62" t="n">
        <v>98.2663</v>
      </c>
      <c r="K17" s="62" t="inlineStr">
        <is>
          <t>5</t>
        </is>
      </c>
      <c r="L17" s="62" t="inlineStr">
        <is>
          <t>Safety and Protection Requirements</t>
        </is>
      </c>
      <c r="M17" s="62" t="n">
        <v>116</v>
      </c>
      <c r="N17" s="62" t="inlineStr">
        <is>
          <t>Safety / Legal</t>
        </is>
      </c>
      <c r="O17" s="53" t="inlineStr">
        <is>
          <t>The Contractor shall design, implement, and validate fail-safe hard-wired interlock circuits to prevent damage to the QPS.</t>
        </is>
      </c>
      <c r="P17" s="53" t="inlineStr">
        <is>
          <t>None explicitly named in this RTM</t>
        </is>
      </c>
      <c r="Q17" s="53" t="inlineStr">
        <is>
          <t>No separate deliverable explicitly named</t>
        </is>
      </c>
      <c r="R17" s="53" t="inlineStr">
        <is>
          <t>Interlock circuit design + validation record demonstrating the circuits remain functional specifically under the two failure modes this RTM names -- relevant control-system failure and loss-of-utility -- not just a general interlock functional test. A test that only exercises the interlock under normal power/control conditions does not satisfy this RTM.</t>
        </is>
      </c>
      <c r="S17" s="53" t="inlineStr">
        <is>
          <t>L0 Tender / Offer; L1 Conceptual Design; L2 Detailed Design; L3 Procurement &amp; Manufacturing / FAT; L4 Installation; L5 Standalone Commissioning; L6 Site Acceptance Testing</t>
        </is>
      </c>
      <c r="T17" s="53" t="inlineStr">
        <is>
          <t>Section/contract-derived reference; derived evidence route</t>
        </is>
      </c>
      <c r="U17" s="62" t="inlineStr">
        <is>
          <t>TBD</t>
        </is>
      </c>
      <c r="V17" s="213" t="n"/>
      <c r="W17" s="53" t="n"/>
    </row>
    <row r="18" ht="106" customHeight="1">
      <c r="A18" s="60" t="n">
        <v>13</v>
      </c>
      <c r="B18" s="60" t="inlineStr">
        <is>
          <t>RTM-597</t>
        </is>
      </c>
      <c r="C18" s="61" t="inlineStr">
        <is>
          <t>SYSTEM</t>
        </is>
      </c>
      <c r="D18" s="60" t="inlineStr">
        <is>
          <t>Control</t>
        </is>
      </c>
      <c r="E18" s="60" t="inlineStr">
        <is>
          <t>MIS/QPS interlock boundary</t>
        </is>
      </c>
      <c r="F18" s="60" t="inlineStr">
        <is>
          <t>Safety &amp; Protection</t>
        </is>
      </c>
      <c r="G18" s="60" t="inlineStr">
        <is>
          <t>Not linked to an OFFER item</t>
        </is>
      </c>
      <c r="H18" s="60" t="inlineStr">
        <is>
          <t>T0 Gate</t>
        </is>
      </c>
      <c r="I18" s="60" t="n">
        <v>36</v>
      </c>
      <c r="J18" s="60" t="n">
        <v>98.2663</v>
      </c>
      <c r="K18" s="60" t="inlineStr">
        <is>
          <t>5</t>
        </is>
      </c>
      <c r="L18" s="60" t="inlineStr">
        <is>
          <t>Safety and Protection Requirements</t>
        </is>
      </c>
      <c r="M18" s="60" t="n">
        <v>116</v>
      </c>
      <c r="N18" s="60" t="inlineStr">
        <is>
          <t>Safety / Legal</t>
        </is>
      </c>
      <c r="O18" s="49" t="inlineStr">
        <is>
          <t>The QPS shall not rely on the MIS for internal QPS interlock processing, but only for interlock connections to systems outside the QPS.</t>
        </is>
      </c>
      <c r="P18" s="49" t="inlineStr">
        <is>
          <t>None explicitly named in this RTM</t>
        </is>
      </c>
      <c r="Q18" s="49" t="inlineStr">
        <is>
          <t>No separate deliverable explicitly named</t>
        </is>
      </c>
      <c r="R18" s="49" t="inlineStr">
        <is>
          <t>Interlock architecture diagram showing the QPS-internal interlock loop closes entirely within the QPS:CIS, with the MIS appearing ONLY on external-system connections -- reject any design where an internal QPS interlock path routes through the MIS, even transiently.</t>
        </is>
      </c>
      <c r="S18" s="49" t="inlineStr">
        <is>
          <t>L0 Tender / Offer; L1 Conceptual Design; L2 Detailed Design; L3 Procurement &amp; Manufacturing / FAT; L4 Installation; L5 Standalone Commissioning; L6 Site Acceptance Testing</t>
        </is>
      </c>
      <c r="T18" s="49" t="inlineStr">
        <is>
          <t>Section/contract-derived reference; derived evidence route</t>
        </is>
      </c>
      <c r="U18" s="60" t="inlineStr">
        <is>
          <t>TBD</t>
        </is>
      </c>
      <c r="V18" s="213" t="n"/>
      <c r="W18" s="49" t="n"/>
    </row>
    <row r="19" ht="120" customHeight="1">
      <c r="A19" s="62" t="n">
        <v>14</v>
      </c>
      <c r="B19" s="62" t="inlineStr">
        <is>
          <t>RTM-598</t>
        </is>
      </c>
      <c r="C19" s="63" t="inlineStr">
        <is>
          <t>SYSTEM</t>
        </is>
      </c>
      <c r="D19" s="62" t="inlineStr">
        <is>
          <t>Control</t>
        </is>
      </c>
      <c r="E19" s="62" t="inlineStr">
        <is>
          <t>Interlock status exposure to MCS</t>
        </is>
      </c>
      <c r="F19" s="62" t="inlineStr">
        <is>
          <t>Safety &amp; Protection</t>
        </is>
      </c>
      <c r="G19" s="62" t="inlineStr">
        <is>
          <t>Not linked to an OFFER item</t>
        </is>
      </c>
      <c r="H19" s="62" t="inlineStr">
        <is>
          <t>T0 Gate</t>
        </is>
      </c>
      <c r="I19" s="62" t="n">
        <v>36</v>
      </c>
      <c r="J19" s="62" t="n">
        <v>98.2663</v>
      </c>
      <c r="K19" s="62" t="inlineStr">
        <is>
          <t>5</t>
        </is>
      </c>
      <c r="L19" s="62" t="inlineStr">
        <is>
          <t>Safety and Protection Requirements</t>
        </is>
      </c>
      <c r="M19" s="62" t="n">
        <v>116</v>
      </c>
      <c r="N19" s="62" t="inlineStr">
        <is>
          <t>Safety / Legal</t>
        </is>
      </c>
      <c r="O19" s="53" t="inlineStr">
        <is>
          <t>The QPS:CIS shall expose the interlock status of the QPS to the MCS control interface.</t>
        </is>
      </c>
      <c r="P19" s="53" t="inlineStr">
        <is>
          <t>None explicitly named in this RTM</t>
        </is>
      </c>
      <c r="Q19" s="53" t="inlineStr">
        <is>
          <t>No separate deliverable explicitly named</t>
        </is>
      </c>
      <c r="R19" s="53" t="inlineStr">
        <is>
          <t>Interface control document (or equivalent) showing the specific QPS:CIS-to-MCS signal(s) that carry interlock status, verified live during standalone commissioning -- a data-sheet claim of 'status available' without a demonstrated live signal at the MCS interface does not satisfy this RTM.</t>
        </is>
      </c>
      <c r="S19" s="53" t="inlineStr">
        <is>
          <t>L0 Tender / Offer; L1 Conceptual Design; L2 Detailed Design; L3 Procurement &amp; Manufacturing / FAT; L4 Installation; L5 Standalone Commissioning; L6 Site Acceptance Testing</t>
        </is>
      </c>
      <c r="T19" s="53" t="inlineStr">
        <is>
          <t>Section/contract-derived reference; derived evidence route</t>
        </is>
      </c>
      <c r="U19" s="62" t="inlineStr">
        <is>
          <t>TBD</t>
        </is>
      </c>
      <c r="V19" s="213" t="n"/>
      <c r="W19" s="53" t="n"/>
    </row>
    <row r="20" ht="134" customHeight="1">
      <c r="A20" s="60" t="n">
        <v>15</v>
      </c>
      <c r="B20" s="60" t="inlineStr">
        <is>
          <t>RTM-599</t>
        </is>
      </c>
      <c r="C20" s="61" t="inlineStr">
        <is>
          <t>SAFETY</t>
        </is>
      </c>
      <c r="D20" s="60" t="inlineStr">
        <is>
          <t>Interlock &amp; Control Safety</t>
        </is>
      </c>
      <c r="E20" s="60" t="inlineStr">
        <is>
          <t>Positive-logic wiring convention</t>
        </is>
      </c>
      <c r="F20" s="60" t="inlineStr">
        <is>
          <t>Safety &amp; Protection</t>
        </is>
      </c>
      <c r="G20" s="60" t="inlineStr">
        <is>
          <t>Not linked to an OFFER item</t>
        </is>
      </c>
      <c r="H20" s="60" t="inlineStr">
        <is>
          <t>T0 Gate</t>
        </is>
      </c>
      <c r="I20" s="60" t="n">
        <v>36</v>
      </c>
      <c r="J20" s="60" t="n">
        <v>98.2663</v>
      </c>
      <c r="K20" s="60" t="inlineStr">
        <is>
          <t>5</t>
        </is>
      </c>
      <c r="L20" s="60" t="inlineStr">
        <is>
          <t>Safety and Protection Requirements</t>
        </is>
      </c>
      <c r="M20" s="60" t="n">
        <v>116</v>
      </c>
      <c r="N20" s="60" t="inlineStr">
        <is>
          <t>Safety / Legal</t>
        </is>
      </c>
      <c r="O20" s="49" t="inlineStr">
        <is>
          <t>Electrical contacts associated with the hard-wired interlock sensors (flow, pressure, temperature, level, valve-end switches, etc.) shall be wired “positive-logic” (open = abnormal/trip) so that any loss of signal, power, or cable integrity forces the affected component to a safe state.</t>
        </is>
      </c>
      <c r="P20" s="49" t="inlineStr">
        <is>
          <t>None explicitly named in this RTM</t>
        </is>
      </c>
      <c r="Q20" s="49" t="inlineStr">
        <is>
          <t>No separate deliverable explicitly named</t>
        </is>
      </c>
      <c r="R20" s="49" t="inlineStr">
        <is>
          <t>Loop-by-loop wiring verification (not a general statement) that every hard-wired interlock sensor named in this RTM -- flow, pressure, temperature, level, valve-end switch -- is wired open-circuit-on-trip, demonstrated by physically breaking a sample of loops during commissioning and confirming the safe-state response, not just a drawing review.</t>
        </is>
      </c>
      <c r="S20" s="49" t="inlineStr">
        <is>
          <t>L0 Tender / Offer; L1 Conceptual Design; L2 Detailed Design; L3 Procurement &amp; Manufacturing / FAT; L4 Installation; L5 Standalone Commissioning; L6 Site Acceptance Testing</t>
        </is>
      </c>
      <c r="T20" s="49" t="inlineStr">
        <is>
          <t>Section/contract-derived reference; derived evidence route</t>
        </is>
      </c>
      <c r="U20" s="60" t="inlineStr">
        <is>
          <t>TBD</t>
        </is>
      </c>
      <c r="V20" s="213" t="n"/>
      <c r="W20" s="49" t="n"/>
    </row>
    <row r="21" ht="134" customHeight="1">
      <c r="A21" s="62" t="n">
        <v>16</v>
      </c>
      <c r="B21" s="62" t="inlineStr">
        <is>
          <t>RTM-612</t>
        </is>
      </c>
      <c r="C21" s="63" t="inlineStr">
        <is>
          <t>PROJECT</t>
        </is>
      </c>
      <c r="D21" s="62" t="inlineStr">
        <is>
          <t>Governance &amp; Responsibility</t>
        </is>
      </c>
      <c r="E21" s="62" t="inlineStr">
        <is>
          <t>ODH interface-location decision</t>
        </is>
      </c>
      <c r="F21" s="62" t="inlineStr">
        <is>
          <t>Safety &amp; Protection</t>
        </is>
      </c>
      <c r="G21" s="62" t="inlineStr">
        <is>
          <t>Not linked to an OFFER item</t>
        </is>
      </c>
      <c r="H21" s="62" t="inlineStr">
        <is>
          <t>T0 Gate</t>
        </is>
      </c>
      <c r="I21" s="62" t="n">
        <v>36</v>
      </c>
      <c r="J21" s="62" t="n">
        <v>98.2663</v>
      </c>
      <c r="K21" s="62" t="inlineStr">
        <is>
          <t>5.2.1</t>
        </is>
      </c>
      <c r="L21" s="62" t="inlineStr">
        <is>
          <t>Oxygen-Deficiency Hazard</t>
        </is>
      </c>
      <c r="M21" s="62" t="n">
        <v>117</v>
      </c>
      <c r="N21" s="62" t="inlineStr">
        <is>
          <t>Safety / Legal</t>
        </is>
      </c>
      <c r="O21" s="53" t="inlineStr">
        <is>
          <t>The Contractor shall define the interface location where SCK CEN shall provide the ODH monitor signals to the QPS. The interface shall be either at:</t>
        </is>
      </c>
      <c r="P21" s="53" t="inlineStr">
        <is>
          <t>None explicitly named in this RTM</t>
        </is>
      </c>
      <c r="Q21" s="53" t="inlineStr">
        <is>
          <t>No separate deliverable explicitly named</t>
        </is>
      </c>
      <c r="R21" s="53" t="inlineStr">
        <is>
          <t>A single explicit design decision recorded (per-monitor splitters vs. centralized aggregator) with the chosen interface point shown on the I/O list -- this RTM asks for a decision + its documentation, not a test; evidence is the decision record itself, cross-checked against the actual as-built I/O list at commissioning.</t>
        </is>
      </c>
      <c r="S21" s="53" t="inlineStr">
        <is>
          <t>L0 Tender / Offer; L1 Conceptual Design; L2 Detailed Design; L3 Procurement &amp; Manufacturing / FAT; L4 Installation; L5 Standalone Commissioning; L6 Site Acceptance Testing</t>
        </is>
      </c>
      <c r="T21" s="53" t="inlineStr">
        <is>
          <t>Section/contract-derived reference; derived evidence route</t>
        </is>
      </c>
      <c r="U21" s="62" t="inlineStr">
        <is>
          <t>TBD</t>
        </is>
      </c>
      <c r="V21" s="213" t="n"/>
      <c r="W21" s="53" t="n"/>
    </row>
    <row r="22" ht="162" customHeight="1">
      <c r="A22" s="60" t="n">
        <v>17</v>
      </c>
      <c r="B22" s="60" t="inlineStr">
        <is>
          <t>RTM-686</t>
        </is>
      </c>
      <c r="C22" s="61" t="inlineStr">
        <is>
          <t>PROJECT</t>
        </is>
      </c>
      <c r="D22" s="60" t="inlineStr">
        <is>
          <t>Documentation &amp; Compliance</t>
        </is>
      </c>
      <c r="E22" s="60" t="inlineStr">
        <is>
          <t>Final Declaration of Conformity</t>
        </is>
      </c>
      <c r="F22" s="60" t="inlineStr">
        <is>
          <t>Quality Assurance &amp; Control</t>
        </is>
      </c>
      <c r="G22" s="85" t="inlineStr">
        <is>
          <t>Inferred: C7 — Quality, Testing &amp; Risk (high conf.)</t>
        </is>
      </c>
      <c r="H22" s="60" t="inlineStr">
        <is>
          <t>T0 Gate</t>
        </is>
      </c>
      <c r="I22" s="60" t="n">
        <v>35</v>
      </c>
      <c r="J22" s="60" t="n">
        <v>97.7809</v>
      </c>
      <c r="K22" s="60" t="inlineStr">
        <is>
          <t>8.2.2</t>
        </is>
      </c>
      <c r="L22" s="60" t="inlineStr">
        <is>
          <t>Declaration of conformity with all requirements</t>
        </is>
      </c>
      <c r="M22" s="60" t="n">
        <v>128</v>
      </c>
      <c r="N22" s="60" t="inlineStr">
        <is>
          <t>Safety / Legal</t>
        </is>
      </c>
      <c r="O22" s="49" t="inlineStr">
        <is>
          <t>Together with the delivery, the Contractor shall submit to SCK CEN a Declaration of Conformity certifying that all the requirements have been met. Such declaration shall include at least the following information:</t>
        </is>
      </c>
      <c r="P22" s="49" t="inlineStr">
        <is>
          <t>None explicitly named in this RTM</t>
        </is>
      </c>
      <c r="Q22" s="49" t="inlineStr">
        <is>
          <t>Declaration of Conformity; Quality Assurance Plan (QAP); List / register / matrix</t>
        </is>
      </c>
      <c r="R22" s="49" t="inlineStr">
        <is>
          <t>Declaration of Conformity delivered WITH the shipment (not before, not as a separate later submission) naming the purchase-order and Contract reference, listing every approved change/waiver/deviation up to that point, signed by the individual named as quality-assurance-responsible in the approved QAP -- a declaration signed by someone not matching the QAP's named signatory should be queried, not accepted at face value.</t>
        </is>
      </c>
      <c r="S22" s="49" t="inlineStr">
        <is>
          <t>PAC / Handover; L0 Tender / Offer; L1 Conceptual Design; L2 Detailed Design; L3 Procurement &amp; Manufacturing / FAT; L4 Installation; L5 Standalone Commissioning; L6 Site Acceptance Testing</t>
        </is>
      </c>
      <c r="T22" s="49" t="inlineStr">
        <is>
          <t>Section/contract-derived reference; explicit deliverable/test wording</t>
        </is>
      </c>
      <c r="U22" s="60" t="inlineStr">
        <is>
          <t>TBD</t>
        </is>
      </c>
      <c r="V22" s="213" t="n"/>
      <c r="W22" s="49" t="n"/>
    </row>
    <row r="23" ht="106" customHeight="1">
      <c r="A23" s="62" t="n">
        <v>18</v>
      </c>
      <c r="B23" s="62" t="inlineStr">
        <is>
          <t>RTM-605</t>
        </is>
      </c>
      <c r="C23" s="63" t="inlineStr">
        <is>
          <t>PROJECT</t>
        </is>
      </c>
      <c r="D23" s="62" t="inlineStr">
        <is>
          <t>Governance &amp; Responsibility</t>
        </is>
      </c>
      <c r="E23" s="62" t="inlineStr">
        <is>
          <t>Third-party inspection ownership</t>
        </is>
      </c>
      <c r="F23" s="62" t="inlineStr">
        <is>
          <t>Safety &amp; Protection</t>
        </is>
      </c>
      <c r="G23" s="62" t="inlineStr">
        <is>
          <t>Not linked to an OFFER item</t>
        </is>
      </c>
      <c r="H23" s="62" t="inlineStr">
        <is>
          <t>T0 Gate</t>
        </is>
      </c>
      <c r="I23" s="62" t="n">
        <v>32</v>
      </c>
      <c r="J23" s="62" t="n">
        <v>97.4341</v>
      </c>
      <c r="K23" s="62" t="inlineStr">
        <is>
          <t>5.2</t>
        </is>
      </c>
      <c r="L23" s="62" t="inlineStr">
        <is>
          <t>Personnel Safety</t>
        </is>
      </c>
      <c r="M23" s="62" t="n">
        <v>117</v>
      </c>
      <c r="N23" s="62" t="inlineStr">
        <is>
          <t>Safety / Legal</t>
        </is>
      </c>
      <c r="O23" s="53" t="inlineStr">
        <is>
          <t>The Contractor shall be responsible for any required 3rd party for inspection or certification (e.g. PED auditor).</t>
        </is>
      </c>
      <c r="P23" s="53" t="inlineStr">
        <is>
          <t>PED</t>
        </is>
      </c>
      <c r="Q23" s="53" t="inlineStr">
        <is>
          <t>No separate deliverable explicitly named</t>
        </is>
      </c>
      <c r="R23" s="53" t="inlineStr">
        <is>
          <t>Named 3rd-party inspector/certifier (e.g. PED auditor) engaged and paid by the Contractor, evidenced by the inspection contract or engagement letter -- not just a certificate appearing in the deliverable set with no record of who commissioned it or on whose account.</t>
        </is>
      </c>
      <c r="S23" s="53" t="inlineStr">
        <is>
          <t>L0 Tender / Offer; L1 Conceptual Design; L2 Detailed Design; L3 Procurement &amp; Manufacturing / FAT; L4 Installation; L5 Standalone Commissioning; L6 Site Acceptance Testing</t>
        </is>
      </c>
      <c r="T23" s="53" t="inlineStr">
        <is>
          <t>Explicit/table-grounded standard; derived evidence route</t>
        </is>
      </c>
      <c r="U23" s="62" t="inlineStr">
        <is>
          <t>TBD</t>
        </is>
      </c>
      <c r="V23" s="213" t="n"/>
      <c r="W23" s="53" t="n"/>
    </row>
    <row r="24" ht="106" customHeight="1">
      <c r="A24" s="60" t="n">
        <v>19</v>
      </c>
      <c r="B24" s="60" t="inlineStr">
        <is>
          <t>RTM-689</t>
        </is>
      </c>
      <c r="C24" s="61" t="inlineStr">
        <is>
          <t>PROJECT</t>
        </is>
      </c>
      <c r="D24" s="60" t="inlineStr">
        <is>
          <t>Documentation &amp; Compliance</t>
        </is>
      </c>
      <c r="E24" s="60" t="inlineStr">
        <is>
          <t>EU DoC + CE marking, all components</t>
        </is>
      </c>
      <c r="F24" s="60" t="inlineStr">
        <is>
          <t>Codes &amp; Standards</t>
        </is>
      </c>
      <c r="G24" s="60" t="inlineStr">
        <is>
          <t>C7 — Quality, Testing &amp; Risk</t>
        </is>
      </c>
      <c r="H24" s="60" t="inlineStr">
        <is>
          <t>T0 Gate</t>
        </is>
      </c>
      <c r="I24" s="60" t="n">
        <v>32</v>
      </c>
      <c r="J24" s="60" t="n">
        <v>97.4341</v>
      </c>
      <c r="K24" s="60" t="inlineStr">
        <is>
          <t>9.1</t>
        </is>
      </c>
      <c r="L24" s="60" t="inlineStr">
        <is>
          <t>Applicable legislation</t>
        </is>
      </c>
      <c r="M24" s="60" t="n">
        <v>129</v>
      </c>
      <c r="N24" s="60" t="inlineStr">
        <is>
          <t>Safety / Legal</t>
        </is>
      </c>
      <c r="O24" s="49" t="inlineStr">
        <is>
          <t>The Contractor shall provide an EU declaration of conformity for the QPS and CE mark all QPS components.</t>
        </is>
      </c>
      <c r="P24" s="49" t="inlineStr">
        <is>
          <t>EU declaration of conformity; CE marking</t>
        </is>
      </c>
      <c r="Q24" s="49" t="inlineStr">
        <is>
          <t>EU Declaration of Conformity; Declaration of Conformity</t>
        </is>
      </c>
      <c r="R24" s="49" t="inlineStr">
        <is>
          <t>EU Declaration of Conformity for the QPS as a whole, PLUS a component-by-component CE-marking check against the full equipment list (not a sample) -- flag any named QPS component missing CE marking rather than accepting an overall DoC as sufficient proof for every sub-component.</t>
        </is>
      </c>
      <c r="S24" s="49" t="inlineStr">
        <is>
          <t>L0 Tender / Offer; L1 Conceptual Design; L2 Detailed Design; L3 Procurement &amp; Manufacturing / FAT; L4 Installation; L5 Standalone Commissioning; L6 Site Acceptance Testing</t>
        </is>
      </c>
      <c r="T24" s="49" t="inlineStr">
        <is>
          <t>Explicit/table-grounded standard; explicit deliverable/test wording</t>
        </is>
      </c>
      <c r="U24" s="60" t="inlineStr">
        <is>
          <t>TBD</t>
        </is>
      </c>
      <c r="V24" s="213" t="n"/>
      <c r="W24" s="49" t="n"/>
    </row>
    <row r="25" ht="176" customHeight="1">
      <c r="A25" s="62" t="n">
        <v>20</v>
      </c>
      <c r="B25" s="62" t="inlineStr">
        <is>
          <t>RTM-691</t>
        </is>
      </c>
      <c r="C25" s="63" t="inlineStr">
        <is>
          <t>PROJECT</t>
        </is>
      </c>
      <c r="D25" s="62" t="inlineStr">
        <is>
          <t>Governance &amp; Responsibility</t>
        </is>
      </c>
      <c r="E25" s="62" t="inlineStr">
        <is>
          <t>PED Manufacturer-role assumption</t>
        </is>
      </c>
      <c r="F25" s="62" t="inlineStr">
        <is>
          <t>Codes &amp; Standards</t>
        </is>
      </c>
      <c r="G25" s="62" t="inlineStr">
        <is>
          <t>C7 — Quality, Testing &amp; Risk</t>
        </is>
      </c>
      <c r="H25" s="62" t="inlineStr">
        <is>
          <t>T0 Gate</t>
        </is>
      </c>
      <c r="I25" s="62" t="n">
        <v>32</v>
      </c>
      <c r="J25" s="62" t="n">
        <v>97.4341</v>
      </c>
      <c r="K25" s="62" t="inlineStr">
        <is>
          <t>9.1</t>
        </is>
      </c>
      <c r="L25" s="62" t="inlineStr">
        <is>
          <t>Applicable legislation</t>
        </is>
      </c>
      <c r="M25" s="62" t="n">
        <v>129</v>
      </c>
      <c r="N25" s="62" t="inlineStr">
        <is>
          <t>Safety / Legal</t>
        </is>
      </c>
      <c r="O25" s="53" t="inlineStr">
        <is>
          <t>For pressure equipment and associated piping, the Contractor shall assume the role of Manufacturer (or equivalent designation under the applicable pressure equipment legislation and standards) and shall be responsible for design, manufacturing, conformity assessment, marking, and documentation in accordance with Pressure Equipment Directive (2014/68/EU). These responsibilities shall be clearly reflected in the Responsibility Matrix and the Codes and Standards Register which form part of the continuously updated QAP.</t>
        </is>
      </c>
      <c r="P25" s="53" t="inlineStr">
        <is>
          <t>Pressure Equipment Directive 2014/68/EU</t>
        </is>
      </c>
      <c r="Q25" s="53" t="inlineStr">
        <is>
          <t>Quality Assurance Plan (QAP); Codes and Standards Register; Responsibility Matrix; List / register / matrix</t>
        </is>
      </c>
      <c r="R25" s="53" t="inlineStr">
        <is>
          <t>Responsibility Matrix and Codes &amp; Standards Register (inside the QAP) explicitly naming the Contractor as Manufacturer under PED 2014/68/EU for each pressure item and associated piping -- a generic 'PED compliant' statement without the Contractor's role being named in the Responsibility Matrix does not satisfy this RTM.</t>
        </is>
      </c>
      <c r="S25" s="53" t="inlineStr">
        <is>
          <t>L3 Procurement &amp; Manufacturing / FAT; L0 Tender / Offer; L1 Conceptual Design; L2 Detailed Design; L4 Installation; L5 Standalone Commissioning; L6 Site Acceptance Testing</t>
        </is>
      </c>
      <c r="T25" s="53" t="inlineStr">
        <is>
          <t>Explicit/table-grounded standard; explicit deliverable/test wording</t>
        </is>
      </c>
      <c r="U25" s="62" t="inlineStr">
        <is>
          <t>TBD</t>
        </is>
      </c>
      <c r="V25" s="213" t="n"/>
      <c r="W25" s="53" t="n"/>
    </row>
    <row r="26" ht="134" customHeight="1">
      <c r="A26" s="60" t="n">
        <v>21</v>
      </c>
      <c r="B26" s="60" t="inlineStr">
        <is>
          <t>RTM-695</t>
        </is>
      </c>
      <c r="C26" s="61" t="inlineStr">
        <is>
          <t>PROJECT</t>
        </is>
      </c>
      <c r="D26" s="60" t="inlineStr">
        <is>
          <t>Documentation &amp; Compliance</t>
        </is>
      </c>
      <c r="E26" s="60" t="inlineStr">
        <is>
          <t>Technical File update on request</t>
        </is>
      </c>
      <c r="F26" s="60" t="inlineStr">
        <is>
          <t>Codes &amp; Standards</t>
        </is>
      </c>
      <c r="G26" s="60" t="inlineStr">
        <is>
          <t>C7 — Quality, Testing &amp; Risk</t>
        </is>
      </c>
      <c r="H26" s="60" t="inlineStr">
        <is>
          <t>T0 Gate</t>
        </is>
      </c>
      <c r="I26" s="60" t="n">
        <v>32</v>
      </c>
      <c r="J26" s="60" t="n">
        <v>97.4341</v>
      </c>
      <c r="K26" s="60" t="inlineStr">
        <is>
          <t>9.1</t>
        </is>
      </c>
      <c r="L26" s="60" t="inlineStr">
        <is>
          <t>Applicable legislation</t>
        </is>
      </c>
      <c r="M26" s="60" t="n">
        <v>130</v>
      </c>
      <c r="N26" s="60" t="inlineStr">
        <is>
          <t>Safety / Legal</t>
        </is>
      </c>
      <c r="O26" s="49" t="inlineStr">
        <is>
          <t>If requested by SCK CEN, the Contractor shall submit an updated version of the Technical File including more detail on specific section to demonstrate conformity with the directive(s) in more detail. This may require adding e.g.:</t>
        </is>
      </c>
      <c r="P26" s="49" t="inlineStr">
        <is>
          <t>None explicitly named in this RTM</t>
        </is>
      </c>
      <c r="Q26" s="49" t="inlineStr">
        <is>
          <t>Technical File; Test procedure / report; Certificate / calibration evidence; Drawing / diagram</t>
        </is>
      </c>
      <c r="R26" s="49" t="inlineStr">
        <is>
          <t>Not testable until triggered -- this is a standing obligation to respond to an SCK CEN request with an updated Technical File section (drawings/calc notes/test reports as needed). Evidence is a documented response-time commitment in the QAP, verified only if/when SCK CEN actually issues such a request during the contract.</t>
        </is>
      </c>
      <c r="S26" s="49" t="inlineStr">
        <is>
          <t>L0 Tender / Offer; L1 Conceptual Design; L2 Detailed Design; L3 Procurement &amp; Manufacturing / FAT; L4 Installation; L5 Standalone Commissioning; L6 Site Acceptance Testing</t>
        </is>
      </c>
      <c r="T26" s="49" t="inlineStr">
        <is>
          <t>Section/contract-derived reference; explicit deliverable/test wording</t>
        </is>
      </c>
      <c r="U26" s="60" t="inlineStr">
        <is>
          <t>TBD</t>
        </is>
      </c>
      <c r="V26" s="213" t="n"/>
      <c r="W26" s="49" t="n"/>
    </row>
    <row r="27" ht="134" customHeight="1">
      <c r="A27" s="62" t="n">
        <v>22</v>
      </c>
      <c r="B27" s="62" t="inlineStr">
        <is>
          <t>RTM-603</t>
        </is>
      </c>
      <c r="C27" s="63" t="inlineStr">
        <is>
          <t>SAFETY</t>
        </is>
      </c>
      <c r="D27" s="62" t="inlineStr">
        <is>
          <t>Personnel Protection</t>
        </is>
      </c>
      <c r="E27" s="62" t="inlineStr">
        <is>
          <t>Cryogenic hazard PPE &amp; procedures</t>
        </is>
      </c>
      <c r="F27" s="62" t="inlineStr">
        <is>
          <t>Safety &amp; Protection</t>
        </is>
      </c>
      <c r="G27" s="62" t="inlineStr">
        <is>
          <t>Not linked to an OFFER item</t>
        </is>
      </c>
      <c r="H27" s="62" t="inlineStr">
        <is>
          <t>T0 Gate</t>
        </is>
      </c>
      <c r="I27" s="62" t="n">
        <v>30.6667</v>
      </c>
      <c r="J27" s="62" t="n">
        <v>97.018</v>
      </c>
      <c r="K27" s="62" t="inlineStr">
        <is>
          <t>5.2</t>
        </is>
      </c>
      <c r="L27" s="62" t="inlineStr">
        <is>
          <t>Personnel Safety</t>
        </is>
      </c>
      <c r="M27" s="62" t="n">
        <v>116</v>
      </c>
      <c r="N27" s="62" t="inlineStr">
        <is>
          <t>Safety / Legal</t>
        </is>
      </c>
      <c r="O27" s="53" t="inlineStr">
        <is>
          <t>The Contractor shall design, implement, supply and document all safety measures, including engineered safety devices, personal protective equipment (PPE), and operational procedures, to eliminate, reduce, or mitigate safety hazards, including but not limited to the cryogenic ones:</t>
        </is>
      </c>
      <c r="P27" s="53" t="inlineStr">
        <is>
          <t>None explicitly named in this RTM</t>
        </is>
      </c>
      <c r="Q27" s="53" t="inlineStr">
        <is>
          <t>Procedure / work instruction</t>
        </is>
      </c>
      <c r="R27" s="53" t="inlineStr">
        <is>
          <t>Procedure/work-instruction set naming the two hazards this RTM specifically calls out -- Oxygen-Deficiency Hazard (asphyxiation) and cold burn (cryogenic frostbite) -- each with its own engineered device, PPE item, and operational procedure, not a single generic 'cryogenic safety procedure' covering both without differentiation.</t>
        </is>
      </c>
      <c r="S27" s="53" t="inlineStr">
        <is>
          <t>L0 Tender / Offer; L1 Conceptual Design; L2 Detailed Design; L3 Procurement &amp; Manufacturing / FAT; L4 Installation; L5 Standalone Commissioning; L6 Site Acceptance Testing</t>
        </is>
      </c>
      <c r="T27" s="53" t="inlineStr">
        <is>
          <t>Section/contract-derived reference; explicit deliverable/test wording</t>
        </is>
      </c>
      <c r="U27" s="62" t="inlineStr">
        <is>
          <t>TBD</t>
        </is>
      </c>
      <c r="V27" s="213" t="n"/>
      <c r="W27" s="53" t="n"/>
    </row>
    <row r="28" ht="106" customHeight="1">
      <c r="A28" s="60" t="n">
        <v>23</v>
      </c>
      <c r="B28" s="60" t="inlineStr">
        <is>
          <t>RTM-604</t>
        </is>
      </c>
      <c r="C28" s="61" t="inlineStr">
        <is>
          <t>SAFETY</t>
        </is>
      </c>
      <c r="D28" s="60" t="inlineStr">
        <is>
          <t>Personnel Protection</t>
        </is>
      </c>
      <c r="E28" s="60" t="inlineStr">
        <is>
          <t>Hazard-analysis documentation</t>
        </is>
      </c>
      <c r="F28" s="60" t="inlineStr">
        <is>
          <t>Safety &amp; Protection</t>
        </is>
      </c>
      <c r="G28" s="60" t="inlineStr">
        <is>
          <t>Not linked to an OFFER item</t>
        </is>
      </c>
      <c r="H28" s="60" t="inlineStr">
        <is>
          <t>T0 Gate</t>
        </is>
      </c>
      <c r="I28" s="60" t="n">
        <v>30.6667</v>
      </c>
      <c r="J28" s="60" t="n">
        <v>97.018</v>
      </c>
      <c r="K28" s="60" t="inlineStr">
        <is>
          <t>5.2</t>
        </is>
      </c>
      <c r="L28" s="60" t="inlineStr">
        <is>
          <t>Personnel Safety</t>
        </is>
      </c>
      <c r="M28" s="60" t="n">
        <v>117</v>
      </c>
      <c r="N28" s="60" t="inlineStr">
        <is>
          <t>Safety / Legal</t>
        </is>
      </c>
      <c r="O28" s="49" t="inlineStr">
        <is>
          <t>The Contractor shall document the hazard analysis, selected mitigation measures, detection and protection devices, PPE requirements, and associated procedures.</t>
        </is>
      </c>
      <c r="P28" s="49" t="inlineStr">
        <is>
          <t>None explicitly named in this RTM</t>
        </is>
      </c>
      <c r="Q28" s="49" t="inlineStr">
        <is>
          <t>Procedure / work instruction</t>
        </is>
      </c>
      <c r="R28" s="49" t="inlineStr">
        <is>
          <t>Single traceable document chaining hazard -&gt; selected mitigation -&gt; detection/protection device -&gt; PPE requirement -&gt; procedure, for every hazard identified under RTM-595/603 -- reject documentation where any one of these five links is missing for a named hazard.</t>
        </is>
      </c>
      <c r="S28" s="49" t="inlineStr">
        <is>
          <t>L0 Tender / Offer; L1 Conceptual Design; L2 Detailed Design; L3 Procurement &amp; Manufacturing / FAT; L4 Installation; L5 Standalone Commissioning; L6 Site Acceptance Testing</t>
        </is>
      </c>
      <c r="T28" s="49" t="inlineStr">
        <is>
          <t>Section/contract-derived reference; explicit deliverable/test wording</t>
        </is>
      </c>
      <c r="U28" s="60" t="inlineStr">
        <is>
          <t>TBD</t>
        </is>
      </c>
      <c r="V28" s="213" t="n"/>
      <c r="W28" s="49" t="n"/>
    </row>
    <row r="29" ht="148" customHeight="1">
      <c r="A29" s="62" t="n">
        <v>24</v>
      </c>
      <c r="B29" s="62" t="inlineStr">
        <is>
          <t>RTM-609</t>
        </is>
      </c>
      <c r="C29" s="63" t="inlineStr">
        <is>
          <t>SAFETY</t>
        </is>
      </c>
      <c r="D29" s="62" t="inlineStr">
        <is>
          <t>Equipment Protection</t>
        </is>
      </c>
      <c r="E29" s="62" t="inlineStr">
        <is>
          <t>ODH monitor placement proposal</t>
        </is>
      </c>
      <c r="F29" s="62" t="inlineStr">
        <is>
          <t>Safety &amp; Protection</t>
        </is>
      </c>
      <c r="G29" s="62" t="inlineStr">
        <is>
          <t>Not linked to an OFFER item</t>
        </is>
      </c>
      <c r="H29" s="62" t="inlineStr">
        <is>
          <t>T0 Gate</t>
        </is>
      </c>
      <c r="I29" s="62" t="n">
        <v>27.3333</v>
      </c>
      <c r="J29" s="62" t="n">
        <v>96.81</v>
      </c>
      <c r="K29" s="62" t="inlineStr">
        <is>
          <t>5.2.1</t>
        </is>
      </c>
      <c r="L29" s="62" t="inlineStr">
        <is>
          <t>Oxygen-Deficiency Hazard</t>
        </is>
      </c>
      <c r="M29" s="62" t="n">
        <v>117</v>
      </c>
      <c r="N29" s="62" t="inlineStr">
        <is>
          <t>Safety / Legal</t>
        </is>
      </c>
      <c r="O29" s="53" t="inlineStr">
        <is>
          <t>The Contractor shall supply a substantiated proposal for the locations of Oxygen-Deficiency Hazard (ODH) monitors on all rooms housing the QPS equipment. The proposal shall be based on the following boundary conditions:</t>
        </is>
      </c>
      <c r="P29" s="53" t="inlineStr">
        <is>
          <t>EN 50104:2019</t>
        </is>
      </c>
      <c r="Q29" s="53" t="inlineStr">
        <is>
          <t>No separate deliverable explicitly named</t>
        </is>
      </c>
      <c r="R29" s="53" t="inlineStr">
        <is>
          <t>Monitor-location proposal explicitly built on this RTM's three stated boundary conditions (SCK CEN installs the monitors; monitors are fixed, EN 50104:2019-compliant, SIL-2 rated; SCK CEN integrates them into the MINERVA site alarm/access-control system) -- a proposal that silently assumes a different monitor type or integration path should be queried before acceptance.</t>
        </is>
      </c>
      <c r="S29" s="53" t="inlineStr">
        <is>
          <t>L0 Tender / Offer; L1 Conceptual Design; L2 Detailed Design; L3 Procurement &amp; Manufacturing / FAT; L4 Installation; L5 Standalone Commissioning; L6 Site Acceptance Testing</t>
        </is>
      </c>
      <c r="T29" s="53" t="inlineStr">
        <is>
          <t>Explicit/table-grounded standard; derived evidence route</t>
        </is>
      </c>
      <c r="U29" s="62" t="inlineStr">
        <is>
          <t>TBD</t>
        </is>
      </c>
      <c r="V29" s="213" t="n"/>
      <c r="W29" s="53" t="n"/>
    </row>
    <row r="30" ht="120" customHeight="1">
      <c r="A30" s="60" t="n">
        <v>25</v>
      </c>
      <c r="B30" s="60" t="inlineStr">
        <is>
          <t>RTM-001</t>
        </is>
      </c>
      <c r="C30" s="61" t="inlineStr">
        <is>
          <t>PROJECT</t>
        </is>
      </c>
      <c r="D30" s="60" t="inlineStr">
        <is>
          <t>Governance &amp; Responsibility</t>
        </is>
      </c>
      <c r="E30" s="60" t="inlineStr">
        <is>
          <t>No-post-offer-information-gap defence</t>
        </is>
      </c>
      <c r="F30" s="60" t="inlineStr">
        <is>
          <t>General / Compliance</t>
        </is>
      </c>
      <c r="G30" s="60" t="inlineStr">
        <is>
          <t>C8 — Commercial &amp; Execution</t>
        </is>
      </c>
      <c r="H30" s="60" t="inlineStr">
        <is>
          <t>T0 Gate</t>
        </is>
      </c>
      <c r="I30" s="60" t="n">
        <v>20</v>
      </c>
      <c r="J30" s="60" t="n">
        <v>95.423</v>
      </c>
      <c r="K30" s="60" t="inlineStr">
        <is>
          <t>4.1</t>
        </is>
      </c>
      <c r="L30" s="60" t="inlineStr">
        <is>
          <t>General Requirements</t>
        </is>
      </c>
      <c r="M30" s="60" t="n">
        <v>24</v>
      </c>
      <c r="N30" s="60" t="inlineStr">
        <is>
          <t>Safety / Legal</t>
        </is>
      </c>
      <c r="O30" s="49" t="inlineStr">
        <is>
          <t>The Contractor shall be fully responsible for ensuring that the Deliverables and Services provided fully meet the specified requirements for the Contract.</t>
        </is>
      </c>
      <c r="P30" s="49" t="inlineStr">
        <is>
          <t>None explicitly named in this RTM</t>
        </is>
      </c>
      <c r="Q30" s="49" t="inlineStr">
        <is>
          <t>No separate deliverable explicitly named</t>
        </is>
      </c>
      <c r="R30" s="49" t="inlineStr">
        <is>
          <t>Not a document to review -- a standing contractual position. Evidence is the ABSENCE of any Contractor claim, during contract performance, that missing information excuses a shortfall; any such claim raised should be checked against §1.11/§1.13 of the Main Tender Document and rejected as a Variation basis per this RTM.</t>
        </is>
      </c>
      <c r="S30" s="49" t="inlineStr">
        <is>
          <t>L1 Conceptual Design; L2 Detailed Design</t>
        </is>
      </c>
      <c r="T30" s="49" t="inlineStr">
        <is>
          <t>Section/contract-derived reference; derived evidence route</t>
        </is>
      </c>
      <c r="U30" s="60" t="inlineStr">
        <is>
          <t>TBD</t>
        </is>
      </c>
      <c r="V30" s="213" t="n"/>
      <c r="W30" s="49" t="n"/>
    </row>
    <row r="31" ht="106" customHeight="1">
      <c r="A31" s="62" t="n">
        <v>26</v>
      </c>
      <c r="B31" s="62" t="inlineStr">
        <is>
          <t>RTM-003</t>
        </is>
      </c>
      <c r="C31" s="63" t="inlineStr">
        <is>
          <t>PROJECT</t>
        </is>
      </c>
      <c r="D31" s="62" t="inlineStr">
        <is>
          <t>Governance &amp; Responsibility</t>
        </is>
      </c>
      <c r="E31" s="62" t="inlineStr">
        <is>
          <t>Standards-document procurement</t>
        </is>
      </c>
      <c r="F31" s="62" t="inlineStr">
        <is>
          <t>General / Compliance</t>
        </is>
      </c>
      <c r="G31" s="62" t="inlineStr">
        <is>
          <t>C8 — Commercial &amp; Execution</t>
        </is>
      </c>
      <c r="H31" s="62" t="inlineStr">
        <is>
          <t>T0 Gate</t>
        </is>
      </c>
      <c r="I31" s="62" t="n">
        <v>20</v>
      </c>
      <c r="J31" s="62" t="n">
        <v>95.423</v>
      </c>
      <c r="K31" s="62" t="inlineStr">
        <is>
          <t>4.1</t>
        </is>
      </c>
      <c r="L31" s="62" t="inlineStr">
        <is>
          <t>General Requirements</t>
        </is>
      </c>
      <c r="M31" s="62" t="n">
        <v>24</v>
      </c>
      <c r="N31" s="62" t="inlineStr">
        <is>
          <t>Safety / Legal</t>
        </is>
      </c>
      <c r="O31" s="53" t="inlineStr">
        <is>
          <t>The Contractor shall be responsible to obtain the corresponding documents for referenced norms, standards, etc.</t>
        </is>
      </c>
      <c r="P31" s="53" t="inlineStr">
        <is>
          <t>None explicitly named in this RTM</t>
        </is>
      </c>
      <c r="Q31" s="53" t="inlineStr">
        <is>
          <t>No separate deliverable explicitly named</t>
        </is>
      </c>
      <c r="R31" s="53" t="inlineStr">
        <is>
          <t>Confirm the Contractor holds (or can produce on request) the actual current text of every named standard/norm it claims compliance with -- a reference to a standard number in a submittal is not itself evidence the Contractor obtained and applied the current document.</t>
        </is>
      </c>
      <c r="S31" s="53" t="inlineStr">
        <is>
          <t>L1 Conceptual Design; L2 Detailed Design</t>
        </is>
      </c>
      <c r="T31" s="53" t="inlineStr">
        <is>
          <t>Section/contract-derived reference; derived evidence route</t>
        </is>
      </c>
      <c r="U31" s="62" t="inlineStr">
        <is>
          <t>TBD</t>
        </is>
      </c>
      <c r="V31" s="213" t="n"/>
      <c r="W31" s="53" t="n"/>
    </row>
    <row r="32" ht="148" customHeight="1">
      <c r="A32" s="60" t="n">
        <v>27</v>
      </c>
      <c r="B32" s="60" t="inlineStr">
        <is>
          <t>RTM-004</t>
        </is>
      </c>
      <c r="C32" s="61" t="inlineStr">
        <is>
          <t>PROJECT</t>
        </is>
      </c>
      <c r="D32" s="60" t="inlineStr">
        <is>
          <t>Governance &amp; Responsibility</t>
        </is>
      </c>
      <c r="E32" s="60" t="inlineStr">
        <is>
          <t>Deviation/modification approval gate</t>
        </is>
      </c>
      <c r="F32" s="60" t="inlineStr">
        <is>
          <t>General / Compliance</t>
        </is>
      </c>
      <c r="G32" s="60" t="inlineStr">
        <is>
          <t>C8 — Commercial &amp; Execution</t>
        </is>
      </c>
      <c r="H32" s="60" t="inlineStr">
        <is>
          <t>T0 Gate</t>
        </is>
      </c>
      <c r="I32" s="60" t="n">
        <v>20</v>
      </c>
      <c r="J32" s="60" t="n">
        <v>95.423</v>
      </c>
      <c r="K32" s="60" t="inlineStr">
        <is>
          <t>4.1</t>
        </is>
      </c>
      <c r="L32" s="60" t="inlineStr">
        <is>
          <t>General Requirements</t>
        </is>
      </c>
      <c r="M32" s="60" t="n">
        <v>25</v>
      </c>
      <c r="N32" s="60" t="inlineStr">
        <is>
          <t>Safety / Legal</t>
        </is>
      </c>
      <c r="O32" s="49" t="inlineStr">
        <is>
          <t>Any deviations or modifications shall require prior written approval by SCK CEN to be implemented.</t>
        </is>
      </c>
      <c r="P32" s="49" t="inlineStr">
        <is>
          <t>None explicitly named in this RTM</t>
        </is>
      </c>
      <c r="Q32" s="49" t="inlineStr">
        <is>
          <t>No separate deliverable explicitly named</t>
        </is>
      </c>
      <c r="R32" s="49" t="inlineStr">
        <is>
          <t>Cross-check: every deviation later found in as-built work traces back to an explicit entry in the Applicant's Offer's dedicated deviations section (§1.9 Main Tender Document structure) -- any deviation discovered that was NOT pre-declared there is by this RTM's own definition a Non-Conformity, not a Variation, and the cost/schedule risk sits with the Contractor.</t>
        </is>
      </c>
      <c r="S32" s="49" t="inlineStr">
        <is>
          <t>L1 Conceptual Design; L2 Detailed Design</t>
        </is>
      </c>
      <c r="T32" s="49" t="inlineStr">
        <is>
          <t>Section/contract-derived reference; derived evidence route</t>
        </is>
      </c>
      <c r="U32" s="60" t="inlineStr">
        <is>
          <t>TBD</t>
        </is>
      </c>
      <c r="V32" s="213" t="n"/>
      <c r="W32" s="49" t="n"/>
    </row>
    <row r="33" ht="120" customHeight="1">
      <c r="A33" s="62" t="n">
        <v>28</v>
      </c>
      <c r="B33" s="62" t="inlineStr">
        <is>
          <t>RTM-594</t>
        </is>
      </c>
      <c r="C33" s="63" t="inlineStr">
        <is>
          <t>SYSTEM</t>
        </is>
      </c>
      <c r="D33" s="62" t="inlineStr">
        <is>
          <t>Constraint</t>
        </is>
      </c>
      <c r="E33" s="62" t="inlineStr">
        <is>
          <t>Damage prevention/detection/mitigation</t>
        </is>
      </c>
      <c r="F33" s="62" t="inlineStr">
        <is>
          <t>Safety &amp; Protection</t>
        </is>
      </c>
      <c r="G33" s="62" t="inlineStr">
        <is>
          <t>Not linked to an OFFER item</t>
        </is>
      </c>
      <c r="H33" s="62" t="inlineStr">
        <is>
          <t>T0 Gate</t>
        </is>
      </c>
      <c r="I33" s="62" t="n">
        <v>20</v>
      </c>
      <c r="J33" s="62" t="n">
        <v>95.423</v>
      </c>
      <c r="K33" s="62" t="inlineStr">
        <is>
          <t>5</t>
        </is>
      </c>
      <c r="L33" s="62" t="inlineStr">
        <is>
          <t>Safety and Protection Requirements</t>
        </is>
      </c>
      <c r="M33" s="62" t="n">
        <v>116</v>
      </c>
      <c r="N33" s="62" t="inlineStr">
        <is>
          <t>Safety / Legal</t>
        </is>
      </c>
      <c r="O33" s="53" t="inlineStr">
        <is>
          <t>The QPS shall be designed to prevent, detect, and mitigate conditions that could damage the QPS, so far as reasonably practicable.</t>
        </is>
      </c>
      <c r="P33" s="53" t="inlineStr">
        <is>
          <t>None explicitly named in this RTM</t>
        </is>
      </c>
      <c r="Q33" s="53" t="inlineStr">
        <is>
          <t>No separate deliverable explicitly named</t>
        </is>
      </c>
      <c r="R33" s="53" t="inlineStr">
        <is>
          <t>This is a broad design-philosophy requirement rather than a single test point -- evidence is the design FMEA/HAZOP showing prevent/detect/mitigate layers were considered for each identified damage mechanism, cross-referenced against RTM-595's risk register rather than treated as a separate standalone deliverable.</t>
        </is>
      </c>
      <c r="S33" s="53" t="inlineStr">
        <is>
          <t>L0 Tender / Offer; L1 Conceptual Design; L2 Detailed Design; L3 Procurement &amp; Manufacturing / FAT; L4 Installation; L5 Standalone Commissioning; L6 Site Acceptance Testing</t>
        </is>
      </c>
      <c r="T33" s="53" t="inlineStr">
        <is>
          <t>Section/contract-derived reference; derived evidence route</t>
        </is>
      </c>
      <c r="U33" s="62" t="inlineStr">
        <is>
          <t>TBD</t>
        </is>
      </c>
      <c r="V33" s="213" t="n"/>
      <c r="W33" s="53" t="n"/>
    </row>
    <row r="34" ht="148" customHeight="1">
      <c r="A34" s="60" t="n">
        <v>29</v>
      </c>
      <c r="B34" s="60" t="inlineStr">
        <is>
          <t>RTM-601</t>
        </is>
      </c>
      <c r="C34" s="61" t="inlineStr">
        <is>
          <t>SYSTEM</t>
        </is>
      </c>
      <c r="D34" s="60" t="inlineStr">
        <is>
          <t>Constraint</t>
        </is>
      </c>
      <c r="E34" s="60" t="inlineStr">
        <is>
          <t>Scope-boundary conditions</t>
        </is>
      </c>
      <c r="F34" s="60" t="inlineStr">
        <is>
          <t>Safety &amp; Protection</t>
        </is>
      </c>
      <c r="G34" s="60" t="inlineStr">
        <is>
          <t>Not linked to an OFFER item</t>
        </is>
      </c>
      <c r="H34" s="60" t="inlineStr">
        <is>
          <t>T0 Gate</t>
        </is>
      </c>
      <c r="I34" s="60" t="n">
        <v>20</v>
      </c>
      <c r="J34" s="60" t="n">
        <v>95.423</v>
      </c>
      <c r="K34" s="60" t="inlineStr">
        <is>
          <t>5.2</t>
        </is>
      </c>
      <c r="L34" s="60" t="inlineStr">
        <is>
          <t>Personnel Safety</t>
        </is>
      </c>
      <c r="M34" s="60" t="n">
        <v>116</v>
      </c>
      <c r="N34" s="60" t="inlineStr">
        <is>
          <t>Safety / Legal</t>
        </is>
      </c>
      <c r="O34" s="49" t="inlineStr">
        <is>
          <t>The Contractor shall comply with the following boundary conditions:</t>
        </is>
      </c>
      <c r="P34" s="49" t="inlineStr">
        <is>
          <t>None explicitly named in this RTM</t>
        </is>
      </c>
      <c r="Q34" s="49" t="inlineStr">
        <is>
          <t>No separate deliverable explicitly named</t>
        </is>
      </c>
      <c r="R34" s="49" t="inlineStr">
        <is>
          <t>Interface/scope-boundary confirmation that the three named exclusions are correctly reflected in the Contractor's design scope: QCELL bursting-disk venting excluded, SCK CEN owns fire detection/fighting, SCK CEN owns access control -- flag any Contractor deliverable that silently assumes ownership of one of these three SCK CEN-retained scopes (a common inter-package boundary error).</t>
        </is>
      </c>
      <c r="S34" s="49" t="inlineStr">
        <is>
          <t>L0 Tender / Offer; L1 Conceptual Design; L2 Detailed Design; L3 Procurement &amp; Manufacturing / FAT; L4 Installation; L5 Standalone Commissioning; L6 Site Acceptance Testing</t>
        </is>
      </c>
      <c r="T34" s="49" t="inlineStr">
        <is>
          <t>Section/contract-derived reference; derived evidence route</t>
        </is>
      </c>
      <c r="U34" s="60" t="inlineStr">
        <is>
          <t>TBD</t>
        </is>
      </c>
      <c r="V34" s="213" t="n"/>
      <c r="W34" s="49" t="n"/>
    </row>
    <row r="35" ht="134" customHeight="1">
      <c r="A35" s="62" t="n">
        <v>30</v>
      </c>
      <c r="B35" s="62" t="inlineStr">
        <is>
          <t>RTM-602</t>
        </is>
      </c>
      <c r="C35" s="63" t="inlineStr">
        <is>
          <t>PROJECT</t>
        </is>
      </c>
      <c r="D35" s="62" t="inlineStr">
        <is>
          <t>Quality Assurance</t>
        </is>
      </c>
      <c r="E35" s="62" t="inlineStr">
        <is>
          <t>Safety-documentation structure</t>
        </is>
      </c>
      <c r="F35" s="62" t="inlineStr">
        <is>
          <t>Safety &amp; Protection</t>
        </is>
      </c>
      <c r="G35" s="62" t="inlineStr">
        <is>
          <t>Not linked to an OFFER item</t>
        </is>
      </c>
      <c r="H35" s="62" t="inlineStr">
        <is>
          <t>T0 Gate</t>
        </is>
      </c>
      <c r="I35" s="62" t="n">
        <v>20</v>
      </c>
      <c r="J35" s="62" t="n">
        <v>95.423</v>
      </c>
      <c r="K35" s="62" t="inlineStr">
        <is>
          <t>5.2</t>
        </is>
      </c>
      <c r="L35" s="62" t="inlineStr">
        <is>
          <t>Personnel Safety</t>
        </is>
      </c>
      <c r="M35" s="62" t="n">
        <v>116</v>
      </c>
      <c r="N35" s="62" t="inlineStr">
        <is>
          <t>Safety / Legal</t>
        </is>
      </c>
      <c r="O35" s="53" t="inlineStr">
        <is>
          <t>The treatment of safety aspects shall make a clear distinction between</t>
        </is>
      </c>
      <c r="P35" s="53" t="inlineStr">
        <is>
          <t>None explicitly named in this RTM</t>
        </is>
      </c>
      <c r="Q35" s="53" t="inlineStr">
        <is>
          <t>No separate deliverable explicitly named</t>
        </is>
      </c>
      <c r="R35" s="53" t="inlineStr">
        <is>
          <t>A structural/editorial check, not a technical test: confirm the Contractor's safety documentation set keeps hazards, consequences, and mitigation layers in visibly separate sections rather than blended together -- reject a safety file that lists mitigations without a traceable one-to-one link back to a named hazard and consequence.</t>
        </is>
      </c>
      <c r="S35" s="53" t="inlineStr">
        <is>
          <t>L0 Tender / Offer; L1 Conceptual Design; L2 Detailed Design; L3 Procurement &amp; Manufacturing / FAT; L4 Installation; L5 Standalone Commissioning; L6 Site Acceptance Testing</t>
        </is>
      </c>
      <c r="T35" s="53" t="inlineStr">
        <is>
          <t>Section/contract-derived reference; derived evidence route</t>
        </is>
      </c>
      <c r="U35" s="62" t="inlineStr">
        <is>
          <t>TBD</t>
        </is>
      </c>
      <c r="V35" s="213" t="n"/>
      <c r="W35" s="53" t="n"/>
    </row>
    <row r="36" ht="106" customHeight="1">
      <c r="A36" s="60" t="n">
        <v>31</v>
      </c>
      <c r="B36" s="60" t="inlineStr">
        <is>
          <t>RTM-606</t>
        </is>
      </c>
      <c r="C36" s="61" t="inlineStr">
        <is>
          <t>SAFETY</t>
        </is>
      </c>
      <c r="D36" s="60" t="inlineStr">
        <is>
          <t>Equipment Protection</t>
        </is>
      </c>
      <c r="E36" s="60" t="inlineStr">
        <is>
          <t>Cold-helium relief devices</t>
        </is>
      </c>
      <c r="F36" s="60" t="inlineStr">
        <is>
          <t>Safety &amp; Protection</t>
        </is>
      </c>
      <c r="G36" s="60" t="inlineStr">
        <is>
          <t>Not linked to an OFFER item</t>
        </is>
      </c>
      <c r="H36" s="60" t="inlineStr">
        <is>
          <t>T0 Gate</t>
        </is>
      </c>
      <c r="I36" s="60" t="n">
        <v>20</v>
      </c>
      <c r="J36" s="60" t="n">
        <v>95.423</v>
      </c>
      <c r="K36" s="60" t="inlineStr">
        <is>
          <t>5.2</t>
        </is>
      </c>
      <c r="L36" s="60" t="inlineStr">
        <is>
          <t>Personnel Safety</t>
        </is>
      </c>
      <c r="M36" s="60" t="n">
        <v>117</v>
      </c>
      <c r="N36" s="60" t="inlineStr">
        <is>
          <t>Safety / Legal</t>
        </is>
      </c>
      <c r="O36" s="49" t="inlineStr">
        <is>
          <t>Any Cold helium volume shall be protected by safety devices in accordance with EN 17527 (supplemented, where applicable, by API 520/521/580 for warm service).</t>
        </is>
      </c>
      <c r="P36" s="49" t="inlineStr">
        <is>
          <t>EN 17527; API 520/521/580</t>
        </is>
      </c>
      <c r="Q36" s="49" t="inlineStr">
        <is>
          <t>No separate deliverable explicitly named</t>
        </is>
      </c>
      <c r="R36" s="49" t="inlineStr">
        <is>
          <t>Relief-device sizing calculation per EN 17527 for every cold-helium volume, with API 520/521/580 additionally invoked wherever a device also sees warm-service conditions -- a single relief-device spec sheet without a volume-by-volume sizing calc does not satisfy this RTM.</t>
        </is>
      </c>
      <c r="S36" s="49" t="inlineStr">
        <is>
          <t>L0 Tender / Offer; L1 Conceptual Design; L2 Detailed Design; L3 Procurement &amp; Manufacturing / FAT; L4 Installation; L5 Standalone Commissioning; L6 Site Acceptance Testing</t>
        </is>
      </c>
      <c r="T36" s="49" t="inlineStr">
        <is>
          <t>Explicit/table-grounded standard; derived evidence route</t>
        </is>
      </c>
      <c r="U36" s="60" t="inlineStr">
        <is>
          <t>TBD</t>
        </is>
      </c>
      <c r="V36" s="213" t="n"/>
      <c r="W36" s="49" t="n"/>
    </row>
    <row r="37" ht="120" customHeight="1">
      <c r="A37" s="62" t="n">
        <v>32</v>
      </c>
      <c r="B37" s="62" t="inlineStr">
        <is>
          <t>RTM-607</t>
        </is>
      </c>
      <c r="C37" s="63" t="inlineStr">
        <is>
          <t>SAFETY</t>
        </is>
      </c>
      <c r="D37" s="62" t="inlineStr">
        <is>
          <t>Equipment Protection</t>
        </is>
      </c>
      <c r="E37" s="62" t="inlineStr">
        <is>
          <t>Isolatable cold-volume relief devices</t>
        </is>
      </c>
      <c r="F37" s="62" t="inlineStr">
        <is>
          <t>Safety &amp; Protection</t>
        </is>
      </c>
      <c r="G37" s="62" t="inlineStr">
        <is>
          <t>Not linked to an OFFER item</t>
        </is>
      </c>
      <c r="H37" s="62" t="inlineStr">
        <is>
          <t>T0 Gate</t>
        </is>
      </c>
      <c r="I37" s="62" t="n">
        <v>20</v>
      </c>
      <c r="J37" s="62" t="n">
        <v>95.423</v>
      </c>
      <c r="K37" s="62" t="inlineStr">
        <is>
          <t>5.2</t>
        </is>
      </c>
      <c r="L37" s="62" t="inlineStr">
        <is>
          <t>Personnel Safety</t>
        </is>
      </c>
      <c r="M37" s="62" t="n">
        <v>117</v>
      </c>
      <c r="N37" s="62" t="inlineStr">
        <is>
          <t>Safety / Legal</t>
        </is>
      </c>
      <c r="O37" s="53" t="inlineStr">
        <is>
          <t>Any cold volume that can be isolated by valves and all insulation vacuum volumes shall have dedicated safety devices.</t>
        </is>
      </c>
      <c r="P37" s="53" t="inlineStr">
        <is>
          <t>None explicitly named in this RTM</t>
        </is>
      </c>
      <c r="Q37" s="53" t="inlineStr">
        <is>
          <t>No separate deliverable explicitly named</t>
        </is>
      </c>
      <c r="R37" s="53" t="inlineStr">
        <is>
          <t>Valve/volume list cross-checked against the relief-device schedule -- every volume that CAN be isolated by a valve (not just ones that normally are) must show a dedicated safety device, including insulation-vacuum volumes, which are easy to miss since they aren't process volumes in the conventional sense.</t>
        </is>
      </c>
      <c r="S37" s="53" t="inlineStr">
        <is>
          <t>L0 Tender / Offer; L1 Conceptual Design; L2 Detailed Design; L3 Procurement &amp; Manufacturing / FAT; L4 Installation; L5 Standalone Commissioning; L6 Site Acceptance Testing</t>
        </is>
      </c>
      <c r="T37" s="53" t="inlineStr">
        <is>
          <t>Section/contract-derived reference; derived evidence route</t>
        </is>
      </c>
      <c r="U37" s="62" t="inlineStr">
        <is>
          <t>TBD</t>
        </is>
      </c>
      <c r="V37" s="213" t="n"/>
      <c r="W37" s="53" t="n"/>
    </row>
    <row r="38" ht="134" customHeight="1">
      <c r="A38" s="60" t="n">
        <v>33</v>
      </c>
      <c r="B38" s="60" t="inlineStr">
        <is>
          <t>RTM-610</t>
        </is>
      </c>
      <c r="C38" s="61" t="inlineStr">
        <is>
          <t>PROJECT</t>
        </is>
      </c>
      <c r="D38" s="60" t="inlineStr">
        <is>
          <t>Documentation &amp; Compliance</t>
        </is>
      </c>
      <c r="E38" s="60" t="inlineStr">
        <is>
          <t>ODH certification technical input</t>
        </is>
      </c>
      <c r="F38" s="60" t="inlineStr">
        <is>
          <t>Safety &amp; Protection</t>
        </is>
      </c>
      <c r="G38" s="60" t="inlineStr">
        <is>
          <t>Not linked to an OFFER item</t>
        </is>
      </c>
      <c r="H38" s="60" t="inlineStr">
        <is>
          <t>T0 Gate</t>
        </is>
      </c>
      <c r="I38" s="60" t="n">
        <v>20</v>
      </c>
      <c r="J38" s="60" t="n">
        <v>95.423</v>
      </c>
      <c r="K38" s="60" t="inlineStr">
        <is>
          <t>5.2.1</t>
        </is>
      </c>
      <c r="L38" s="60" t="inlineStr">
        <is>
          <t>Oxygen-Deficiency Hazard</t>
        </is>
      </c>
      <c r="M38" s="60" t="n">
        <v>117</v>
      </c>
      <c r="N38" s="60" t="inlineStr">
        <is>
          <t>Safety / Legal</t>
        </is>
      </c>
      <c r="O38" s="49" t="inlineStr">
        <is>
          <t>The Contractor shall provide all technical input related to the QPS required for SCK CEN to complete the ODH system certification.</t>
        </is>
      </c>
      <c r="P38" s="49" t="inlineStr">
        <is>
          <t>None explicitly named in this RTM</t>
        </is>
      </c>
      <c r="Q38" s="49" t="inlineStr">
        <is>
          <t>No separate deliverable explicitly named</t>
        </is>
      </c>
      <c r="R38" s="49" t="inlineStr">
        <is>
          <t>Technical-input package (monitor interface data, room geometry/ventilation inputs, etc.) delivered to SCK CEN in the form and timeline SCK CEN's ODH certification process actually requires -- evidence is SCK CEN's acknowledgement that the input package was sufficient to proceed with certification, not just that something was sent.</t>
        </is>
      </c>
      <c r="S38" s="49" t="inlineStr">
        <is>
          <t>L0 Tender / Offer; L1 Conceptual Design; L2 Detailed Design; L3 Procurement &amp; Manufacturing / FAT; L4 Installation; L5 Standalone Commissioning; L6 Site Acceptance Testing</t>
        </is>
      </c>
      <c r="T38" s="49" t="inlineStr">
        <is>
          <t>Section/contract-derived reference; derived evidence route</t>
        </is>
      </c>
      <c r="U38" s="60" t="inlineStr">
        <is>
          <t>TBD</t>
        </is>
      </c>
      <c r="V38" s="213" t="n"/>
      <c r="W38" s="49" t="n"/>
    </row>
    <row r="39" ht="120" customHeight="1">
      <c r="A39" s="62" t="n">
        <v>34</v>
      </c>
      <c r="B39" s="62" t="inlineStr">
        <is>
          <t>RTM-611</t>
        </is>
      </c>
      <c r="C39" s="63" t="inlineStr">
        <is>
          <t>SYSTEM</t>
        </is>
      </c>
      <c r="D39" s="62" t="inlineStr">
        <is>
          <t>Control</t>
        </is>
      </c>
      <c r="E39" s="62" t="inlineStr">
        <is>
          <t>ODH monitor signal integration</t>
        </is>
      </c>
      <c r="F39" s="62" t="inlineStr">
        <is>
          <t>Safety &amp; Protection</t>
        </is>
      </c>
      <c r="G39" s="62" t="inlineStr">
        <is>
          <t>Not linked to an OFFER item</t>
        </is>
      </c>
      <c r="H39" s="62" t="inlineStr">
        <is>
          <t>T0 Gate</t>
        </is>
      </c>
      <c r="I39" s="62" t="n">
        <v>20</v>
      </c>
      <c r="J39" s="62" t="n">
        <v>95.423</v>
      </c>
      <c r="K39" s="62" t="inlineStr">
        <is>
          <t>5.2.1</t>
        </is>
      </c>
      <c r="L39" s="62" t="inlineStr">
        <is>
          <t>Oxygen-Deficiency Hazard</t>
        </is>
      </c>
      <c r="M39" s="62" t="n">
        <v>117</v>
      </c>
      <c r="N39" s="62" t="inlineStr">
        <is>
          <t>Safety / Legal</t>
        </is>
      </c>
      <c r="O39" s="53" t="inlineStr">
        <is>
          <t>The Contractor shall integrate the ODH monitor signal(s) into the QPS:CIS to perform mitigating actions.</t>
        </is>
      </c>
      <c r="P39" s="53" t="inlineStr">
        <is>
          <t>None explicitly named in this RTM</t>
        </is>
      </c>
      <c r="Q39" s="53" t="inlineStr">
        <is>
          <t>No separate deliverable explicitly named</t>
        </is>
      </c>
      <c r="R39" s="53" t="inlineStr">
        <is>
          <t>QPS:CIS logic demonstration showing the ODH monitor signal(s) actually trigger the intended mitigating action(s) end-to-end (signal in -&gt; logic -&gt; actuator/alarm out), tested live during commissioning -- a wiring continuity check alone, without the logic-to-action demonstration, does not satisfy this RTM.</t>
        </is>
      </c>
      <c r="S39" s="53" t="inlineStr">
        <is>
          <t>L0 Tender / Offer; L1 Conceptual Design; L2 Detailed Design; L3 Procurement &amp; Manufacturing / FAT; L4 Installation; L5 Standalone Commissioning; L6 Site Acceptance Testing</t>
        </is>
      </c>
      <c r="T39" s="53" t="inlineStr">
        <is>
          <t>Section/contract-derived reference; derived evidence route</t>
        </is>
      </c>
      <c r="U39" s="62" t="inlineStr">
        <is>
          <t>TBD</t>
        </is>
      </c>
      <c r="V39" s="213" t="n"/>
      <c r="W39" s="53" t="n"/>
    </row>
    <row r="40" ht="120" customHeight="1">
      <c r="A40" s="60" t="n">
        <v>35</v>
      </c>
      <c r="B40" s="60" t="inlineStr">
        <is>
          <t>RTM-688</t>
        </is>
      </c>
      <c r="C40" s="61" t="inlineStr">
        <is>
          <t>PROJECT</t>
        </is>
      </c>
      <c r="D40" s="60" t="inlineStr">
        <is>
          <t>Quality Assurance</t>
        </is>
      </c>
      <c r="E40" s="60" t="inlineStr">
        <is>
          <t>Codes &amp; standards hierarchy</t>
        </is>
      </c>
      <c r="F40" s="60" t="inlineStr">
        <is>
          <t>Codes &amp; Standards</t>
        </is>
      </c>
      <c r="G40" s="60" t="inlineStr">
        <is>
          <t>C7 — Quality, Testing &amp; Risk</t>
        </is>
      </c>
      <c r="H40" s="60" t="inlineStr">
        <is>
          <t>T0 Gate</t>
        </is>
      </c>
      <c r="I40" s="60" t="n">
        <v>20</v>
      </c>
      <c r="J40" s="60" t="n">
        <v>95.423</v>
      </c>
      <c r="K40" s="60" t="inlineStr">
        <is>
          <t>9</t>
        </is>
      </c>
      <c r="L40" s="60" t="inlineStr">
        <is>
          <t>Applicable legislation, Codes and Standards</t>
        </is>
      </c>
      <c r="M40" s="60" t="n">
        <v>129</v>
      </c>
      <c r="N40" s="60" t="inlineStr">
        <is>
          <t>Safety / Legal</t>
        </is>
      </c>
      <c r="O40" s="49" t="inlineStr">
        <is>
          <t>The Contractor shall organise the applicable codes and standards in a hierarchical manner where management-system standards (e.g. ISO 9001) act as parents to project-level requirements and technical standards (e.g. PED, EN 13480, EN 13445, IEC functional-safety standards).</t>
        </is>
      </c>
      <c r="P40" s="49" t="inlineStr">
        <is>
          <t>ISO 9001; EN 13480; EN 13445; PED</t>
        </is>
      </c>
      <c r="Q40" s="49" t="inlineStr">
        <is>
          <t>No separate deliverable explicitly named</t>
        </is>
      </c>
      <c r="R40" s="49" t="inlineStr">
        <is>
          <t>Codes and Standards Register showing an explicit parent/child structure (e.g. ISO 9001 as parent to PED, EN 13480, EN 13445, IEC functional-safety standards as children) -- a flat, unordered list of applicable standards with no stated hierarchy does not satisfy this RTM's own organisational requirement.</t>
        </is>
      </c>
      <c r="S40" s="49" t="inlineStr">
        <is>
          <t>L0 Tender / Offer; L1 Conceptual Design; L2 Detailed Design; L3 Procurement &amp; Manufacturing / FAT; L4 Installation; L5 Standalone Commissioning; L6 Site Acceptance Testing</t>
        </is>
      </c>
      <c r="T40" s="49" t="inlineStr">
        <is>
          <t>Explicit/table-grounded standard; derived evidence route</t>
        </is>
      </c>
      <c r="U40" s="60" t="inlineStr">
        <is>
          <t>TBD</t>
        </is>
      </c>
      <c r="V40" s="213" t="n"/>
      <c r="W40" s="49" t="n"/>
    </row>
    <row r="41" ht="176" customHeight="1">
      <c r="A41" s="62" t="n">
        <v>36</v>
      </c>
      <c r="B41" s="62" t="inlineStr">
        <is>
          <t>RTM-690</t>
        </is>
      </c>
      <c r="C41" s="63" t="inlineStr">
        <is>
          <t>PROJECT</t>
        </is>
      </c>
      <c r="D41" s="62" t="inlineStr">
        <is>
          <t>Documentation &amp; Compliance</t>
        </is>
      </c>
      <c r="E41" s="62" t="inlineStr">
        <is>
          <t>EU directive applicability register</t>
        </is>
      </c>
      <c r="F41" s="62" t="inlineStr">
        <is>
          <t>Codes &amp; Standards</t>
        </is>
      </c>
      <c r="G41" s="62" t="inlineStr">
        <is>
          <t>C7 — Quality, Testing &amp; Risk</t>
        </is>
      </c>
      <c r="H41" s="62" t="inlineStr">
        <is>
          <t>T0 Gate</t>
        </is>
      </c>
      <c r="I41" s="62" t="n">
        <v>20</v>
      </c>
      <c r="J41" s="62" t="n">
        <v>95.423</v>
      </c>
      <c r="K41" s="62" t="inlineStr">
        <is>
          <t>9.1</t>
        </is>
      </c>
      <c r="L41" s="62" t="inlineStr">
        <is>
          <t>Applicable legislation</t>
        </is>
      </c>
      <c r="M41" s="62" t="n">
        <v>129</v>
      </c>
      <c r="N41" s="62" t="inlineStr">
        <is>
          <t>Safety / Legal</t>
        </is>
      </c>
      <c r="O41" s="53" t="inlineStr">
        <is>
          <t>The Contractor shall identify all EU directives applicable to the QPS and ensure compliance with said EU directives. The directives listed below are identified by SCK CEN as a minimum requirement but does not exclude other directives from being applicable:</t>
        </is>
      </c>
      <c r="P41" s="53" t="inlineStr">
        <is>
          <t>Low Voltage Directive 2014/35/EU; Machinery Directive 2006/42/EC; EMC Directive 2014/30/EU; Pressure Equipment Directive 2014/68/EU; EU Eco-design Directive 2009/125/EC</t>
        </is>
      </c>
      <c r="Q41" s="53" t="inlineStr">
        <is>
          <t>No separate deliverable explicitly named</t>
        </is>
      </c>
      <c r="R41" s="53" t="inlineStr">
        <is>
          <t>Directive-applicability register covering at minimum the five directives this RTM names (Low Voltage 2014/35/EU, Machinery 2006/42/EC, EMC 2014/30/EU, Pressure Equipment 2014/68/EU, Eco-design 2009/125/EC) PLUS an explicit statement of any additional directive the Contractor identified beyond that minimum list -- a register that only reproduces the five named directives without addressing 'other directives that may be applicable' has not fully answered this RTM.</t>
        </is>
      </c>
      <c r="S41" s="53" t="inlineStr">
        <is>
          <t>L0 Tender / Offer; L1 Conceptual Design; L2 Detailed Design; L3 Procurement &amp; Manufacturing / FAT; L4 Installation; L5 Standalone Commissioning; L6 Site Acceptance Testing</t>
        </is>
      </c>
      <c r="T41" s="53" t="inlineStr">
        <is>
          <t>Explicit/table-grounded standard; derived evidence route</t>
        </is>
      </c>
      <c r="U41" s="62" t="inlineStr">
        <is>
          <t>TBD</t>
        </is>
      </c>
      <c r="V41" s="213" t="n"/>
      <c r="W41" s="53" t="n"/>
    </row>
    <row r="42" ht="106" customHeight="1">
      <c r="A42" s="60" t="n">
        <v>37</v>
      </c>
      <c r="B42" s="60" t="inlineStr">
        <is>
          <t>RTM-692</t>
        </is>
      </c>
      <c r="C42" s="61" t="inlineStr">
        <is>
          <t>PROJECT</t>
        </is>
      </c>
      <c r="D42" s="60" t="inlineStr">
        <is>
          <t>Documentation &amp; Compliance</t>
        </is>
      </c>
      <c r="E42" s="60" t="inlineStr">
        <is>
          <t>Applicable-norms identification</t>
        </is>
      </c>
      <c r="F42" s="60" t="inlineStr">
        <is>
          <t>Codes &amp; Standards</t>
        </is>
      </c>
      <c r="G42" s="60" t="inlineStr">
        <is>
          <t>C7 — Quality, Testing &amp; Risk</t>
        </is>
      </c>
      <c r="H42" s="60" t="inlineStr">
        <is>
          <t>T0 Gate</t>
        </is>
      </c>
      <c r="I42" s="60" t="n">
        <v>20</v>
      </c>
      <c r="J42" s="60" t="n">
        <v>95.423</v>
      </c>
      <c r="K42" s="60" t="inlineStr">
        <is>
          <t>9.1</t>
        </is>
      </c>
      <c r="L42" s="60" t="inlineStr">
        <is>
          <t>Applicable legislation</t>
        </is>
      </c>
      <c r="M42" s="60" t="n">
        <v>129</v>
      </c>
      <c r="N42" s="60" t="inlineStr">
        <is>
          <t>Safety / Legal</t>
        </is>
      </c>
      <c r="O42" s="49" t="inlineStr">
        <is>
          <t>The Contractor shall identify and apply all applicable norms and directives.</t>
        </is>
      </c>
      <c r="P42" s="49" t="inlineStr">
        <is>
          <t>None explicitly named in this RTM</t>
        </is>
      </c>
      <c r="Q42" s="49" t="inlineStr">
        <is>
          <t>No separate deliverable explicitly named</t>
        </is>
      </c>
      <c r="R42" s="49" t="inlineStr">
        <is>
          <t>Overlaps RTM-690/RTM-688/RTM-702-705 -- treat as satisfied by the same Codes and Standards Register rather than a separate deliverable; verify at review time that this register is the single register referenced by all of these RTMs, not four different partial lists.</t>
        </is>
      </c>
      <c r="S42" s="49" t="inlineStr">
        <is>
          <t>L0 Tender / Offer; L1 Conceptual Design; L2 Detailed Design; L3 Procurement &amp; Manufacturing / FAT; L4 Installation; L5 Standalone Commissioning; L6 Site Acceptance Testing</t>
        </is>
      </c>
      <c r="T42" s="49" t="inlineStr">
        <is>
          <t>Section/contract-derived reference; derived evidence route</t>
        </is>
      </c>
      <c r="U42" s="60" t="inlineStr">
        <is>
          <t>TBD</t>
        </is>
      </c>
      <c r="V42" s="213" t="n"/>
      <c r="W42" s="49" t="n"/>
    </row>
    <row r="43" ht="134" customHeight="1">
      <c r="A43" s="62" t="n">
        <v>38</v>
      </c>
      <c r="B43" s="62" t="inlineStr">
        <is>
          <t>RTM-694</t>
        </is>
      </c>
      <c r="C43" s="63" t="inlineStr">
        <is>
          <t>PROJECT</t>
        </is>
      </c>
      <c r="D43" s="62" t="inlineStr">
        <is>
          <t>Documentation &amp; Compliance</t>
        </is>
      </c>
      <c r="E43" s="62" t="inlineStr">
        <is>
          <t>Belgian/Flemish environmental compliance</t>
        </is>
      </c>
      <c r="F43" s="62" t="inlineStr">
        <is>
          <t>Codes &amp; Standards</t>
        </is>
      </c>
      <c r="G43" s="62" t="inlineStr">
        <is>
          <t>C7 — Quality, Testing &amp; Risk</t>
        </is>
      </c>
      <c r="H43" s="62" t="inlineStr">
        <is>
          <t>T0 Gate</t>
        </is>
      </c>
      <c r="I43" s="62" t="n">
        <v>20</v>
      </c>
      <c r="J43" s="62" t="n">
        <v>95.423</v>
      </c>
      <c r="K43" s="62" t="inlineStr">
        <is>
          <t>9.1</t>
        </is>
      </c>
      <c r="L43" s="62" t="inlineStr">
        <is>
          <t>Applicable legislation</t>
        </is>
      </c>
      <c r="M43" s="62" t="n">
        <v>130</v>
      </c>
      <c r="N43" s="62" t="inlineStr">
        <is>
          <t>Safety / Legal</t>
        </is>
      </c>
      <c r="O43" s="53" t="inlineStr">
        <is>
          <t>The Contractor shall identify and document the applicable Belgian and Flemish environmental regulatory requirements and proof or demonstration with compliance for associated with the QPS installation. This shall include, but is not limited to, requirements imposed by local environmental laws specific VLAREM II (Environmental Permit Regulation).</t>
        </is>
      </c>
      <c r="P43" s="53" t="inlineStr">
        <is>
          <t>VLAREM II</t>
        </is>
      </c>
      <c r="Q43" s="53" t="inlineStr">
        <is>
          <t>No separate deliverable explicitly named</t>
        </is>
      </c>
      <c r="R43" s="53" t="inlineStr">
        <is>
          <t>VLAREM II applicability assessment explicitly checking the &gt;300 kg helium-inventory classification threshold this RTM names, and if triggered, both named studies present (acoustic study, energy study) -- a generic 'environmental compliance confirmed' statement without the threshold check and, where triggered, the two named studies, does not satisfy this RTM.</t>
        </is>
      </c>
      <c r="S43" s="53" t="inlineStr">
        <is>
          <t>L4 Installation; L0 Tender / Offer; L1 Conceptual Design; L2 Detailed Design; L3 Procurement &amp; Manufacturing / FAT; L5 Standalone Commissioning; L6 Site Acceptance Testing</t>
        </is>
      </c>
      <c r="T43" s="53" t="inlineStr">
        <is>
          <t>Explicit/table-grounded standard; derived evidence route</t>
        </is>
      </c>
      <c r="U43" s="62" t="inlineStr">
        <is>
          <t>TBD</t>
        </is>
      </c>
      <c r="V43" s="213" t="n"/>
      <c r="W43" s="53" t="n"/>
    </row>
    <row r="44" ht="120" customHeight="1">
      <c r="A44" s="60" t="n">
        <v>39</v>
      </c>
      <c r="B44" s="60" t="inlineStr">
        <is>
          <t>RTM-696</t>
        </is>
      </c>
      <c r="C44" s="61" t="inlineStr">
        <is>
          <t>PROJECT</t>
        </is>
      </c>
      <c r="D44" s="60" t="inlineStr">
        <is>
          <t>Governance &amp; Responsibility</t>
        </is>
      </c>
      <c r="E44" s="60" t="inlineStr">
        <is>
          <t>HSE Plan alignment to MINERVA [AD_02]</t>
        </is>
      </c>
      <c r="F44" s="60" t="inlineStr">
        <is>
          <t>Codes &amp; Standards</t>
        </is>
      </c>
      <c r="G44" s="60" t="inlineStr">
        <is>
          <t>C7 — Quality, Testing &amp; Risk</t>
        </is>
      </c>
      <c r="H44" s="60" t="inlineStr">
        <is>
          <t>T0 Gate</t>
        </is>
      </c>
      <c r="I44" s="60" t="n">
        <v>20</v>
      </c>
      <c r="J44" s="60" t="n">
        <v>95.423</v>
      </c>
      <c r="K44" s="60" t="inlineStr">
        <is>
          <t>9.1</t>
        </is>
      </c>
      <c r="L44" s="60" t="inlineStr">
        <is>
          <t>Applicable legislation</t>
        </is>
      </c>
      <c r="M44" s="60" t="n">
        <v>130</v>
      </c>
      <c r="N44" s="60" t="inlineStr">
        <is>
          <t>Safety / Legal</t>
        </is>
      </c>
      <c r="O44" s="49" t="inlineStr">
        <is>
          <t>The Contractor’s Health, Safety and Environmental Plan shall comply with the MINERVA Health, Safety and Environmental Plan [AD_02].</t>
        </is>
      </c>
      <c r="P44" s="49" t="inlineStr">
        <is>
          <t>None explicitly named in this RTM</t>
        </is>
      </c>
      <c r="Q44" s="49" t="inlineStr">
        <is>
          <t>No separate deliverable explicitly named</t>
        </is>
      </c>
      <c r="R44" s="49" t="inlineStr">
        <is>
          <t>Contractor HSE Plan reviewed clause-by-clause against SCK CEN's MINERVA HSE Plan [AD_02] with any deviation explicitly called out and justified -- a Contractor HSE Plan that doesn't reference [AD_02] at all should be queried before acceptance, since alignment (not just independent adequacy) is what this RTM asks for.</t>
        </is>
      </c>
      <c r="S44" s="49" t="inlineStr">
        <is>
          <t>L0 Tender / Offer; L1 Conceptual Design; L2 Detailed Design; L3 Procurement &amp; Manufacturing / FAT; L4 Installation; L5 Standalone Commissioning; L6 Site Acceptance Testing</t>
        </is>
      </c>
      <c r="T44" s="49" t="inlineStr">
        <is>
          <t>Section/contract-derived reference; derived evidence route</t>
        </is>
      </c>
      <c r="U44" s="60" t="inlineStr">
        <is>
          <t>TBD</t>
        </is>
      </c>
      <c r="V44" s="213" t="n"/>
      <c r="W44" s="49" t="n"/>
    </row>
    <row r="45" ht="148" customHeight="1">
      <c r="A45" s="62" t="n">
        <v>40</v>
      </c>
      <c r="B45" s="62" t="inlineStr">
        <is>
          <t>RTM-702</t>
        </is>
      </c>
      <c r="C45" s="63" t="inlineStr">
        <is>
          <t>SAFETY</t>
        </is>
      </c>
      <c r="D45" s="62" t="inlineStr">
        <is>
          <t>Regulatory / Certification</t>
        </is>
      </c>
      <c r="E45" s="62" t="inlineStr">
        <is>
          <t>Pressure equipment &amp; safety standards (Table 24)</t>
        </is>
      </c>
      <c r="F45" s="62" t="inlineStr">
        <is>
          <t>Codes &amp; Standards</t>
        </is>
      </c>
      <c r="G45" s="62" t="inlineStr">
        <is>
          <t>C7 — Quality, Testing &amp; Risk</t>
        </is>
      </c>
      <c r="H45" s="62" t="inlineStr">
        <is>
          <t>T0 Gate</t>
        </is>
      </c>
      <c r="I45" s="62" t="n">
        <v>20</v>
      </c>
      <c r="J45" s="62" t="n">
        <v>95.423</v>
      </c>
      <c r="K45" s="62" t="inlineStr">
        <is>
          <t>9.4</t>
        </is>
      </c>
      <c r="L45" s="62" t="inlineStr">
        <is>
          <t>Pressure Equipment &amp; Safety</t>
        </is>
      </c>
      <c r="M45" s="62" t="n">
        <v>131</v>
      </c>
      <c r="N45" s="62" t="inlineStr">
        <is>
          <t>Safety / Legal</t>
        </is>
      </c>
      <c r="O45" s="53" t="inlineStr">
        <is>
          <t>The Contractor shall comply at least with the standards specified in Table 24.</t>
        </is>
      </c>
      <c r="P45" s="53" t="inlineStr">
        <is>
          <t>PED 2014/68/EU; ASME VIII-1; EN 13445; API 520/521; EN ISO 4126; ISO 21013-1/2</t>
        </is>
      </c>
      <c r="Q45" s="53" t="inlineStr">
        <is>
          <t>No separate deliverable explicitly named</t>
        </is>
      </c>
      <c r="R45" s="53" t="inlineStr">
        <is>
          <t>Standard-by-standard compliance check against the specific list this RTM points to (PED 2014/68/EU, ASME VIII-1, EN 13445, API 520/521, EN ISO 4126, ISO 21013-1/2) -- request the Table-24-referenced list explicitly rather than accepting a general 'pressure equipment code compliant' statement, since which of these six actually applies depends on the specific vessel/relief-device type.</t>
        </is>
      </c>
      <c r="S45" s="53" t="inlineStr">
        <is>
          <t>L0 Tender / Offer; L1 Conceptual Design; L2 Detailed Design; L3 Procurement &amp; Manufacturing / FAT; L4 Installation; L5 Standalone Commissioning; L6 Site Acceptance Testing</t>
        </is>
      </c>
      <c r="T45" s="53" t="inlineStr">
        <is>
          <t>Explicit/table-grounded standard; derived evidence route</t>
        </is>
      </c>
      <c r="U45" s="62" t="inlineStr">
        <is>
          <t>TBD</t>
        </is>
      </c>
      <c r="V45" s="213" t="n"/>
      <c r="W45" s="53" t="n"/>
    </row>
    <row r="46" ht="120" customHeight="1">
      <c r="A46" s="60" t="n">
        <v>41</v>
      </c>
      <c r="B46" s="60" t="inlineStr">
        <is>
          <t>RTM-703</t>
        </is>
      </c>
      <c r="C46" s="61" t="inlineStr">
        <is>
          <t>SAFETY</t>
        </is>
      </c>
      <c r="D46" s="60" t="inlineStr">
        <is>
          <t>Interlock &amp; Control Safety</t>
        </is>
      </c>
      <c r="E46" s="60" t="inlineStr">
        <is>
          <t>Functional safety &amp; control standards (Table 25)</t>
        </is>
      </c>
      <c r="F46" s="60" t="inlineStr">
        <is>
          <t>Codes &amp; Standards</t>
        </is>
      </c>
      <c r="G46" s="60" t="inlineStr">
        <is>
          <t>C7 — Quality, Testing &amp; Risk</t>
        </is>
      </c>
      <c r="H46" s="60" t="inlineStr">
        <is>
          <t>T0 Gate</t>
        </is>
      </c>
      <c r="I46" s="60" t="n">
        <v>20</v>
      </c>
      <c r="J46" s="60" t="n">
        <v>95.423</v>
      </c>
      <c r="K46" s="60" t="inlineStr">
        <is>
          <t>9.5</t>
        </is>
      </c>
      <c r="L46" s="60" t="inlineStr">
        <is>
          <t>Functional Safety &amp; Control</t>
        </is>
      </c>
      <c r="M46" s="60" t="n">
        <v>131</v>
      </c>
      <c r="N46" s="60" t="inlineStr">
        <is>
          <t>Safety / Legal</t>
        </is>
      </c>
      <c r="O46" s="49" t="inlineStr">
        <is>
          <t>The Contractor shall comply at least with the standards specified in Table 25.</t>
        </is>
      </c>
      <c r="P46" s="49" t="inlineStr">
        <is>
          <t>IEC 61508; IEC 61511; IEC 60204-1 / 61439; IEC 60300-3-3</t>
        </is>
      </c>
      <c r="Q46" s="49" t="inlineStr">
        <is>
          <t>No separate deliverable explicitly named</t>
        </is>
      </c>
      <c r="R46" s="49" t="inlineStr">
        <is>
          <t>Standard-by-standard compliance check against Table 25's list (IEC 61508, IEC 61511, IEC 60204-1/61439, IEC 60300-3-3) mapped to the specific control loops/panels each one governs -- a blanket 'IEC 61508 compliant' claim without naming which loops were assessed under which standard does not satisfy this RTM.</t>
        </is>
      </c>
      <c r="S46" s="49" t="inlineStr">
        <is>
          <t>L0 Tender / Offer; L1 Conceptual Design; L2 Detailed Design; L3 Procurement &amp; Manufacturing / FAT; L4 Installation; L5 Standalone Commissioning; L6 Site Acceptance Testing</t>
        </is>
      </c>
      <c r="T46" s="49" t="inlineStr">
        <is>
          <t>Explicit/table-grounded standard; derived evidence route</t>
        </is>
      </c>
      <c r="U46" s="60" t="inlineStr">
        <is>
          <t>TBD</t>
        </is>
      </c>
      <c r="V46" s="213" t="n"/>
      <c r="W46" s="49" t="n"/>
    </row>
    <row r="47" ht="148" customHeight="1">
      <c r="A47" s="62" t="n">
        <v>42</v>
      </c>
      <c r="B47" s="62" t="inlineStr">
        <is>
          <t>RTM-704</t>
        </is>
      </c>
      <c r="C47" s="63" t="inlineStr">
        <is>
          <t>SAFETY</t>
        </is>
      </c>
      <c r="D47" s="62" t="inlineStr">
        <is>
          <t>Interlock &amp; Control Safety</t>
        </is>
      </c>
      <c r="E47" s="62" t="inlineStr">
        <is>
          <t>Personnel-protection SIL design basis</t>
        </is>
      </c>
      <c r="F47" s="62" t="inlineStr">
        <is>
          <t>Codes &amp; Standards</t>
        </is>
      </c>
      <c r="G47" s="62" t="inlineStr">
        <is>
          <t>C7 — Quality, Testing &amp; Risk</t>
        </is>
      </c>
      <c r="H47" s="62" t="inlineStr">
        <is>
          <t>T0 Gate</t>
        </is>
      </c>
      <c r="I47" s="62" t="n">
        <v>20</v>
      </c>
      <c r="J47" s="62" t="n">
        <v>95.423</v>
      </c>
      <c r="K47" s="62" t="inlineStr">
        <is>
          <t>9.5</t>
        </is>
      </c>
      <c r="L47" s="62" t="inlineStr">
        <is>
          <t>Functional Safety &amp; Control</t>
        </is>
      </c>
      <c r="M47" s="62" t="n">
        <v>131</v>
      </c>
      <c r="N47" s="62" t="inlineStr">
        <is>
          <t>Safety / Legal</t>
        </is>
      </c>
      <c r="O47" s="53" t="inlineStr">
        <is>
          <t>Any system involved in personnel protection shall be designed according to standards IEC 61508 (Functional Safety) or one of the sector-specific derived standards (IEC 62061, IEC 61511) or alternative (e.g. ISO 13849-1).</t>
        </is>
      </c>
      <c r="P47" s="53" t="inlineStr">
        <is>
          <t>IEC 61508; IEC 62061; IEC 61511; ISO 13849-1</t>
        </is>
      </c>
      <c r="Q47" s="53" t="inlineStr">
        <is>
          <t>No separate deliverable explicitly named</t>
        </is>
      </c>
      <c r="R47" s="53" t="inlineStr">
        <is>
          <t>SIL-determination record (or equivalent, e.g. ISO 13849-1 Performance Level derivation) for every system involved in personnel protection, naming which of IEC 61508 / IEC 62061 / IEC 61511 / ISO 13849-1 was used and why -- a device datasheet claiming 'SIL-2 capable' without a project-specific SIL-determination record for how it's actually applied here does not satisfy this RTM.</t>
        </is>
      </c>
      <c r="S47" s="53" t="inlineStr">
        <is>
          <t>L0 Tender / Offer; L1 Conceptual Design; L2 Detailed Design; L3 Procurement &amp; Manufacturing / FAT; L4 Installation; L5 Standalone Commissioning; L6 Site Acceptance Testing</t>
        </is>
      </c>
      <c r="T47" s="53" t="inlineStr">
        <is>
          <t>Explicit/table-grounded standard; derived evidence route</t>
        </is>
      </c>
      <c r="U47" s="62" t="inlineStr">
        <is>
          <t>TBD</t>
        </is>
      </c>
      <c r="V47" s="213" t="n"/>
      <c r="W47" s="53" t="n"/>
    </row>
    <row r="48" ht="120" customHeight="1">
      <c r="A48" s="60" t="n">
        <v>43</v>
      </c>
      <c r="B48" s="60" t="inlineStr">
        <is>
          <t>RTM-705</t>
        </is>
      </c>
      <c r="C48" s="61" t="inlineStr">
        <is>
          <t>SYSTEM</t>
        </is>
      </c>
      <c r="D48" s="60" t="inlineStr">
        <is>
          <t>Constraint</t>
        </is>
      </c>
      <c r="E48" s="60" t="inlineStr">
        <is>
          <t>Cleanliness &amp; purity standards (Table 26)</t>
        </is>
      </c>
      <c r="F48" s="60" t="inlineStr">
        <is>
          <t>Codes &amp; Standards</t>
        </is>
      </c>
      <c r="G48" s="60" t="inlineStr">
        <is>
          <t>C7 — Quality, Testing &amp; Risk</t>
        </is>
      </c>
      <c r="H48" s="60" t="inlineStr">
        <is>
          <t>T0 Gate</t>
        </is>
      </c>
      <c r="I48" s="60" t="n">
        <v>20</v>
      </c>
      <c r="J48" s="60" t="n">
        <v>95.423</v>
      </c>
      <c r="K48" s="60" t="inlineStr">
        <is>
          <t>9.6</t>
        </is>
      </c>
      <c r="L48" s="60" t="inlineStr">
        <is>
          <t>Cleanliness &amp; Purity</t>
        </is>
      </c>
      <c r="M48" s="60" t="n">
        <v>131</v>
      </c>
      <c r="N48" s="60" t="inlineStr">
        <is>
          <t>Safety / Legal</t>
        </is>
      </c>
      <c r="O48" s="49" t="inlineStr">
        <is>
          <t>The Contractor shall comply at least with the standards specified in Table 26.</t>
        </is>
      </c>
      <c r="P48" s="49" t="inlineStr">
        <is>
          <t>ISO 8573-1 Class 0; ASTM D5464</t>
        </is>
      </c>
      <c r="Q48" s="49" t="inlineStr">
        <is>
          <t>No separate deliverable explicitly named</t>
        </is>
      </c>
      <c r="R48" s="49" t="inlineStr">
        <is>
          <t>Cleanliness/purity test certificates against the specific standards Table 26 names (ISO 8573-1 Class 0, ASTM D5464), tied to the actual helium/gas circuits they apply to -- a general 'clean assembly practices used' statement without a Class-0-referenced test certificate does not satisfy this RTM.</t>
        </is>
      </c>
      <c r="S48" s="49" t="inlineStr">
        <is>
          <t>L0 Tender / Offer; L1 Conceptual Design; L2 Detailed Design; L3 Procurement &amp; Manufacturing / FAT; L4 Installation; L5 Standalone Commissioning; L6 Site Acceptance Testing</t>
        </is>
      </c>
      <c r="T48" s="49" t="inlineStr">
        <is>
          <t>Explicit/table-grounded standard; derived evidence route</t>
        </is>
      </c>
      <c r="U48" s="60" t="inlineStr">
        <is>
          <t>TBD</t>
        </is>
      </c>
      <c r="V48" s="213" t="n"/>
      <c r="W48" s="49" t="n"/>
    </row>
    <row r="49" ht="92" customHeight="1">
      <c r="A49" s="62" t="n">
        <v>44</v>
      </c>
      <c r="B49" s="62" t="inlineStr">
        <is>
          <t>RTM-482</t>
        </is>
      </c>
      <c r="C49" s="86" t="inlineStr">
        <is>
          <t>PROJECT</t>
        </is>
      </c>
      <c r="D49" s="87" t="inlineStr">
        <is>
          <t>Governance &amp; Responsibility</t>
        </is>
      </c>
      <c r="E49" s="88" t="inlineStr">
        <is>
          <t>—</t>
        </is>
      </c>
      <c r="F49" s="62" t="inlineStr">
        <is>
          <t>Commissioning</t>
        </is>
      </c>
      <c r="G49" s="62" t="inlineStr">
        <is>
          <t>Not linked to an OFFER item</t>
        </is>
      </c>
      <c r="H49" s="62" t="inlineStr">
        <is>
          <t>T1 Primary</t>
        </is>
      </c>
      <c r="I49" s="62" t="n">
        <v>76.66670000000001</v>
      </c>
      <c r="J49" s="62" t="n">
        <v>94.0361</v>
      </c>
      <c r="K49" s="62" t="inlineStr">
        <is>
          <t>4.11</t>
        </is>
      </c>
      <c r="L49" s="62" t="inlineStr">
        <is>
          <t>Commissioning Requirements</t>
        </is>
      </c>
      <c r="M49" s="62" t="n">
        <v>94</v>
      </c>
      <c r="N49" s="62" t="inlineStr">
        <is>
          <t>Reliability</t>
        </is>
      </c>
      <c r="O49" s="53" t="inlineStr">
        <is>
          <t>The Contractor shall perform all required performance and capacity testing to validate full compliance with all specified performance, capacity, and quality criteria defined in this Technical Specification.</t>
        </is>
      </c>
      <c r="P49" s="53" t="inlineStr">
        <is>
          <t>None explicitly named in this RTM</t>
        </is>
      </c>
      <c r="Q49" s="53" t="inlineStr">
        <is>
          <t>Datasheet / technical specification</t>
        </is>
      </c>
      <c r="R49" s="53" t="inlineStr">
        <is>
          <t>Submit and review the named deliverable with RTM traceability and approval status; Witnessed FAT/SAT/commissioning test against stated acceptance criteria; Calculation/model plus calibrated measurement or recorded trend</t>
        </is>
      </c>
      <c r="S49" s="53" t="inlineStr">
        <is>
          <t>L6 Site Acceptance Testing; L1 Conceptual Design; L2 Detailed Design</t>
        </is>
      </c>
      <c r="T49" s="53" t="inlineStr">
        <is>
          <t>Section/contract-derived reference; explicit deliverable/test wording</t>
        </is>
      </c>
      <c r="U49" s="62" t="inlineStr">
        <is>
          <t>TBD</t>
        </is>
      </c>
      <c r="V49" s="213" t="n"/>
      <c r="W49" s="53" t="n"/>
    </row>
    <row r="50" ht="92" customHeight="1">
      <c r="A50" s="60" t="n">
        <v>45</v>
      </c>
      <c r="B50" s="60" t="inlineStr">
        <is>
          <t>RTM-522</t>
        </is>
      </c>
      <c r="C50" s="89" t="inlineStr">
        <is>
          <t>PROJECT</t>
        </is>
      </c>
      <c r="D50" s="90" t="inlineStr">
        <is>
          <t>Governance &amp; Responsibility</t>
        </is>
      </c>
      <c r="E50" s="91" t="inlineStr">
        <is>
          <t>—</t>
        </is>
      </c>
      <c r="F50" s="60" t="inlineStr">
        <is>
          <t>Acceptance Testing</t>
        </is>
      </c>
      <c r="G50" s="60" t="inlineStr">
        <is>
          <t>C7 — Quality, Testing &amp; Risk</t>
        </is>
      </c>
      <c r="H50" s="60" t="inlineStr">
        <is>
          <t>T1 Primary</t>
        </is>
      </c>
      <c r="I50" s="60" t="n">
        <v>67.33329999999999</v>
      </c>
      <c r="J50" s="60" t="n">
        <v>93.6893</v>
      </c>
      <c r="K50" s="60" t="inlineStr">
        <is>
          <t>4.13.3.3.1</t>
        </is>
      </c>
      <c r="L50" s="60" t="inlineStr">
        <is>
          <t>Demonstration of the cooling capacity</t>
        </is>
      </c>
      <c r="M50" s="60" t="n">
        <v>102</v>
      </c>
      <c r="N50" s="60" t="inlineStr">
        <is>
          <t>Reliability</t>
        </is>
      </c>
      <c r="O50" s="49" t="inlineStr">
        <is>
          <t>For the TS-SB scenario, the Contractor shall perform the following cooling-capacity test during the SAT:</t>
        </is>
      </c>
      <c r="P50" s="49" t="inlineStr">
        <is>
          <t>None explicitly named in this RTM</t>
        </is>
      </c>
      <c r="Q50" s="49" t="inlineStr">
        <is>
          <t>No separate deliverable explicitly named</t>
        </is>
      </c>
      <c r="R50" s="49" t="inlineStr">
        <is>
          <t>Witnessed FAT/SAT/commissioning test against stated acceptance criteria; Calculation/model plus calibrated measurement or recorded trend; RAM/maintenance substantiation and recovery/failure-response evidence</t>
        </is>
      </c>
      <c r="S50" s="49" t="inlineStr">
        <is>
          <t>L6 Site Acceptance Testing; L1 Conceptual Design; L2 Detailed Design</t>
        </is>
      </c>
      <c r="T50" s="49" t="inlineStr">
        <is>
          <t>Section/contract-derived reference; explicit deliverable/test wording</t>
        </is>
      </c>
      <c r="U50" s="60" t="inlineStr">
        <is>
          <t>TBD</t>
        </is>
      </c>
      <c r="V50" s="213" t="n"/>
      <c r="W50" s="49" t="n"/>
    </row>
    <row r="51" ht="92" customHeight="1">
      <c r="A51" s="62" t="n">
        <v>46</v>
      </c>
      <c r="B51" s="62" t="inlineStr">
        <is>
          <t>RTM-523</t>
        </is>
      </c>
      <c r="C51" s="86" t="inlineStr">
        <is>
          <t>PROJECT</t>
        </is>
      </c>
      <c r="D51" s="87" t="inlineStr">
        <is>
          <t>Governance &amp; Responsibility</t>
        </is>
      </c>
      <c r="E51" s="88" t="inlineStr">
        <is>
          <t>—</t>
        </is>
      </c>
      <c r="F51" s="62" t="inlineStr">
        <is>
          <t>Acceptance Testing</t>
        </is>
      </c>
      <c r="G51" s="62" t="inlineStr">
        <is>
          <t>C7 — Quality, Testing &amp; Risk</t>
        </is>
      </c>
      <c r="H51" s="62" t="inlineStr">
        <is>
          <t>T1 Primary</t>
        </is>
      </c>
      <c r="I51" s="62" t="n">
        <v>67.33329999999999</v>
      </c>
      <c r="J51" s="62" t="n">
        <v>93.6893</v>
      </c>
      <c r="K51" s="62" t="inlineStr">
        <is>
          <t>4.13.3.3.1</t>
        </is>
      </c>
      <c r="L51" s="62" t="inlineStr">
        <is>
          <t>Demonstration of the cooling capacity</t>
        </is>
      </c>
      <c r="M51" s="62" t="n">
        <v>102</v>
      </c>
      <c r="N51" s="62" t="inlineStr">
        <is>
          <t>Reliability</t>
        </is>
      </c>
      <c r="O51" s="53" t="inlineStr">
        <is>
          <t>For the 10K-SB scenario, the Contractor shall perform the following cooling-capacity test during the SAT:</t>
        </is>
      </c>
      <c r="P51" s="53" t="inlineStr">
        <is>
          <t>None explicitly named in this RTM</t>
        </is>
      </c>
      <c r="Q51" s="53" t="inlineStr">
        <is>
          <t>No separate deliverable explicitly named</t>
        </is>
      </c>
      <c r="R51" s="53" t="inlineStr">
        <is>
          <t>Witnessed FAT/SAT/commissioning test against stated acceptance criteria; Calculation/model plus calibrated measurement or recorded trend; RAM/maintenance substantiation and recovery/failure-response evidence</t>
        </is>
      </c>
      <c r="S51" s="53" t="inlineStr">
        <is>
          <t>L6 Site Acceptance Testing; L1 Conceptual Design; L2 Detailed Design</t>
        </is>
      </c>
      <c r="T51" s="53" t="inlineStr">
        <is>
          <t>Section/contract-derived reference; explicit deliverable/test wording</t>
        </is>
      </c>
      <c r="U51" s="62" t="inlineStr">
        <is>
          <t>TBD</t>
        </is>
      </c>
      <c r="V51" s="213" t="n"/>
      <c r="W51" s="53" t="n"/>
    </row>
    <row r="52" ht="92" customHeight="1">
      <c r="A52" s="60" t="n">
        <v>47</v>
      </c>
      <c r="B52" s="60" t="inlineStr">
        <is>
          <t>RTM-524</t>
        </is>
      </c>
      <c r="C52" s="89" t="inlineStr">
        <is>
          <t>PROJECT</t>
        </is>
      </c>
      <c r="D52" s="90" t="inlineStr">
        <is>
          <t>Governance &amp; Responsibility</t>
        </is>
      </c>
      <c r="E52" s="91" t="inlineStr">
        <is>
          <t>—</t>
        </is>
      </c>
      <c r="F52" s="60" t="inlineStr">
        <is>
          <t>Acceptance Testing</t>
        </is>
      </c>
      <c r="G52" s="60" t="inlineStr">
        <is>
          <t>C7 — Quality, Testing &amp; Risk</t>
        </is>
      </c>
      <c r="H52" s="60" t="inlineStr">
        <is>
          <t>T1 Primary</t>
        </is>
      </c>
      <c r="I52" s="60" t="n">
        <v>67.33329999999999</v>
      </c>
      <c r="J52" s="60" t="n">
        <v>93.6893</v>
      </c>
      <c r="K52" s="60" t="inlineStr">
        <is>
          <t>4.13.3.3.1</t>
        </is>
      </c>
      <c r="L52" s="60" t="inlineStr">
        <is>
          <t>Demonstration of the cooling capacity</t>
        </is>
      </c>
      <c r="M52" s="60" t="n">
        <v>102</v>
      </c>
      <c r="N52" s="60" t="inlineStr">
        <is>
          <t>Reliability</t>
        </is>
      </c>
      <c r="O52" s="49" t="inlineStr">
        <is>
          <t>For the 4K-SB scenario, the Contractor shall perform the following cooling-capacity test during the SAT:</t>
        </is>
      </c>
      <c r="P52" s="49" t="inlineStr">
        <is>
          <t>None explicitly named in this RTM</t>
        </is>
      </c>
      <c r="Q52" s="49" t="inlineStr">
        <is>
          <t>No separate deliverable explicitly named</t>
        </is>
      </c>
      <c r="R52" s="49" t="inlineStr">
        <is>
          <t>Witnessed FAT/SAT/commissioning test against stated acceptance criteria; Calculation/model plus calibrated measurement or recorded trend; RAM/maintenance substantiation and recovery/failure-response evidence</t>
        </is>
      </c>
      <c r="S52" s="49" t="inlineStr">
        <is>
          <t>L6 Site Acceptance Testing; L1 Conceptual Design; L2 Detailed Design</t>
        </is>
      </c>
      <c r="T52" s="49" t="inlineStr">
        <is>
          <t>Section/contract-derived reference; explicit deliverable/test wording</t>
        </is>
      </c>
      <c r="U52" s="60" t="inlineStr">
        <is>
          <t>TBD</t>
        </is>
      </c>
      <c r="V52" s="213" t="n"/>
      <c r="W52" s="49" t="n"/>
    </row>
    <row r="53" ht="92" customHeight="1">
      <c r="A53" s="62" t="n">
        <v>48</v>
      </c>
      <c r="B53" s="62" t="inlineStr">
        <is>
          <t>RTM-525</t>
        </is>
      </c>
      <c r="C53" s="86" t="inlineStr">
        <is>
          <t>PROJECT</t>
        </is>
      </c>
      <c r="D53" s="87" t="inlineStr">
        <is>
          <t>Governance &amp; Responsibility</t>
        </is>
      </c>
      <c r="E53" s="88" t="inlineStr">
        <is>
          <t>—</t>
        </is>
      </c>
      <c r="F53" s="62" t="inlineStr">
        <is>
          <t>Acceptance Testing</t>
        </is>
      </c>
      <c r="G53" s="62" t="inlineStr">
        <is>
          <t>C7 — Quality, Testing &amp; Risk</t>
        </is>
      </c>
      <c r="H53" s="62" t="inlineStr">
        <is>
          <t>T1 Primary</t>
        </is>
      </c>
      <c r="I53" s="62" t="n">
        <v>67.33329999999999</v>
      </c>
      <c r="J53" s="62" t="n">
        <v>93.6893</v>
      </c>
      <c r="K53" s="62" t="inlineStr">
        <is>
          <t>4.13.3.3.1</t>
        </is>
      </c>
      <c r="L53" s="62" t="inlineStr">
        <is>
          <t>Demonstration of the cooling capacity</t>
        </is>
      </c>
      <c r="M53" s="62" t="n">
        <v>103</v>
      </c>
      <c r="N53" s="62" t="inlineStr">
        <is>
          <t>Reliability</t>
        </is>
      </c>
      <c r="O53" s="53" t="inlineStr">
        <is>
          <t>For the 2K-OP and 2K-SB scenarios, the Contractor shall perform the following cooling-capacity tests during the SAT:</t>
        </is>
      </c>
      <c r="P53" s="53" t="inlineStr">
        <is>
          <t>None explicitly named in this RTM</t>
        </is>
      </c>
      <c r="Q53" s="53" t="inlineStr">
        <is>
          <t>No separate deliverable explicitly named</t>
        </is>
      </c>
      <c r="R53" s="53" t="inlineStr">
        <is>
          <t>Witnessed FAT/SAT/commissioning test against stated acceptance criteria; Calculation/model plus calibrated measurement or recorded trend; RAM/maintenance substantiation and recovery/failure-response evidence</t>
        </is>
      </c>
      <c r="S53" s="53" t="inlineStr">
        <is>
          <t>L6 Site Acceptance Testing; L1 Conceptual Design; L2 Detailed Design</t>
        </is>
      </c>
      <c r="T53" s="53" t="inlineStr">
        <is>
          <t>Section/contract-derived reference; explicit deliverable/test wording</t>
        </is>
      </c>
      <c r="U53" s="62" t="inlineStr">
        <is>
          <t>TBD</t>
        </is>
      </c>
      <c r="V53" s="213" t="n"/>
      <c r="W53" s="53" t="n"/>
    </row>
    <row r="54" ht="92" customHeight="1">
      <c r="A54" s="60" t="n">
        <v>49</v>
      </c>
      <c r="B54" s="60" t="inlineStr">
        <is>
          <t>RTM-300</t>
        </is>
      </c>
      <c r="C54" s="89" t="inlineStr">
        <is>
          <t>SYSTEM</t>
        </is>
      </c>
      <c r="D54" s="90" t="inlineStr">
        <is>
          <t>Control</t>
        </is>
      </c>
      <c r="E54" s="91" t="inlineStr">
        <is>
          <t>—</t>
        </is>
      </c>
      <c r="F54" s="60" t="inlineStr">
        <is>
          <t>Control &amp; Interlock</t>
        </is>
      </c>
      <c r="G54" s="85" t="inlineStr">
        <is>
          <t>Inferred: C4 — Software &amp; Control (high conf.)</t>
        </is>
      </c>
      <c r="H54" s="60" t="inlineStr">
        <is>
          <t>T1 Primary</t>
        </is>
      </c>
      <c r="I54" s="60" t="n">
        <v>66.33329999999999</v>
      </c>
      <c r="J54" s="60" t="n">
        <v>93.3426</v>
      </c>
      <c r="K54" s="60" t="inlineStr">
        <is>
          <t>4.6.3</t>
        </is>
      </c>
      <c r="L54" s="60" t="inlineStr">
        <is>
          <t>General requirements</t>
        </is>
      </c>
      <c r="M54" s="60" t="n">
        <v>72</v>
      </c>
      <c r="N54" s="60" t="inlineStr">
        <is>
          <t>Reliability</t>
        </is>
      </c>
      <c r="O54" s="49" t="inlineStr">
        <is>
          <t>The QPS:CIS shall use a commercially available, industrial-grade control platform with documented lifecycle support and vendor independence.</t>
        </is>
      </c>
      <c r="P54" s="49" t="inlineStr">
        <is>
          <t>None explicitly named in this RTM</t>
        </is>
      </c>
      <c r="Q54" s="49" t="inlineStr">
        <is>
          <t>No separate deliverable explicitly named</t>
        </is>
      </c>
      <c r="R54" s="49" t="inlineStr">
        <is>
          <t>Functional design/configuration review and sequence/interface demonstration; RAM/maintenance substantiation and recovery/failure-response evidence; Document review, inspection, certification, audit or traceable QC record</t>
        </is>
      </c>
      <c r="S54" s="49" t="inlineStr">
        <is>
          <t>L1 Conceptual Design; L2 Detailed Design</t>
        </is>
      </c>
      <c r="T54" s="49" t="inlineStr">
        <is>
          <t>Section/contract-derived reference; derived evidence route</t>
        </is>
      </c>
      <c r="U54" s="60" t="inlineStr">
        <is>
          <t>TBD</t>
        </is>
      </c>
      <c r="V54" s="213" t="n"/>
      <c r="W54" s="49" t="n"/>
    </row>
    <row r="55" ht="92" customHeight="1">
      <c r="A55" s="62" t="n">
        <v>50</v>
      </c>
      <c r="B55" s="62" t="inlineStr">
        <is>
          <t>RTM-161</t>
        </is>
      </c>
      <c r="C55" s="86" t="inlineStr">
        <is>
          <t>PROJECT</t>
        </is>
      </c>
      <c r="D55" s="87" t="inlineStr">
        <is>
          <t>Documentation &amp; Compliance</t>
        </is>
      </c>
      <c r="E55" s="88" t="inlineStr">
        <is>
          <t>—</t>
        </is>
      </c>
      <c r="F55" s="62" t="inlineStr">
        <is>
          <t>Subsystems</t>
        </is>
      </c>
      <c r="G55" s="92" t="inlineStr">
        <is>
          <t>Inferred: C6 — Reliability &amp; Maintenance (medium conf.)</t>
        </is>
      </c>
      <c r="H55" s="62" t="inlineStr">
        <is>
          <t>T1 Primary</t>
        </is>
      </c>
      <c r="I55" s="62" t="n">
        <v>64.66670000000001</v>
      </c>
      <c r="J55" s="62" t="n">
        <v>92.9958</v>
      </c>
      <c r="K55" s="62" t="inlineStr">
        <is>
          <t>4.4.3.5</t>
        </is>
      </c>
      <c r="L55" s="62" t="inlineStr">
        <is>
          <t>Oil</t>
        </is>
      </c>
      <c r="M55" s="62" t="n">
        <v>51</v>
      </c>
      <c r="N55" s="62" t="inlineStr">
        <is>
          <t>Reliability</t>
        </is>
      </c>
      <c r="O55" s="53" t="inlineStr">
        <is>
          <t>The Contractor shall include, in the operation and maintenance manual, at minimum, the following oil-related information:</t>
        </is>
      </c>
      <c r="P55" s="53" t="inlineStr">
        <is>
          <t>None explicitly named in this RTM</t>
        </is>
      </c>
      <c r="Q55" s="53" t="inlineStr">
        <is>
          <t>User and Maintenance Manuals; Procedure / work instruction</t>
        </is>
      </c>
      <c r="R55" s="53" t="inlineStr">
        <is>
          <t>Submit and review the named deliverable with RTM traceability and approval status; Calculation/model plus calibrated measurement or recorded trend; Functional design/configuration review and sequence/interface demonstration</t>
        </is>
      </c>
      <c r="S55" s="53" t="inlineStr">
        <is>
          <t>L1 Conceptual Design; L2 Detailed Design</t>
        </is>
      </c>
      <c r="T55" s="53" t="inlineStr">
        <is>
          <t>Section/contract-derived reference; explicit deliverable/test wording</t>
        </is>
      </c>
      <c r="U55" s="62" t="inlineStr">
        <is>
          <t>TBD</t>
        </is>
      </c>
      <c r="V55" s="213" t="n"/>
      <c r="W55" s="53" t="n"/>
    </row>
    <row r="56" ht="92" customHeight="1">
      <c r="A56" s="60" t="n">
        <v>51</v>
      </c>
      <c r="B56" s="60" t="inlineStr">
        <is>
          <t>RTM-239</t>
        </is>
      </c>
      <c r="C56" s="89" t="inlineStr">
        <is>
          <t>SYSTEM</t>
        </is>
      </c>
      <c r="D56" s="90" t="inlineStr">
        <is>
          <t>Control</t>
        </is>
      </c>
      <c r="E56" s="91" t="inlineStr">
        <is>
          <t>—</t>
        </is>
      </c>
      <c r="F56" s="60" t="inlineStr">
        <is>
          <t>Subsystems</t>
        </is>
      </c>
      <c r="G56" s="60" t="inlineStr">
        <is>
          <t>C2 (+) — Process Design + others</t>
        </is>
      </c>
      <c r="H56" s="60" t="inlineStr">
        <is>
          <t>T1 Primary</t>
        </is>
      </c>
      <c r="I56" s="60" t="n">
        <v>64.66670000000001</v>
      </c>
      <c r="J56" s="60" t="n">
        <v>92.9958</v>
      </c>
      <c r="K56" s="60" t="inlineStr">
        <is>
          <t>4.4.5.2</t>
        </is>
      </c>
      <c r="L56" s="60" t="inlineStr">
        <is>
          <t>WSH Requirements</t>
        </is>
      </c>
      <c r="M56" s="60" t="n">
        <v>61</v>
      </c>
      <c r="N56" s="60" t="inlineStr">
        <is>
          <t>Reliability</t>
        </is>
      </c>
      <c r="O56" s="49" t="inlineStr">
        <is>
          <t>The WSH shall fulfil, at minimum, the following functions:</t>
        </is>
      </c>
      <c r="P56" s="49" t="inlineStr">
        <is>
          <t>None explicitly named in this RTM</t>
        </is>
      </c>
      <c r="Q56" s="49" t="inlineStr">
        <is>
          <t>No separate deliverable explicitly named</t>
        </is>
      </c>
      <c r="R56" s="49" t="inlineStr">
        <is>
          <t>Witnessed FAT/SAT/commissioning test against stated acceptance criteria; Calculation/model plus calibrated measurement or recorded trend; Functional design/configuration review and sequence/interface demonstration</t>
        </is>
      </c>
      <c r="S56" s="49" t="inlineStr">
        <is>
          <t>L6 Site Acceptance Testing; L1 Conceptual Design; L2 Detailed Design</t>
        </is>
      </c>
      <c r="T56" s="49" t="inlineStr">
        <is>
          <t>Section/contract-derived reference; derived evidence route</t>
        </is>
      </c>
      <c r="U56" s="60" t="inlineStr">
        <is>
          <t>TBD</t>
        </is>
      </c>
      <c r="V56" s="213" t="n"/>
      <c r="W56" s="49" t="n"/>
    </row>
    <row r="57" ht="92" customHeight="1">
      <c r="A57" s="62" t="n">
        <v>52</v>
      </c>
      <c r="B57" s="62" t="inlineStr">
        <is>
          <t>RTM-280</t>
        </is>
      </c>
      <c r="C57" s="86" t="inlineStr">
        <is>
          <t>SYSTEM</t>
        </is>
      </c>
      <c r="D57" s="87" t="inlineStr">
        <is>
          <t>Control</t>
        </is>
      </c>
      <c r="E57" s="88" t="inlineStr">
        <is>
          <t>—</t>
        </is>
      </c>
      <c r="F57" s="62" t="inlineStr">
        <is>
          <t>Subsystems</t>
        </is>
      </c>
      <c r="G57" s="62" t="inlineStr">
        <is>
          <t>C2 — Process Design</t>
        </is>
      </c>
      <c r="H57" s="62" t="inlineStr">
        <is>
          <t>T1 Primary</t>
        </is>
      </c>
      <c r="I57" s="62" t="n">
        <v>64.66670000000001</v>
      </c>
      <c r="J57" s="62" t="n">
        <v>92.9958</v>
      </c>
      <c r="K57" s="62" t="inlineStr">
        <is>
          <t>4.4.8.2</t>
        </is>
      </c>
      <c r="L57" s="62" t="inlineStr">
        <is>
          <t>Warm GHe Recovery from WGR-MAC</t>
        </is>
      </c>
      <c r="M57" s="62" t="n">
        <v>66</v>
      </c>
      <c r="N57" s="62" t="inlineStr">
        <is>
          <t>Reliability</t>
        </is>
      </c>
      <c r="O57" s="53" t="inlineStr">
        <is>
          <t>The QPLANT shall include manual vent and purge valves at the interface with line QRB.G20 to allow drying and conditioning, controlled depressurisation, and safe warm-up of the interface and connected user line.</t>
        </is>
      </c>
      <c r="P57" s="53" t="inlineStr">
        <is>
          <t>None explicitly named in this RTM</t>
        </is>
      </c>
      <c r="Q57" s="53" t="inlineStr">
        <is>
          <t>No separate deliverable explicitly named</t>
        </is>
      </c>
      <c r="R57" s="53" t="inlineStr">
        <is>
          <t>Witnessed FAT/SAT/commissioning test against stated acceptance criteria; Calculation/model plus calibrated measurement or recorded trend; Functional design/configuration review and sequence/interface demonstration</t>
        </is>
      </c>
      <c r="S57" s="53" t="inlineStr">
        <is>
          <t>L6 Site Acceptance Testing; L1 Conceptual Design; L2 Detailed Design</t>
        </is>
      </c>
      <c r="T57" s="53" t="inlineStr">
        <is>
          <t>Section/contract-derived reference; derived evidence route</t>
        </is>
      </c>
      <c r="U57" s="62" t="inlineStr">
        <is>
          <t>TBD</t>
        </is>
      </c>
      <c r="V57" s="213" t="n"/>
      <c r="W57" s="53" t="n"/>
    </row>
    <row r="58" ht="106" customHeight="1">
      <c r="A58" s="60" t="n">
        <v>53</v>
      </c>
      <c r="B58" s="60" t="inlineStr">
        <is>
          <t>RTM-351</t>
        </is>
      </c>
      <c r="C58" s="89" t="inlineStr">
        <is>
          <t>SYSTEM</t>
        </is>
      </c>
      <c r="D58" s="90" t="inlineStr">
        <is>
          <t>Performance</t>
        </is>
      </c>
      <c r="E58" s="91" t="inlineStr">
        <is>
          <t>—</t>
        </is>
      </c>
      <c r="F58" s="60" t="inlineStr">
        <is>
          <t>Control &amp; Interlock</t>
        </is>
      </c>
      <c r="G58" s="60" t="inlineStr">
        <is>
          <t>C4 — Software &amp; Control</t>
        </is>
      </c>
      <c r="H58" s="60" t="inlineStr">
        <is>
          <t>T1 Primary</t>
        </is>
      </c>
      <c r="I58" s="60" t="n">
        <v>64.66670000000001</v>
      </c>
      <c r="J58" s="60" t="n">
        <v>92.9958</v>
      </c>
      <c r="K58" s="60" t="inlineStr">
        <is>
          <t>4.6.8</t>
        </is>
      </c>
      <c r="L58" s="60" t="inlineStr">
        <is>
          <t>SCADA, HMI, and Data Historian Infrastructure</t>
        </is>
      </c>
      <c r="M58" s="60" t="n">
        <v>77</v>
      </c>
      <c r="N58" s="60" t="inlineStr">
        <is>
          <t>Reliability</t>
        </is>
      </c>
      <c r="O58" s="49" t="inlineStr">
        <is>
          <t>The Contractor shall ensure that all operator stations (HMI panels or industrial touch PCs) use industrial-grade hardware suitable for continuous operation under QPS environmental conditions, including temperature, dust, and vibration. Hardware shall comply with relevant industrial standards.</t>
        </is>
      </c>
      <c r="P58" s="49" t="inlineStr">
        <is>
          <t>None explicitly named in this RTM</t>
        </is>
      </c>
      <c r="Q58" s="49" t="inlineStr">
        <is>
          <t>No separate deliverable explicitly named</t>
        </is>
      </c>
      <c r="R58" s="49" t="inlineStr">
        <is>
          <t>Calculation/model plus calibrated measurement or recorded trend; RAM/maintenance substantiation and recovery/failure-response evidence</t>
        </is>
      </c>
      <c r="S58" s="49" t="inlineStr">
        <is>
          <t>L1 Conceptual Design; L2 Detailed Design</t>
        </is>
      </c>
      <c r="T58" s="49" t="inlineStr">
        <is>
          <t>Section/contract-derived reference; derived evidence route</t>
        </is>
      </c>
      <c r="U58" s="60" t="inlineStr">
        <is>
          <t>TBD</t>
        </is>
      </c>
      <c r="V58" s="213" t="n"/>
      <c r="W58" s="49" t="n"/>
    </row>
    <row r="59" ht="92" customHeight="1">
      <c r="A59" s="62" t="n">
        <v>54</v>
      </c>
      <c r="B59" s="62" t="inlineStr">
        <is>
          <t>RTM-517</t>
        </is>
      </c>
      <c r="C59" s="86" t="inlineStr">
        <is>
          <t>PROJECT</t>
        </is>
      </c>
      <c r="D59" s="87" t="inlineStr">
        <is>
          <t>Documentation &amp; Compliance</t>
        </is>
      </c>
      <c r="E59" s="88" t="inlineStr">
        <is>
          <t>—</t>
        </is>
      </c>
      <c r="F59" s="62" t="inlineStr">
        <is>
          <t>Acceptance Testing</t>
        </is>
      </c>
      <c r="G59" s="62" t="inlineStr">
        <is>
          <t>C7 — Quality, Testing &amp; Risk</t>
        </is>
      </c>
      <c r="H59" s="62" t="inlineStr">
        <is>
          <t>T1 Primary</t>
        </is>
      </c>
      <c r="I59" s="62" t="n">
        <v>63.3333</v>
      </c>
      <c r="J59" s="62" t="n">
        <v>92.6491</v>
      </c>
      <c r="K59" s="62" t="inlineStr">
        <is>
          <t>4.13.3.2</t>
        </is>
      </c>
      <c r="L59" s="62" t="inlineStr">
        <is>
          <t>Specific Functional demonstrations</t>
        </is>
      </c>
      <c r="M59" s="62" t="n">
        <v>100</v>
      </c>
      <c r="N59" s="62" t="inlineStr">
        <is>
          <t>Reliability</t>
        </is>
      </c>
      <c r="O59" s="53" t="inlineStr">
        <is>
          <t>For the QPS, the Contractor shall perform the following abnormal-event tests during the SAT:</t>
        </is>
      </c>
      <c r="P59" s="53" t="inlineStr">
        <is>
          <t>None explicitly named in this RTM</t>
        </is>
      </c>
      <c r="Q59" s="53" t="inlineStr">
        <is>
          <t>Procedure / work instruction; List / register / matrix</t>
        </is>
      </c>
      <c r="R59" s="53" t="inlineStr">
        <is>
          <t>Submit and review the named deliverable with RTM traceability and approval status; Witnessed FAT/SAT/commissioning test against stated acceptance criteria; Functional design/configuration review and sequence/interface demonstration</t>
        </is>
      </c>
      <c r="S59" s="53" t="inlineStr">
        <is>
          <t>L6 Site Acceptance Testing; L1 Conceptual Design; L2 Detailed Design</t>
        </is>
      </c>
      <c r="T59" s="53" t="inlineStr">
        <is>
          <t>Section/contract-derived reference; explicit deliverable/test wording</t>
        </is>
      </c>
      <c r="U59" s="62" t="inlineStr">
        <is>
          <t>TBD</t>
        </is>
      </c>
      <c r="V59" s="213" t="n"/>
      <c r="W59" s="53" t="n"/>
    </row>
    <row r="60" ht="92" customHeight="1">
      <c r="A60" s="60" t="n">
        <v>55</v>
      </c>
      <c r="B60" s="60" t="inlineStr">
        <is>
          <t>RTM-478</t>
        </is>
      </c>
      <c r="C60" s="89" t="inlineStr">
        <is>
          <t>PROJECT</t>
        </is>
      </c>
      <c r="D60" s="90" t="inlineStr">
        <is>
          <t>Documentation &amp; Compliance</t>
        </is>
      </c>
      <c r="E60" s="91" t="inlineStr">
        <is>
          <t>—</t>
        </is>
      </c>
      <c r="F60" s="60" t="inlineStr">
        <is>
          <t>Installation</t>
        </is>
      </c>
      <c r="G60" s="60" t="inlineStr">
        <is>
          <t>Not linked to an OFFER item</t>
        </is>
      </c>
      <c r="H60" s="60" t="inlineStr">
        <is>
          <t>T1 Primary</t>
        </is>
      </c>
      <c r="I60" s="60" t="n">
        <v>62</v>
      </c>
      <c r="J60" s="60" t="n">
        <v>92.5104</v>
      </c>
      <c r="K60" s="60" t="inlineStr">
        <is>
          <t>4.10</t>
        </is>
      </c>
      <c r="L60" s="60" t="inlineStr">
        <is>
          <t>Installation Requirements</t>
        </is>
      </c>
      <c r="M60" s="60" t="n">
        <v>93</v>
      </c>
      <c r="N60" s="60" t="inlineStr">
        <is>
          <t>Functional</t>
        </is>
      </c>
      <c r="O60" s="49" t="inlineStr">
        <is>
          <t>The Contractor shall perform, at minimum, the following installation-related activities and checks, and shall record the outcome in the Installation File:</t>
        </is>
      </c>
      <c r="P60" s="49" t="inlineStr">
        <is>
          <t>None explicitly named in this RTM</t>
        </is>
      </c>
      <c r="Q60" s="49" t="inlineStr">
        <is>
          <t>Installation File; 3D / CAD Model; Certificate / calibration evidence; Procedure / work instruction</t>
        </is>
      </c>
      <c r="R60" s="49" t="inlineStr">
        <is>
          <t>Submit and review the named deliverable with RTM traceability and approval status; Witnessed FAT/SAT/commissioning test against stated acceptance criteria; Calculation/model plus calibrated measurement or recorded trend</t>
        </is>
      </c>
      <c r="S60" s="49" t="inlineStr">
        <is>
          <t>L4 Installation; L1 Conceptual Design; L2 Detailed Design</t>
        </is>
      </c>
      <c r="T60" s="49" t="inlineStr">
        <is>
          <t>Section/contract-derived reference; explicit deliverable/test wording</t>
        </is>
      </c>
      <c r="U60" s="60" t="inlineStr">
        <is>
          <t>TBD</t>
        </is>
      </c>
      <c r="V60" s="213" t="n"/>
      <c r="W60" s="49" t="n"/>
    </row>
    <row r="61" ht="92" customHeight="1">
      <c r="A61" s="62" t="n">
        <v>56</v>
      </c>
      <c r="B61" s="62" t="inlineStr">
        <is>
          <t>RTM-026</t>
        </is>
      </c>
      <c r="C61" s="86" t="inlineStr">
        <is>
          <t>PROJECT</t>
        </is>
      </c>
      <c r="D61" s="87" t="inlineStr">
        <is>
          <t>Documentation &amp; Compliance</t>
        </is>
      </c>
      <c r="E61" s="88" t="inlineStr">
        <is>
          <t>—</t>
        </is>
      </c>
      <c r="F61" s="62" t="inlineStr">
        <is>
          <t>Process &amp; Functional</t>
        </is>
      </c>
      <c r="G61" s="62" t="inlineStr">
        <is>
          <t>C8 — Commercial &amp; Execution</t>
        </is>
      </c>
      <c r="H61" s="62" t="inlineStr">
        <is>
          <t>T1 Primary</t>
        </is>
      </c>
      <c r="I61" s="62" t="n">
        <v>61.3333</v>
      </c>
      <c r="J61" s="62" t="n">
        <v>92.30240000000001</v>
      </c>
      <c r="K61" s="62" t="inlineStr">
        <is>
          <t>4.2.2.4.1</t>
        </is>
      </c>
      <c r="L61" s="62" t="inlineStr">
        <is>
          <t>Purging and Conditioning</t>
        </is>
      </c>
      <c r="M61" s="62" t="n">
        <v>30</v>
      </c>
      <c r="N61" s="62" t="inlineStr">
        <is>
          <t>Performance</t>
        </is>
      </c>
      <c r="O61" s="53" t="inlineStr">
        <is>
          <t>The Contractor shall provide documented procedures for purging and conditioning of the QPS. The procedures shall include, at minimum:</t>
        </is>
      </c>
      <c r="P61" s="53" t="inlineStr">
        <is>
          <t>None explicitly named in this RTM</t>
        </is>
      </c>
      <c r="Q61" s="53" t="inlineStr">
        <is>
          <t>Procedure / work instruction</t>
        </is>
      </c>
      <c r="R61" s="53" t="inlineStr">
        <is>
          <t>Submit and review the named deliverable with RTM traceability and approval status; Calculation/model plus calibrated measurement or recorded trend; Functional design/configuration review and sequence/interface demonstration</t>
        </is>
      </c>
      <c r="S61" s="53" t="inlineStr">
        <is>
          <t>L1 Conceptual Design; L2 Detailed Design</t>
        </is>
      </c>
      <c r="T61" s="53" t="inlineStr">
        <is>
          <t>Section/contract-derived reference; explicit deliverable/test wording</t>
        </is>
      </c>
      <c r="U61" s="62" t="inlineStr">
        <is>
          <t>TBD</t>
        </is>
      </c>
      <c r="V61" s="213" t="n"/>
      <c r="W61" s="53" t="n"/>
    </row>
    <row r="62" ht="92" customHeight="1">
      <c r="A62" s="60" t="n">
        <v>57</v>
      </c>
      <c r="B62" s="60" t="inlineStr">
        <is>
          <t>RTM-029</t>
        </is>
      </c>
      <c r="C62" s="89" t="inlineStr">
        <is>
          <t>PROJECT</t>
        </is>
      </c>
      <c r="D62" s="90" t="inlineStr">
        <is>
          <t>Documentation &amp; Compliance</t>
        </is>
      </c>
      <c r="E62" s="91" t="inlineStr">
        <is>
          <t>—</t>
        </is>
      </c>
      <c r="F62" s="60" t="inlineStr">
        <is>
          <t>Process &amp; Functional</t>
        </is>
      </c>
      <c r="G62" s="85" t="inlineStr">
        <is>
          <t>Inferred: C2 — Process Design (low conf.)</t>
        </is>
      </c>
      <c r="H62" s="60" t="inlineStr">
        <is>
          <t>T1 Primary</t>
        </is>
      </c>
      <c r="I62" s="60" t="n">
        <v>61.3333</v>
      </c>
      <c r="J62" s="60" t="n">
        <v>92.30240000000001</v>
      </c>
      <c r="K62" s="60" t="inlineStr">
        <is>
          <t>4.2.2.4.2</t>
        </is>
      </c>
      <c r="L62" s="60" t="inlineStr">
        <is>
          <t>Startup preparation</t>
        </is>
      </c>
      <c r="M62" s="60" t="n">
        <v>31</v>
      </c>
      <c r="N62" s="60" t="inlineStr">
        <is>
          <t>Performance</t>
        </is>
      </c>
      <c r="O62" s="49" t="inlineStr">
        <is>
          <t>The Contractor shall provide documented procedures for the startup preparation. The procedures shall include, at minimum:</t>
        </is>
      </c>
      <c r="P62" s="49" t="inlineStr">
        <is>
          <t>None explicitly named in this RTM</t>
        </is>
      </c>
      <c r="Q62" s="49" t="inlineStr">
        <is>
          <t>Procedure / work instruction</t>
        </is>
      </c>
      <c r="R62" s="49" t="inlineStr">
        <is>
          <t>Submit and review the named deliverable with RTM traceability and approval status; Calculation/model plus calibrated measurement or recorded trend; Functional design/configuration review and sequence/interface demonstration</t>
        </is>
      </c>
      <c r="S62" s="49" t="inlineStr">
        <is>
          <t>L1 Conceptual Design; L2 Detailed Design</t>
        </is>
      </c>
      <c r="T62" s="49" t="inlineStr">
        <is>
          <t>Section/contract-derived reference; explicit deliverable/test wording</t>
        </is>
      </c>
      <c r="U62" s="60" t="inlineStr">
        <is>
          <t>TBD</t>
        </is>
      </c>
      <c r="V62" s="213" t="n"/>
      <c r="W62" s="49" t="n"/>
    </row>
    <row r="63" ht="92" customHeight="1">
      <c r="A63" s="62" t="n">
        <v>58</v>
      </c>
      <c r="B63" s="62" t="inlineStr">
        <is>
          <t>RTM-537</t>
        </is>
      </c>
      <c r="C63" s="86" t="inlineStr">
        <is>
          <t>PROJECT</t>
        </is>
      </c>
      <c r="D63" s="87" t="inlineStr">
        <is>
          <t>Governance &amp; Responsibility</t>
        </is>
      </c>
      <c r="E63" s="88" t="inlineStr">
        <is>
          <t>—</t>
        </is>
      </c>
      <c r="F63" s="62" t="inlineStr">
        <is>
          <t>Acceptance Testing</t>
        </is>
      </c>
      <c r="G63" s="62" t="inlineStr">
        <is>
          <t>C7 — Quality, Testing &amp; Risk</t>
        </is>
      </c>
      <c r="H63" s="62" t="inlineStr">
        <is>
          <t>T1 Primary</t>
        </is>
      </c>
      <c r="I63" s="62" t="n">
        <v>60.6667</v>
      </c>
      <c r="J63" s="62" t="n">
        <v>92.0943</v>
      </c>
      <c r="K63" s="62" t="inlineStr">
        <is>
          <t>4.13.3.3.5</t>
        </is>
      </c>
      <c r="L63" s="62" t="inlineStr">
        <is>
          <t>Demonstration of rotating and compression equipment</t>
        </is>
      </c>
      <c r="M63" s="62" t="n">
        <v>105</v>
      </c>
      <c r="N63" s="62" t="inlineStr">
        <is>
          <t>Reliability</t>
        </is>
      </c>
      <c r="O63" s="53" t="inlineStr">
        <is>
          <t>For the WCS, the Contractor shall perform the following capacity test during the SAT:</t>
        </is>
      </c>
      <c r="P63" s="53" t="inlineStr">
        <is>
          <t>None explicitly named in this RTM</t>
        </is>
      </c>
      <c r="Q63" s="53" t="inlineStr">
        <is>
          <t>No separate deliverable explicitly named</t>
        </is>
      </c>
      <c r="R63" s="53" t="inlineStr">
        <is>
          <t>Witnessed FAT/SAT/commissioning test against stated acceptance criteria; Calculation/model plus calibrated measurement or recorded trend; RAM/maintenance substantiation and recovery/failure-response evidence</t>
        </is>
      </c>
      <c r="S63" s="53" t="inlineStr">
        <is>
          <t>L6 Site Acceptance Testing; L1 Conceptual Design; L2 Detailed Design</t>
        </is>
      </c>
      <c r="T63" s="53" t="inlineStr">
        <is>
          <t>Section/contract-derived reference; explicit deliverable/test wording</t>
        </is>
      </c>
      <c r="U63" s="62" t="inlineStr">
        <is>
          <t>TBD</t>
        </is>
      </c>
      <c r="V63" s="213" t="n"/>
      <c r="W63" s="53" t="n"/>
    </row>
    <row r="64" ht="92" customHeight="1">
      <c r="A64" s="60" t="n">
        <v>59</v>
      </c>
      <c r="B64" s="60" t="inlineStr">
        <is>
          <t>RTM-014</t>
        </is>
      </c>
      <c r="C64" s="89" t="inlineStr">
        <is>
          <t>SYSTEM</t>
        </is>
      </c>
      <c r="D64" s="90" t="inlineStr">
        <is>
          <t>Constraint</t>
        </is>
      </c>
      <c r="E64" s="91" t="inlineStr">
        <is>
          <t>—</t>
        </is>
      </c>
      <c r="F64" s="60" t="inlineStr">
        <is>
          <t>Process &amp; Functional</t>
        </is>
      </c>
      <c r="G64" s="85" t="inlineStr">
        <is>
          <t>Inferred: C2 — Process Design (low conf.)</t>
        </is>
      </c>
      <c r="H64" s="60" t="inlineStr">
        <is>
          <t>T1 Primary</t>
        </is>
      </c>
      <c r="I64" s="60" t="n">
        <v>58</v>
      </c>
      <c r="J64" s="60" t="n">
        <v>91.6782</v>
      </c>
      <c r="K64" s="60" t="inlineStr">
        <is>
          <t>4.2.2</t>
        </is>
      </c>
      <c r="L64" s="60" t="inlineStr">
        <is>
          <t>Operational Scenarios and Transitions</t>
        </is>
      </c>
      <c r="M64" s="60" t="n">
        <v>27</v>
      </c>
      <c r="N64" s="60" t="inlineStr">
        <is>
          <t>Reliability</t>
        </is>
      </c>
      <c r="O64" s="49" t="inlineStr">
        <is>
          <t>For each operational scenario and transition, the Contractor shall define the interaction with the Cryogenic Users in terms of the QPS behaviour and constraints. At minimum, this shall include:</t>
        </is>
      </c>
      <c r="P64" s="49" t="inlineStr">
        <is>
          <t>None explicitly named in this RTM</t>
        </is>
      </c>
      <c r="Q64" s="49" t="inlineStr">
        <is>
          <t>No separate deliverable explicitly named</t>
        </is>
      </c>
      <c r="R64" s="49" t="inlineStr">
        <is>
          <t>Calculation/model plus calibrated measurement or recorded trend; Functional design/configuration review and sequence/interface demonstration; RAM/maintenance substantiation and recovery/failure-response evidence</t>
        </is>
      </c>
      <c r="S64" s="49" t="inlineStr">
        <is>
          <t>L1 Conceptual Design; L2 Detailed Design</t>
        </is>
      </c>
      <c r="T64" s="49" t="inlineStr">
        <is>
          <t>Section/contract-derived reference; derived evidence route</t>
        </is>
      </c>
      <c r="U64" s="60" t="inlineStr">
        <is>
          <t>TBD</t>
        </is>
      </c>
      <c r="V64" s="213" t="n"/>
      <c r="W64" s="49" t="n"/>
    </row>
    <row r="65" ht="120" customHeight="1">
      <c r="A65" s="62" t="n">
        <v>60</v>
      </c>
      <c r="B65" s="62" t="inlineStr">
        <is>
          <t>RTM-043</t>
        </is>
      </c>
      <c r="C65" s="86" t="inlineStr">
        <is>
          <t>SYSTEM</t>
        </is>
      </c>
      <c r="D65" s="87" t="inlineStr">
        <is>
          <t>Performance</t>
        </is>
      </c>
      <c r="E65" s="88" t="inlineStr">
        <is>
          <t>—</t>
        </is>
      </c>
      <c r="F65" s="62" t="inlineStr">
        <is>
          <t>Process &amp; Functional</t>
        </is>
      </c>
      <c r="G65" s="62" t="inlineStr">
        <is>
          <t>C2 — Process Design</t>
        </is>
      </c>
      <c r="H65" s="62" t="inlineStr">
        <is>
          <t>T1 Primary</t>
        </is>
      </c>
      <c r="I65" s="62" t="n">
        <v>58</v>
      </c>
      <c r="J65" s="62" t="n">
        <v>91.6782</v>
      </c>
      <c r="K65" s="62" t="inlineStr">
        <is>
          <t>4.2.4</t>
        </is>
      </c>
      <c r="L65" s="62" t="inlineStr">
        <is>
          <t>Cooling Capacity</t>
        </is>
      </c>
      <c r="M65" s="62" t="n">
        <v>34</v>
      </c>
      <c r="N65" s="62" t="inlineStr">
        <is>
          <t>Reliability</t>
        </is>
      </c>
      <c r="O65" s="53" t="inlineStr">
        <is>
          <t>The QPS design shall not include additional installed refrigeration or liquefaction capacity beyond that required to meet RTM-040 (Design Cooling Capacity) solely for the purpose of aiding or reducing the duration of Capacity-Constrained Operational Scenarios. Capacity-Constrained Operational Scenarios shall include:</t>
        </is>
      </c>
      <c r="P65" s="53" t="inlineStr">
        <is>
          <t>None explicitly named in this RTM</t>
        </is>
      </c>
      <c r="Q65" s="53" t="inlineStr">
        <is>
          <t>No separate deliverable explicitly named</t>
        </is>
      </c>
      <c r="R65" s="53" t="inlineStr">
        <is>
          <t>Calculation/model plus calibrated measurement or recorded trend; Functional design/configuration review and sequence/interface demonstration; RAM/maintenance substantiation and recovery/failure-response evidence</t>
        </is>
      </c>
      <c r="S65" s="53" t="inlineStr">
        <is>
          <t>L1 Conceptual Design; L2 Detailed Design</t>
        </is>
      </c>
      <c r="T65" s="53" t="inlineStr">
        <is>
          <t>Section/contract-derived reference; derived evidence route</t>
        </is>
      </c>
      <c r="U65" s="62" t="inlineStr">
        <is>
          <t>TBD</t>
        </is>
      </c>
      <c r="V65" s="213" t="n"/>
      <c r="W65" s="53" t="n"/>
    </row>
    <row r="66" ht="92" customHeight="1">
      <c r="A66" s="60" t="n">
        <v>61</v>
      </c>
      <c r="B66" s="60" t="inlineStr">
        <is>
          <t>RTM-271</t>
        </is>
      </c>
      <c r="C66" s="89" t="inlineStr">
        <is>
          <t>SYSTEM</t>
        </is>
      </c>
      <c r="D66" s="90" t="inlineStr">
        <is>
          <t>Performance</t>
        </is>
      </c>
      <c r="E66" s="91" t="inlineStr">
        <is>
          <t>—</t>
        </is>
      </c>
      <c r="F66" s="60" t="inlineStr">
        <is>
          <t>Subsystems</t>
        </is>
      </c>
      <c r="G66" s="60" t="inlineStr">
        <is>
          <t>C1 — Performance</t>
        </is>
      </c>
      <c r="H66" s="60" t="inlineStr">
        <is>
          <t>T1 Primary</t>
        </is>
      </c>
      <c r="I66" s="60" t="n">
        <v>58</v>
      </c>
      <c r="J66" s="60" t="n">
        <v>91.6782</v>
      </c>
      <c r="K66" s="60" t="inlineStr">
        <is>
          <t>4.4.8.1</t>
        </is>
      </c>
      <c r="L66" s="60" t="inlineStr">
        <is>
          <t>Dewar Filling Station</t>
        </is>
      </c>
      <c r="M66" s="60" t="n">
        <v>65</v>
      </c>
      <c r="N66" s="60" t="inlineStr">
        <is>
          <t>Reliability</t>
        </is>
      </c>
      <c r="O66" s="49" t="inlineStr">
        <is>
          <t>The Contractor shall demonstrate that the Dewar filling operations do not adversely affect the availability, operational stability, or reliability of the QPS. At minimum, the Contractor shall:</t>
        </is>
      </c>
      <c r="P66" s="49" t="inlineStr">
        <is>
          <t>None explicitly named in this RTM</t>
        </is>
      </c>
      <c r="Q66" s="49" t="inlineStr">
        <is>
          <t>Engineering File</t>
        </is>
      </c>
      <c r="R66" s="49" t="inlineStr">
        <is>
          <t>Submit and review the named deliverable with RTM traceability and approval status; Witnessed FAT/SAT/commissioning test against stated acceptance criteria; Functional design/configuration review and sequence/interface demonstration</t>
        </is>
      </c>
      <c r="S66" s="49" t="inlineStr">
        <is>
          <t>L6 Site Acceptance Testing; L1 Conceptual Design; L2 Detailed Design</t>
        </is>
      </c>
      <c r="T66" s="49" t="inlineStr">
        <is>
          <t>Section/contract-derived reference; explicit deliverable/test wording</t>
        </is>
      </c>
      <c r="U66" s="60" t="inlineStr">
        <is>
          <t>TBD</t>
        </is>
      </c>
      <c r="V66" s="213" t="n"/>
      <c r="W66" s="49" t="n"/>
    </row>
    <row r="67" ht="92" customHeight="1">
      <c r="A67" s="62" t="n">
        <v>62</v>
      </c>
      <c r="B67" s="62" t="inlineStr">
        <is>
          <t>RTM-276</t>
        </is>
      </c>
      <c r="C67" s="86" t="inlineStr">
        <is>
          <t>SYSTEM</t>
        </is>
      </c>
      <c r="D67" s="87" t="inlineStr">
        <is>
          <t>Performance</t>
        </is>
      </c>
      <c r="E67" s="88" t="inlineStr">
        <is>
          <t>—</t>
        </is>
      </c>
      <c r="F67" s="62" t="inlineStr">
        <is>
          <t>Subsystems</t>
        </is>
      </c>
      <c r="G67" s="62" t="inlineStr">
        <is>
          <t>C2 — Process Design</t>
        </is>
      </c>
      <c r="H67" s="62" t="inlineStr">
        <is>
          <t>T1 Primary</t>
        </is>
      </c>
      <c r="I67" s="62" t="n">
        <v>58</v>
      </c>
      <c r="J67" s="62" t="n">
        <v>91.6782</v>
      </c>
      <c r="K67" s="62" t="inlineStr">
        <is>
          <t>4.4.8.2</t>
        </is>
      </c>
      <c r="L67" s="62" t="inlineStr">
        <is>
          <t>Warm GHe Recovery from WGR-MAC</t>
        </is>
      </c>
      <c r="M67" s="62" t="n">
        <v>66</v>
      </c>
      <c r="N67" s="62" t="inlineStr">
        <is>
          <t>Reliability</t>
        </is>
      </c>
      <c r="O67" s="53" t="inlineStr">
        <is>
          <t>The QPLANT shall accept the returning helium only when the following conditions are simultaneously satisfied:</t>
        </is>
      </c>
      <c r="P67" s="53" t="inlineStr">
        <is>
          <t>None explicitly named in this RTM</t>
        </is>
      </c>
      <c r="Q67" s="53" t="inlineStr">
        <is>
          <t>No separate deliverable explicitly named</t>
        </is>
      </c>
      <c r="R67" s="53" t="inlineStr">
        <is>
          <t>Witnessed FAT/SAT/commissioning test against stated acceptance criteria; Functional design/configuration review and sequence/interface demonstration; RAM/maintenance substantiation and recovery/failure-response evidence</t>
        </is>
      </c>
      <c r="S67" s="53" t="inlineStr">
        <is>
          <t>L6 Site Acceptance Testing; L1 Conceptual Design; L2 Detailed Design</t>
        </is>
      </c>
      <c r="T67" s="53" t="inlineStr">
        <is>
          <t>Section/contract-derived reference; derived evidence route</t>
        </is>
      </c>
      <c r="U67" s="62" t="inlineStr">
        <is>
          <t>TBD</t>
        </is>
      </c>
      <c r="V67" s="213" t="n"/>
      <c r="W67" s="53" t="n"/>
    </row>
    <row r="68" ht="92" customHeight="1">
      <c r="A68" s="60" t="n">
        <v>63</v>
      </c>
      <c r="B68" s="60" t="inlineStr">
        <is>
          <t>RTM-416</t>
        </is>
      </c>
      <c r="C68" s="89" t="inlineStr">
        <is>
          <t>SYSTEM</t>
        </is>
      </c>
      <c r="D68" s="90" t="inlineStr">
        <is>
          <t>Performance</t>
        </is>
      </c>
      <c r="E68" s="91" t="inlineStr">
        <is>
          <t>—</t>
        </is>
      </c>
      <c r="F68" s="60" t="inlineStr">
        <is>
          <t>Buildings &amp; Utilities</t>
        </is>
      </c>
      <c r="G68" s="85" t="inlineStr">
        <is>
          <t>Inferred: C5 — Infrastructure &amp; Integration (high conf.)</t>
        </is>
      </c>
      <c r="H68" s="60" t="inlineStr">
        <is>
          <t>T1 Primary</t>
        </is>
      </c>
      <c r="I68" s="60" t="n">
        <v>58</v>
      </c>
      <c r="J68" s="60" t="n">
        <v>91.6782</v>
      </c>
      <c r="K68" s="60" t="inlineStr">
        <is>
          <t>4.7.4.3</t>
        </is>
      </c>
      <c r="L68" s="60" t="inlineStr">
        <is>
          <t>Water Heat exchangers</t>
        </is>
      </c>
      <c r="M68" s="60" t="n">
        <v>84</v>
      </c>
      <c r="N68" s="60" t="inlineStr">
        <is>
          <t>Reliability</t>
        </is>
      </c>
      <c r="O68" s="49" t="inlineStr">
        <is>
          <t>The water heat exchangers shall comply with the following water conditions:</t>
        </is>
      </c>
      <c r="P68" s="49" t="inlineStr">
        <is>
          <t>None explicitly named in this RTM</t>
        </is>
      </c>
      <c r="Q68" s="49" t="inlineStr">
        <is>
          <t>No separate deliverable explicitly named</t>
        </is>
      </c>
      <c r="R68" s="49" t="inlineStr">
        <is>
          <t>Witnessed FAT/SAT/commissioning test against stated acceptance criteria; Calculation/model plus calibrated measurement or recorded trend; RAM/maintenance substantiation and recovery/failure-response evidence</t>
        </is>
      </c>
      <c r="S68" s="49" t="inlineStr">
        <is>
          <t>L6 Site Acceptance Testing; L1 Conceptual Design; L2 Detailed Design</t>
        </is>
      </c>
      <c r="T68" s="49" t="inlineStr">
        <is>
          <t>Section/contract-derived reference; derived evidence route</t>
        </is>
      </c>
      <c r="U68" s="60" t="inlineStr">
        <is>
          <t>TBD</t>
        </is>
      </c>
      <c r="V68" s="213" t="n"/>
      <c r="W68" s="49" t="n"/>
    </row>
    <row r="69" ht="148" customHeight="1">
      <c r="A69" s="62" t="n">
        <v>64</v>
      </c>
      <c r="B69" s="62" t="inlineStr">
        <is>
          <t>RTM-644</t>
        </is>
      </c>
      <c r="C69" s="86" t="inlineStr">
        <is>
          <t>PROJECT</t>
        </is>
      </c>
      <c r="D69" s="87" t="inlineStr">
        <is>
          <t>Quality Assurance</t>
        </is>
      </c>
      <c r="E69" s="88" t="inlineStr">
        <is>
          <t>—</t>
        </is>
      </c>
      <c r="F69" s="62" t="inlineStr">
        <is>
          <t>Quality Assurance &amp; Control</t>
        </is>
      </c>
      <c r="G69" s="92" t="inlineStr">
        <is>
          <t>Inferred: C7 — Quality, Testing &amp; Risk (high conf.)</t>
        </is>
      </c>
      <c r="H69" s="62" t="inlineStr">
        <is>
          <t>T1 Primary</t>
        </is>
      </c>
      <c r="I69" s="62" t="n">
        <v>57.6667</v>
      </c>
      <c r="J69" s="62" t="n">
        <v>91.2621</v>
      </c>
      <c r="K69" s="62" t="inlineStr">
        <is>
          <t>8.1.1</t>
        </is>
      </c>
      <c r="L69" s="62" t="inlineStr">
        <is>
          <t>General requirements</t>
        </is>
      </c>
      <c r="M69" s="62" t="n">
        <v>124</v>
      </c>
      <c r="N69" s="62" t="inlineStr">
        <is>
          <t>Reliability</t>
        </is>
      </c>
      <c r="O69" s="53" t="inlineStr">
        <is>
          <t>During the warranty and after-sales period, the Contractor shall maintain application of its ISO 9001 Quality Management System to all services provided under this Contract, including maintenance, repairs, modifications, and upgrades. Non-conformities, changes, and configuration updates during the warranty period shall be managed according to the same Non-Conformity and Change Management processes as applied during the project phases.</t>
        </is>
      </c>
      <c r="P69" s="53" t="inlineStr">
        <is>
          <t>ISO 9001</t>
        </is>
      </c>
      <c r="Q69" s="53" t="inlineStr">
        <is>
          <t>No separate deliverable explicitly named</t>
        </is>
      </c>
      <c r="R69" s="53" t="inlineStr">
        <is>
          <t>RAM/maintenance substantiation and recovery/failure-response evidence; Document review, inspection, certification, audit or traceable QC record</t>
        </is>
      </c>
      <c r="S69" s="53" t="inlineStr">
        <is>
          <t>Warranty; L0 Tender / Offer; L1 Conceptual Design; L2 Detailed Design; L3 Procurement &amp; Manufacturing / FAT; L4 Installation; L5 Standalone Commissioning; L6 Site Acceptance Testing</t>
        </is>
      </c>
      <c r="T69" s="53" t="inlineStr">
        <is>
          <t>Explicit/table-grounded standard; derived evidence route</t>
        </is>
      </c>
      <c r="U69" s="62" t="inlineStr">
        <is>
          <t>TBD</t>
        </is>
      </c>
      <c r="V69" s="213" t="n"/>
      <c r="W69" s="53" t="n"/>
    </row>
    <row r="70" ht="64" customHeight="1">
      <c r="A70" s="60" t="n">
        <v>65</v>
      </c>
      <c r="B70" s="60" t="inlineStr">
        <is>
          <t>RTM-274</t>
        </is>
      </c>
      <c r="C70" s="89" t="inlineStr">
        <is>
          <t>SYSTEM</t>
        </is>
      </c>
      <c r="D70" s="90" t="inlineStr">
        <is>
          <t>Performance</t>
        </is>
      </c>
      <c r="E70" s="91" t="inlineStr">
        <is>
          <t>—</t>
        </is>
      </c>
      <c r="F70" s="60" t="inlineStr">
        <is>
          <t>Subsystems</t>
        </is>
      </c>
      <c r="G70" s="60" t="inlineStr">
        <is>
          <t>C2 — Process Design</t>
        </is>
      </c>
      <c r="H70" s="60" t="inlineStr">
        <is>
          <t>T1 Primary</t>
        </is>
      </c>
      <c r="I70" s="60" t="n">
        <v>56.6667</v>
      </c>
      <c r="J70" s="60" t="n">
        <v>90.91540000000001</v>
      </c>
      <c r="K70" s="60" t="inlineStr">
        <is>
          <t>4.4.8.2</t>
        </is>
      </c>
      <c r="L70" s="60" t="inlineStr">
        <is>
          <t>Warm GHe Recovery from WGR-MAC</t>
        </is>
      </c>
      <c r="M70" s="60" t="n">
        <v>65</v>
      </c>
      <c r="N70" s="60" t="inlineStr">
        <is>
          <t>Reliability</t>
        </is>
      </c>
      <c r="O70" s="49" t="inlineStr">
        <is>
          <t>The QPLANT shall be designed for interfacing with line QRB.G20 under the following fluid conditions</t>
        </is>
      </c>
      <c r="P70" s="49" t="inlineStr">
        <is>
          <t>None explicitly named in this RTM</t>
        </is>
      </c>
      <c r="Q70" s="49" t="inlineStr">
        <is>
          <t>No separate deliverable explicitly named</t>
        </is>
      </c>
      <c r="R70" s="49" t="inlineStr">
        <is>
          <t>Calculation/model plus calibrated measurement or recorded trend; RAM/maintenance substantiation and recovery/failure-response evidence</t>
        </is>
      </c>
      <c r="S70" s="49" t="inlineStr">
        <is>
          <t>L1 Conceptual Design; L2 Detailed Design</t>
        </is>
      </c>
      <c r="T70" s="49" t="inlineStr">
        <is>
          <t>Section/contract-derived reference; derived evidence route</t>
        </is>
      </c>
      <c r="U70" s="60" t="inlineStr">
        <is>
          <t>TBD</t>
        </is>
      </c>
      <c r="V70" s="213" t="n"/>
      <c r="W70" s="49" t="n"/>
    </row>
    <row r="71" ht="92" customHeight="1">
      <c r="A71" s="62" t="n">
        <v>66</v>
      </c>
      <c r="B71" s="62" t="inlineStr">
        <is>
          <t>RTM-498</t>
        </is>
      </c>
      <c r="C71" s="86" t="inlineStr">
        <is>
          <t>PROJECT</t>
        </is>
      </c>
      <c r="D71" s="87" t="inlineStr">
        <is>
          <t>Governance &amp; Responsibility</t>
        </is>
      </c>
      <c r="E71" s="88" t="inlineStr">
        <is>
          <t>—</t>
        </is>
      </c>
      <c r="F71" s="62" t="inlineStr">
        <is>
          <t>Acceptance Testing</t>
        </is>
      </c>
      <c r="G71" s="62" t="inlineStr">
        <is>
          <t>C7 — Quality, Testing &amp; Risk</t>
        </is>
      </c>
      <c r="H71" s="62" t="inlineStr">
        <is>
          <t>T1 Primary</t>
        </is>
      </c>
      <c r="I71" s="62" t="n">
        <v>56.6667</v>
      </c>
      <c r="J71" s="62" t="n">
        <v>90.91540000000001</v>
      </c>
      <c r="K71" s="62" t="inlineStr">
        <is>
          <t>4.13.2</t>
        </is>
      </c>
      <c r="L71" s="62" t="inlineStr">
        <is>
          <t>Factory Acceptance Test (FAT)</t>
        </is>
      </c>
      <c r="M71" s="62" t="n">
        <v>97</v>
      </c>
      <c r="N71" s="62" t="inlineStr">
        <is>
          <t>Functional</t>
        </is>
      </c>
      <c r="O71" s="53" t="inlineStr">
        <is>
          <t>The FAT shall include, at minimum, the following tests and activities:</t>
        </is>
      </c>
      <c r="P71" s="53" t="inlineStr">
        <is>
          <t>None explicitly named in this RTM</t>
        </is>
      </c>
      <c r="Q71" s="53" t="inlineStr">
        <is>
          <t>Quality Assurance Plan (QAP); Drawing / diagram</t>
        </is>
      </c>
      <c r="R71" s="53" t="inlineStr">
        <is>
          <t>Submit and review the named deliverable with RTM traceability and approval status; Witnessed FAT/SAT/commissioning test against stated acceptance criteria; Calculation/model plus calibrated measurement or recorded trend</t>
        </is>
      </c>
      <c r="S71" s="53" t="inlineStr">
        <is>
          <t>L1 Conceptual Design; L2 Detailed Design</t>
        </is>
      </c>
      <c r="T71" s="53" t="inlineStr">
        <is>
          <t>Section/contract-derived reference; explicit deliverable/test wording</t>
        </is>
      </c>
      <c r="U71" s="62" t="inlineStr">
        <is>
          <t>TBD</t>
        </is>
      </c>
      <c r="V71" s="213" t="n"/>
      <c r="W71" s="53" t="n"/>
    </row>
    <row r="72" ht="92" customHeight="1">
      <c r="A72" s="60" t="n">
        <v>67</v>
      </c>
      <c r="B72" s="60" t="inlineStr">
        <is>
          <t>RTM-512</t>
        </is>
      </c>
      <c r="C72" s="89" t="inlineStr">
        <is>
          <t>PROJECT</t>
        </is>
      </c>
      <c r="D72" s="90" t="inlineStr">
        <is>
          <t>Governance &amp; Responsibility</t>
        </is>
      </c>
      <c r="E72" s="91" t="inlineStr">
        <is>
          <t>—</t>
        </is>
      </c>
      <c r="F72" s="60" t="inlineStr">
        <is>
          <t>Acceptance Testing</t>
        </is>
      </c>
      <c r="G72" s="60" t="inlineStr">
        <is>
          <t>C7 — Quality, Testing &amp; Risk</t>
        </is>
      </c>
      <c r="H72" s="60" t="inlineStr">
        <is>
          <t>T1 Primary</t>
        </is>
      </c>
      <c r="I72" s="60" t="n">
        <v>56.6667</v>
      </c>
      <c r="J72" s="60" t="n">
        <v>90.91540000000001</v>
      </c>
      <c r="K72" s="60" t="inlineStr">
        <is>
          <t>4.13.3.1</t>
        </is>
      </c>
      <c r="L72" s="60" t="inlineStr">
        <is>
          <t>Demonstration of functional behaviour and operability</t>
        </is>
      </c>
      <c r="M72" s="60" t="n">
        <v>99</v>
      </c>
      <c r="N72" s="60" t="inlineStr">
        <is>
          <t>Reliability</t>
        </is>
      </c>
      <c r="O72" s="49" t="inlineStr">
        <is>
          <t>The Contractor shall demonstrate the correct behaviour of the QPS under specified abnormal events by applying or triggering the relevant event conditions during the SAT. This shall include, at minimum:</t>
        </is>
      </c>
      <c r="P72" s="49" t="inlineStr">
        <is>
          <t>None explicitly named in this RTM</t>
        </is>
      </c>
      <c r="Q72" s="49" t="inlineStr">
        <is>
          <t>No separate deliverable explicitly named</t>
        </is>
      </c>
      <c r="R72" s="49" t="inlineStr">
        <is>
          <t>Witnessed FAT/SAT/commissioning test against stated acceptance criteria; Functional design/configuration review and sequence/interface demonstration; RAM/maintenance substantiation and recovery/failure-response evidence</t>
        </is>
      </c>
      <c r="S72" s="49" t="inlineStr">
        <is>
          <t>L6 Site Acceptance Testing; L1 Conceptual Design; L2 Detailed Design</t>
        </is>
      </c>
      <c r="T72" s="49" t="inlineStr">
        <is>
          <t>Section/contract-derived reference; explicit deliverable/test wording</t>
        </is>
      </c>
      <c r="U72" s="60" t="inlineStr">
        <is>
          <t>TBD</t>
        </is>
      </c>
      <c r="V72" s="213" t="n"/>
      <c r="W72" s="49" t="n"/>
    </row>
    <row r="73" ht="92" customHeight="1">
      <c r="A73" s="62" t="n">
        <v>68</v>
      </c>
      <c r="B73" s="62" t="inlineStr">
        <is>
          <t>RTM-549</t>
        </is>
      </c>
      <c r="C73" s="86" t="inlineStr">
        <is>
          <t>PROJECT</t>
        </is>
      </c>
      <c r="D73" s="87" t="inlineStr">
        <is>
          <t>Governance &amp; Responsibility</t>
        </is>
      </c>
      <c r="E73" s="88" t="inlineStr">
        <is>
          <t>—</t>
        </is>
      </c>
      <c r="F73" s="62" t="inlineStr">
        <is>
          <t>Acceptance Testing</t>
        </is>
      </c>
      <c r="G73" s="62" t="inlineStr">
        <is>
          <t>C7 — Quality, Testing &amp; Risk</t>
        </is>
      </c>
      <c r="H73" s="62" t="inlineStr">
        <is>
          <t>T1 Primary</t>
        </is>
      </c>
      <c r="I73" s="62" t="n">
        <v>56.6667</v>
      </c>
      <c r="J73" s="62" t="n">
        <v>90.91540000000001</v>
      </c>
      <c r="K73" s="62" t="inlineStr">
        <is>
          <t>4.13.3.5</t>
        </is>
      </c>
      <c r="L73" s="62" t="inlineStr">
        <is>
          <t>Demonstration of control system behaviour</t>
        </is>
      </c>
      <c r="M73" s="62" t="n">
        <v>107</v>
      </c>
      <c r="N73" s="62" t="inlineStr">
        <is>
          <t>Reliability</t>
        </is>
      </c>
      <c r="O73" s="53" t="inlineStr">
        <is>
          <t>The Contractor shall demonstrate the continuity and failover behaviour of the QPS:CIS, where applicable. This shall include, at minimum:</t>
        </is>
      </c>
      <c r="P73" s="53" t="inlineStr">
        <is>
          <t>None explicitly named in this RTM</t>
        </is>
      </c>
      <c r="Q73" s="53" t="inlineStr">
        <is>
          <t>No separate deliverable explicitly named</t>
        </is>
      </c>
      <c r="R73" s="53" t="inlineStr">
        <is>
          <t>Witnessed FAT/SAT/commissioning test against stated acceptance criteria; Functional design/configuration review and sequence/interface demonstration; RAM/maintenance substantiation and recovery/failure-response evidence</t>
        </is>
      </c>
      <c r="S73" s="53" t="inlineStr">
        <is>
          <t>L1 Conceptual Design; L2 Detailed Design</t>
        </is>
      </c>
      <c r="T73" s="53" t="inlineStr">
        <is>
          <t>Section/contract-derived reference; explicit deliverable/test wording</t>
        </is>
      </c>
      <c r="U73" s="62" t="inlineStr">
        <is>
          <t>TBD</t>
        </is>
      </c>
      <c r="V73" s="213" t="n"/>
      <c r="W73" s="53" t="n"/>
    </row>
    <row r="74" ht="92" customHeight="1">
      <c r="A74" s="60" t="n">
        <v>69</v>
      </c>
      <c r="B74" s="60" t="inlineStr">
        <is>
          <t>RTM-462</t>
        </is>
      </c>
      <c r="C74" s="89" t="inlineStr">
        <is>
          <t>SYSTEM</t>
        </is>
      </c>
      <c r="D74" s="90" t="inlineStr">
        <is>
          <t>Constraint</t>
        </is>
      </c>
      <c r="E74" s="91" t="inlineStr">
        <is>
          <t>—</t>
        </is>
      </c>
      <c r="F74" s="60" t="inlineStr">
        <is>
          <t>Design &amp; Fabrication</t>
        </is>
      </c>
      <c r="G74" s="85" t="inlineStr">
        <is>
          <t>Inferred: C5 — Infrastructure &amp; Integration (medium conf.)</t>
        </is>
      </c>
      <c r="H74" s="60" t="inlineStr">
        <is>
          <t>T1 Primary</t>
        </is>
      </c>
      <c r="I74" s="60" t="n">
        <v>56</v>
      </c>
      <c r="J74" s="60" t="n">
        <v>90.56870000000001</v>
      </c>
      <c r="K74" s="60" t="inlineStr">
        <is>
          <t>4.8.4.3</t>
        </is>
      </c>
      <c r="L74" s="60" t="inlineStr">
        <is>
          <t>Weld testing &amp; inspections</t>
        </is>
      </c>
      <c r="M74" s="60" t="n">
        <v>91</v>
      </c>
      <c r="N74" s="60" t="inlineStr">
        <is>
          <t>Performance</t>
        </is>
      </c>
      <c r="O74" s="49" t="inlineStr">
        <is>
          <t>The examination of welds shall comply with the following requirements:</t>
        </is>
      </c>
      <c r="P74" s="49" t="inlineStr">
        <is>
          <t>ISO 9712; EN 17636; ISO 5817</t>
        </is>
      </c>
      <c r="Q74" s="49" t="inlineStr">
        <is>
          <t>No separate deliverable explicitly named</t>
        </is>
      </c>
      <c r="R74" s="49" t="inlineStr">
        <is>
          <t>Witnessed FAT/SAT/commissioning test against stated acceptance criteria; Calculation/model plus calibrated measurement or recorded trend; Document review, inspection, certification, audit or traceable QC record</t>
        </is>
      </c>
      <c r="S74" s="49" t="inlineStr">
        <is>
          <t>L1 Conceptual Design; L2 Detailed Design</t>
        </is>
      </c>
      <c r="T74" s="49" t="inlineStr">
        <is>
          <t>Explicit/table-grounded standard; explicit deliverable/test wording</t>
        </is>
      </c>
      <c r="U74" s="60" t="inlineStr">
        <is>
          <t>TBD</t>
        </is>
      </c>
      <c r="V74" s="213" t="n"/>
      <c r="W74" s="49" t="n"/>
    </row>
    <row r="75" ht="92" customHeight="1">
      <c r="A75" s="62" t="n">
        <v>70</v>
      </c>
      <c r="B75" s="62" t="inlineStr">
        <is>
          <t>RTM-267</t>
        </is>
      </c>
      <c r="C75" s="86" t="inlineStr">
        <is>
          <t>SYSTEM</t>
        </is>
      </c>
      <c r="D75" s="87" t="inlineStr">
        <is>
          <t>Control</t>
        </is>
      </c>
      <c r="E75" s="88" t="inlineStr">
        <is>
          <t>—</t>
        </is>
      </c>
      <c r="F75" s="62" t="inlineStr">
        <is>
          <t>Subsystems</t>
        </is>
      </c>
      <c r="G75" s="62" t="inlineStr">
        <is>
          <t>C3 — Mechanical &amp; Equipment</t>
        </is>
      </c>
      <c r="H75" s="62" t="inlineStr">
        <is>
          <t>T1 Primary</t>
        </is>
      </c>
      <c r="I75" s="62" t="n">
        <v>55.3333</v>
      </c>
      <c r="J75" s="62" t="n">
        <v>90.36060000000001</v>
      </c>
      <c r="K75" s="62" t="inlineStr">
        <is>
          <t>4.4.8</t>
        </is>
      </c>
      <c r="L75" s="62" t="inlineStr">
        <is>
          <t>External Helium Withdrawal and Recovery</t>
        </is>
      </c>
      <c r="M75" s="62" t="n">
        <v>64</v>
      </c>
      <c r="N75" s="62" t="inlineStr">
        <is>
          <t>Reliability</t>
        </is>
      </c>
      <c r="O75" s="53" t="inlineStr">
        <is>
          <t>The Contractor shall substantiate the design of the Dewar Filling Station in the Engineering File. At minimum, the substantiation shall include:</t>
        </is>
      </c>
      <c r="P75" s="53" t="inlineStr">
        <is>
          <t>None explicitly named in this RTM</t>
        </is>
      </c>
      <c r="Q75" s="53" t="inlineStr">
        <is>
          <t>Engineering File</t>
        </is>
      </c>
      <c r="R75" s="53" t="inlineStr">
        <is>
          <t>Submit and review the named deliverable with RTM traceability and approval status; Calculation/model plus calibrated measurement or recorded trend; Functional design/configuration review and sequence/interface demonstration</t>
        </is>
      </c>
      <c r="S75" s="53" t="inlineStr">
        <is>
          <t>L1 Conceptual Design; L2 Detailed Design</t>
        </is>
      </c>
      <c r="T75" s="53" t="inlineStr">
        <is>
          <t>Section/contract-derived reference; explicit deliverable/test wording</t>
        </is>
      </c>
      <c r="U75" s="62" t="inlineStr">
        <is>
          <t>TBD</t>
        </is>
      </c>
      <c r="V75" s="213" t="n"/>
      <c r="W75" s="53" t="n"/>
    </row>
    <row r="76" ht="92" customHeight="1">
      <c r="A76" s="60" t="n">
        <v>71</v>
      </c>
      <c r="B76" s="60" t="inlineStr">
        <is>
          <t>RTM-481</t>
        </is>
      </c>
      <c r="C76" s="89" t="inlineStr">
        <is>
          <t>PROJECT</t>
        </is>
      </c>
      <c r="D76" s="90" t="inlineStr">
        <is>
          <t>Governance &amp; Responsibility</t>
        </is>
      </c>
      <c r="E76" s="91" t="inlineStr">
        <is>
          <t>—</t>
        </is>
      </c>
      <c r="F76" s="60" t="inlineStr">
        <is>
          <t>Commissioning</t>
        </is>
      </c>
      <c r="G76" s="60" t="inlineStr">
        <is>
          <t>Not linked to an OFFER item</t>
        </is>
      </c>
      <c r="H76" s="60" t="inlineStr">
        <is>
          <t>T1 Primary</t>
        </is>
      </c>
      <c r="I76" s="60" t="n">
        <v>55.3333</v>
      </c>
      <c r="J76" s="60" t="n">
        <v>90.36060000000001</v>
      </c>
      <c r="K76" s="60" t="inlineStr">
        <is>
          <t>4.11</t>
        </is>
      </c>
      <c r="L76" s="60" t="inlineStr">
        <is>
          <t>Commissioning Requirements</t>
        </is>
      </c>
      <c r="M76" s="60" t="n">
        <v>93</v>
      </c>
      <c r="N76" s="60" t="inlineStr">
        <is>
          <t>Functional</t>
        </is>
      </c>
      <c r="O76" s="49" t="inlineStr">
        <is>
          <t>The Contractor shall perform at least the following activities:</t>
        </is>
      </c>
      <c r="P76" s="49" t="inlineStr">
        <is>
          <t>None explicitly named in this RTM</t>
        </is>
      </c>
      <c r="Q76" s="49" t="inlineStr">
        <is>
          <t>No separate deliverable explicitly named</t>
        </is>
      </c>
      <c r="R76" s="49" t="inlineStr">
        <is>
          <t>Witnessed FAT/SAT/commissioning test against stated acceptance criteria; Calculation/model plus calibrated measurement or recorded trend; Functional design/configuration review and sequence/interface demonstration</t>
        </is>
      </c>
      <c r="S76" s="49" t="inlineStr">
        <is>
          <t>L1 Conceptual Design; L2 Detailed Design</t>
        </is>
      </c>
      <c r="T76" s="49" t="inlineStr">
        <is>
          <t>Section/contract-derived reference; explicit deliverable/test wording</t>
        </is>
      </c>
      <c r="U76" s="60" t="inlineStr">
        <is>
          <t>TBD</t>
        </is>
      </c>
      <c r="V76" s="213" t="n"/>
      <c r="W76" s="49" t="n"/>
    </row>
    <row r="77" ht="92" customHeight="1">
      <c r="A77" s="62" t="n">
        <v>72</v>
      </c>
      <c r="B77" s="62" t="inlineStr">
        <is>
          <t>RTM-515</t>
        </is>
      </c>
      <c r="C77" s="86" t="inlineStr">
        <is>
          <t>PROJECT</t>
        </is>
      </c>
      <c r="D77" s="87" t="inlineStr">
        <is>
          <t>Governance &amp; Responsibility</t>
        </is>
      </c>
      <c r="E77" s="88" t="inlineStr">
        <is>
          <t>—</t>
        </is>
      </c>
      <c r="F77" s="62" t="inlineStr">
        <is>
          <t>Acceptance Testing</t>
        </is>
      </c>
      <c r="G77" s="62" t="inlineStr">
        <is>
          <t>C7 — Quality, Testing &amp; Risk</t>
        </is>
      </c>
      <c r="H77" s="62" t="inlineStr">
        <is>
          <t>T1 Primary</t>
        </is>
      </c>
      <c r="I77" s="62" t="n">
        <v>54.6667</v>
      </c>
      <c r="J77" s="62" t="n">
        <v>90.01390000000001</v>
      </c>
      <c r="K77" s="62" t="inlineStr">
        <is>
          <t>4.13.3.2</t>
        </is>
      </c>
      <c r="L77" s="62" t="inlineStr">
        <is>
          <t>Specific Functional demonstrations</t>
        </is>
      </c>
      <c r="M77" s="62" t="n">
        <v>99</v>
      </c>
      <c r="N77" s="62" t="inlineStr">
        <is>
          <t>Functional</t>
        </is>
      </c>
      <c r="O77" s="53" t="inlineStr">
        <is>
          <t>For the WCS, the Contractor shall perform the following functional tests during the SAT:</t>
        </is>
      </c>
      <c r="P77" s="53" t="inlineStr">
        <is>
          <t>None explicitly named in this RTM</t>
        </is>
      </c>
      <c r="Q77" s="53" t="inlineStr">
        <is>
          <t>No separate deliverable explicitly named</t>
        </is>
      </c>
      <c r="R77" s="53" t="inlineStr">
        <is>
          <t>Witnessed FAT/SAT/commissioning test against stated acceptance criteria; Calculation/model plus calibrated measurement or recorded trend; Functional design/configuration review and sequence/interface demonstration</t>
        </is>
      </c>
      <c r="S77" s="53" t="inlineStr">
        <is>
          <t>L6 Site Acceptance Testing; L1 Conceptual Design; L2 Detailed Design</t>
        </is>
      </c>
      <c r="T77" s="53" t="inlineStr">
        <is>
          <t>Section/contract-derived reference; explicit deliverable/test wording</t>
        </is>
      </c>
      <c r="U77" s="62" t="inlineStr">
        <is>
          <t>TBD</t>
        </is>
      </c>
      <c r="V77" s="213" t="n"/>
      <c r="W77" s="53" t="n"/>
    </row>
    <row r="78" ht="92" customHeight="1">
      <c r="A78" s="60" t="n">
        <v>73</v>
      </c>
      <c r="B78" s="60" t="inlineStr">
        <is>
          <t>RTM-516</t>
        </is>
      </c>
      <c r="C78" s="89" t="inlineStr">
        <is>
          <t>PROJECT</t>
        </is>
      </c>
      <c r="D78" s="90" t="inlineStr">
        <is>
          <t>Governance &amp; Responsibility</t>
        </is>
      </c>
      <c r="E78" s="91" t="inlineStr">
        <is>
          <t>—</t>
        </is>
      </c>
      <c r="F78" s="60" t="inlineStr">
        <is>
          <t>Acceptance Testing</t>
        </is>
      </c>
      <c r="G78" s="60" t="inlineStr">
        <is>
          <t>C7 — Quality, Testing &amp; Risk</t>
        </is>
      </c>
      <c r="H78" s="60" t="inlineStr">
        <is>
          <t>T1 Primary</t>
        </is>
      </c>
      <c r="I78" s="60" t="n">
        <v>54.6667</v>
      </c>
      <c r="J78" s="60" t="n">
        <v>90.01390000000001</v>
      </c>
      <c r="K78" s="60" t="inlineStr">
        <is>
          <t>4.13.3.2</t>
        </is>
      </c>
      <c r="L78" s="60" t="inlineStr">
        <is>
          <t>Specific Functional demonstrations</t>
        </is>
      </c>
      <c r="M78" s="60" t="n">
        <v>100</v>
      </c>
      <c r="N78" s="60" t="inlineStr">
        <is>
          <t>Functional</t>
        </is>
      </c>
      <c r="O78" s="49" t="inlineStr">
        <is>
          <t>For the QRB, the Contractor shall perform the following functional tests during the SAT:</t>
        </is>
      </c>
      <c r="P78" s="49" t="inlineStr">
        <is>
          <t>None explicitly named in this RTM</t>
        </is>
      </c>
      <c r="Q78" s="49" t="inlineStr">
        <is>
          <t>No separate deliverable explicitly named</t>
        </is>
      </c>
      <c r="R78" s="49" t="inlineStr">
        <is>
          <t>Witnessed FAT/SAT/commissioning test against stated acceptance criteria; Calculation/model plus calibrated measurement or recorded trend; Functional design/configuration review and sequence/interface demonstration</t>
        </is>
      </c>
      <c r="S78" s="49" t="inlineStr">
        <is>
          <t>L6 Site Acceptance Testing; L1 Conceptual Design; L2 Detailed Design</t>
        </is>
      </c>
      <c r="T78" s="49" t="inlineStr">
        <is>
          <t>Section/contract-derived reference; explicit deliverable/test wording</t>
        </is>
      </c>
      <c r="U78" s="60" t="inlineStr">
        <is>
          <t>TBD</t>
        </is>
      </c>
      <c r="V78" s="213" t="n"/>
      <c r="W78" s="49" t="n"/>
    </row>
    <row r="79" ht="92" customHeight="1">
      <c r="A79" s="62" t="n">
        <v>74</v>
      </c>
      <c r="B79" s="62" t="inlineStr">
        <is>
          <t>RTM-520</t>
        </is>
      </c>
      <c r="C79" s="86" t="inlineStr">
        <is>
          <t>PROJECT</t>
        </is>
      </c>
      <c r="D79" s="87" t="inlineStr">
        <is>
          <t>Governance &amp; Responsibility</t>
        </is>
      </c>
      <c r="E79" s="88" t="inlineStr">
        <is>
          <t>—</t>
        </is>
      </c>
      <c r="F79" s="62" t="inlineStr">
        <is>
          <t>Acceptance Testing</t>
        </is>
      </c>
      <c r="G79" s="62" t="inlineStr">
        <is>
          <t>C7 — Quality, Testing &amp; Risk</t>
        </is>
      </c>
      <c r="H79" s="62" t="inlineStr">
        <is>
          <t>T1 Primary</t>
        </is>
      </c>
      <c r="I79" s="62" t="n">
        <v>54.6667</v>
      </c>
      <c r="J79" s="62" t="n">
        <v>90.01390000000001</v>
      </c>
      <c r="K79" s="62" t="inlineStr">
        <is>
          <t>4.13.3.3</t>
        </is>
      </c>
      <c r="L79" s="62" t="inlineStr">
        <is>
          <t>Demonstration of performance and capacity</t>
        </is>
      </c>
      <c r="M79" s="62" t="n">
        <v>101</v>
      </c>
      <c r="N79" s="62" t="inlineStr">
        <is>
          <t>Performance</t>
        </is>
      </c>
      <c r="O79" s="53" t="inlineStr">
        <is>
          <t>The Contractor shall demonstrate stable operation at the QPS for each operational scenario and for the relevant transitions between them. Where applicable, the Contractor shall demonstrate:</t>
        </is>
      </c>
      <c r="P79" s="53" t="inlineStr">
        <is>
          <t>None explicitly named in this RTM</t>
        </is>
      </c>
      <c r="Q79" s="53" t="inlineStr">
        <is>
          <t>No separate deliverable explicitly named</t>
        </is>
      </c>
      <c r="R79" s="53" t="inlineStr">
        <is>
          <t>Witnessed FAT/SAT/commissioning test against stated acceptance criteria; Calculation/model plus calibrated measurement or recorded trend; Functional design/configuration review and sequence/interface demonstration</t>
        </is>
      </c>
      <c r="S79" s="53" t="inlineStr">
        <is>
          <t>L1 Conceptual Design; L2 Detailed Design</t>
        </is>
      </c>
      <c r="T79" s="53" t="inlineStr">
        <is>
          <t>Section/contract-derived reference; explicit deliverable/test wording</t>
        </is>
      </c>
      <c r="U79" s="62" t="inlineStr">
        <is>
          <t>TBD</t>
        </is>
      </c>
      <c r="V79" s="213" t="n"/>
      <c r="W79" s="53" t="n"/>
    </row>
    <row r="80" ht="92" customHeight="1">
      <c r="A80" s="60" t="n">
        <v>75</v>
      </c>
      <c r="B80" s="60" t="inlineStr">
        <is>
          <t>RTM-197</t>
        </is>
      </c>
      <c r="C80" s="89" t="inlineStr">
        <is>
          <t>SYSTEM</t>
        </is>
      </c>
      <c r="D80" s="90" t="inlineStr">
        <is>
          <t>Performance</t>
        </is>
      </c>
      <c r="E80" s="91" t="inlineStr">
        <is>
          <t>—</t>
        </is>
      </c>
      <c r="F80" s="60" t="inlineStr">
        <is>
          <t>Subsystems</t>
        </is>
      </c>
      <c r="G80" s="60" t="inlineStr">
        <is>
          <t>C5 (+) — Infrastructure &amp; Integration + others</t>
        </is>
      </c>
      <c r="H80" s="60" t="inlineStr">
        <is>
          <t>T1 Primary</t>
        </is>
      </c>
      <c r="I80" s="60" t="n">
        <v>53.6667</v>
      </c>
      <c r="J80" s="60" t="n">
        <v>89.73650000000001</v>
      </c>
      <c r="K80" s="60" t="inlineStr">
        <is>
          <t>4.4.4.1</t>
        </is>
      </c>
      <c r="L80" s="60" t="inlineStr">
        <is>
          <t>General Requirements</t>
        </is>
      </c>
      <c r="M80" s="60" t="n">
        <v>55</v>
      </c>
      <c r="N80" s="60" t="inlineStr">
        <is>
          <t>Reliability</t>
        </is>
      </c>
      <c r="O80" s="49" t="inlineStr">
        <is>
          <t>The interface between the QRB and the WCS shall comply with the following requirements on the QRB side of the interface</t>
        </is>
      </c>
      <c r="P80" s="49" t="inlineStr">
        <is>
          <t>None explicitly named in this RTM</t>
        </is>
      </c>
      <c r="Q80" s="49" t="inlineStr">
        <is>
          <t>No separate deliverable explicitly named</t>
        </is>
      </c>
      <c r="R80" s="49" t="inlineStr">
        <is>
          <t>Witnessed FAT/SAT/commissioning test against stated acceptance criteria; Calculation/model plus calibrated measurement or recorded trend; Functional design/configuration review and sequence/interface demonstration</t>
        </is>
      </c>
      <c r="S80" s="49" t="inlineStr">
        <is>
          <t>L6 Site Acceptance Testing; L1 Conceptual Design; L2 Detailed Design</t>
        </is>
      </c>
      <c r="T80" s="49" t="inlineStr">
        <is>
          <t>Section/contract-derived reference; derived evidence route</t>
        </is>
      </c>
      <c r="U80" s="60" t="inlineStr">
        <is>
          <t>TBD</t>
        </is>
      </c>
      <c r="V80" s="213" t="n"/>
      <c r="W80" s="49" t="n"/>
    </row>
    <row r="81" ht="92" customHeight="1">
      <c r="A81" s="62" t="n">
        <v>76</v>
      </c>
      <c r="B81" s="62" t="inlineStr">
        <is>
          <t>RTM-493</t>
        </is>
      </c>
      <c r="C81" s="86" t="inlineStr">
        <is>
          <t>PROJECT</t>
        </is>
      </c>
      <c r="D81" s="87" t="inlineStr">
        <is>
          <t>Documentation &amp; Compliance</t>
        </is>
      </c>
      <c r="E81" s="88" t="inlineStr">
        <is>
          <t>—</t>
        </is>
      </c>
      <c r="F81" s="62" t="inlineStr">
        <is>
          <t>Acceptance Testing</t>
        </is>
      </c>
      <c r="G81" s="62" t="inlineStr">
        <is>
          <t>C7 — Quality, Testing &amp; Risk</t>
        </is>
      </c>
      <c r="H81" s="62" t="inlineStr">
        <is>
          <t>T1 Primary</t>
        </is>
      </c>
      <c r="I81" s="62" t="n">
        <v>53.3333</v>
      </c>
      <c r="J81" s="62" t="n">
        <v>89.59780000000001</v>
      </c>
      <c r="K81" s="62" t="inlineStr">
        <is>
          <t>4.13.1</t>
        </is>
      </c>
      <c r="L81" s="62" t="inlineStr">
        <is>
          <t>General Requirements</t>
        </is>
      </c>
      <c r="M81" s="62" t="n">
        <v>96</v>
      </c>
      <c r="N81" s="62" t="inlineStr">
        <is>
          <t>Reliability</t>
        </is>
      </c>
      <c r="O81" s="53" t="inlineStr">
        <is>
          <t>Each acceptance test programme shall, at minimum, contain:</t>
        </is>
      </c>
      <c r="P81" s="53" t="inlineStr">
        <is>
          <t>None explicitly named in this RTM</t>
        </is>
      </c>
      <c r="Q81" s="53" t="inlineStr">
        <is>
          <t>List / register / matrix</t>
        </is>
      </c>
      <c r="R81" s="53" t="inlineStr">
        <is>
          <t>Submit and review the named deliverable with RTM traceability and approval status; Witnessed FAT/SAT/commissioning test against stated acceptance criteria; Calculation/model plus calibrated measurement or recorded trend</t>
        </is>
      </c>
      <c r="S81" s="53" t="inlineStr">
        <is>
          <t>L6 Site Acceptance Testing; L1 Conceptual Design; L2 Detailed Design</t>
        </is>
      </c>
      <c r="T81" s="53" t="inlineStr">
        <is>
          <t>Section/contract-derived reference; explicit deliverable/test wording</t>
        </is>
      </c>
      <c r="U81" s="62" t="inlineStr">
        <is>
          <t>TBD</t>
        </is>
      </c>
      <c r="V81" s="213" t="n"/>
      <c r="W81" s="53" t="n"/>
    </row>
    <row r="82" ht="92" customHeight="1">
      <c r="A82" s="60" t="n">
        <v>77</v>
      </c>
      <c r="B82" s="60" t="inlineStr">
        <is>
          <t>RTM-186</t>
        </is>
      </c>
      <c r="C82" s="89" t="inlineStr">
        <is>
          <t>SYSTEM</t>
        </is>
      </c>
      <c r="D82" s="90" t="inlineStr">
        <is>
          <t>Constraint</t>
        </is>
      </c>
      <c r="E82" s="91" t="inlineStr">
        <is>
          <t>—</t>
        </is>
      </c>
      <c r="F82" s="60" t="inlineStr">
        <is>
          <t>Subsystems</t>
        </is>
      </c>
      <c r="G82" s="85" t="inlineStr">
        <is>
          <t>Inferred: C6 — Reliability &amp; Maintenance (medium conf.)</t>
        </is>
      </c>
      <c r="H82" s="60" t="inlineStr">
        <is>
          <t>T1 Primary</t>
        </is>
      </c>
      <c r="I82" s="60" t="n">
        <v>52.6667</v>
      </c>
      <c r="J82" s="60" t="n">
        <v>89.18170000000001</v>
      </c>
      <c r="K82" s="60" t="inlineStr">
        <is>
          <t>4.4.3.7</t>
        </is>
      </c>
      <c r="L82" s="60" t="inlineStr">
        <is>
          <t>Helium dryer</t>
        </is>
      </c>
      <c r="M82" s="60" t="n">
        <v>53</v>
      </c>
      <c r="N82" s="60" t="inlineStr">
        <is>
          <t>Reliability</t>
        </is>
      </c>
      <c r="O82" s="49" t="inlineStr">
        <is>
          <t>The helium dryer system shall comply with the following architectural requirements:</t>
        </is>
      </c>
      <c r="P82" s="49" t="inlineStr">
        <is>
          <t>None explicitly named in this RTM</t>
        </is>
      </c>
      <c r="Q82" s="49" t="inlineStr">
        <is>
          <t>No separate deliverable explicitly named</t>
        </is>
      </c>
      <c r="R82" s="49" t="inlineStr">
        <is>
          <t>Calculation/model plus calibrated measurement or recorded trend; Functional design/configuration review and sequence/interface demonstration; RAM/maintenance substantiation and recovery/failure-response evidence</t>
        </is>
      </c>
      <c r="S82" s="49" t="inlineStr">
        <is>
          <t>L1 Conceptual Design; L2 Detailed Design</t>
        </is>
      </c>
      <c r="T82" s="49" t="inlineStr">
        <is>
          <t>Section/contract-derived reference; derived evidence route</t>
        </is>
      </c>
      <c r="U82" s="60" t="inlineStr">
        <is>
          <t>TBD</t>
        </is>
      </c>
      <c r="V82" s="213" t="n"/>
      <c r="W82" s="49" t="n"/>
    </row>
    <row r="83" ht="64" customHeight="1">
      <c r="A83" s="62" t="n">
        <v>78</v>
      </c>
      <c r="B83" s="62" t="inlineStr">
        <is>
          <t>RTM-264</t>
        </is>
      </c>
      <c r="C83" s="86" t="inlineStr">
        <is>
          <t>SYSTEM</t>
        </is>
      </c>
      <c r="D83" s="87" t="inlineStr">
        <is>
          <t>Performance</t>
        </is>
      </c>
      <c r="E83" s="88" t="inlineStr">
        <is>
          <t>—</t>
        </is>
      </c>
      <c r="F83" s="62" t="inlineStr">
        <is>
          <t>Subsystems</t>
        </is>
      </c>
      <c r="G83" s="62" t="inlineStr">
        <is>
          <t>C3 — Mechanical &amp; Equipment</t>
        </is>
      </c>
      <c r="H83" s="62" t="inlineStr">
        <is>
          <t>T1 Primary</t>
        </is>
      </c>
      <c r="I83" s="62" t="n">
        <v>52.6667</v>
      </c>
      <c r="J83" s="62" t="n">
        <v>89.18170000000001</v>
      </c>
      <c r="K83" s="62" t="inlineStr">
        <is>
          <t>4.4.8</t>
        </is>
      </c>
      <c r="L83" s="62" t="inlineStr">
        <is>
          <t>External Helium Withdrawal and Recovery</t>
        </is>
      </c>
      <c r="M83" s="62" t="n">
        <v>64</v>
      </c>
      <c r="N83" s="62" t="inlineStr">
        <is>
          <t>Reliability</t>
        </is>
      </c>
      <c r="O83" s="53" t="inlineStr">
        <is>
          <t>The QPS shall serve the External Dewar Users using the installed cooling capacity as specified in §4.2.4.</t>
        </is>
      </c>
      <c r="P83" s="53" t="inlineStr">
        <is>
          <t>None explicitly named in this RTM</t>
        </is>
      </c>
      <c r="Q83" s="53" t="inlineStr">
        <is>
          <t>No separate deliverable explicitly named</t>
        </is>
      </c>
      <c r="R83" s="53" t="inlineStr">
        <is>
          <t>Calculation/model plus calibrated measurement or recorded trend; RAM/maintenance substantiation and recovery/failure-response evidence</t>
        </is>
      </c>
      <c r="S83" s="53" t="inlineStr">
        <is>
          <t>L1 Conceptual Design; L2 Detailed Design</t>
        </is>
      </c>
      <c r="T83" s="53" t="inlineStr">
        <is>
          <t>Section/contract-derived reference; derived evidence route</t>
        </is>
      </c>
      <c r="U83" s="62" t="inlineStr">
        <is>
          <t>TBD</t>
        </is>
      </c>
      <c r="V83" s="213" t="n"/>
      <c r="W83" s="53" t="n"/>
    </row>
    <row r="84" ht="92" customHeight="1">
      <c r="A84" s="60" t="n">
        <v>79</v>
      </c>
      <c r="B84" s="60" t="inlineStr">
        <is>
          <t>RTM-269</t>
        </is>
      </c>
      <c r="C84" s="89" t="inlineStr">
        <is>
          <t>SYSTEM</t>
        </is>
      </c>
      <c r="D84" s="90" t="inlineStr">
        <is>
          <t>Constraint</t>
        </is>
      </c>
      <c r="E84" s="91" t="inlineStr">
        <is>
          <t>—</t>
        </is>
      </c>
      <c r="F84" s="60" t="inlineStr">
        <is>
          <t>Subsystems</t>
        </is>
      </c>
      <c r="G84" s="60" t="inlineStr">
        <is>
          <t>C1 — Performance</t>
        </is>
      </c>
      <c r="H84" s="60" t="inlineStr">
        <is>
          <t>T1 Primary</t>
        </is>
      </c>
      <c r="I84" s="60" t="n">
        <v>52.6667</v>
      </c>
      <c r="J84" s="60" t="n">
        <v>89.18170000000001</v>
      </c>
      <c r="K84" s="60" t="inlineStr">
        <is>
          <t>4.4.8.1</t>
        </is>
      </c>
      <c r="L84" s="60" t="inlineStr">
        <is>
          <t>Dewar Filling Station</t>
        </is>
      </c>
      <c r="M84" s="60" t="n">
        <v>65</v>
      </c>
      <c r="N84" s="60" t="inlineStr">
        <is>
          <t>Reliability</t>
        </is>
      </c>
      <c r="O84" s="49" t="inlineStr">
        <is>
          <t>Within the operational and boundary constraints defined in RTM-264, the Dewar Filling Station shall be designed to accommodate the following LHe filling requirements:</t>
        </is>
      </c>
      <c r="P84" s="49" t="inlineStr">
        <is>
          <t>None explicitly named in this RTM</t>
        </is>
      </c>
      <c r="Q84" s="49" t="inlineStr">
        <is>
          <t>No separate deliverable explicitly named</t>
        </is>
      </c>
      <c r="R84" s="49" t="inlineStr">
        <is>
          <t>Calculation/model plus calibrated measurement or recorded trend; Functional design/configuration review and sequence/interface demonstration; RAM/maintenance substantiation and recovery/failure-response evidence</t>
        </is>
      </c>
      <c r="S84" s="49" t="inlineStr">
        <is>
          <t>L1 Conceptual Design; L2 Detailed Design</t>
        </is>
      </c>
      <c r="T84" s="49" t="inlineStr">
        <is>
          <t>Section/contract-derived reference; derived evidence route</t>
        </is>
      </c>
      <c r="U84" s="60" t="inlineStr">
        <is>
          <t>TBD</t>
        </is>
      </c>
      <c r="V84" s="213" t="n"/>
      <c r="W84" s="49" t="n"/>
    </row>
    <row r="85" ht="92" customHeight="1">
      <c r="A85" s="62" t="n">
        <v>80</v>
      </c>
      <c r="B85" s="62" t="inlineStr">
        <is>
          <t>RTM-270</t>
        </is>
      </c>
      <c r="C85" s="86" t="inlineStr">
        <is>
          <t>SYSTEM</t>
        </is>
      </c>
      <c r="D85" s="87" t="inlineStr">
        <is>
          <t>Performance</t>
        </is>
      </c>
      <c r="E85" s="88" t="inlineStr">
        <is>
          <t>—</t>
        </is>
      </c>
      <c r="F85" s="62" t="inlineStr">
        <is>
          <t>Subsystems</t>
        </is>
      </c>
      <c r="G85" s="62" t="inlineStr">
        <is>
          <t>C1 — Performance</t>
        </is>
      </c>
      <c r="H85" s="62" t="inlineStr">
        <is>
          <t>T1 Primary</t>
        </is>
      </c>
      <c r="I85" s="62" t="n">
        <v>52.6667</v>
      </c>
      <c r="J85" s="62" t="n">
        <v>89.18170000000001</v>
      </c>
      <c r="K85" s="62" t="inlineStr">
        <is>
          <t>4.4.8.1</t>
        </is>
      </c>
      <c r="L85" s="62" t="inlineStr">
        <is>
          <t>Dewar Filling Station</t>
        </is>
      </c>
      <c r="M85" s="62" t="n">
        <v>65</v>
      </c>
      <c r="N85" s="62" t="inlineStr">
        <is>
          <t>Reliability</t>
        </is>
      </c>
      <c r="O85" s="53" t="inlineStr">
        <is>
          <t>The Contractor shall quantify and substantiate the total helium demand associated with dewar filling activities, including all contributions arising from:</t>
        </is>
      </c>
      <c r="P85" s="53" t="inlineStr">
        <is>
          <t>None explicitly named in this RTM</t>
        </is>
      </c>
      <c r="Q85" s="53" t="inlineStr">
        <is>
          <t>No separate deliverable explicitly named</t>
        </is>
      </c>
      <c r="R85" s="53" t="inlineStr">
        <is>
          <t>Calculation/model plus calibrated measurement or recorded trend; Functional design/configuration review and sequence/interface demonstration; RAM/maintenance substantiation and recovery/failure-response evidence</t>
        </is>
      </c>
      <c r="S85" s="53" t="inlineStr">
        <is>
          <t>L1 Conceptual Design; L2 Detailed Design</t>
        </is>
      </c>
      <c r="T85" s="53" t="inlineStr">
        <is>
          <t>Section/contract-derived reference; derived evidence route</t>
        </is>
      </c>
      <c r="U85" s="62" t="inlineStr">
        <is>
          <t>TBD</t>
        </is>
      </c>
      <c r="V85" s="213" t="n"/>
      <c r="W85" s="53" t="n"/>
    </row>
    <row r="86" ht="92" customHeight="1">
      <c r="A86" s="60" t="n">
        <v>81</v>
      </c>
      <c r="B86" s="60" t="inlineStr">
        <is>
          <t>RTM-279</t>
        </is>
      </c>
      <c r="C86" s="89" t="inlineStr">
        <is>
          <t>SYSTEM</t>
        </is>
      </c>
      <c r="D86" s="90" t="inlineStr">
        <is>
          <t>Control</t>
        </is>
      </c>
      <c r="E86" s="91" t="inlineStr">
        <is>
          <t>—</t>
        </is>
      </c>
      <c r="F86" s="60" t="inlineStr">
        <is>
          <t>Subsystems</t>
        </is>
      </c>
      <c r="G86" s="60" t="inlineStr">
        <is>
          <t>C2 — Process Design</t>
        </is>
      </c>
      <c r="H86" s="60" t="inlineStr">
        <is>
          <t>T1 Primary</t>
        </is>
      </c>
      <c r="I86" s="60" t="n">
        <v>52.6667</v>
      </c>
      <c r="J86" s="60" t="n">
        <v>89.18170000000001</v>
      </c>
      <c r="K86" s="60" t="inlineStr">
        <is>
          <t>4.4.8.2</t>
        </is>
      </c>
      <c r="L86" s="60" t="inlineStr">
        <is>
          <t>Warm GHe Recovery from WGR-MAC</t>
        </is>
      </c>
      <c r="M86" s="60" t="n">
        <v>66</v>
      </c>
      <c r="N86" s="60" t="inlineStr">
        <is>
          <t>Reliability</t>
        </is>
      </c>
      <c r="O86" s="49" t="inlineStr">
        <is>
          <t>The QPLANT shall include at the interface with line QRB.G20, at minimum:</t>
        </is>
      </c>
      <c r="P86" s="49" t="inlineStr">
        <is>
          <t>None explicitly named in this RTM</t>
        </is>
      </c>
      <c r="Q86" s="49" t="inlineStr">
        <is>
          <t>No separate deliverable explicitly named</t>
        </is>
      </c>
      <c r="R86" s="49" t="inlineStr">
        <is>
          <t>Calculation/model plus calibrated measurement or recorded trend; Functional design/configuration review and sequence/interface demonstration; RAM/maintenance substantiation and recovery/failure-response evidence</t>
        </is>
      </c>
      <c r="S86" s="49" t="inlineStr">
        <is>
          <t>L1 Conceptual Design; L2 Detailed Design</t>
        </is>
      </c>
      <c r="T86" s="49" t="inlineStr">
        <is>
          <t>Section/contract-derived reference; derived evidence route</t>
        </is>
      </c>
      <c r="U86" s="60" t="inlineStr">
        <is>
          <t>TBD</t>
        </is>
      </c>
      <c r="V86" s="213" t="n"/>
      <c r="W86" s="49" t="n"/>
    </row>
    <row r="87" ht="92" customHeight="1">
      <c r="A87" s="62" t="n">
        <v>82</v>
      </c>
      <c r="B87" s="62" t="inlineStr">
        <is>
          <t>RTM-118</t>
        </is>
      </c>
      <c r="C87" s="86" t="inlineStr">
        <is>
          <t>SYSTEM</t>
        </is>
      </c>
      <c r="D87" s="87" t="inlineStr">
        <is>
          <t>Control</t>
        </is>
      </c>
      <c r="E87" s="88" t="inlineStr">
        <is>
          <t>—</t>
        </is>
      </c>
      <c r="F87" s="62" t="inlineStr">
        <is>
          <t>Subsystems</t>
        </is>
      </c>
      <c r="G87" s="92" t="inlineStr">
        <is>
          <t>Inferred: C2 — Process Design (low conf.)</t>
        </is>
      </c>
      <c r="H87" s="62" t="inlineStr">
        <is>
          <t>T1 Primary</t>
        </is>
      </c>
      <c r="I87" s="62" t="n">
        <v>52.3333</v>
      </c>
      <c r="J87" s="62" t="n">
        <v>88.76560000000001</v>
      </c>
      <c r="K87" s="62" t="inlineStr">
        <is>
          <t>4.4.2.3</t>
        </is>
      </c>
      <c r="L87" s="62" t="inlineStr">
        <is>
          <t>Temperature sensors</t>
        </is>
      </c>
      <c r="M87" s="62" t="n">
        <v>46</v>
      </c>
      <c r="N87" s="62" t="inlineStr">
        <is>
          <t>Safety / Legal / Performance</t>
        </is>
      </c>
      <c r="O87" s="53" t="inlineStr">
        <is>
          <t>The cabling between each temperature sensing element and its associated signal conditioning device shall be designed and installed to ensure accurate, stable, and noise-immune signal transmission under all specified operating and environmental conditions.</t>
        </is>
      </c>
      <c r="P87" s="53" t="inlineStr">
        <is>
          <t>IEC 60751; IEC 60359; ISA RP12.6</t>
        </is>
      </c>
      <c r="Q87" s="53" t="inlineStr">
        <is>
          <t>No separate deliverable explicitly named</t>
        </is>
      </c>
      <c r="R87" s="53" t="inlineStr">
        <is>
          <t>Witnessed FAT/SAT/commissioning test against stated acceptance criteria; Calculation/model plus calibrated measurement or recorded trend</t>
        </is>
      </c>
      <c r="S87" s="53" t="inlineStr">
        <is>
          <t>L6 Site Acceptance Testing; L1 Conceptual Design; L2 Detailed Design</t>
        </is>
      </c>
      <c r="T87" s="53" t="inlineStr">
        <is>
          <t>Explicit/table-grounded standard; derived evidence route</t>
        </is>
      </c>
      <c r="U87" s="62" t="inlineStr">
        <is>
          <t>TBD</t>
        </is>
      </c>
      <c r="V87" s="213" t="n"/>
      <c r="W87" s="53" t="n"/>
    </row>
    <row r="88" ht="92" customHeight="1">
      <c r="A88" s="60" t="n">
        <v>83</v>
      </c>
      <c r="B88" s="60" t="inlineStr">
        <is>
          <t>RTM-573</t>
        </is>
      </c>
      <c r="C88" s="89" t="inlineStr">
        <is>
          <t>PROJECT</t>
        </is>
      </c>
      <c r="D88" s="90" t="inlineStr">
        <is>
          <t>Documentation &amp; Compliance</t>
        </is>
      </c>
      <c r="E88" s="91" t="inlineStr">
        <is>
          <t>—</t>
        </is>
      </c>
      <c r="F88" s="60" t="inlineStr">
        <is>
          <t>Technical Documentation</t>
        </is>
      </c>
      <c r="G88" s="60" t="inlineStr">
        <is>
          <t>Not linked to an OFFER item</t>
        </is>
      </c>
      <c r="H88" s="60" t="inlineStr">
        <is>
          <t>T1 Primary</t>
        </is>
      </c>
      <c r="I88" s="60" t="n">
        <v>52</v>
      </c>
      <c r="J88" s="60" t="n">
        <v>88.62690000000001</v>
      </c>
      <c r="K88" s="60" t="inlineStr">
        <is>
          <t>4.16.1</t>
        </is>
      </c>
      <c r="L88" s="60" t="inlineStr">
        <is>
          <t>Engineering File</t>
        </is>
      </c>
      <c r="M88" s="60" t="n">
        <v>111</v>
      </c>
      <c r="N88" s="60" t="inlineStr">
        <is>
          <t>Reliability</t>
        </is>
      </c>
      <c r="O88" s="49" t="inlineStr">
        <is>
          <t>The Engineering File shall cover, at least, the following aspects:</t>
        </is>
      </c>
      <c r="P88" s="49" t="inlineStr">
        <is>
          <t>None explicitly named in this RTM</t>
        </is>
      </c>
      <c r="Q88" s="49" t="inlineStr">
        <is>
          <t>Engineering File; Availability &amp; Reliability Assessment; Risk Assessment / HAZOP / FMECA; 3D / CAD Model</t>
        </is>
      </c>
      <c r="R88" s="49" t="inlineStr">
        <is>
          <t>Submit and review the named deliverable with RTM traceability and approval status; RAM/maintenance substantiation and recovery/failure-response evidence; Document review, inspection, certification, audit or traceable QC record</t>
        </is>
      </c>
      <c r="S88" s="49" t="inlineStr">
        <is>
          <t>L1 Conceptual Design; L2 Detailed Design</t>
        </is>
      </c>
      <c r="T88" s="49" t="inlineStr">
        <is>
          <t>Section/contract-derived reference; explicit deliverable/test wording</t>
        </is>
      </c>
      <c r="U88" s="60" t="inlineStr">
        <is>
          <t>TBD</t>
        </is>
      </c>
      <c r="V88" s="213" t="n"/>
      <c r="W88" s="49" t="n"/>
    </row>
    <row r="89" ht="106" customHeight="1">
      <c r="A89" s="62" t="n">
        <v>84</v>
      </c>
      <c r="B89" s="62" t="inlineStr">
        <is>
          <t>RTM-564</t>
        </is>
      </c>
      <c r="C89" s="86" t="inlineStr">
        <is>
          <t>PROJECT</t>
        </is>
      </c>
      <c r="D89" s="87" t="inlineStr">
        <is>
          <t>Governance &amp; Responsibility</t>
        </is>
      </c>
      <c r="E89" s="88" t="inlineStr">
        <is>
          <t>—</t>
        </is>
      </c>
      <c r="F89" s="62" t="inlineStr">
        <is>
          <t>After-Sales</t>
        </is>
      </c>
      <c r="G89" s="62" t="inlineStr">
        <is>
          <t>C8 (+) — Commercial &amp; Execution + others</t>
        </is>
      </c>
      <c r="H89" s="62" t="inlineStr">
        <is>
          <t>T1 Primary</t>
        </is>
      </c>
      <c r="I89" s="62" t="n">
        <v>51.6667</v>
      </c>
      <c r="J89" s="62" t="n">
        <v>88.48820000000001</v>
      </c>
      <c r="K89" s="62" t="inlineStr">
        <is>
          <t>4.15</t>
        </is>
      </c>
      <c r="L89" s="62" t="inlineStr">
        <is>
          <t>After-Sales Services</t>
        </is>
      </c>
      <c r="M89" s="62" t="n">
        <v>110</v>
      </c>
      <c r="N89" s="62" t="inlineStr">
        <is>
          <t>Reliability</t>
        </is>
      </c>
      <c r="O89" s="53" t="inlineStr">
        <is>
          <t>The technical support shall provide fault identification/analysis and troubleshooting, as well as universal support, for all and any aspects of the QPSs, including but not limited to maintenance, technical assistance during integrated user commissioning, software &amp; firmware, etc.</t>
        </is>
      </c>
      <c r="P89" s="53" t="inlineStr">
        <is>
          <t>None explicitly named in this RTM</t>
        </is>
      </c>
      <c r="Q89" s="53" t="inlineStr">
        <is>
          <t>No separate deliverable explicitly named</t>
        </is>
      </c>
      <c r="R89" s="53" t="inlineStr">
        <is>
          <t>Witnessed FAT/SAT/commissioning test against stated acceptance criteria; Functional design/configuration review and sequence/interface demonstration; RAM/maintenance substantiation and recovery/failure-response evidence</t>
        </is>
      </c>
      <c r="S89" s="53" t="inlineStr">
        <is>
          <t>L1 Conceptual Design; L2 Detailed Design</t>
        </is>
      </c>
      <c r="T89" s="53" t="inlineStr">
        <is>
          <t>Section/contract-derived reference; derived evidence route</t>
        </is>
      </c>
      <c r="U89" s="62" t="inlineStr">
        <is>
          <t>TBD</t>
        </is>
      </c>
      <c r="V89" s="213" t="n"/>
      <c r="W89" s="53" t="n"/>
    </row>
    <row r="90" ht="120" customHeight="1">
      <c r="A90" s="60" t="n">
        <v>85</v>
      </c>
      <c r="B90" s="60" t="inlineStr">
        <is>
          <t>RTM-273</t>
        </is>
      </c>
      <c r="C90" s="89" t="inlineStr">
        <is>
          <t>SYSTEM</t>
        </is>
      </c>
      <c r="D90" s="90" t="inlineStr">
        <is>
          <t>Control</t>
        </is>
      </c>
      <c r="E90" s="91" t="inlineStr">
        <is>
          <t>—</t>
        </is>
      </c>
      <c r="F90" s="60" t="inlineStr">
        <is>
          <t>Subsystems</t>
        </is>
      </c>
      <c r="G90" s="60" t="inlineStr">
        <is>
          <t>C2 — Process Design</t>
        </is>
      </c>
      <c r="H90" s="60" t="inlineStr">
        <is>
          <t>T1 Primary</t>
        </is>
      </c>
      <c r="I90" s="60" t="n">
        <v>51.3333</v>
      </c>
      <c r="J90" s="60" t="n">
        <v>88.07210000000001</v>
      </c>
      <c r="K90" s="60" t="inlineStr">
        <is>
          <t>4.4.8.2</t>
        </is>
      </c>
      <c r="L90" s="60" t="inlineStr">
        <is>
          <t>Warm GHe Recovery from WGR-MAC</t>
        </is>
      </c>
      <c r="M90" s="60" t="n">
        <v>65</v>
      </c>
      <c r="N90" s="60" t="inlineStr">
        <is>
          <t>Reliability</t>
        </is>
      </c>
      <c r="O90" s="49" t="inlineStr">
        <is>
          <t>The QPLANT shall autonomously determine the acceptance or rejection of the GHe returning via line QRB.G20. To this end, the QPLANT shall include all instrumentation, control functions, and interlocks necessary to monitor the interface conditions and to execute acceptance or rejection decisions, without any reliance on the external system.</t>
        </is>
      </c>
      <c r="P90" s="49" t="inlineStr">
        <is>
          <t>None explicitly named in this RTM</t>
        </is>
      </c>
      <c r="Q90" s="49" t="inlineStr">
        <is>
          <t>No separate deliverable explicitly named</t>
        </is>
      </c>
      <c r="R90" s="49" t="inlineStr">
        <is>
          <t>Functional design/configuration review and sequence/interface demonstration; RAM/maintenance substantiation and recovery/failure-response evidence</t>
        </is>
      </c>
      <c r="S90" s="49" t="inlineStr">
        <is>
          <t>L1 Conceptual Design; L2 Detailed Design</t>
        </is>
      </c>
      <c r="T90" s="49" t="inlineStr">
        <is>
          <t>Section/contract-derived reference; derived evidence route</t>
        </is>
      </c>
      <c r="U90" s="60" t="inlineStr">
        <is>
          <t>TBD</t>
        </is>
      </c>
      <c r="V90" s="213" t="n"/>
      <c r="W90" s="49" t="n"/>
    </row>
    <row r="91" ht="64" customHeight="1">
      <c r="A91" s="62" t="n">
        <v>86</v>
      </c>
      <c r="B91" s="62" t="inlineStr">
        <is>
          <t>RTM-402</t>
        </is>
      </c>
      <c r="C91" s="86" t="inlineStr">
        <is>
          <t>SYSTEM</t>
        </is>
      </c>
      <c r="D91" s="87" t="inlineStr">
        <is>
          <t>Performance</t>
        </is>
      </c>
      <c r="E91" s="88" t="inlineStr">
        <is>
          <t>—</t>
        </is>
      </c>
      <c r="F91" s="62" t="inlineStr">
        <is>
          <t>Buildings &amp; Utilities</t>
        </is>
      </c>
      <c r="G91" s="62" t="inlineStr">
        <is>
          <t>C5 — Infrastructure &amp; Integration</t>
        </is>
      </c>
      <c r="H91" s="62" t="inlineStr">
        <is>
          <t>T1 Primary</t>
        </is>
      </c>
      <c r="I91" s="62" t="n">
        <v>51.3333</v>
      </c>
      <c r="J91" s="62" t="n">
        <v>88.07210000000001</v>
      </c>
      <c r="K91" s="62" t="inlineStr">
        <is>
          <t>4.7.3.1</t>
        </is>
      </c>
      <c r="L91" s="62" t="inlineStr">
        <is>
          <t>LOOP event</t>
        </is>
      </c>
      <c r="M91" s="62" t="n">
        <v>83</v>
      </c>
      <c r="N91" s="62" t="inlineStr">
        <is>
          <t>Reliability</t>
        </is>
      </c>
      <c r="O91" s="53" t="inlineStr">
        <is>
          <t>The Contractor shall define the required UPS backup scope and loads (HMI, PLCs, network, digital I/O) to ensure that the QPS manages to handle the LOOP event.</t>
        </is>
      </c>
      <c r="P91" s="53" t="inlineStr">
        <is>
          <t>None explicitly named in this RTM</t>
        </is>
      </c>
      <c r="Q91" s="53" t="inlineStr">
        <is>
          <t>No separate deliverable explicitly named</t>
        </is>
      </c>
      <c r="R91" s="53" t="inlineStr">
        <is>
          <t>Calculation/model plus calibrated measurement or recorded trend; RAM/maintenance substantiation and recovery/failure-response evidence</t>
        </is>
      </c>
      <c r="S91" s="53" t="inlineStr">
        <is>
          <t>L1 Conceptual Design; L2 Detailed Design</t>
        </is>
      </c>
      <c r="T91" s="53" t="inlineStr">
        <is>
          <t>Section/contract-derived reference; derived evidence route</t>
        </is>
      </c>
      <c r="U91" s="62" t="inlineStr">
        <is>
          <t>TBD</t>
        </is>
      </c>
      <c r="V91" s="213" t="n"/>
      <c r="W91" s="53" t="n"/>
    </row>
    <row r="92" ht="92" customHeight="1">
      <c r="A92" s="60" t="n">
        <v>87</v>
      </c>
      <c r="B92" s="60" t="inlineStr">
        <is>
          <t>RTM-424</t>
        </is>
      </c>
      <c r="C92" s="89" t="inlineStr">
        <is>
          <t>SYSTEM</t>
        </is>
      </c>
      <c r="D92" s="90" t="inlineStr">
        <is>
          <t>Performance</t>
        </is>
      </c>
      <c r="E92" s="91" t="inlineStr">
        <is>
          <t>—</t>
        </is>
      </c>
      <c r="F92" s="60" t="inlineStr">
        <is>
          <t>Buildings &amp; Utilities</t>
        </is>
      </c>
      <c r="G92" s="85" t="inlineStr">
        <is>
          <t>Inferred: C5 — Infrastructure &amp; Integration (high conf.)</t>
        </is>
      </c>
      <c r="H92" s="60" t="inlineStr">
        <is>
          <t>T1 Primary</t>
        </is>
      </c>
      <c r="I92" s="60" t="n">
        <v>51.3333</v>
      </c>
      <c r="J92" s="60" t="n">
        <v>88.07210000000001</v>
      </c>
      <c r="K92" s="60" t="inlineStr">
        <is>
          <t>4.7.4.3.1</t>
        </is>
      </c>
      <c r="L92" s="60" t="inlineStr">
        <is>
          <t>Heat-Recovery Heat Exchanger</t>
        </is>
      </c>
      <c r="M92" s="60" t="n">
        <v>85</v>
      </c>
      <c r="N92" s="60" t="inlineStr">
        <is>
          <t>Reliability</t>
        </is>
      </c>
      <c r="O92" s="49" t="inlineStr">
        <is>
          <t>During commissioning or operational optimization phases, the supply water temperature may temporarily exceed the nominal operating range.</t>
        </is>
      </c>
      <c r="P92" s="49" t="inlineStr">
        <is>
          <t>None explicitly named in this RTM</t>
        </is>
      </c>
      <c r="Q92" s="49" t="inlineStr">
        <is>
          <t>No separate deliverable explicitly named</t>
        </is>
      </c>
      <c r="R92" s="49" t="inlineStr">
        <is>
          <t>Witnessed FAT/SAT/commissioning test against stated acceptance criteria; Calculation/model plus calibrated measurement or recorded trend; Functional design/configuration review and sequence/interface demonstration</t>
        </is>
      </c>
      <c r="S92" s="49" t="inlineStr">
        <is>
          <t>L1 Conceptual Design; L2 Detailed Design</t>
        </is>
      </c>
      <c r="T92" s="49" t="inlineStr">
        <is>
          <t>Section/contract-derived reference; derived evidence route</t>
        </is>
      </c>
      <c r="U92" s="60" t="inlineStr">
        <is>
          <t>TBD</t>
        </is>
      </c>
      <c r="V92" s="213" t="n"/>
      <c r="W92" s="49" t="n"/>
    </row>
    <row r="93" ht="92" customHeight="1">
      <c r="A93" s="62" t="n">
        <v>88</v>
      </c>
      <c r="B93" s="62" t="inlineStr">
        <is>
          <t>RTM-546</t>
        </is>
      </c>
      <c r="C93" s="86" t="inlineStr">
        <is>
          <t>PROJECT</t>
        </is>
      </c>
      <c r="D93" s="87" t="inlineStr">
        <is>
          <t>Governance &amp; Responsibility</t>
        </is>
      </c>
      <c r="E93" s="88" t="inlineStr">
        <is>
          <t>—</t>
        </is>
      </c>
      <c r="F93" s="62" t="inlineStr">
        <is>
          <t>Acceptance Testing</t>
        </is>
      </c>
      <c r="G93" s="62" t="inlineStr">
        <is>
          <t>C7 — Quality, Testing &amp; Risk</t>
        </is>
      </c>
      <c r="H93" s="62" t="inlineStr">
        <is>
          <t>T1 Primary</t>
        </is>
      </c>
      <c r="I93" s="62" t="n">
        <v>51.3333</v>
      </c>
      <c r="J93" s="62" t="n">
        <v>88.07210000000001</v>
      </c>
      <c r="K93" s="62" t="inlineStr">
        <is>
          <t>4.13.3.4</t>
        </is>
      </c>
      <c r="L93" s="62" t="inlineStr">
        <is>
          <t>Demonstration of operating procedures</t>
        </is>
      </c>
      <c r="M93" s="62" t="n">
        <v>107</v>
      </c>
      <c r="N93" s="62" t="inlineStr">
        <is>
          <t>Reliability</t>
        </is>
      </c>
      <c r="O93" s="53" t="inlineStr">
        <is>
          <t>The Contractor shall demonstrate the execution of the operational procedures required for normal operation of the QPS. This shall include, at minimum:</t>
        </is>
      </c>
      <c r="P93" s="53" t="inlineStr">
        <is>
          <t>None explicitly named in this RTM</t>
        </is>
      </c>
      <c r="Q93" s="53" t="inlineStr">
        <is>
          <t>Procedure / work instruction</t>
        </is>
      </c>
      <c r="R93" s="53" t="inlineStr">
        <is>
          <t>Submit and review the named deliverable with RTM traceability and approval status; Witnessed FAT/SAT/commissioning test against stated acceptance criteria; Functional design/configuration review and sequence/interface demonstration</t>
        </is>
      </c>
      <c r="S93" s="53" t="inlineStr">
        <is>
          <t>L1 Conceptual Design; L2 Detailed Design</t>
        </is>
      </c>
      <c r="T93" s="53" t="inlineStr">
        <is>
          <t>Section/contract-derived reference; explicit deliverable/test wording</t>
        </is>
      </c>
      <c r="U93" s="62" t="inlineStr">
        <is>
          <t>TBD</t>
        </is>
      </c>
      <c r="V93" s="213" t="n"/>
      <c r="W93" s="53" t="n"/>
    </row>
    <row r="94" ht="92" customHeight="1">
      <c r="A94" s="60" t="n">
        <v>89</v>
      </c>
      <c r="B94" s="60" t="inlineStr">
        <is>
          <t>RTM-547</t>
        </is>
      </c>
      <c r="C94" s="89" t="inlineStr">
        <is>
          <t>PROJECT</t>
        </is>
      </c>
      <c r="D94" s="90" t="inlineStr">
        <is>
          <t>Governance &amp; Responsibility</t>
        </is>
      </c>
      <c r="E94" s="91" t="inlineStr">
        <is>
          <t>—</t>
        </is>
      </c>
      <c r="F94" s="60" t="inlineStr">
        <is>
          <t>Acceptance Testing</t>
        </is>
      </c>
      <c r="G94" s="60" t="inlineStr">
        <is>
          <t>C7 — Quality, Testing &amp; Risk</t>
        </is>
      </c>
      <c r="H94" s="60" t="inlineStr">
        <is>
          <t>T1 Primary</t>
        </is>
      </c>
      <c r="I94" s="60" t="n">
        <v>51.3333</v>
      </c>
      <c r="J94" s="60" t="n">
        <v>88.07210000000001</v>
      </c>
      <c r="K94" s="60" t="inlineStr">
        <is>
          <t>4.13.3.4</t>
        </is>
      </c>
      <c r="L94" s="60" t="inlineStr">
        <is>
          <t>Demonstration of operating procedures</t>
        </is>
      </c>
      <c r="M94" s="60" t="n">
        <v>107</v>
      </c>
      <c r="N94" s="60" t="inlineStr">
        <is>
          <t>Reliability</t>
        </is>
      </c>
      <c r="O94" s="49" t="inlineStr">
        <is>
          <t>For the gas-treatment systems, the Contractor shall demonstrate the relevant switching, regeneration, and recovery procedures during the SAT. This shall include, where applicable, at minimum:</t>
        </is>
      </c>
      <c r="P94" s="49" t="inlineStr">
        <is>
          <t>None explicitly named in this RTM</t>
        </is>
      </c>
      <c r="Q94" s="49" t="inlineStr">
        <is>
          <t>Procedure / work instruction</t>
        </is>
      </c>
      <c r="R94" s="49" t="inlineStr">
        <is>
          <t>Submit and review the named deliverable with RTM traceability and approval status; Witnessed FAT/SAT/commissioning test against stated acceptance criteria; Functional design/configuration review and sequence/interface demonstration</t>
        </is>
      </c>
      <c r="S94" s="49" t="inlineStr">
        <is>
          <t>L6 Site Acceptance Testing; L1 Conceptual Design; L2 Detailed Design</t>
        </is>
      </c>
      <c r="T94" s="49" t="inlineStr">
        <is>
          <t>Section/contract-derived reference; explicit deliverable/test wording</t>
        </is>
      </c>
      <c r="U94" s="60" t="inlineStr">
        <is>
          <t>TBD</t>
        </is>
      </c>
      <c r="V94" s="213" t="n"/>
      <c r="W94" s="49" t="n"/>
    </row>
    <row r="95" ht="64" customHeight="1">
      <c r="A95" s="62" t="n">
        <v>90</v>
      </c>
      <c r="B95" s="62" t="inlineStr">
        <is>
          <t>RTM-107</t>
        </is>
      </c>
      <c r="C95" s="86" t="inlineStr">
        <is>
          <t>SYSTEM</t>
        </is>
      </c>
      <c r="D95" s="87" t="inlineStr">
        <is>
          <t>Performance</t>
        </is>
      </c>
      <c r="E95" s="88" t="inlineStr">
        <is>
          <t>—</t>
        </is>
      </c>
      <c r="F95" s="62" t="inlineStr">
        <is>
          <t>Subsystems</t>
        </is>
      </c>
      <c r="G95" s="92" t="inlineStr">
        <is>
          <t>Inferred: C2 — Process Design (low conf.)</t>
        </is>
      </c>
      <c r="H95" s="62" t="inlineStr">
        <is>
          <t>T1 Primary</t>
        </is>
      </c>
      <c r="I95" s="62" t="n">
        <v>50.6667</v>
      </c>
      <c r="J95" s="62" t="n">
        <v>87.65600000000001</v>
      </c>
      <c r="K95" s="62" t="inlineStr">
        <is>
          <t>4.4.2.2</t>
        </is>
      </c>
      <c r="L95" s="62" t="inlineStr">
        <is>
          <t>Electrical Heaters</t>
        </is>
      </c>
      <c r="M95" s="62" t="n">
        <v>45</v>
      </c>
      <c r="N95" s="62" t="inlineStr">
        <is>
          <t>Reliability</t>
        </is>
      </c>
      <c r="O95" s="53" t="inlineStr">
        <is>
          <t>Heating elements required for normal operation shall either be replaceable without breaking the insulation vacuum or be implemented redundantly.</t>
        </is>
      </c>
      <c r="P95" s="53" t="inlineStr">
        <is>
          <t>None explicitly named in this RTM</t>
        </is>
      </c>
      <c r="Q95" s="53" t="inlineStr">
        <is>
          <t>No separate deliverable explicitly named</t>
        </is>
      </c>
      <c r="R95" s="53" t="inlineStr">
        <is>
          <t>Calculation/model plus calibrated measurement or recorded trend; RAM/maintenance substantiation and recovery/failure-response evidence</t>
        </is>
      </c>
      <c r="S95" s="53" t="inlineStr">
        <is>
          <t>L1 Conceptual Design; L2 Detailed Design</t>
        </is>
      </c>
      <c r="T95" s="53" t="inlineStr">
        <is>
          <t>Section/contract-derived reference; derived evidence route</t>
        </is>
      </c>
      <c r="U95" s="62" t="inlineStr">
        <is>
          <t>TBD</t>
        </is>
      </c>
      <c r="V95" s="213" t="n"/>
      <c r="W95" s="53" t="n"/>
    </row>
    <row r="96" ht="64" customHeight="1">
      <c r="A96" s="60" t="n">
        <v>91</v>
      </c>
      <c r="B96" s="60" t="inlineStr">
        <is>
          <t>RTM-227</t>
        </is>
      </c>
      <c r="C96" s="89" t="inlineStr">
        <is>
          <t>SYSTEM</t>
        </is>
      </c>
      <c r="D96" s="90" t="inlineStr">
        <is>
          <t>Performance</t>
        </is>
      </c>
      <c r="E96" s="91" t="inlineStr">
        <is>
          <t>—</t>
        </is>
      </c>
      <c r="F96" s="60" t="inlineStr">
        <is>
          <t>Subsystems</t>
        </is>
      </c>
      <c r="G96" s="85" t="inlineStr">
        <is>
          <t>Inferred: C3 — Mechanical &amp; Equipment (medium conf.)</t>
        </is>
      </c>
      <c r="H96" s="60" t="inlineStr">
        <is>
          <t>T1 Primary</t>
        </is>
      </c>
      <c r="I96" s="60" t="n">
        <v>50</v>
      </c>
      <c r="J96" s="60" t="n">
        <v>87.10120000000001</v>
      </c>
      <c r="K96" s="60" t="inlineStr">
        <is>
          <t>4.4.4.2.6</t>
        </is>
      </c>
      <c r="L96" s="60" t="inlineStr">
        <is>
          <t>Adsorbers</t>
        </is>
      </c>
      <c r="M96" s="60" t="n">
        <v>58</v>
      </c>
      <c r="N96" s="60" t="inlineStr">
        <is>
          <t>Reliability</t>
        </is>
      </c>
      <c r="O96" s="49" t="inlineStr">
        <is>
          <t>The 80 K adsorber system shall remove air impurities, and shall comply with the following requirements:</t>
        </is>
      </c>
      <c r="P96" s="49" t="inlineStr">
        <is>
          <t>None explicitly named in this RTM</t>
        </is>
      </c>
      <c r="Q96" s="49" t="inlineStr">
        <is>
          <t>No separate deliverable explicitly named</t>
        </is>
      </c>
      <c r="R96" s="49" t="inlineStr">
        <is>
          <t>Calculation/model plus calibrated measurement or recorded trend; RAM/maintenance substantiation and recovery/failure-response evidence</t>
        </is>
      </c>
      <c r="S96" s="49" t="inlineStr">
        <is>
          <t>L1 Conceptual Design; L2 Detailed Design</t>
        </is>
      </c>
      <c r="T96" s="49" t="inlineStr">
        <is>
          <t>Section/contract-derived reference; derived evidence route</t>
        </is>
      </c>
      <c r="U96" s="60" t="inlineStr">
        <is>
          <t>TBD</t>
        </is>
      </c>
      <c r="V96" s="213" t="n"/>
      <c r="W96" s="49" t="n"/>
    </row>
    <row r="97" ht="92" customHeight="1">
      <c r="A97" s="62" t="n">
        <v>92</v>
      </c>
      <c r="B97" s="62" t="inlineStr">
        <is>
          <t>RTM-401</t>
        </is>
      </c>
      <c r="C97" s="86" t="inlineStr">
        <is>
          <t>SYSTEM</t>
        </is>
      </c>
      <c r="D97" s="87" t="inlineStr">
        <is>
          <t>Performance</t>
        </is>
      </c>
      <c r="E97" s="88" t="inlineStr">
        <is>
          <t>—</t>
        </is>
      </c>
      <c r="F97" s="62" t="inlineStr">
        <is>
          <t>Buildings &amp; Utilities</t>
        </is>
      </c>
      <c r="G97" s="62" t="inlineStr">
        <is>
          <t>C5 — Infrastructure &amp; Integration</t>
        </is>
      </c>
      <c r="H97" s="62" t="inlineStr">
        <is>
          <t>T1 Primary</t>
        </is>
      </c>
      <c r="I97" s="62" t="n">
        <v>50</v>
      </c>
      <c r="J97" s="62" t="n">
        <v>87.10120000000001</v>
      </c>
      <c r="K97" s="62" t="inlineStr">
        <is>
          <t>4.7.3.1</t>
        </is>
      </c>
      <c r="L97" s="62" t="inlineStr">
        <is>
          <t>LOOP event</t>
        </is>
      </c>
      <c r="M97" s="62" t="n">
        <v>83</v>
      </c>
      <c r="N97" s="62" t="inlineStr">
        <is>
          <t>Reliability</t>
        </is>
      </c>
      <c r="O97" s="53" t="inlineStr">
        <is>
          <t>In the event of a Loss of Offsite Power (LOOP) to the MINERVA facility, the Contractor shall assume that up to 350 kW of back-up power (supplied by a diesel generator) is available after a an interruption of a few minutes.</t>
        </is>
      </c>
      <c r="P97" s="53" t="inlineStr">
        <is>
          <t>None explicitly named in this RTM</t>
        </is>
      </c>
      <c r="Q97" s="53" t="inlineStr">
        <is>
          <t>No separate deliverable explicitly named</t>
        </is>
      </c>
      <c r="R97" s="53" t="inlineStr">
        <is>
          <t>Calculation/model plus calibrated measurement or recorded trend; RAM/maintenance substantiation and recovery/failure-response evidence</t>
        </is>
      </c>
      <c r="S97" s="53" t="inlineStr">
        <is>
          <t>L1 Conceptual Design; L2 Detailed Design</t>
        </is>
      </c>
      <c r="T97" s="53" t="inlineStr">
        <is>
          <t>Section/contract-derived reference; derived evidence route</t>
        </is>
      </c>
      <c r="U97" s="62" t="inlineStr">
        <is>
          <t>TBD</t>
        </is>
      </c>
      <c r="V97" s="213" t="n"/>
      <c r="W97" s="53" t="n"/>
    </row>
    <row r="98" ht="92" customHeight="1">
      <c r="A98" s="60" t="n">
        <v>93</v>
      </c>
      <c r="B98" s="60" t="inlineStr">
        <is>
          <t>RTM-417</t>
        </is>
      </c>
      <c r="C98" s="89" t="inlineStr">
        <is>
          <t>SYSTEM</t>
        </is>
      </c>
      <c r="D98" s="90" t="inlineStr">
        <is>
          <t>Performance</t>
        </is>
      </c>
      <c r="E98" s="91" t="inlineStr">
        <is>
          <t>—</t>
        </is>
      </c>
      <c r="F98" s="60" t="inlineStr">
        <is>
          <t>Buildings &amp; Utilities</t>
        </is>
      </c>
      <c r="G98" s="85" t="inlineStr">
        <is>
          <t>Inferred: C5 — Infrastructure &amp; Integration (high conf.)</t>
        </is>
      </c>
      <c r="H98" s="60" t="inlineStr">
        <is>
          <t>T1 Primary</t>
        </is>
      </c>
      <c r="I98" s="60" t="n">
        <v>50</v>
      </c>
      <c r="J98" s="60" t="n">
        <v>87.10120000000001</v>
      </c>
      <c r="K98" s="60" t="inlineStr">
        <is>
          <t>4.7.4.3</t>
        </is>
      </c>
      <c r="L98" s="60" t="inlineStr">
        <is>
          <t>Water Heat exchangers</t>
        </is>
      </c>
      <c r="M98" s="60" t="n">
        <v>85</v>
      </c>
      <c r="N98" s="60" t="inlineStr">
        <is>
          <t>Reliability</t>
        </is>
      </c>
      <c r="O98" s="49" t="inlineStr">
        <is>
          <t>The water heat exchangers shall comply with the following pressures on the water side:</t>
        </is>
      </c>
      <c r="P98" s="49" t="inlineStr">
        <is>
          <t>None explicitly named in this RTM</t>
        </is>
      </c>
      <c r="Q98" s="49" t="inlineStr">
        <is>
          <t>No separate deliverable explicitly named</t>
        </is>
      </c>
      <c r="R98" s="49" t="inlineStr">
        <is>
          <t>Witnessed FAT/SAT/commissioning test against stated acceptance criteria; Calculation/model plus calibrated measurement or recorded trend; RAM/maintenance substantiation and recovery/failure-response evidence</t>
        </is>
      </c>
      <c r="S98" s="49" t="inlineStr">
        <is>
          <t>L1 Conceptual Design; L2 Detailed Design</t>
        </is>
      </c>
      <c r="T98" s="49" t="inlineStr">
        <is>
          <t>Section/contract-derived reference; explicit deliverable/test wording</t>
        </is>
      </c>
      <c r="U98" s="60" t="inlineStr">
        <is>
          <t>TBD</t>
        </is>
      </c>
      <c r="V98" s="213" t="n"/>
      <c r="W98" s="49" t="n"/>
    </row>
    <row r="99" ht="64" customHeight="1">
      <c r="A99" s="62" t="n">
        <v>94</v>
      </c>
      <c r="B99" s="62" t="inlineStr">
        <is>
          <t>RTM-420</t>
        </is>
      </c>
      <c r="C99" s="86" t="inlineStr">
        <is>
          <t>SYSTEM</t>
        </is>
      </c>
      <c r="D99" s="87" t="inlineStr">
        <is>
          <t>Performance</t>
        </is>
      </c>
      <c r="E99" s="88" t="inlineStr">
        <is>
          <t>—</t>
        </is>
      </c>
      <c r="F99" s="62" t="inlineStr">
        <is>
          <t>Buildings &amp; Utilities</t>
        </is>
      </c>
      <c r="G99" s="92" t="inlineStr">
        <is>
          <t>Inferred: C5 — Infrastructure &amp; Integration (high conf.)</t>
        </is>
      </c>
      <c r="H99" s="62" t="inlineStr">
        <is>
          <t>T1 Primary</t>
        </is>
      </c>
      <c r="I99" s="62" t="n">
        <v>50</v>
      </c>
      <c r="J99" s="62" t="n">
        <v>87.10120000000001</v>
      </c>
      <c r="K99" s="62" t="inlineStr">
        <is>
          <t>4.7.4.3.1</t>
        </is>
      </c>
      <c r="L99" s="62" t="inlineStr">
        <is>
          <t>Heat-Recovery Heat Exchanger</t>
        </is>
      </c>
      <c r="M99" s="62" t="n">
        <v>85</v>
      </c>
      <c r="N99" s="62" t="inlineStr">
        <is>
          <t>Reliability</t>
        </is>
      </c>
      <c r="O99" s="53" t="inlineStr">
        <is>
          <t>The Heat-Recovery Heat Exchanger shall be sized to:</t>
        </is>
      </c>
      <c r="P99" s="53" t="inlineStr">
        <is>
          <t>None explicitly named in this RTM</t>
        </is>
      </c>
      <c r="Q99" s="53" t="inlineStr">
        <is>
          <t>No separate deliverable explicitly named</t>
        </is>
      </c>
      <c r="R99" s="53" t="inlineStr">
        <is>
          <t>Calculation/model plus calibrated measurement or recorded trend; RAM/maintenance substantiation and recovery/failure-response evidence</t>
        </is>
      </c>
      <c r="S99" s="53" t="inlineStr">
        <is>
          <t>L1 Conceptual Design; L2 Detailed Design</t>
        </is>
      </c>
      <c r="T99" s="53" t="inlineStr">
        <is>
          <t>Section/contract-derived reference; derived evidence route</t>
        </is>
      </c>
      <c r="U99" s="62" t="inlineStr">
        <is>
          <t>TBD</t>
        </is>
      </c>
      <c r="V99" s="213" t="n"/>
      <c r="W99" s="53" t="n"/>
    </row>
    <row r="100" ht="64" customHeight="1">
      <c r="A100" s="60" t="n">
        <v>95</v>
      </c>
      <c r="B100" s="60" t="inlineStr">
        <is>
          <t>RTM-428</t>
        </is>
      </c>
      <c r="C100" s="89" t="inlineStr">
        <is>
          <t>SYSTEM</t>
        </is>
      </c>
      <c r="D100" s="90" t="inlineStr">
        <is>
          <t>Performance</t>
        </is>
      </c>
      <c r="E100" s="91" t="inlineStr">
        <is>
          <t>—</t>
        </is>
      </c>
      <c r="F100" s="60" t="inlineStr">
        <is>
          <t>Buildings &amp; Utilities</t>
        </is>
      </c>
      <c r="G100" s="85" t="inlineStr">
        <is>
          <t>Inferred: C5 — Infrastructure &amp; Integration (high conf.)</t>
        </is>
      </c>
      <c r="H100" s="60" t="inlineStr">
        <is>
          <t>T1 Primary</t>
        </is>
      </c>
      <c r="I100" s="60" t="n">
        <v>50</v>
      </c>
      <c r="J100" s="60" t="n">
        <v>87.10120000000001</v>
      </c>
      <c r="K100" s="60" t="inlineStr">
        <is>
          <t>4.7.4.4</t>
        </is>
      </c>
      <c r="L100" s="60" t="inlineStr">
        <is>
          <t>LOOP event</t>
        </is>
      </c>
      <c r="M100" s="60" t="n">
        <v>86</v>
      </c>
      <c r="N100" s="60" t="inlineStr">
        <is>
          <t>Reliability</t>
        </is>
      </c>
      <c r="O100" s="49" t="inlineStr">
        <is>
          <t>In the event of a Loss of Offsite Power (LOOP) to the MINERVA facility, the Contractor shall assume that:</t>
        </is>
      </c>
      <c r="P100" s="49" t="inlineStr">
        <is>
          <t>None explicitly named in this RTM</t>
        </is>
      </c>
      <c r="Q100" s="49" t="inlineStr">
        <is>
          <t>No separate deliverable explicitly named</t>
        </is>
      </c>
      <c r="R100" s="49" t="inlineStr">
        <is>
          <t>Calculation/model plus calibrated measurement or recorded trend; RAM/maintenance substantiation and recovery/failure-response evidence</t>
        </is>
      </c>
      <c r="S100" s="49" t="inlineStr">
        <is>
          <t>L1 Conceptual Design; L2 Detailed Design</t>
        </is>
      </c>
      <c r="T100" s="49" t="inlineStr">
        <is>
          <t>Section/contract-derived reference; derived evidence route</t>
        </is>
      </c>
      <c r="U100" s="60" t="inlineStr">
        <is>
          <t>TBD</t>
        </is>
      </c>
      <c r="V100" s="213" t="n"/>
      <c r="W100" s="49" t="n"/>
    </row>
    <row r="101" ht="64" customHeight="1">
      <c r="A101" s="62" t="n">
        <v>96</v>
      </c>
      <c r="B101" s="62" t="inlineStr">
        <is>
          <t>RTM-436</t>
        </is>
      </c>
      <c r="C101" s="86" t="inlineStr">
        <is>
          <t>SYSTEM</t>
        </is>
      </c>
      <c r="D101" s="87" t="inlineStr">
        <is>
          <t>Performance</t>
        </is>
      </c>
      <c r="E101" s="88" t="inlineStr">
        <is>
          <t>—</t>
        </is>
      </c>
      <c r="F101" s="62" t="inlineStr">
        <is>
          <t>Buildings &amp; Utilities</t>
        </is>
      </c>
      <c r="G101" s="92" t="inlineStr">
        <is>
          <t>Inferred: C5 — Infrastructure &amp; Integration (high conf.)</t>
        </is>
      </c>
      <c r="H101" s="62" t="inlineStr">
        <is>
          <t>T1 Primary</t>
        </is>
      </c>
      <c r="I101" s="62" t="n">
        <v>50</v>
      </c>
      <c r="J101" s="62" t="n">
        <v>87.10120000000001</v>
      </c>
      <c r="K101" s="62" t="inlineStr">
        <is>
          <t>4.7.6.1</t>
        </is>
      </c>
      <c r="L101" s="62" t="inlineStr">
        <is>
          <t>LOOP event</t>
        </is>
      </c>
      <c r="M101" s="62" t="n">
        <v>87</v>
      </c>
      <c r="N101" s="62" t="inlineStr">
        <is>
          <t>Reliability</t>
        </is>
      </c>
      <c r="O101" s="53" t="inlineStr">
        <is>
          <t>In the event of a Loss of Offsite Power (LOOP) to the MINERVA facility, the Contractor shall assume that:</t>
        </is>
      </c>
      <c r="P101" s="53" t="inlineStr">
        <is>
          <t>None explicitly named in this RTM</t>
        </is>
      </c>
      <c r="Q101" s="53" t="inlineStr">
        <is>
          <t>No separate deliverable explicitly named</t>
        </is>
      </c>
      <c r="R101" s="53" t="inlineStr">
        <is>
          <t>Calculation/model plus calibrated measurement or recorded trend; RAM/maintenance substantiation and recovery/failure-response evidence</t>
        </is>
      </c>
      <c r="S101" s="53" t="inlineStr">
        <is>
          <t>L1 Conceptual Design; L2 Detailed Design</t>
        </is>
      </c>
      <c r="T101" s="53" t="inlineStr">
        <is>
          <t>Section/contract-derived reference; derived evidence route</t>
        </is>
      </c>
      <c r="U101" s="62" t="inlineStr">
        <is>
          <t>TBD</t>
        </is>
      </c>
      <c r="V101" s="213" t="n"/>
      <c r="W101" s="53" t="n"/>
    </row>
    <row r="102" ht="92" customHeight="1">
      <c r="A102" s="60" t="n">
        <v>97</v>
      </c>
      <c r="B102" s="60" t="inlineStr">
        <is>
          <t>RTM-590</t>
        </is>
      </c>
      <c r="C102" s="89" t="inlineStr">
        <is>
          <t>PROJECT</t>
        </is>
      </c>
      <c r="D102" s="90" t="inlineStr">
        <is>
          <t>Documentation &amp; Compliance</t>
        </is>
      </c>
      <c r="E102" s="91" t="inlineStr">
        <is>
          <t>—</t>
        </is>
      </c>
      <c r="F102" s="60" t="inlineStr">
        <is>
          <t>Technical Documentation</t>
        </is>
      </c>
      <c r="G102" s="60" t="inlineStr">
        <is>
          <t>Not linked to an OFFER item</t>
        </is>
      </c>
      <c r="H102" s="60" t="inlineStr">
        <is>
          <t>T1 Primary</t>
        </is>
      </c>
      <c r="I102" s="60" t="n">
        <v>50</v>
      </c>
      <c r="J102" s="60" t="n">
        <v>87.10120000000001</v>
      </c>
      <c r="K102" s="60" t="inlineStr">
        <is>
          <t>4.16.9</t>
        </is>
      </c>
      <c r="L102" s="60" t="inlineStr">
        <is>
          <t>As-built File</t>
        </is>
      </c>
      <c r="M102" s="60" t="n">
        <v>114</v>
      </c>
      <c r="N102" s="60" t="inlineStr">
        <is>
          <t>Functional</t>
        </is>
      </c>
      <c r="O102" s="49" t="inlineStr">
        <is>
          <t>The As-Built File shall contain all technical documentation reflecting the final installed configuration and shall include, at minimum:</t>
        </is>
      </c>
      <c r="P102" s="49" t="inlineStr">
        <is>
          <t>None explicitly named in this RTM</t>
        </is>
      </c>
      <c r="Q102" s="49" t="inlineStr">
        <is>
          <t>As-built File; 3D / CAD Model; Drawing / diagram; List / register / matrix</t>
        </is>
      </c>
      <c r="R102" s="49" t="inlineStr">
        <is>
          <t>Submit and review the named deliverable with RTM traceability and approval status; Witnessed FAT/SAT/commissioning test against stated acceptance criteria; RAM/maintenance substantiation and recovery/failure-response evidence</t>
        </is>
      </c>
      <c r="S102" s="49" t="inlineStr">
        <is>
          <t>L3 Procurement &amp; Manufacturing / FAT; L4 Installation; L1 Conceptual Design; L2 Detailed Design</t>
        </is>
      </c>
      <c r="T102" s="49" t="inlineStr">
        <is>
          <t>Section/contract-derived reference; explicit deliverable/test wording</t>
        </is>
      </c>
      <c r="U102" s="60" t="inlineStr">
        <is>
          <t>TBD</t>
        </is>
      </c>
      <c r="V102" s="213" t="n"/>
      <c r="W102" s="49" t="n"/>
    </row>
    <row r="103" ht="92" customHeight="1">
      <c r="A103" s="62" t="n">
        <v>98</v>
      </c>
      <c r="B103" s="62" t="inlineStr">
        <is>
          <t>RTM-112</t>
        </is>
      </c>
      <c r="C103" s="86" t="inlineStr">
        <is>
          <t>SYSTEM</t>
        </is>
      </c>
      <c r="D103" s="87" t="inlineStr">
        <is>
          <t>Control</t>
        </is>
      </c>
      <c r="E103" s="88" t="inlineStr">
        <is>
          <t>—</t>
        </is>
      </c>
      <c r="F103" s="62" t="inlineStr">
        <is>
          <t>Subsystems</t>
        </is>
      </c>
      <c r="G103" s="92" t="inlineStr">
        <is>
          <t>Inferred: C2 — Process Design (low conf.)</t>
        </is>
      </c>
      <c r="H103" s="62" t="inlineStr">
        <is>
          <t>T1 Primary</t>
        </is>
      </c>
      <c r="I103" s="62" t="n">
        <v>49.6667</v>
      </c>
      <c r="J103" s="62" t="n">
        <v>86.54649999999999</v>
      </c>
      <c r="K103" s="62" t="inlineStr">
        <is>
          <t>4.4.2.2</t>
        </is>
      </c>
      <c r="L103" s="62" t="inlineStr">
        <is>
          <t>Electrical Heaters</t>
        </is>
      </c>
      <c r="M103" s="62" t="n">
        <v>45</v>
      </c>
      <c r="N103" s="62" t="inlineStr">
        <is>
          <t>Reliability</t>
        </is>
      </c>
      <c r="O103" s="53" t="inlineStr">
        <is>
          <t>Heater power supplies shall be industrial COTS equipment and shall provide, at minimum:</t>
        </is>
      </c>
      <c r="P103" s="53" t="inlineStr">
        <is>
          <t>None explicitly named in this RTM</t>
        </is>
      </c>
      <c r="Q103" s="53" t="inlineStr">
        <is>
          <t>No separate deliverable explicitly named</t>
        </is>
      </c>
      <c r="R103" s="53" t="inlineStr">
        <is>
          <t>Calculation/model plus calibrated measurement or recorded trend; Functional design/configuration review and sequence/interface demonstration; RAM/maintenance substantiation and recovery/failure-response evidence</t>
        </is>
      </c>
      <c r="S103" s="53" t="inlineStr">
        <is>
          <t>L1 Conceptual Design; L2 Detailed Design</t>
        </is>
      </c>
      <c r="T103" s="53" t="inlineStr">
        <is>
          <t>Section/contract-derived reference; derived evidence route</t>
        </is>
      </c>
      <c r="U103" s="62" t="inlineStr">
        <is>
          <t>TBD</t>
        </is>
      </c>
      <c r="V103" s="213" t="n"/>
      <c r="W103" s="53" t="n"/>
    </row>
    <row r="104" ht="64" customHeight="1">
      <c r="A104" s="60" t="n">
        <v>99</v>
      </c>
      <c r="B104" s="60" t="inlineStr">
        <is>
          <t>RTM-039</t>
        </is>
      </c>
      <c r="C104" s="89" t="inlineStr">
        <is>
          <t>SYSTEM</t>
        </is>
      </c>
      <c r="D104" s="90" t="inlineStr">
        <is>
          <t>Performance</t>
        </is>
      </c>
      <c r="E104" s="91" t="inlineStr">
        <is>
          <t>—</t>
        </is>
      </c>
      <c r="F104" s="60" t="inlineStr">
        <is>
          <t>Process &amp; Functional</t>
        </is>
      </c>
      <c r="G104" s="85" t="inlineStr">
        <is>
          <t>Inferred: C2 — Process Design (low conf.)</t>
        </is>
      </c>
      <c r="H104" s="60" t="inlineStr">
        <is>
          <t>T1 Primary</t>
        </is>
      </c>
      <c r="I104" s="60" t="n">
        <v>49.3333</v>
      </c>
      <c r="J104" s="60" t="n">
        <v>86.13039999999999</v>
      </c>
      <c r="K104" s="60" t="inlineStr">
        <is>
          <t>4.2.3</t>
        </is>
      </c>
      <c r="L104" s="60" t="inlineStr">
        <is>
          <t>Operational Condition Ranges</t>
        </is>
      </c>
      <c r="M104" s="60" t="n">
        <v>32</v>
      </c>
      <c r="N104" s="60" t="inlineStr">
        <is>
          <t>Performance</t>
        </is>
      </c>
      <c r="O104" s="49" t="inlineStr">
        <is>
          <t>The QPS shall comply with the following requirements regarding the cooling demand from the Cryogenic Users:</t>
        </is>
      </c>
      <c r="P104" s="49" t="inlineStr">
        <is>
          <t>None explicitly named in this RTM</t>
        </is>
      </c>
      <c r="Q104" s="49" t="inlineStr">
        <is>
          <t>No separate deliverable explicitly named</t>
        </is>
      </c>
      <c r="R104" s="49" t="inlineStr">
        <is>
          <t>Calculation/model plus calibrated measurement or recorded trend; Functional design/configuration review and sequence/interface demonstration</t>
        </is>
      </c>
      <c r="S104" s="49" t="inlineStr">
        <is>
          <t>L1 Conceptual Design; L2 Detailed Design</t>
        </is>
      </c>
      <c r="T104" s="49" t="inlineStr">
        <is>
          <t>Section/contract-derived reference; derived evidence route</t>
        </is>
      </c>
      <c r="U104" s="60" t="inlineStr">
        <is>
          <t>TBD</t>
        </is>
      </c>
      <c r="V104" s="213" t="n"/>
      <c r="W104" s="49" t="n"/>
    </row>
    <row r="105" ht="92" customHeight="1">
      <c r="A105" s="62" t="n">
        <v>100</v>
      </c>
      <c r="B105" s="62" t="inlineStr">
        <is>
          <t>RTM-101</t>
        </is>
      </c>
      <c r="C105" s="86" t="inlineStr">
        <is>
          <t>SYSTEM</t>
        </is>
      </c>
      <c r="D105" s="87" t="inlineStr">
        <is>
          <t>Performance</t>
        </is>
      </c>
      <c r="E105" s="88" t="inlineStr">
        <is>
          <t>—</t>
        </is>
      </c>
      <c r="F105" s="62" t="inlineStr">
        <is>
          <t>Subsystems</t>
        </is>
      </c>
      <c r="G105" s="92" t="inlineStr">
        <is>
          <t>Inferred: C2 — Process Design (low conf.)</t>
        </is>
      </c>
      <c r="H105" s="62" t="inlineStr">
        <is>
          <t>T1 Primary</t>
        </is>
      </c>
      <c r="I105" s="62" t="n">
        <v>49.3333</v>
      </c>
      <c r="J105" s="62" t="n">
        <v>86.13039999999999</v>
      </c>
      <c r="K105" s="62" t="inlineStr">
        <is>
          <t>4.4.2.2</t>
        </is>
      </c>
      <c r="L105" s="62" t="inlineStr">
        <is>
          <t>Electrical Heaters</t>
        </is>
      </c>
      <c r="M105" s="62" t="n">
        <v>45</v>
      </c>
      <c r="N105" s="62" t="inlineStr">
        <is>
          <t>Performance</t>
        </is>
      </c>
      <c r="O105" s="53" t="inlineStr">
        <is>
          <t>The QRB shall include electrical heaters as required to:</t>
        </is>
      </c>
      <c r="P105" s="53" t="inlineStr">
        <is>
          <t>None explicitly named in this RTM</t>
        </is>
      </c>
      <c r="Q105" s="53" t="inlineStr">
        <is>
          <t>No separate deliverable explicitly named</t>
        </is>
      </c>
      <c r="R105" s="53" t="inlineStr">
        <is>
          <t>Witnessed FAT/SAT/commissioning test against stated acceptance criteria; Calculation/model plus calibrated measurement or recorded trend; Functional design/configuration review and sequence/interface demonstration</t>
        </is>
      </c>
      <c r="S105" s="53" t="inlineStr">
        <is>
          <t>L1 Conceptual Design; L2 Detailed Design</t>
        </is>
      </c>
      <c r="T105" s="53" t="inlineStr">
        <is>
          <t>Section/contract-derived reference; explicit deliverable/test wording</t>
        </is>
      </c>
      <c r="U105" s="62" t="inlineStr">
        <is>
          <t>TBD</t>
        </is>
      </c>
      <c r="V105" s="213" t="n"/>
      <c r="W105" s="53" t="n"/>
    </row>
    <row r="106" ht="64" customHeight="1">
      <c r="A106" s="60" t="n">
        <v>101</v>
      </c>
      <c r="B106" s="60" t="inlineStr">
        <is>
          <t>RTM-111</t>
        </is>
      </c>
      <c r="C106" s="89" t="inlineStr">
        <is>
          <t>SYSTEM</t>
        </is>
      </c>
      <c r="D106" s="90" t="inlineStr">
        <is>
          <t>Performance</t>
        </is>
      </c>
      <c r="E106" s="91" t="inlineStr">
        <is>
          <t>—</t>
        </is>
      </c>
      <c r="F106" s="60" t="inlineStr">
        <is>
          <t>Subsystems</t>
        </is>
      </c>
      <c r="G106" s="85" t="inlineStr">
        <is>
          <t>Inferred: C7 — Quality, Testing &amp; Risk (medium conf.)</t>
        </is>
      </c>
      <c r="H106" s="60" t="inlineStr">
        <is>
          <t>T1 Primary</t>
        </is>
      </c>
      <c r="I106" s="60" t="n">
        <v>49.3333</v>
      </c>
      <c r="J106" s="60" t="n">
        <v>86.13039999999999</v>
      </c>
      <c r="K106" s="60" t="inlineStr">
        <is>
          <t>4.4.2.2</t>
        </is>
      </c>
      <c r="L106" s="60" t="inlineStr">
        <is>
          <t>Electrical Heaters</t>
        </is>
      </c>
      <c r="M106" s="60" t="n">
        <v>45</v>
      </c>
      <c r="N106" s="60" t="inlineStr">
        <is>
          <t>Safety / Legal / Performance</t>
        </is>
      </c>
      <c r="O106" s="49" t="inlineStr">
        <is>
          <t>All heater circuits shall successfully pass a dielectric test in accordance with applicable IEC/EN standards at least directly after installation and during the SAT.</t>
        </is>
      </c>
      <c r="P106" s="49" t="inlineStr">
        <is>
          <t>None explicitly named in this RTM</t>
        </is>
      </c>
      <c r="Q106" s="49" t="inlineStr">
        <is>
          <t>No separate deliverable explicitly named</t>
        </is>
      </c>
      <c r="R106" s="49" t="inlineStr">
        <is>
          <t>Witnessed FAT/SAT/commissioning test against stated acceptance criteria; Calculation/model plus calibrated measurement or recorded trend</t>
        </is>
      </c>
      <c r="S106" s="49" t="inlineStr">
        <is>
          <t>L4 Installation; L6 Site Acceptance Testing; L1 Conceptual Design; L2 Detailed Design</t>
        </is>
      </c>
      <c r="T106" s="49" t="inlineStr">
        <is>
          <t>Section/contract-derived reference; explicit deliverable/test wording</t>
        </is>
      </c>
      <c r="U106" s="60" t="inlineStr">
        <is>
          <t>TBD</t>
        </is>
      </c>
      <c r="V106" s="213" t="n"/>
      <c r="W106" s="49" t="n"/>
    </row>
    <row r="107" ht="92" customHeight="1">
      <c r="A107" s="62" t="n">
        <v>102</v>
      </c>
      <c r="B107" s="62" t="inlineStr">
        <is>
          <t>RTM-224</t>
        </is>
      </c>
      <c r="C107" s="86" t="inlineStr">
        <is>
          <t>SYSTEM</t>
        </is>
      </c>
      <c r="D107" s="87" t="inlineStr">
        <is>
          <t>Control</t>
        </is>
      </c>
      <c r="E107" s="88" t="inlineStr">
        <is>
          <t>—</t>
        </is>
      </c>
      <c r="F107" s="62" t="inlineStr">
        <is>
          <t>Subsystems</t>
        </is>
      </c>
      <c r="G107" s="92" t="inlineStr">
        <is>
          <t>Inferred: C2 — Process Design (low conf.)</t>
        </is>
      </c>
      <c r="H107" s="62" t="inlineStr">
        <is>
          <t>T1 Primary</t>
        </is>
      </c>
      <c r="I107" s="62" t="n">
        <v>49.3333</v>
      </c>
      <c r="J107" s="62" t="n">
        <v>86.13039999999999</v>
      </c>
      <c r="K107" s="62" t="inlineStr">
        <is>
          <t>4.4.4.2.5</t>
        </is>
      </c>
      <c r="L107" s="62" t="inlineStr">
        <is>
          <t>Helium phase separators</t>
        </is>
      </c>
      <c r="M107" s="62" t="n">
        <v>58</v>
      </c>
      <c r="N107" s="62" t="inlineStr">
        <is>
          <t>Performance</t>
        </is>
      </c>
      <c r="O107" s="53" t="inlineStr">
        <is>
          <t>Each helium phase separator shall be equipped with electrical heaters to:</t>
        </is>
      </c>
      <c r="P107" s="53" t="inlineStr">
        <is>
          <t>None explicitly named in this RTM</t>
        </is>
      </c>
      <c r="Q107" s="53" t="inlineStr">
        <is>
          <t>No separate deliverable explicitly named</t>
        </is>
      </c>
      <c r="R107" s="53" t="inlineStr">
        <is>
          <t>Witnessed FAT/SAT/commissioning test against stated acceptance criteria; Calculation/model plus calibrated measurement or recorded trend; Functional design/configuration review and sequence/interface demonstration</t>
        </is>
      </c>
      <c r="S107" s="53" t="inlineStr">
        <is>
          <t>L1 Conceptual Design; L2 Detailed Design</t>
        </is>
      </c>
      <c r="T107" s="53" t="inlineStr">
        <is>
          <t>Section/contract-derived reference; explicit deliverable/test wording</t>
        </is>
      </c>
      <c r="U107" s="62" t="inlineStr">
        <is>
          <t>TBD</t>
        </is>
      </c>
      <c r="V107" s="213" t="n"/>
      <c r="W107" s="53" t="n"/>
    </row>
    <row r="108" ht="50" customHeight="1">
      <c r="A108" s="60" t="n">
        <v>103</v>
      </c>
      <c r="B108" s="60" t="inlineStr">
        <is>
          <t>RTM-487</t>
        </is>
      </c>
      <c r="C108" s="89" t="inlineStr">
        <is>
          <t>PROJECT</t>
        </is>
      </c>
      <c r="D108" s="90" t="inlineStr">
        <is>
          <t>Governance &amp; Responsibility</t>
        </is>
      </c>
      <c r="E108" s="91" t="inlineStr">
        <is>
          <t>—</t>
        </is>
      </c>
      <c r="F108" s="60" t="inlineStr">
        <is>
          <t>Training</t>
        </is>
      </c>
      <c r="G108" s="60" t="inlineStr">
        <is>
          <t>C6 — Reliability &amp; Maintenance</t>
        </is>
      </c>
      <c r="H108" s="60" t="inlineStr">
        <is>
          <t>T1 Primary</t>
        </is>
      </c>
      <c r="I108" s="60" t="n">
        <v>49.3333</v>
      </c>
      <c r="J108" s="60" t="n">
        <v>86.13039999999999</v>
      </c>
      <c r="K108" s="60" t="inlineStr">
        <is>
          <t>4.12.1</t>
        </is>
      </c>
      <c r="L108" s="60" t="inlineStr">
        <is>
          <t>Training and Competence Transfer</t>
        </is>
      </c>
      <c r="M108" s="60" t="n">
        <v>95</v>
      </c>
      <c r="N108" s="60" t="inlineStr">
        <is>
          <t>Reliability</t>
        </is>
      </c>
      <c r="O108" s="49" t="inlineStr">
        <is>
          <t>The operation and abnormal-event response training shall include, at minimum:</t>
        </is>
      </c>
      <c r="P108" s="49" t="inlineStr">
        <is>
          <t>None explicitly named in this RTM</t>
        </is>
      </c>
      <c r="Q108" s="49" t="inlineStr">
        <is>
          <t>No separate deliverable explicitly named</t>
        </is>
      </c>
      <c r="R108" s="49" t="inlineStr">
        <is>
          <t>RAM/maintenance substantiation and recovery/failure-response evidence</t>
        </is>
      </c>
      <c r="S108" s="49" t="inlineStr">
        <is>
          <t>L1 Conceptual Design; L2 Detailed Design</t>
        </is>
      </c>
      <c r="T108" s="49" t="inlineStr">
        <is>
          <t>Section/contract-derived reference; derived evidence route</t>
        </is>
      </c>
      <c r="U108" s="60" t="inlineStr">
        <is>
          <t>TBD</t>
        </is>
      </c>
      <c r="V108" s="213" t="n"/>
      <c r="W108" s="49" t="n"/>
    </row>
    <row r="109" ht="92" customHeight="1">
      <c r="A109" s="62" t="n">
        <v>104</v>
      </c>
      <c r="B109" s="62" t="inlineStr">
        <is>
          <t>RTM-488</t>
        </is>
      </c>
      <c r="C109" s="86" t="inlineStr">
        <is>
          <t>PROJECT</t>
        </is>
      </c>
      <c r="D109" s="87" t="inlineStr">
        <is>
          <t>Governance &amp; Responsibility</t>
        </is>
      </c>
      <c r="E109" s="88" t="inlineStr">
        <is>
          <t>—</t>
        </is>
      </c>
      <c r="F109" s="62" t="inlineStr">
        <is>
          <t>Training</t>
        </is>
      </c>
      <c r="G109" s="62" t="inlineStr">
        <is>
          <t>C6 — Reliability &amp; Maintenance</t>
        </is>
      </c>
      <c r="H109" s="62" t="inlineStr">
        <is>
          <t>T1 Primary</t>
        </is>
      </c>
      <c r="I109" s="62" t="n">
        <v>48.6667</v>
      </c>
      <c r="J109" s="62" t="n">
        <v>85.64490000000001</v>
      </c>
      <c r="K109" s="62" t="inlineStr">
        <is>
          <t>4.12.1</t>
        </is>
      </c>
      <c r="L109" s="62" t="inlineStr">
        <is>
          <t>Training and Competence Transfer</t>
        </is>
      </c>
      <c r="M109" s="62" t="n">
        <v>95</v>
      </c>
      <c r="N109" s="62" t="inlineStr">
        <is>
          <t>Reliability</t>
        </is>
      </c>
      <c r="O109" s="53" t="inlineStr">
        <is>
          <t>The maintenance and troubleshooting training shall include, at minimum:</t>
        </is>
      </c>
      <c r="P109" s="53" t="inlineStr">
        <is>
          <t>None explicitly named in this RTM</t>
        </is>
      </c>
      <c r="Q109" s="53" t="inlineStr">
        <is>
          <t>Procedure / work instruction</t>
        </is>
      </c>
      <c r="R109" s="53" t="inlineStr">
        <is>
          <t>Submit and review the named deliverable with RTM traceability and approval status; Witnessed FAT/SAT/commissioning test against stated acceptance criteria; Functional design/configuration review and sequence/interface demonstration</t>
        </is>
      </c>
      <c r="S109" s="53" t="inlineStr">
        <is>
          <t>L1 Conceptual Design; L2 Detailed Design</t>
        </is>
      </c>
      <c r="T109" s="53" t="inlineStr">
        <is>
          <t>Section/contract-derived reference; explicit deliverable/test wording</t>
        </is>
      </c>
      <c r="U109" s="62" t="inlineStr">
        <is>
          <t>TBD</t>
        </is>
      </c>
      <c r="V109" s="213" t="n"/>
      <c r="W109" s="53" t="n"/>
    </row>
    <row r="110" ht="92" customHeight="1">
      <c r="A110" s="60" t="n">
        <v>105</v>
      </c>
      <c r="B110" s="60" t="inlineStr">
        <is>
          <t>RTM-576</t>
        </is>
      </c>
      <c r="C110" s="89" t="inlineStr">
        <is>
          <t>PROJECT</t>
        </is>
      </c>
      <c r="D110" s="90" t="inlineStr">
        <is>
          <t>Documentation &amp; Compliance</t>
        </is>
      </c>
      <c r="E110" s="91" t="inlineStr">
        <is>
          <t>—</t>
        </is>
      </c>
      <c r="F110" s="60" t="inlineStr">
        <is>
          <t>Technical Documentation</t>
        </is>
      </c>
      <c r="G110" s="60" t="inlineStr">
        <is>
          <t>Not linked to an OFFER item</t>
        </is>
      </c>
      <c r="H110" s="60" t="inlineStr">
        <is>
          <t>T1 Primary</t>
        </is>
      </c>
      <c r="I110" s="60" t="n">
        <v>48.6667</v>
      </c>
      <c r="J110" s="60" t="n">
        <v>85.64490000000001</v>
      </c>
      <c r="K110" s="60" t="inlineStr">
        <is>
          <t>4.16.2</t>
        </is>
      </c>
      <c r="L110" s="60" t="inlineStr">
        <is>
          <t>Manufacturing File</t>
        </is>
      </c>
      <c r="M110" s="60" t="n">
        <v>112</v>
      </c>
      <c r="N110" s="60" t="inlineStr">
        <is>
          <t>Reliability</t>
        </is>
      </c>
      <c r="O110" s="49" t="inlineStr">
        <is>
          <t>The Manufacturing File shall cover, at least, the following aspects:</t>
        </is>
      </c>
      <c r="P110" s="49" t="inlineStr">
        <is>
          <t>IEC 60812:2018</t>
        </is>
      </c>
      <c r="Q110" s="49" t="inlineStr">
        <is>
          <t>Manufacturing File; Risk Assessment / HAZOP / FMECA; 3D / CAD Model; Certificate / calibration evidence; Procedure / work instruction; Drawing / diagram</t>
        </is>
      </c>
      <c r="R110" s="49" t="inlineStr">
        <is>
          <t>Submit and review the named deliverable with RTM traceability and approval status; Witnessed FAT/SAT/commissioning test against stated acceptance criteria; Functional design/configuration review and sequence/interface demonstration</t>
        </is>
      </c>
      <c r="S110" s="49" t="inlineStr">
        <is>
          <t>L3 Procurement &amp; Manufacturing / FAT; L4 Installation; L1 Conceptual Design; L2 Detailed Design</t>
        </is>
      </c>
      <c r="T110" s="49" t="inlineStr">
        <is>
          <t>Explicit/table-grounded standard; explicit deliverable/test wording</t>
        </is>
      </c>
      <c r="U110" s="60" t="inlineStr">
        <is>
          <t>TBD</t>
        </is>
      </c>
      <c r="V110" s="213" t="n"/>
      <c r="W110" s="49" t="n"/>
    </row>
    <row r="111" ht="78" customHeight="1">
      <c r="A111" s="62" t="n">
        <v>106</v>
      </c>
      <c r="B111" s="62" t="inlineStr">
        <is>
          <t>RTM-370</t>
        </is>
      </c>
      <c r="C111" s="86" t="inlineStr">
        <is>
          <t>SYSTEM</t>
        </is>
      </c>
      <c r="D111" s="87" t="inlineStr">
        <is>
          <t>Performance</t>
        </is>
      </c>
      <c r="E111" s="88" t="inlineStr">
        <is>
          <t>—</t>
        </is>
      </c>
      <c r="F111" s="62" t="inlineStr">
        <is>
          <t>Control &amp; Interlock</t>
        </is>
      </c>
      <c r="G111" s="62" t="inlineStr">
        <is>
          <t>C4 — Software &amp; Control</t>
        </is>
      </c>
      <c r="H111" s="62" t="inlineStr">
        <is>
          <t>T1 Primary</t>
        </is>
      </c>
      <c r="I111" s="62" t="n">
        <v>48.3333</v>
      </c>
      <c r="J111" s="62" t="n">
        <v>85.43689999999999</v>
      </c>
      <c r="K111" s="62" t="inlineStr">
        <is>
          <t>4.6.9</t>
        </is>
      </c>
      <c r="L111" s="62" t="inlineStr">
        <is>
          <t>Software Change Management</t>
        </is>
      </c>
      <c r="M111" s="62" t="n">
        <v>79</v>
      </c>
      <c r="N111" s="62" t="inlineStr">
        <is>
          <t>Functional</t>
        </is>
      </c>
      <c r="O111" s="53" t="inlineStr">
        <is>
          <t>Minor modifications performed by or on behalf of SCK CEN shall not void the warranty unless the Contractor demonstrates a causal relationship between the modification and the claimed defect.</t>
        </is>
      </c>
      <c r="P111" s="53" t="inlineStr">
        <is>
          <t>None explicitly named in this RTM</t>
        </is>
      </c>
      <c r="Q111" s="53" t="inlineStr">
        <is>
          <t>No separate deliverable explicitly named</t>
        </is>
      </c>
      <c r="R111" s="53" t="inlineStr">
        <is>
          <t>Witnessed FAT/SAT/commissioning test against stated acceptance criteria; Document review, inspection, certification, audit or traceable QC record</t>
        </is>
      </c>
      <c r="S111" s="53" t="inlineStr">
        <is>
          <t>Warranty; L1 Conceptual Design; L2 Detailed Design</t>
        </is>
      </c>
      <c r="T111" s="53" t="inlineStr">
        <is>
          <t>Section/contract-derived reference; explicit deliverable/test wording</t>
        </is>
      </c>
      <c r="U111" s="62" t="inlineStr">
        <is>
          <t>TBD</t>
        </is>
      </c>
      <c r="V111" s="213" t="n"/>
      <c r="W111" s="53" t="n"/>
    </row>
    <row r="112" ht="92" customHeight="1">
      <c r="A112" s="60" t="n">
        <v>107</v>
      </c>
      <c r="B112" s="60" t="inlineStr">
        <is>
          <t>RTM-017</t>
        </is>
      </c>
      <c r="C112" s="89" t="inlineStr">
        <is>
          <t>SYSTEM</t>
        </is>
      </c>
      <c r="D112" s="90" t="inlineStr">
        <is>
          <t>Performance</t>
        </is>
      </c>
      <c r="E112" s="91" t="inlineStr">
        <is>
          <t>—</t>
        </is>
      </c>
      <c r="F112" s="60" t="inlineStr">
        <is>
          <t>Process &amp; Functional</t>
        </is>
      </c>
      <c r="G112" s="85" t="inlineStr">
        <is>
          <t>Inferred: C2 — Process Design (low conf.)</t>
        </is>
      </c>
      <c r="H112" s="60" t="inlineStr">
        <is>
          <t>T1 Primary</t>
        </is>
      </c>
      <c r="I112" s="60" t="n">
        <v>48</v>
      </c>
      <c r="J112" s="60" t="n">
        <v>85.29819999999999</v>
      </c>
      <c r="K112" s="60" t="inlineStr">
        <is>
          <t>4.2.2.1</t>
        </is>
      </c>
      <c r="L112" s="60" t="inlineStr">
        <is>
          <t>Steady-State Operational Scenarios</t>
        </is>
      </c>
      <c r="M112" s="60" t="n">
        <v>28</v>
      </c>
      <c r="N112" s="60" t="inlineStr">
        <is>
          <t>Performance</t>
        </is>
      </c>
      <c r="O112" s="49" t="inlineStr">
        <is>
          <t>For each Steady State Operational Scenario, the Contractor shall define the objective criteria for declaring the scenario as achieved and stable. At minimum, this shall include:</t>
        </is>
      </c>
      <c r="P112" s="49" t="inlineStr">
        <is>
          <t>None explicitly named in this RTM</t>
        </is>
      </c>
      <c r="Q112" s="49" t="inlineStr">
        <is>
          <t>No separate deliverable explicitly named</t>
        </is>
      </c>
      <c r="R112" s="49" t="inlineStr">
        <is>
          <t>Witnessed FAT/SAT/commissioning test against stated acceptance criteria; Calculation/model plus calibrated measurement or recorded trend; Functional design/configuration review and sequence/interface demonstration</t>
        </is>
      </c>
      <c r="S112" s="49" t="inlineStr">
        <is>
          <t>L6 Site Acceptance Testing; L1 Conceptual Design; L2 Detailed Design</t>
        </is>
      </c>
      <c r="T112" s="49" t="inlineStr">
        <is>
          <t>Section/contract-derived reference; derived evidence route</t>
        </is>
      </c>
      <c r="U112" s="60" t="inlineStr">
        <is>
          <t>TBD</t>
        </is>
      </c>
      <c r="V112" s="213" t="n"/>
      <c r="W112" s="49" t="n"/>
    </row>
    <row r="113" ht="92" customHeight="1">
      <c r="A113" s="62" t="n">
        <v>108</v>
      </c>
      <c r="B113" s="62" t="inlineStr">
        <is>
          <t>RTM-070</t>
        </is>
      </c>
      <c r="C113" s="86" t="inlineStr">
        <is>
          <t>SYSTEM</t>
        </is>
      </c>
      <c r="D113" s="87" t="inlineStr">
        <is>
          <t>Performance</t>
        </is>
      </c>
      <c r="E113" s="88" t="inlineStr">
        <is>
          <t>—</t>
        </is>
      </c>
      <c r="F113" s="62" t="inlineStr">
        <is>
          <t>Global Design Criteria</t>
        </is>
      </c>
      <c r="G113" s="62" t="inlineStr">
        <is>
          <t>C1 — Performance</t>
        </is>
      </c>
      <c r="H113" s="62" t="inlineStr">
        <is>
          <t>T1 Primary</t>
        </is>
      </c>
      <c r="I113" s="62" t="n">
        <v>47.6667</v>
      </c>
      <c r="J113" s="62" t="n">
        <v>85.0902</v>
      </c>
      <c r="K113" s="62" t="inlineStr">
        <is>
          <t>4.3.4</t>
        </is>
      </c>
      <c r="L113" s="62" t="inlineStr">
        <is>
          <t>Energy-efficiency</t>
        </is>
      </c>
      <c r="M113" s="62" t="n">
        <v>40</v>
      </c>
      <c r="N113" s="62" t="inlineStr">
        <is>
          <t>Performance</t>
        </is>
      </c>
      <c r="O113" s="53" t="inlineStr">
        <is>
          <t>The Contractor shall guarantee and demonstrate compliance of the Contractual invCOP (invCOP_contract) in accordance with RTM-071.</t>
        </is>
      </c>
      <c r="P113" s="53" t="inlineStr">
        <is>
          <t>None explicitly named in this RTM</t>
        </is>
      </c>
      <c r="Q113" s="53" t="inlineStr">
        <is>
          <t>No separate deliverable explicitly named</t>
        </is>
      </c>
      <c r="R113" s="53" t="inlineStr">
        <is>
          <t>Witnessed FAT/SAT/commissioning test against stated acceptance criteria; Calculation/model plus calibrated measurement or recorded trend; Document review, inspection, certification, audit or traceable QC record</t>
        </is>
      </c>
      <c r="S113" s="53" t="inlineStr">
        <is>
          <t>L1 Conceptual Design; L2 Detailed Design</t>
        </is>
      </c>
      <c r="T113" s="53" t="inlineStr">
        <is>
          <t>Section/contract-derived reference; explicit deliverable/test wording</t>
        </is>
      </c>
      <c r="U113" s="62" t="inlineStr">
        <is>
          <t>TBD</t>
        </is>
      </c>
      <c r="V113" s="213" t="n"/>
      <c r="W113" s="53" t="n"/>
    </row>
    <row r="114" ht="92" customHeight="1">
      <c r="A114" s="60" t="n">
        <v>109</v>
      </c>
      <c r="B114" s="60" t="inlineStr">
        <is>
          <t>RTM-079</t>
        </is>
      </c>
      <c r="C114" s="89" t="inlineStr">
        <is>
          <t>PROJECT</t>
        </is>
      </c>
      <c r="D114" s="90" t="inlineStr">
        <is>
          <t>Documentation &amp; Compliance</t>
        </is>
      </c>
      <c r="E114" s="91" t="inlineStr">
        <is>
          <t>—</t>
        </is>
      </c>
      <c r="F114" s="60" t="inlineStr">
        <is>
          <t>Subsystems</t>
        </is>
      </c>
      <c r="G114" s="60" t="inlineStr">
        <is>
          <t>C3 — Mechanical &amp; Equipment</t>
        </is>
      </c>
      <c r="H114" s="60" t="inlineStr">
        <is>
          <t>T1 Primary</t>
        </is>
      </c>
      <c r="I114" s="60" t="n">
        <v>47.6667</v>
      </c>
      <c r="J114" s="60" t="n">
        <v>85.0902</v>
      </c>
      <c r="K114" s="60" t="inlineStr">
        <is>
          <t>4.4.1.1</t>
        </is>
      </c>
      <c r="L114" s="60" t="inlineStr">
        <is>
          <t>Bellows, joints, and seals</t>
        </is>
      </c>
      <c r="M114" s="60" t="n">
        <v>42</v>
      </c>
      <c r="N114" s="60" t="inlineStr">
        <is>
          <t>Reliability</t>
        </is>
      </c>
      <c r="O114" s="49" t="inlineStr">
        <is>
          <t>The Contractor shall request approval from SCK CEN for the use of any mechanical Part, intended for thermal compensation at cryogenic temperatures, that forms part of the cryogenic process piping.</t>
        </is>
      </c>
      <c r="P114" s="49" t="inlineStr">
        <is>
          <t>None explicitly named in this RTM</t>
        </is>
      </c>
      <c r="Q114" s="49" t="inlineStr">
        <is>
          <t>Quality Assurance Plan (QAP); Risk Assessment / HAZOP / FMECA</t>
        </is>
      </c>
      <c r="R114" s="49" t="inlineStr">
        <is>
          <t>Submit and review the named deliverable with RTM traceability and approval status; Witnessed FAT/SAT/commissioning test against stated acceptance criteria; RAM/maintenance substantiation and recovery/failure-response evidence</t>
        </is>
      </c>
      <c r="S114" s="49" t="inlineStr">
        <is>
          <t>L6 Site Acceptance Testing; L1 Conceptual Design; L2 Detailed Design</t>
        </is>
      </c>
      <c r="T114" s="49" t="inlineStr">
        <is>
          <t>Section/contract-derived reference; explicit deliverable/test wording</t>
        </is>
      </c>
      <c r="U114" s="60" t="inlineStr">
        <is>
          <t>TBD</t>
        </is>
      </c>
      <c r="V114" s="213" t="n"/>
      <c r="W114" s="49" t="n"/>
    </row>
    <row r="115" ht="92" customHeight="1">
      <c r="A115" s="62" t="n">
        <v>110</v>
      </c>
      <c r="B115" s="62" t="inlineStr">
        <is>
          <t>RTM-714</t>
        </is>
      </c>
      <c r="C115" s="86" t="inlineStr">
        <is>
          <t>PROJECT</t>
        </is>
      </c>
      <c r="D115" s="87" t="inlineStr">
        <is>
          <t>Governance &amp; Responsibility</t>
        </is>
      </c>
      <c r="E115" s="88" t="inlineStr">
        <is>
          <t>—</t>
        </is>
      </c>
      <c r="F115" s="62" t="inlineStr">
        <is>
          <t>Acceptance &amp; Warranty</t>
        </is>
      </c>
      <c r="G115" s="92" t="inlineStr">
        <is>
          <t>Inferred: C6 — Reliability &amp; Maintenance (high conf.)</t>
        </is>
      </c>
      <c r="H115" s="62" t="inlineStr">
        <is>
          <t>T1 Primary</t>
        </is>
      </c>
      <c r="I115" s="62" t="n">
        <v>47</v>
      </c>
      <c r="J115" s="62" t="n">
        <v>84.88209999999999</v>
      </c>
      <c r="K115" s="62" t="inlineStr">
        <is>
          <t>10.3</t>
        </is>
      </c>
      <c r="L115" s="62" t="inlineStr">
        <is>
          <t>Warranty Conditions</t>
        </is>
      </c>
      <c r="M115" s="62" t="n">
        <v>132</v>
      </c>
      <c r="N115" s="62" t="inlineStr">
        <is>
          <t>Reliability</t>
        </is>
      </c>
      <c r="O115" s="53" t="inlineStr">
        <is>
          <t>The Contractor’s warranty obligation shall not apply:</t>
        </is>
      </c>
      <c r="P115" s="53" t="inlineStr">
        <is>
          <t>None explicitly named in this RTM</t>
        </is>
      </c>
      <c r="Q115" s="53" t="inlineStr">
        <is>
          <t>No separate deliverable explicitly named</t>
        </is>
      </c>
      <c r="R115" s="53" t="inlineStr">
        <is>
          <t>Witnessed FAT/SAT/commissioning test against stated acceptance criteria; RAM/maintenance substantiation and recovery/failure-response evidence; Document review, inspection, certification, audit or traceable QC record</t>
        </is>
      </c>
      <c r="S115" s="53" t="inlineStr">
        <is>
          <t>Warranty; PAC / Handover; FAC</t>
        </is>
      </c>
      <c r="T115" s="53" t="inlineStr">
        <is>
          <t>Section/contract-derived reference; explicit deliverable/test wording</t>
        </is>
      </c>
      <c r="U115" s="62" t="inlineStr">
        <is>
          <t>TBD</t>
        </is>
      </c>
      <c r="V115" s="213" t="n"/>
      <c r="W115" s="53" t="n"/>
    </row>
    <row r="116" ht="92" customHeight="1">
      <c r="A116" s="60" t="n">
        <v>111</v>
      </c>
      <c r="B116" s="60" t="inlineStr">
        <is>
          <t>RTM-169</t>
        </is>
      </c>
      <c r="C116" s="89" t="inlineStr">
        <is>
          <t>SYSTEM</t>
        </is>
      </c>
      <c r="D116" s="90" t="inlineStr">
        <is>
          <t>Performance</t>
        </is>
      </c>
      <c r="E116" s="91" t="inlineStr">
        <is>
          <t>—</t>
        </is>
      </c>
      <c r="F116" s="60" t="inlineStr">
        <is>
          <t>Subsystems</t>
        </is>
      </c>
      <c r="G116" s="85" t="inlineStr">
        <is>
          <t>Inferred: C6 — Reliability &amp; Maintenance (medium conf.)</t>
        </is>
      </c>
      <c r="H116" s="60" t="inlineStr">
        <is>
          <t>T1 Primary</t>
        </is>
      </c>
      <c r="I116" s="60" t="n">
        <v>46.6667</v>
      </c>
      <c r="J116" s="60" t="n">
        <v>84.60469999999999</v>
      </c>
      <c r="K116" s="60" t="inlineStr">
        <is>
          <t>4.4.3.5.3</t>
        </is>
      </c>
      <c r="L116" s="60" t="inlineStr">
        <is>
          <t>Oil filters</t>
        </is>
      </c>
      <c r="M116" s="60" t="n">
        <v>51</v>
      </c>
      <c r="N116" s="60" t="inlineStr">
        <is>
          <t>Reliability</t>
        </is>
      </c>
      <c r="O116" s="49" t="inlineStr">
        <is>
          <t>Each oil filter shall be equipped with:</t>
        </is>
      </c>
      <c r="P116" s="49" t="inlineStr">
        <is>
          <t>None explicitly named in this RTM</t>
        </is>
      </c>
      <c r="Q116" s="49" t="inlineStr">
        <is>
          <t>No separate deliverable explicitly named</t>
        </is>
      </c>
      <c r="R116" s="49" t="inlineStr">
        <is>
          <t>Calculation/model plus calibrated measurement or recorded trend; RAM/maintenance substantiation and recovery/failure-response evidence; Document review, inspection, certification, audit or traceable QC record</t>
        </is>
      </c>
      <c r="S116" s="49" t="inlineStr">
        <is>
          <t>L1 Conceptual Design; L2 Detailed Design</t>
        </is>
      </c>
      <c r="T116" s="49" t="inlineStr">
        <is>
          <t>Section/contract-derived reference; derived evidence route</t>
        </is>
      </c>
      <c r="U116" s="60" t="inlineStr">
        <is>
          <t>TBD</t>
        </is>
      </c>
      <c r="V116" s="213" t="n"/>
      <c r="W116" s="49" t="n"/>
    </row>
    <row r="117" ht="92" customHeight="1">
      <c r="A117" s="62" t="n">
        <v>112</v>
      </c>
      <c r="B117" s="62" t="inlineStr">
        <is>
          <t>RTM-170</t>
        </is>
      </c>
      <c r="C117" s="86" t="inlineStr">
        <is>
          <t>SYSTEM</t>
        </is>
      </c>
      <c r="D117" s="87" t="inlineStr">
        <is>
          <t>Performance</t>
        </is>
      </c>
      <c r="E117" s="88" t="inlineStr">
        <is>
          <t>—</t>
        </is>
      </c>
      <c r="F117" s="62" t="inlineStr">
        <is>
          <t>Subsystems</t>
        </is>
      </c>
      <c r="G117" s="92" t="inlineStr">
        <is>
          <t>Inferred: C3 — Mechanical &amp; Equipment (medium conf.)</t>
        </is>
      </c>
      <c r="H117" s="62" t="inlineStr">
        <is>
          <t>T1 Primary</t>
        </is>
      </c>
      <c r="I117" s="62" t="n">
        <v>46.6667</v>
      </c>
      <c r="J117" s="62" t="n">
        <v>84.60469999999999</v>
      </c>
      <c r="K117" s="62" t="inlineStr">
        <is>
          <t>4.4.3.5.4</t>
        </is>
      </c>
      <c r="L117" s="62" t="inlineStr">
        <is>
          <t>Oil Purge and fill-up</t>
        </is>
      </c>
      <c r="M117" s="62" t="n">
        <v>51</v>
      </c>
      <c r="N117" s="62" t="inlineStr">
        <is>
          <t>Reliability</t>
        </is>
      </c>
      <c r="O117" s="53" t="inlineStr">
        <is>
          <t>Each compressor shall be equipped with manual isolation valves in all relevant connecting piping to permit full circuit isolation for maintenance.</t>
        </is>
      </c>
      <c r="P117" s="53" t="inlineStr">
        <is>
          <t>None explicitly named in this RTM</t>
        </is>
      </c>
      <c r="Q117" s="53" t="inlineStr">
        <is>
          <t>No separate deliverable explicitly named</t>
        </is>
      </c>
      <c r="R117" s="53" t="inlineStr">
        <is>
          <t>Calculation/model plus calibrated measurement or recorded trend; RAM/maintenance substantiation and recovery/failure-response evidence; Document review, inspection, certification, audit or traceable QC record</t>
        </is>
      </c>
      <c r="S117" s="53" t="inlineStr">
        <is>
          <t>L1 Conceptual Design; L2 Detailed Design</t>
        </is>
      </c>
      <c r="T117" s="53" t="inlineStr">
        <is>
          <t>Section/contract-derived reference; derived evidence route</t>
        </is>
      </c>
      <c r="U117" s="62" t="inlineStr">
        <is>
          <t>TBD</t>
        </is>
      </c>
      <c r="V117" s="213" t="n"/>
      <c r="W117" s="53" t="n"/>
    </row>
    <row r="118" ht="92" customHeight="1">
      <c r="A118" s="60" t="n">
        <v>113</v>
      </c>
      <c r="B118" s="60" t="inlineStr">
        <is>
          <t>RTM-191</t>
        </is>
      </c>
      <c r="C118" s="89" t="inlineStr">
        <is>
          <t>SYSTEM</t>
        </is>
      </c>
      <c r="D118" s="90" t="inlineStr">
        <is>
          <t>Performance</t>
        </is>
      </c>
      <c r="E118" s="91" t="inlineStr">
        <is>
          <t>—</t>
        </is>
      </c>
      <c r="F118" s="60" t="inlineStr">
        <is>
          <t>Subsystems</t>
        </is>
      </c>
      <c r="G118" s="85" t="inlineStr">
        <is>
          <t>Inferred: C6 — Reliability &amp; Maintenance (medium conf.)</t>
        </is>
      </c>
      <c r="H118" s="60" t="inlineStr">
        <is>
          <t>T1 Primary</t>
        </is>
      </c>
      <c r="I118" s="60" t="n">
        <v>46.6667</v>
      </c>
      <c r="J118" s="60" t="n">
        <v>84.60469999999999</v>
      </c>
      <c r="K118" s="60" t="inlineStr">
        <is>
          <t>4.4.3.8</t>
        </is>
      </c>
      <c r="L118" s="60" t="inlineStr">
        <is>
          <t>Filters</t>
        </is>
      </c>
      <c r="M118" s="60" t="n">
        <v>54</v>
      </c>
      <c r="N118" s="60" t="inlineStr">
        <is>
          <t>Reliability</t>
        </is>
      </c>
      <c r="O118" s="49" t="inlineStr">
        <is>
          <t>Each filter shall include manual isolation valves on both sides to minimize contact with air during maintenance or filter replacement.</t>
        </is>
      </c>
      <c r="P118" s="49" t="inlineStr">
        <is>
          <t>None explicitly named in this RTM</t>
        </is>
      </c>
      <c r="Q118" s="49" t="inlineStr">
        <is>
          <t>No separate deliverable explicitly named</t>
        </is>
      </c>
      <c r="R118" s="49" t="inlineStr">
        <is>
          <t>Calculation/model plus calibrated measurement or recorded trend; RAM/maintenance substantiation and recovery/failure-response evidence; Document review, inspection, certification, audit or traceable QC record</t>
        </is>
      </c>
      <c r="S118" s="49" t="inlineStr">
        <is>
          <t>L1 Conceptual Design; L2 Detailed Design</t>
        </is>
      </c>
      <c r="T118" s="49" t="inlineStr">
        <is>
          <t>Section/contract-derived reference; derived evidence route</t>
        </is>
      </c>
      <c r="U118" s="60" t="inlineStr">
        <is>
          <t>TBD</t>
        </is>
      </c>
      <c r="V118" s="213" t="n"/>
      <c r="W118" s="49" t="n"/>
    </row>
    <row r="119" ht="92" customHeight="1">
      <c r="A119" s="62" t="n">
        <v>114</v>
      </c>
      <c r="B119" s="62" t="inlineStr">
        <is>
          <t>RTM-172</t>
        </is>
      </c>
      <c r="C119" s="86" t="inlineStr">
        <is>
          <t>SYSTEM</t>
        </is>
      </c>
      <c r="D119" s="87" t="inlineStr">
        <is>
          <t>Constraint</t>
        </is>
      </c>
      <c r="E119" s="88" t="inlineStr">
        <is>
          <t>—</t>
        </is>
      </c>
      <c r="F119" s="62" t="inlineStr">
        <is>
          <t>Subsystems</t>
        </is>
      </c>
      <c r="G119" s="92" t="inlineStr">
        <is>
          <t>Inferred: C3 — Mechanical &amp; Equipment (medium conf.)</t>
        </is>
      </c>
      <c r="H119" s="62" t="inlineStr">
        <is>
          <t>T1 Primary</t>
        </is>
      </c>
      <c r="I119" s="62" t="n">
        <v>46</v>
      </c>
      <c r="J119" s="62" t="n">
        <v>83.4258</v>
      </c>
      <c r="K119" s="62" t="inlineStr">
        <is>
          <t>4.4.3.6</t>
        </is>
      </c>
      <c r="L119" s="62" t="inlineStr">
        <is>
          <t>Oil Removal and Helium Purification System (ORS/GMP)</t>
        </is>
      </c>
      <c r="M119" s="62" t="n">
        <v>52</v>
      </c>
      <c r="N119" s="62" t="inlineStr">
        <is>
          <t>Reliability</t>
        </is>
      </c>
      <c r="O119" s="53" t="inlineStr">
        <is>
          <t>The Warm Compressor Station shall include an Oil Removal and Helium Purification System (ORS/GMP) to remove compressor oil from the helium stream.</t>
        </is>
      </c>
      <c r="P119" s="53" t="inlineStr">
        <is>
          <t>None explicitly named in this RTM</t>
        </is>
      </c>
      <c r="Q119" s="53" t="inlineStr">
        <is>
          <t>No separate deliverable explicitly named</t>
        </is>
      </c>
      <c r="R119" s="53" t="inlineStr">
        <is>
          <t>Calculation/model plus calibrated measurement or recorded trend; Functional design/configuration review and sequence/interface demonstration; RAM/maintenance substantiation and recovery/failure-response evidence</t>
        </is>
      </c>
      <c r="S119" s="53" t="inlineStr">
        <is>
          <t>L1 Conceptual Design; L2 Detailed Design</t>
        </is>
      </c>
      <c r="T119" s="53" t="inlineStr">
        <is>
          <t>Section/contract-derived reference; derived evidence route</t>
        </is>
      </c>
      <c r="U119" s="62" t="inlineStr">
        <is>
          <t>TBD</t>
        </is>
      </c>
      <c r="V119" s="213" t="n"/>
      <c r="W119" s="53" t="n"/>
    </row>
    <row r="120" ht="92" customHeight="1">
      <c r="A120" s="60" t="n">
        <v>115</v>
      </c>
      <c r="B120" s="60" t="inlineStr">
        <is>
          <t>RTM-194</t>
        </is>
      </c>
      <c r="C120" s="89" t="inlineStr">
        <is>
          <t>SYSTEM</t>
        </is>
      </c>
      <c r="D120" s="90" t="inlineStr">
        <is>
          <t>Control</t>
        </is>
      </c>
      <c r="E120" s="91" t="inlineStr">
        <is>
          <t>—</t>
        </is>
      </c>
      <c r="F120" s="60" t="inlineStr">
        <is>
          <t>Subsystems</t>
        </is>
      </c>
      <c r="G120" s="60" t="inlineStr">
        <is>
          <t>C5 (+) — Infrastructure &amp; Integration + others</t>
        </is>
      </c>
      <c r="H120" s="60" t="inlineStr">
        <is>
          <t>T1 Primary</t>
        </is>
      </c>
      <c r="I120" s="60" t="n">
        <v>46</v>
      </c>
      <c r="J120" s="60" t="n">
        <v>83.4258</v>
      </c>
      <c r="K120" s="60" t="inlineStr">
        <is>
          <t>4.4.4.1</t>
        </is>
      </c>
      <c r="L120" s="60" t="inlineStr">
        <is>
          <t>General Requirements</t>
        </is>
      </c>
      <c r="M120" s="60" t="n">
        <v>55</v>
      </c>
      <c r="N120" s="60" t="inlineStr">
        <is>
          <t>Reliability</t>
        </is>
      </c>
      <c r="O120" s="49" t="inlineStr">
        <is>
          <t>The QRB shall comprise, at minimum, the following subsystems:</t>
        </is>
      </c>
      <c r="P120" s="49" t="inlineStr">
        <is>
          <t>None explicitly named in this RTM</t>
        </is>
      </c>
      <c r="Q120" s="49" t="inlineStr">
        <is>
          <t>No separate deliverable explicitly named</t>
        </is>
      </c>
      <c r="R120" s="49" t="inlineStr">
        <is>
          <t>Calculation/model plus calibrated measurement or recorded trend; Functional design/configuration review and sequence/interface demonstration; RAM/maintenance substantiation and recovery/failure-response evidence</t>
        </is>
      </c>
      <c r="S120" s="49" t="inlineStr">
        <is>
          <t>L1 Conceptual Design; L2 Detailed Design</t>
        </is>
      </c>
      <c r="T120" s="49" t="inlineStr">
        <is>
          <t>Section/contract-derived reference; derived evidence route</t>
        </is>
      </c>
      <c r="U120" s="60" t="inlineStr">
        <is>
          <t>TBD</t>
        </is>
      </c>
      <c r="V120" s="213" t="n"/>
      <c r="W120" s="49" t="n"/>
    </row>
    <row r="121" ht="92" customHeight="1">
      <c r="A121" s="62" t="n">
        <v>116</v>
      </c>
      <c r="B121" s="62" t="inlineStr">
        <is>
          <t>RTM-242</t>
        </is>
      </c>
      <c r="C121" s="86" t="inlineStr">
        <is>
          <t>SYSTEM</t>
        </is>
      </c>
      <c r="D121" s="87" t="inlineStr">
        <is>
          <t>Performance</t>
        </is>
      </c>
      <c r="E121" s="88" t="inlineStr">
        <is>
          <t>—</t>
        </is>
      </c>
      <c r="F121" s="62" t="inlineStr">
        <is>
          <t>Subsystems</t>
        </is>
      </c>
      <c r="G121" s="62" t="inlineStr">
        <is>
          <t>C2 (+) — Process Design + others</t>
        </is>
      </c>
      <c r="H121" s="62" t="inlineStr">
        <is>
          <t>T1 Primary</t>
        </is>
      </c>
      <c r="I121" s="62" t="n">
        <v>46</v>
      </c>
      <c r="J121" s="62" t="n">
        <v>83.4258</v>
      </c>
      <c r="K121" s="62" t="inlineStr">
        <is>
          <t>4.4.5.2</t>
        </is>
      </c>
      <c r="L121" s="62" t="inlineStr">
        <is>
          <t>WSH Requirements</t>
        </is>
      </c>
      <c r="M121" s="62" t="n">
        <v>61</v>
      </c>
      <c r="N121" s="62" t="inlineStr">
        <is>
          <t>Reliability</t>
        </is>
      </c>
      <c r="O121" s="53" t="inlineStr">
        <is>
          <t>The WSH shall consist of at least three (3) helium storage vessels.</t>
        </is>
      </c>
      <c r="P121" s="53" t="inlineStr">
        <is>
          <t>None explicitly named in this RTM</t>
        </is>
      </c>
      <c r="Q121" s="53" t="inlineStr">
        <is>
          <t>No separate deliverable explicitly named</t>
        </is>
      </c>
      <c r="R121" s="53" t="inlineStr">
        <is>
          <t>Calculation/model plus calibrated measurement or recorded trend; Functional design/configuration review and sequence/interface demonstration; RAM/maintenance substantiation and recovery/failure-response evidence</t>
        </is>
      </c>
      <c r="S121" s="53" t="inlineStr">
        <is>
          <t>L1 Conceptual Design; L2 Detailed Design</t>
        </is>
      </c>
      <c r="T121" s="53" t="inlineStr">
        <is>
          <t>Section/contract-derived reference; derived evidence route</t>
        </is>
      </c>
      <c r="U121" s="62" t="inlineStr">
        <is>
          <t>TBD</t>
        </is>
      </c>
      <c r="V121" s="213" t="n"/>
      <c r="W121" s="53" t="n"/>
    </row>
    <row r="122" ht="106" customHeight="1">
      <c r="A122" s="60" t="n">
        <v>117</v>
      </c>
      <c r="B122" s="60" t="inlineStr">
        <is>
          <t>RTM-275</t>
        </is>
      </c>
      <c r="C122" s="89" t="inlineStr">
        <is>
          <t>SYSTEM</t>
        </is>
      </c>
      <c r="D122" s="90" t="inlineStr">
        <is>
          <t>Performance</t>
        </is>
      </c>
      <c r="E122" s="91" t="inlineStr">
        <is>
          <t>—</t>
        </is>
      </c>
      <c r="F122" s="60" t="inlineStr">
        <is>
          <t>Subsystems</t>
        </is>
      </c>
      <c r="G122" s="60" t="inlineStr">
        <is>
          <t>C2 — Process Design</t>
        </is>
      </c>
      <c r="H122" s="60" t="inlineStr">
        <is>
          <t>T1 Primary</t>
        </is>
      </c>
      <c r="I122" s="60" t="n">
        <v>46</v>
      </c>
      <c r="J122" s="60" t="n">
        <v>83.4258</v>
      </c>
      <c r="K122" s="60" t="inlineStr">
        <is>
          <t>4.4.8.2</t>
        </is>
      </c>
      <c r="L122" s="60" t="inlineStr">
        <is>
          <t>Warm GHe Recovery from WGR-MAC</t>
        </is>
      </c>
      <c r="M122" s="60" t="n">
        <v>66</v>
      </c>
      <c r="N122" s="60" t="inlineStr">
        <is>
          <t>Reliability</t>
        </is>
      </c>
      <c r="O122" s="49" t="inlineStr">
        <is>
          <t>The Contractor shall specify the helium purity acceptance criteria for the GHe returning via line QRB.G20, such that acceptance of the returned helium does not require any additional purification or gas clean-up by the QPLANT. At minimum, the acceptance criteria shall specify:</t>
        </is>
      </c>
      <c r="P122" s="49" t="inlineStr">
        <is>
          <t>None explicitly named in this RTM</t>
        </is>
      </c>
      <c r="Q122" s="49" t="inlineStr">
        <is>
          <t>No separate deliverable explicitly named</t>
        </is>
      </c>
      <c r="R122" s="49" t="inlineStr">
        <is>
          <t>RAM/maintenance substantiation and recovery/failure-response evidence</t>
        </is>
      </c>
      <c r="S122" s="49" t="inlineStr">
        <is>
          <t>L1 Conceptual Design; L2 Detailed Design</t>
        </is>
      </c>
      <c r="T122" s="49" t="inlineStr">
        <is>
          <t>Section/contract-derived reference; derived evidence route</t>
        </is>
      </c>
      <c r="U122" s="60" t="inlineStr">
        <is>
          <t>TBD</t>
        </is>
      </c>
      <c r="V122" s="213" t="n"/>
      <c r="W122" s="49" t="n"/>
    </row>
    <row r="123" ht="64" customHeight="1">
      <c r="A123" s="62" t="n">
        <v>118</v>
      </c>
      <c r="B123" s="62" t="inlineStr">
        <is>
          <t>RTM-278</t>
        </is>
      </c>
      <c r="C123" s="86" t="inlineStr">
        <is>
          <t>SYSTEM</t>
        </is>
      </c>
      <c r="D123" s="87" t="inlineStr">
        <is>
          <t>Control</t>
        </is>
      </c>
      <c r="E123" s="88" t="inlineStr">
        <is>
          <t>—</t>
        </is>
      </c>
      <c r="F123" s="62" t="inlineStr">
        <is>
          <t>Subsystems</t>
        </is>
      </c>
      <c r="G123" s="62" t="inlineStr">
        <is>
          <t>C2 — Process Design</t>
        </is>
      </c>
      <c r="H123" s="62" t="inlineStr">
        <is>
          <t>T1 Primary</t>
        </is>
      </c>
      <c r="I123" s="62" t="n">
        <v>46</v>
      </c>
      <c r="J123" s="62" t="n">
        <v>83.4258</v>
      </c>
      <c r="K123" s="62" t="inlineStr">
        <is>
          <t>4.4.8.2</t>
        </is>
      </c>
      <c r="L123" s="62" t="inlineStr">
        <is>
          <t>Warm GHe Recovery from WGR-MAC</t>
        </is>
      </c>
      <c r="M123" s="62" t="n">
        <v>66</v>
      </c>
      <c r="N123" s="62" t="inlineStr">
        <is>
          <t>Reliability</t>
        </is>
      </c>
      <c r="O123" s="53" t="inlineStr">
        <is>
          <t>Upon acceptance, the QPLANT shall continuously monitor the acceptance criteria and shall immediately reject the returning helium if the acceptance criteria are no longer met.</t>
        </is>
      </c>
      <c r="P123" s="53" t="inlineStr">
        <is>
          <t>None explicitly named in this RTM</t>
        </is>
      </c>
      <c r="Q123" s="53" t="inlineStr">
        <is>
          <t>No separate deliverable explicitly named</t>
        </is>
      </c>
      <c r="R123" s="53" t="inlineStr">
        <is>
          <t>RAM/maintenance substantiation and recovery/failure-response evidence</t>
        </is>
      </c>
      <c r="S123" s="53" t="inlineStr">
        <is>
          <t>L1 Conceptual Design; L2 Detailed Design</t>
        </is>
      </c>
      <c r="T123" s="53" t="inlineStr">
        <is>
          <t>Section/contract-derived reference; derived evidence route</t>
        </is>
      </c>
      <c r="U123" s="62" t="inlineStr">
        <is>
          <t>TBD</t>
        </is>
      </c>
      <c r="V123" s="213" t="n"/>
      <c r="W123" s="53" t="n"/>
    </row>
    <row r="124" ht="64" customHeight="1">
      <c r="A124" s="60" t="n">
        <v>119</v>
      </c>
      <c r="B124" s="60" t="inlineStr">
        <is>
          <t>RTM-409</t>
        </is>
      </c>
      <c r="C124" s="89" t="inlineStr">
        <is>
          <t>SYSTEM</t>
        </is>
      </c>
      <c r="D124" s="90" t="inlineStr">
        <is>
          <t>Performance</t>
        </is>
      </c>
      <c r="E124" s="91" t="inlineStr">
        <is>
          <t>—</t>
        </is>
      </c>
      <c r="F124" s="60" t="inlineStr">
        <is>
          <t>Buildings &amp; Utilities</t>
        </is>
      </c>
      <c r="G124" s="85" t="inlineStr">
        <is>
          <t>Inferred: C5 — Infrastructure &amp; Integration (high conf.)</t>
        </is>
      </c>
      <c r="H124" s="60" t="inlineStr">
        <is>
          <t>T1 Primary</t>
        </is>
      </c>
      <c r="I124" s="60" t="n">
        <v>46</v>
      </c>
      <c r="J124" s="60" t="n">
        <v>83.4258</v>
      </c>
      <c r="K124" s="60" t="inlineStr">
        <is>
          <t>4.7.4.1</t>
        </is>
      </c>
      <c r="L124" s="60" t="inlineStr">
        <is>
          <t>General cooling water interfaces</t>
        </is>
      </c>
      <c r="M124" s="60" t="n">
        <v>84</v>
      </c>
      <c r="N124" s="60" t="inlineStr">
        <is>
          <t>Reliability</t>
        </is>
      </c>
      <c r="O124" s="49" t="inlineStr">
        <is>
          <t>The Contractor shall differentiate between two types of cooling water, both using softened water with biocides and inhibitors</t>
        </is>
      </c>
      <c r="P124" s="49" t="inlineStr">
        <is>
          <t>None explicitly named in this RTM</t>
        </is>
      </c>
      <c r="Q124" s="49" t="inlineStr">
        <is>
          <t>No separate deliverable explicitly named</t>
        </is>
      </c>
      <c r="R124" s="49" t="inlineStr">
        <is>
          <t>Calculation/model plus calibrated measurement or recorded trend; RAM/maintenance substantiation and recovery/failure-response evidence</t>
        </is>
      </c>
      <c r="S124" s="49" t="inlineStr">
        <is>
          <t>L1 Conceptual Design; L2 Detailed Design</t>
        </is>
      </c>
      <c r="T124" s="49" t="inlineStr">
        <is>
          <t>Section/contract-derived reference; derived evidence route</t>
        </is>
      </c>
      <c r="U124" s="60" t="inlineStr">
        <is>
          <t>TBD</t>
        </is>
      </c>
      <c r="V124" s="213" t="n"/>
      <c r="W124" s="49" t="n"/>
    </row>
    <row r="125" ht="92" customHeight="1">
      <c r="A125" s="62" t="n">
        <v>120</v>
      </c>
      <c r="B125" s="62" t="inlineStr">
        <is>
          <t>RTM-414</t>
        </is>
      </c>
      <c r="C125" s="86" t="inlineStr">
        <is>
          <t>SYSTEM</t>
        </is>
      </c>
      <c r="D125" s="87" t="inlineStr">
        <is>
          <t>Control</t>
        </is>
      </c>
      <c r="E125" s="88" t="inlineStr">
        <is>
          <t>—</t>
        </is>
      </c>
      <c r="F125" s="62" t="inlineStr">
        <is>
          <t>Buildings &amp; Utilities</t>
        </is>
      </c>
      <c r="G125" s="92" t="inlineStr">
        <is>
          <t>Inferred: C5 — Infrastructure &amp; Integration (high conf.)</t>
        </is>
      </c>
      <c r="H125" s="62" t="inlineStr">
        <is>
          <t>T1 Primary</t>
        </is>
      </c>
      <c r="I125" s="62" t="n">
        <v>46</v>
      </c>
      <c r="J125" s="62" t="n">
        <v>83.4258</v>
      </c>
      <c r="K125" s="62" t="inlineStr">
        <is>
          <t>4.7.4.3</t>
        </is>
      </c>
      <c r="L125" s="62" t="inlineStr">
        <is>
          <t>Water Heat exchangers</t>
        </is>
      </c>
      <c r="M125" s="62" t="n">
        <v>84</v>
      </c>
      <c r="N125" s="62" t="inlineStr">
        <is>
          <t>Reliability</t>
        </is>
      </c>
      <c r="O125" s="53" t="inlineStr">
        <is>
          <t>For the water cooling of the oil of the HP compressors, the QPS shall interface with the water-cooling system provided by SCK CEN trough two types of heat exchangers:</t>
        </is>
      </c>
      <c r="P125" s="53" t="inlineStr">
        <is>
          <t>None explicitly named in this RTM</t>
        </is>
      </c>
      <c r="Q125" s="53" t="inlineStr">
        <is>
          <t>No separate deliverable explicitly named</t>
        </is>
      </c>
      <c r="R125" s="53" t="inlineStr">
        <is>
          <t>Calculation/model plus calibrated measurement or recorded trend; Functional design/configuration review and sequence/interface demonstration; RAM/maintenance substantiation and recovery/failure-response evidence</t>
        </is>
      </c>
      <c r="S125" s="53" t="inlineStr">
        <is>
          <t>L1 Conceptual Design; L2 Detailed Design</t>
        </is>
      </c>
      <c r="T125" s="53" t="inlineStr">
        <is>
          <t>Section/contract-derived reference; derived evidence route</t>
        </is>
      </c>
      <c r="U125" s="62" t="inlineStr">
        <is>
          <t>TBD</t>
        </is>
      </c>
      <c r="V125" s="213" t="n"/>
      <c r="W125" s="53" t="n"/>
    </row>
    <row r="126" ht="64" customHeight="1">
      <c r="A126" s="60" t="n">
        <v>121</v>
      </c>
      <c r="B126" s="60" t="inlineStr">
        <is>
          <t>RTM-421</t>
        </is>
      </c>
      <c r="C126" s="89" t="inlineStr">
        <is>
          <t>SYSTEM</t>
        </is>
      </c>
      <c r="D126" s="90" t="inlineStr">
        <is>
          <t>Performance</t>
        </is>
      </c>
      <c r="E126" s="91" t="inlineStr">
        <is>
          <t>—</t>
        </is>
      </c>
      <c r="F126" s="60" t="inlineStr">
        <is>
          <t>Buildings &amp; Utilities</t>
        </is>
      </c>
      <c r="G126" s="85" t="inlineStr">
        <is>
          <t>Inferred: C5 — Infrastructure &amp; Integration (high conf.)</t>
        </is>
      </c>
      <c r="H126" s="60" t="inlineStr">
        <is>
          <t>T1 Primary</t>
        </is>
      </c>
      <c r="I126" s="60" t="n">
        <v>46</v>
      </c>
      <c r="J126" s="60" t="n">
        <v>83.4258</v>
      </c>
      <c r="K126" s="60" t="inlineStr">
        <is>
          <t>4.7.4.3.1</t>
        </is>
      </c>
      <c r="L126" s="60" t="inlineStr">
        <is>
          <t>Heat-Recovery Heat Exchanger</t>
        </is>
      </c>
      <c r="M126" s="60" t="n">
        <v>85</v>
      </c>
      <c r="N126" s="60" t="inlineStr">
        <is>
          <t>Reliability</t>
        </is>
      </c>
      <c r="O126" s="49" t="inlineStr">
        <is>
          <t>The water flow through the Heat-Recovery Heat Exchanger shall be regulated by SCK CEN.</t>
        </is>
      </c>
      <c r="P126" s="49" t="inlineStr">
        <is>
          <t>None explicitly named in this RTM</t>
        </is>
      </c>
      <c r="Q126" s="49" t="inlineStr">
        <is>
          <t>No separate deliverable explicitly named</t>
        </is>
      </c>
      <c r="R126" s="49" t="inlineStr">
        <is>
          <t>Calculation/model plus calibrated measurement or recorded trend; RAM/maintenance substantiation and recovery/failure-response evidence</t>
        </is>
      </c>
      <c r="S126" s="49" t="inlineStr">
        <is>
          <t>L1 Conceptual Design; L2 Detailed Design</t>
        </is>
      </c>
      <c r="T126" s="49" t="inlineStr">
        <is>
          <t>Section/contract-derived reference; derived evidence route</t>
        </is>
      </c>
      <c r="U126" s="60" t="inlineStr">
        <is>
          <t>TBD</t>
        </is>
      </c>
      <c r="V126" s="213" t="n"/>
      <c r="W126" s="49" t="n"/>
    </row>
    <row r="127" ht="64" customHeight="1">
      <c r="A127" s="62" t="n">
        <v>122</v>
      </c>
      <c r="B127" s="62" t="inlineStr">
        <is>
          <t>RTM-422</t>
        </is>
      </c>
      <c r="C127" s="86" t="inlineStr">
        <is>
          <t>SYSTEM</t>
        </is>
      </c>
      <c r="D127" s="87" t="inlineStr">
        <is>
          <t>Performance</t>
        </is>
      </c>
      <c r="E127" s="88" t="inlineStr">
        <is>
          <t>—</t>
        </is>
      </c>
      <c r="F127" s="62" t="inlineStr">
        <is>
          <t>Buildings &amp; Utilities</t>
        </is>
      </c>
      <c r="G127" s="92" t="inlineStr">
        <is>
          <t>Inferred: C5 — Infrastructure &amp; Integration (high conf.)</t>
        </is>
      </c>
      <c r="H127" s="62" t="inlineStr">
        <is>
          <t>T1 Primary</t>
        </is>
      </c>
      <c r="I127" s="62" t="n">
        <v>46</v>
      </c>
      <c r="J127" s="62" t="n">
        <v>83.4258</v>
      </c>
      <c r="K127" s="62" t="inlineStr">
        <is>
          <t>4.7.4.3.1</t>
        </is>
      </c>
      <c r="L127" s="62" t="inlineStr">
        <is>
          <t>Heat-Recovery Heat Exchanger</t>
        </is>
      </c>
      <c r="M127" s="62" t="n">
        <v>85</v>
      </c>
      <c r="N127" s="62" t="inlineStr">
        <is>
          <t>Reliability</t>
        </is>
      </c>
      <c r="O127" s="53" t="inlineStr">
        <is>
          <t>The Contractor shall provide the capability to bypass the Heat-Recovery Heat Exchanger.</t>
        </is>
      </c>
      <c r="P127" s="53" t="inlineStr">
        <is>
          <t>None explicitly named in this RTM</t>
        </is>
      </c>
      <c r="Q127" s="53" t="inlineStr">
        <is>
          <t>No separate deliverable explicitly named</t>
        </is>
      </c>
      <c r="R127" s="53" t="inlineStr">
        <is>
          <t>Calculation/model plus calibrated measurement or recorded trend; RAM/maintenance substantiation and recovery/failure-response evidence</t>
        </is>
      </c>
      <c r="S127" s="53" t="inlineStr">
        <is>
          <t>L1 Conceptual Design; L2 Detailed Design</t>
        </is>
      </c>
      <c r="T127" s="53" t="inlineStr">
        <is>
          <t>Section/contract-derived reference; derived evidence route</t>
        </is>
      </c>
      <c r="U127" s="62" t="inlineStr">
        <is>
          <t>TBD</t>
        </is>
      </c>
      <c r="V127" s="213" t="n"/>
      <c r="W127" s="53" t="n"/>
    </row>
    <row r="128" ht="64" customHeight="1">
      <c r="A128" s="60" t="n">
        <v>123</v>
      </c>
      <c r="B128" s="60" t="inlineStr">
        <is>
          <t>RTM-423</t>
        </is>
      </c>
      <c r="C128" s="89" t="inlineStr">
        <is>
          <t>SYSTEM</t>
        </is>
      </c>
      <c r="D128" s="90" t="inlineStr">
        <is>
          <t>Performance</t>
        </is>
      </c>
      <c r="E128" s="91" t="inlineStr">
        <is>
          <t>—</t>
        </is>
      </c>
      <c r="F128" s="60" t="inlineStr">
        <is>
          <t>Buildings &amp; Utilities</t>
        </is>
      </c>
      <c r="G128" s="85" t="inlineStr">
        <is>
          <t>Inferred: C5 — Infrastructure &amp; Integration (high conf.)</t>
        </is>
      </c>
      <c r="H128" s="60" t="inlineStr">
        <is>
          <t>T1 Primary</t>
        </is>
      </c>
      <c r="I128" s="60" t="n">
        <v>46</v>
      </c>
      <c r="J128" s="60" t="n">
        <v>83.4258</v>
      </c>
      <c r="K128" s="60" t="inlineStr">
        <is>
          <t>4.7.4.3.1</t>
        </is>
      </c>
      <c r="L128" s="60" t="inlineStr">
        <is>
          <t>Heat-Recovery Heat Exchanger</t>
        </is>
      </c>
      <c r="M128" s="60" t="n">
        <v>85</v>
      </c>
      <c r="N128" s="60" t="inlineStr">
        <is>
          <t>Reliability</t>
        </is>
      </c>
      <c r="O128" s="49" t="inlineStr">
        <is>
          <t>The QPS operation shall not be adversely affected by the operation of the Heat-Recovery Heat Exchanger.</t>
        </is>
      </c>
      <c r="P128" s="49" t="inlineStr">
        <is>
          <t>None explicitly named in this RTM</t>
        </is>
      </c>
      <c r="Q128" s="49" t="inlineStr">
        <is>
          <t>No separate deliverable explicitly named</t>
        </is>
      </c>
      <c r="R128" s="49" t="inlineStr">
        <is>
          <t>Calculation/model plus calibrated measurement or recorded trend; RAM/maintenance substantiation and recovery/failure-response evidence</t>
        </is>
      </c>
      <c r="S128" s="49" t="inlineStr">
        <is>
          <t>L1 Conceptual Design; L2 Detailed Design</t>
        </is>
      </c>
      <c r="T128" s="49" t="inlineStr">
        <is>
          <t>Section/contract-derived reference; derived evidence route</t>
        </is>
      </c>
      <c r="U128" s="60" t="inlineStr">
        <is>
          <t>TBD</t>
        </is>
      </c>
      <c r="V128" s="213" t="n"/>
      <c r="W128" s="49" t="n"/>
    </row>
    <row r="129" ht="64" customHeight="1">
      <c r="A129" s="62" t="n">
        <v>124</v>
      </c>
      <c r="B129" s="62" t="inlineStr">
        <is>
          <t>RTM-425</t>
        </is>
      </c>
      <c r="C129" s="86" t="inlineStr">
        <is>
          <t>SYSTEM</t>
        </is>
      </c>
      <c r="D129" s="87" t="inlineStr">
        <is>
          <t>Performance</t>
        </is>
      </c>
      <c r="E129" s="88" t="inlineStr">
        <is>
          <t>—</t>
        </is>
      </c>
      <c r="F129" s="62" t="inlineStr">
        <is>
          <t>Buildings &amp; Utilities</t>
        </is>
      </c>
      <c r="G129" s="92" t="inlineStr">
        <is>
          <t>Inferred: C5 — Infrastructure &amp; Integration (high conf.)</t>
        </is>
      </c>
      <c r="H129" s="62" t="inlineStr">
        <is>
          <t>T1 Primary</t>
        </is>
      </c>
      <c r="I129" s="62" t="n">
        <v>46</v>
      </c>
      <c r="J129" s="62" t="n">
        <v>83.4258</v>
      </c>
      <c r="K129" s="62" t="inlineStr">
        <is>
          <t>4.7.4.3.1</t>
        </is>
      </c>
      <c r="L129" s="62" t="inlineStr">
        <is>
          <t>Heat-Recovery Heat Exchanger</t>
        </is>
      </c>
      <c r="M129" s="62" t="n">
        <v>85</v>
      </c>
      <c r="N129" s="62" t="inlineStr">
        <is>
          <t>Reliability</t>
        </is>
      </c>
      <c r="O129" s="53" t="inlineStr">
        <is>
          <t>The return water shall meet the following conditions:</t>
        </is>
      </c>
      <c r="P129" s="53" t="inlineStr">
        <is>
          <t>None explicitly named in this RTM</t>
        </is>
      </c>
      <c r="Q129" s="53" t="inlineStr">
        <is>
          <t>No separate deliverable explicitly named</t>
        </is>
      </c>
      <c r="R129" s="53" t="inlineStr">
        <is>
          <t>Calculation/model plus calibrated measurement or recorded trend; RAM/maintenance substantiation and recovery/failure-response evidence</t>
        </is>
      </c>
      <c r="S129" s="53" t="inlineStr">
        <is>
          <t>L1 Conceptual Design; L2 Detailed Design</t>
        </is>
      </c>
      <c r="T129" s="53" t="inlineStr">
        <is>
          <t>Section/contract-derived reference; derived evidence route</t>
        </is>
      </c>
      <c r="U129" s="62" t="inlineStr">
        <is>
          <t>TBD</t>
        </is>
      </c>
      <c r="V129" s="213" t="n"/>
      <c r="W129" s="53" t="n"/>
    </row>
    <row r="130" ht="64" customHeight="1">
      <c r="A130" s="60" t="n">
        <v>125</v>
      </c>
      <c r="B130" s="60" t="inlineStr">
        <is>
          <t>RTM-426</t>
        </is>
      </c>
      <c r="C130" s="89" t="inlineStr">
        <is>
          <t>SYSTEM</t>
        </is>
      </c>
      <c r="D130" s="90" t="inlineStr">
        <is>
          <t>Performance</t>
        </is>
      </c>
      <c r="E130" s="91" t="inlineStr">
        <is>
          <t>—</t>
        </is>
      </c>
      <c r="F130" s="60" t="inlineStr">
        <is>
          <t>Buildings &amp; Utilities</t>
        </is>
      </c>
      <c r="G130" s="60" t="inlineStr">
        <is>
          <t>C5 — Infrastructure &amp; Integration</t>
        </is>
      </c>
      <c r="H130" s="60" t="inlineStr">
        <is>
          <t>T1 Primary</t>
        </is>
      </c>
      <c r="I130" s="60" t="n">
        <v>46</v>
      </c>
      <c r="J130" s="60" t="n">
        <v>83.4258</v>
      </c>
      <c r="K130" s="60" t="inlineStr">
        <is>
          <t>4.7.4.3.2</t>
        </is>
      </c>
      <c r="L130" s="60" t="inlineStr">
        <is>
          <t>Process Heat Exchanger</t>
        </is>
      </c>
      <c r="M130" s="60" t="n">
        <v>86</v>
      </c>
      <c r="N130" s="60" t="inlineStr">
        <is>
          <t>Reliability</t>
        </is>
      </c>
      <c r="O130" s="49" t="inlineStr">
        <is>
          <t>The Process Heat Exchanger shall be sized to:</t>
        </is>
      </c>
      <c r="P130" s="49" t="inlineStr">
        <is>
          <t>None explicitly named in this RTM</t>
        </is>
      </c>
      <c r="Q130" s="49" t="inlineStr">
        <is>
          <t>No separate deliverable explicitly named</t>
        </is>
      </c>
      <c r="R130" s="49" t="inlineStr">
        <is>
          <t>Calculation/model plus calibrated measurement or recorded trend; RAM/maintenance substantiation and recovery/failure-response evidence</t>
        </is>
      </c>
      <c r="S130" s="49" t="inlineStr">
        <is>
          <t>L1 Conceptual Design; L2 Detailed Design</t>
        </is>
      </c>
      <c r="T130" s="49" t="inlineStr">
        <is>
          <t>Section/contract-derived reference; derived evidence route</t>
        </is>
      </c>
      <c r="U130" s="60" t="inlineStr">
        <is>
          <t>TBD</t>
        </is>
      </c>
      <c r="V130" s="213" t="n"/>
      <c r="W130" s="49" t="n"/>
    </row>
    <row r="131" ht="64" customHeight="1">
      <c r="A131" s="62" t="n">
        <v>126</v>
      </c>
      <c r="B131" s="62" t="inlineStr">
        <is>
          <t>RTM-427</t>
        </is>
      </c>
      <c r="C131" s="86" t="inlineStr">
        <is>
          <t>SYSTEM</t>
        </is>
      </c>
      <c r="D131" s="87" t="inlineStr">
        <is>
          <t>Performance</t>
        </is>
      </c>
      <c r="E131" s="88" t="inlineStr">
        <is>
          <t>—</t>
        </is>
      </c>
      <c r="F131" s="62" t="inlineStr">
        <is>
          <t>Buildings &amp; Utilities</t>
        </is>
      </c>
      <c r="G131" s="62" t="inlineStr">
        <is>
          <t>C5 — Infrastructure &amp; Integration</t>
        </is>
      </c>
      <c r="H131" s="62" t="inlineStr">
        <is>
          <t>T1 Primary</t>
        </is>
      </c>
      <c r="I131" s="62" t="n">
        <v>46</v>
      </c>
      <c r="J131" s="62" t="n">
        <v>83.4258</v>
      </c>
      <c r="K131" s="62" t="inlineStr">
        <is>
          <t>4.7.4.3.2</t>
        </is>
      </c>
      <c r="L131" s="62" t="inlineStr">
        <is>
          <t>Process Heat Exchanger</t>
        </is>
      </c>
      <c r="M131" s="62" t="n">
        <v>86</v>
      </c>
      <c r="N131" s="62" t="inlineStr">
        <is>
          <t>Reliability</t>
        </is>
      </c>
      <c r="O131" s="53" t="inlineStr">
        <is>
          <t>The Process Heat Exchanger shall allow a flow rate of the cooling water of up to 1800 L/min.</t>
        </is>
      </c>
      <c r="P131" s="53" t="inlineStr">
        <is>
          <t>None explicitly named in this RTM</t>
        </is>
      </c>
      <c r="Q131" s="53" t="inlineStr">
        <is>
          <t>No separate deliverable explicitly named</t>
        </is>
      </c>
      <c r="R131" s="53" t="inlineStr">
        <is>
          <t>Calculation/model plus calibrated measurement or recorded trend; RAM/maintenance substantiation and recovery/failure-response evidence</t>
        </is>
      </c>
      <c r="S131" s="53" t="inlineStr">
        <is>
          <t>L1 Conceptual Design; L2 Detailed Design</t>
        </is>
      </c>
      <c r="T131" s="53" t="inlineStr">
        <is>
          <t>Section/contract-derived reference; derived evidence route</t>
        </is>
      </c>
      <c r="U131" s="62" t="inlineStr">
        <is>
          <t>TBD</t>
        </is>
      </c>
      <c r="V131" s="213" t="n"/>
      <c r="W131" s="53" t="n"/>
    </row>
    <row r="132" ht="106" customHeight="1">
      <c r="A132" s="60" t="n">
        <v>127</v>
      </c>
      <c r="B132" s="60" t="inlineStr">
        <is>
          <t>RTM-685</t>
        </is>
      </c>
      <c r="C132" s="89" t="inlineStr">
        <is>
          <t>PROJECT</t>
        </is>
      </c>
      <c r="D132" s="90" t="inlineStr">
        <is>
          <t>Quality Assurance</t>
        </is>
      </c>
      <c r="E132" s="91" t="inlineStr">
        <is>
          <t>—</t>
        </is>
      </c>
      <c r="F132" s="60" t="inlineStr">
        <is>
          <t>Quality Assurance &amp; Control</t>
        </is>
      </c>
      <c r="G132" s="85" t="inlineStr">
        <is>
          <t>Inferred: C7 — Quality, Testing &amp; Risk (high conf.)</t>
        </is>
      </c>
      <c r="H132" s="60" t="inlineStr">
        <is>
          <t>T1 Primary</t>
        </is>
      </c>
      <c r="I132" s="60" t="n">
        <v>46</v>
      </c>
      <c r="J132" s="60" t="n">
        <v>83.4258</v>
      </c>
      <c r="K132" s="60" t="inlineStr">
        <is>
          <t>8.2.1</t>
        </is>
      </c>
      <c r="L132" s="60" t="inlineStr">
        <is>
          <t>General requirements</t>
        </is>
      </c>
      <c r="M132" s="60" t="n">
        <v>128</v>
      </c>
      <c r="N132" s="60" t="inlineStr">
        <is>
          <t>Safety / Legal / Performance</t>
        </is>
      </c>
      <c r="O132" s="49" t="inlineStr">
        <is>
          <t>All measurement and testing instrumentation used during the performance of the Contract shall have the appropriate certification and shall be regularly calibrated to ensure appropriate accuracy and precision. SCK CEN reserves the right to request a measurement system analysis and/or proof of calibration.</t>
        </is>
      </c>
      <c r="P132" s="49" t="inlineStr">
        <is>
          <t>None explicitly named in this RTM</t>
        </is>
      </c>
      <c r="Q132" s="49" t="inlineStr">
        <is>
          <t>Certificate / calibration evidence</t>
        </is>
      </c>
      <c r="R132" s="49" t="inlineStr">
        <is>
          <t>Submit and review the named deliverable with RTM traceability and approval status; Witnessed FAT/SAT/commissioning test against stated acceptance criteria; Calculation/model plus calibrated measurement or recorded trend</t>
        </is>
      </c>
      <c r="S132" s="49" t="inlineStr">
        <is>
          <t>L0 Tender / Offer; L1 Conceptual Design; L2 Detailed Design; L3 Procurement &amp; Manufacturing / FAT; L4 Installation; L5 Standalone Commissioning; L6 Site Acceptance Testing</t>
        </is>
      </c>
      <c r="T132" s="49" t="inlineStr">
        <is>
          <t>Section/contract-derived reference; explicit deliverable/test wording</t>
        </is>
      </c>
      <c r="U132" s="60" t="inlineStr">
        <is>
          <t>TBD</t>
        </is>
      </c>
      <c r="V132" s="213" t="n"/>
      <c r="W132" s="49" t="n"/>
    </row>
    <row r="133" ht="92" customHeight="1">
      <c r="A133" s="62" t="n">
        <v>128</v>
      </c>
      <c r="B133" s="62" t="inlineStr">
        <is>
          <t>RTM-208</t>
        </is>
      </c>
      <c r="C133" s="86" t="inlineStr">
        <is>
          <t>SYSTEM</t>
        </is>
      </c>
      <c r="D133" s="87" t="inlineStr">
        <is>
          <t>Performance</t>
        </is>
      </c>
      <c r="E133" s="88" t="inlineStr">
        <is>
          <t>—</t>
        </is>
      </c>
      <c r="F133" s="62" t="inlineStr">
        <is>
          <t>Subsystems</t>
        </is>
      </c>
      <c r="G133" s="62" t="inlineStr">
        <is>
          <t>C2 — Process Design</t>
        </is>
      </c>
      <c r="H133" s="62" t="inlineStr">
        <is>
          <t>T1 Primary</t>
        </is>
      </c>
      <c r="I133" s="62" t="n">
        <v>45.3333</v>
      </c>
      <c r="J133" s="62" t="n">
        <v>82.31619999999999</v>
      </c>
      <c r="K133" s="62" t="inlineStr">
        <is>
          <t>4.4.4.2.2</t>
        </is>
      </c>
      <c r="L133" s="62" t="inlineStr">
        <is>
          <t>Main Process Heat Exchangers (MPHX)</t>
        </is>
      </c>
      <c r="M133" s="62" t="n">
        <v>56</v>
      </c>
      <c r="N133" s="62" t="inlineStr">
        <is>
          <t>Performance</t>
        </is>
      </c>
      <c r="O133" s="53" t="inlineStr">
        <is>
          <t>If LN2 Precooling is implemented (§4.2.5), the design shall include a dedicated MPHX between the nitrogen circuit and the HP helium stream, including at minimum:</t>
        </is>
      </c>
      <c r="P133" s="53" t="inlineStr">
        <is>
          <t>None explicitly named in this RTM</t>
        </is>
      </c>
      <c r="Q133" s="53" t="inlineStr">
        <is>
          <t>No separate deliverable explicitly named</t>
        </is>
      </c>
      <c r="R133" s="53" t="inlineStr">
        <is>
          <t>Calculation/model plus calibrated measurement or recorded trend; Functional design/configuration review and sequence/interface demonstration; RAM/maintenance substantiation and recovery/failure-response evidence</t>
        </is>
      </c>
      <c r="S133" s="53" t="inlineStr">
        <is>
          <t>L1 Conceptual Design; L2 Detailed Design</t>
        </is>
      </c>
      <c r="T133" s="53" t="inlineStr">
        <is>
          <t>Section/contract-derived reference; derived evidence route</t>
        </is>
      </c>
      <c r="U133" s="62" t="inlineStr">
        <is>
          <t>TBD</t>
        </is>
      </c>
      <c r="V133" s="213" t="n"/>
      <c r="W133" s="53" t="n"/>
    </row>
    <row r="134" ht="64" customHeight="1">
      <c r="A134" s="60" t="n">
        <v>129</v>
      </c>
      <c r="B134" s="60" t="inlineStr">
        <is>
          <t>RTM-542</t>
        </is>
      </c>
      <c r="C134" s="89" t="inlineStr">
        <is>
          <t>PROJECT</t>
        </is>
      </c>
      <c r="D134" s="90" t="inlineStr">
        <is>
          <t>Governance &amp; Responsibility</t>
        </is>
      </c>
      <c r="E134" s="91" t="inlineStr">
        <is>
          <t>—</t>
        </is>
      </c>
      <c r="F134" s="60" t="inlineStr">
        <is>
          <t>Acceptance Testing</t>
        </is>
      </c>
      <c r="G134" s="60" t="inlineStr">
        <is>
          <t>C7 — Quality, Testing &amp; Risk</t>
        </is>
      </c>
      <c r="H134" s="60" t="inlineStr">
        <is>
          <t>T1 Primary</t>
        </is>
      </c>
      <c r="I134" s="60" t="n">
        <v>45.3333</v>
      </c>
      <c r="J134" s="60" t="n">
        <v>82.31619999999999</v>
      </c>
      <c r="K134" s="60" t="inlineStr">
        <is>
          <t>4.13.3.3.7</t>
        </is>
      </c>
      <c r="L134" s="60" t="inlineStr">
        <is>
          <t>Energy-Efficiency demonstration</t>
        </is>
      </c>
      <c r="M134" s="60" t="n">
        <v>106</v>
      </c>
      <c r="N134" s="60" t="inlineStr">
        <is>
          <t>Performance</t>
        </is>
      </c>
      <c r="O134" s="49" t="inlineStr">
        <is>
          <t>The Contractor shall demonstrate compliance with invCOP_contract in accordance with §4.3.4. To this end, the Contractor shall:</t>
        </is>
      </c>
      <c r="P134" s="49" t="inlineStr">
        <is>
          <t>None explicitly named in this RTM</t>
        </is>
      </c>
      <c r="Q134" s="49" t="inlineStr">
        <is>
          <t>No separate deliverable explicitly named</t>
        </is>
      </c>
      <c r="R134" s="49" t="inlineStr">
        <is>
          <t>Witnessed FAT/SAT/commissioning test against stated acceptance criteria; Calculation/model plus calibrated measurement or recorded trend</t>
        </is>
      </c>
      <c r="S134" s="49" t="inlineStr">
        <is>
          <t>L6 Site Acceptance Testing; L1 Conceptual Design; L2 Detailed Design</t>
        </is>
      </c>
      <c r="T134" s="49" t="inlineStr">
        <is>
          <t>Section/contract-derived reference; explicit deliverable/test wording</t>
        </is>
      </c>
      <c r="U134" s="60" t="inlineStr">
        <is>
          <t>TBD</t>
        </is>
      </c>
      <c r="V134" s="213" t="n"/>
      <c r="W134" s="49" t="n"/>
    </row>
    <row r="135" ht="106" customHeight="1">
      <c r="A135" s="62" t="n">
        <v>130</v>
      </c>
      <c r="B135" s="62" t="inlineStr">
        <is>
          <t>RTM-656</t>
        </is>
      </c>
      <c r="C135" s="86" t="inlineStr">
        <is>
          <t>PROJECT</t>
        </is>
      </c>
      <c r="D135" s="87" t="inlineStr">
        <is>
          <t>Quality Assurance</t>
        </is>
      </c>
      <c r="E135" s="88" t="inlineStr">
        <is>
          <t>—</t>
        </is>
      </c>
      <c r="F135" s="62" t="inlineStr">
        <is>
          <t>Quality Assurance &amp; Control</t>
        </is>
      </c>
      <c r="G135" s="92" t="inlineStr">
        <is>
          <t>Inferred: C7 — Quality, Testing &amp; Risk (high conf.)</t>
        </is>
      </c>
      <c r="H135" s="62" t="inlineStr">
        <is>
          <t>T1 Primary</t>
        </is>
      </c>
      <c r="I135" s="62" t="n">
        <v>44.6667</v>
      </c>
      <c r="J135" s="62" t="n">
        <v>82.03879999999999</v>
      </c>
      <c r="K135" s="62" t="inlineStr">
        <is>
          <t>8.1.4</t>
        </is>
      </c>
      <c r="L135" s="62" t="inlineStr">
        <is>
          <t>Qualification of personnel</t>
        </is>
      </c>
      <c r="M135" s="62" t="n">
        <v>125</v>
      </c>
      <c r="N135" s="62" t="inlineStr">
        <is>
          <t>Reliability</t>
        </is>
      </c>
      <c r="O135" s="53" t="inlineStr">
        <is>
          <t>Training activities contributing to operational handover shall be performed by qualified Contractor personnel and shall result in demonstrable qualification of SCK CEN personnel for defined operational and maintenance roles.</t>
        </is>
      </c>
      <c r="P135" s="53" t="inlineStr">
        <is>
          <t>None explicitly named in this RTM</t>
        </is>
      </c>
      <c r="Q135" s="53" t="inlineStr">
        <is>
          <t>No separate deliverable explicitly named</t>
        </is>
      </c>
      <c r="R135" s="53" t="inlineStr">
        <is>
          <t>RAM/maintenance substantiation and recovery/failure-response evidence; Document review, inspection, certification, audit or traceable QC record</t>
        </is>
      </c>
      <c r="S135" s="53" t="inlineStr">
        <is>
          <t>PAC / Handover; L0 Tender / Offer; L1 Conceptual Design; L2 Detailed Design; L3 Procurement &amp; Manufacturing / FAT; L4 Installation; L5 Standalone Commissioning; L6 Site Acceptance Testing</t>
        </is>
      </c>
      <c r="T135" s="53" t="inlineStr">
        <is>
          <t>Section/contract-derived reference; derived evidence route</t>
        </is>
      </c>
      <c r="U135" s="62" t="inlineStr">
        <is>
          <t>TBD</t>
        </is>
      </c>
      <c r="V135" s="213" t="n"/>
      <c r="W135" s="53" t="n"/>
    </row>
    <row r="136" ht="92" customHeight="1">
      <c r="A136" s="60" t="n">
        <v>131</v>
      </c>
      <c r="B136" s="60" t="inlineStr">
        <is>
          <t>RTM-059</t>
        </is>
      </c>
      <c r="C136" s="89" t="inlineStr">
        <is>
          <t>SYSTEM</t>
        </is>
      </c>
      <c r="D136" s="90" t="inlineStr">
        <is>
          <t>Performance</t>
        </is>
      </c>
      <c r="E136" s="91" t="inlineStr">
        <is>
          <t>—</t>
        </is>
      </c>
      <c r="F136" s="60" t="inlineStr">
        <is>
          <t>Global Design Criteria</t>
        </is>
      </c>
      <c r="G136" s="60" t="inlineStr">
        <is>
          <t>C6 — Reliability &amp; Maintenance</t>
        </is>
      </c>
      <c r="H136" s="60" t="inlineStr">
        <is>
          <t>T1 Primary</t>
        </is>
      </c>
      <c r="I136" s="60" t="n">
        <v>44.6667</v>
      </c>
      <c r="J136" s="60" t="n">
        <v>82.03879999999999</v>
      </c>
      <c r="K136" s="60" t="inlineStr">
        <is>
          <t>4.3.2</t>
        </is>
      </c>
      <c r="L136" s="60" t="inlineStr">
        <is>
          <t>Availability &amp; Reliability</t>
        </is>
      </c>
      <c r="M136" s="60" t="n">
        <v>37</v>
      </c>
      <c r="N136" s="60" t="inlineStr">
        <is>
          <t>Reliability</t>
        </is>
      </c>
      <c r="O136" s="49" t="inlineStr">
        <is>
          <t>The Availability &amp; Reliability Assessment shall be based on a system-level reliability model representing the actual QPS architecture. The model shall, at minimum:</t>
        </is>
      </c>
      <c r="P136" s="49" t="inlineStr">
        <is>
          <t>None explicitly named in this RTM</t>
        </is>
      </c>
      <c r="Q136" s="49" t="inlineStr">
        <is>
          <t>Availability &amp; Reliability Assessment</t>
        </is>
      </c>
      <c r="R136" s="49" t="inlineStr">
        <is>
          <t>Submit and review the named deliverable with RTM traceability and approval status; Witnessed FAT/SAT/commissioning test against stated acceptance criteria; Functional design/configuration review and sequence/interface demonstration</t>
        </is>
      </c>
      <c r="S136" s="49" t="inlineStr">
        <is>
          <t>L1 Conceptual Design; L2 Detailed Design</t>
        </is>
      </c>
      <c r="T136" s="49" t="inlineStr">
        <is>
          <t>Section/contract-derived reference; explicit deliverable/test wording</t>
        </is>
      </c>
      <c r="U136" s="60" t="inlineStr">
        <is>
          <t>TBD</t>
        </is>
      </c>
      <c r="V136" s="213" t="n"/>
      <c r="W136" s="49" t="n"/>
    </row>
    <row r="137" ht="78" customHeight="1">
      <c r="A137" s="62" t="n">
        <v>132</v>
      </c>
      <c r="B137" s="62" t="inlineStr">
        <is>
          <t>RTM-108</t>
        </is>
      </c>
      <c r="C137" s="86" t="inlineStr">
        <is>
          <t>SYSTEM</t>
        </is>
      </c>
      <c r="D137" s="87" t="inlineStr">
        <is>
          <t>Performance</t>
        </is>
      </c>
      <c r="E137" s="88" t="inlineStr">
        <is>
          <t>—</t>
        </is>
      </c>
      <c r="F137" s="62" t="inlineStr">
        <is>
          <t>Subsystems</t>
        </is>
      </c>
      <c r="G137" s="92" t="inlineStr">
        <is>
          <t>Inferred: C7 — Quality, Testing &amp; Risk (medium conf.)</t>
        </is>
      </c>
      <c r="H137" s="62" t="inlineStr">
        <is>
          <t>T1 Primary</t>
        </is>
      </c>
      <c r="I137" s="62" t="n">
        <v>44.3333</v>
      </c>
      <c r="J137" s="62" t="n">
        <v>81.8308</v>
      </c>
      <c r="K137" s="62" t="inlineStr">
        <is>
          <t>4.4.2.2</t>
        </is>
      </c>
      <c r="L137" s="62" t="inlineStr">
        <is>
          <t>Electrical Heaters</t>
        </is>
      </c>
      <c r="M137" s="62" t="n">
        <v>45</v>
      </c>
      <c r="N137" s="62" t="inlineStr">
        <is>
          <t>Safety / Legal / Performance</t>
        </is>
      </c>
      <c r="O137" s="53" t="inlineStr">
        <is>
          <t>Each heater shall be mechanically attached and thermally bonded to its target surface such that the thermal contact remains effective for the full design lifetime of the QRB, including after thermal cycling.</t>
        </is>
      </c>
      <c r="P137" s="53" t="inlineStr">
        <is>
          <t>None explicitly named in this RTM</t>
        </is>
      </c>
      <c r="Q137" s="53" t="inlineStr">
        <is>
          <t>No separate deliverable explicitly named</t>
        </is>
      </c>
      <c r="R137" s="53" t="inlineStr">
        <is>
          <t>Calculation/model plus calibrated measurement or recorded trend</t>
        </is>
      </c>
      <c r="S137" s="53" t="inlineStr">
        <is>
          <t>L1 Conceptual Design; L2 Detailed Design</t>
        </is>
      </c>
      <c r="T137" s="53" t="inlineStr">
        <is>
          <t>Section/contract-derived reference; derived evidence route</t>
        </is>
      </c>
      <c r="U137" s="62" t="inlineStr">
        <is>
          <t>TBD</t>
        </is>
      </c>
      <c r="V137" s="213" t="n"/>
      <c r="W137" s="53" t="n"/>
    </row>
    <row r="138" ht="92" customHeight="1">
      <c r="A138" s="60" t="n">
        <v>133</v>
      </c>
      <c r="B138" s="60" t="inlineStr">
        <is>
          <t>RTM-022</t>
        </is>
      </c>
      <c r="C138" s="89" t="inlineStr">
        <is>
          <t>SYSTEM</t>
        </is>
      </c>
      <c r="D138" s="90" t="inlineStr">
        <is>
          <t>Control</t>
        </is>
      </c>
      <c r="E138" s="91" t="inlineStr">
        <is>
          <t>—</t>
        </is>
      </c>
      <c r="F138" s="60" t="inlineStr">
        <is>
          <t>Process &amp; Functional</t>
        </is>
      </c>
      <c r="G138" s="60" t="inlineStr">
        <is>
          <t>C1 — Performance</t>
        </is>
      </c>
      <c r="H138" s="60" t="inlineStr">
        <is>
          <t>T1 Primary</t>
        </is>
      </c>
      <c r="I138" s="60" t="n">
        <v>44</v>
      </c>
      <c r="J138" s="60" t="n">
        <v>81.276</v>
      </c>
      <c r="K138" s="60" t="inlineStr">
        <is>
          <t>4.2.2.2</t>
        </is>
      </c>
      <c r="L138" s="60" t="inlineStr">
        <is>
          <t>Transient Operational Scenarios</t>
        </is>
      </c>
      <c r="M138" s="60" t="n">
        <v>29</v>
      </c>
      <c r="N138" s="60" t="inlineStr">
        <is>
          <t>Performance</t>
        </is>
      </c>
      <c r="O138" s="49" t="inlineStr">
        <is>
          <t>For the 2K-RAMP scenario, the QPS design shall comply with the following design basis:</t>
        </is>
      </c>
      <c r="P138" s="49" t="inlineStr">
        <is>
          <t>None explicitly named in this RTM</t>
        </is>
      </c>
      <c r="Q138" s="49" t="inlineStr">
        <is>
          <t>No separate deliverable explicitly named</t>
        </is>
      </c>
      <c r="R138" s="49" t="inlineStr">
        <is>
          <t>Calculation/model plus calibrated measurement or recorded trend; Functional design/configuration review and sequence/interface demonstration; Document review, inspection, certification, audit or traceable QC record</t>
        </is>
      </c>
      <c r="S138" s="49" t="inlineStr">
        <is>
          <t>L1 Conceptual Design; L2 Detailed Design</t>
        </is>
      </c>
      <c r="T138" s="49" t="inlineStr">
        <is>
          <t>Section/contract-derived reference; derived evidence route</t>
        </is>
      </c>
      <c r="U138" s="60" t="inlineStr">
        <is>
          <t>TBD</t>
        </is>
      </c>
      <c r="V138" s="213" t="n"/>
      <c r="W138" s="49" t="n"/>
    </row>
    <row r="139" ht="92" customHeight="1">
      <c r="A139" s="62" t="n">
        <v>134</v>
      </c>
      <c r="B139" s="62" t="inlineStr">
        <is>
          <t>RTM-024</t>
        </is>
      </c>
      <c r="C139" s="86" t="inlineStr">
        <is>
          <t>SYSTEM</t>
        </is>
      </c>
      <c r="D139" s="87" t="inlineStr">
        <is>
          <t>Performance</t>
        </is>
      </c>
      <c r="E139" s="88" t="inlineStr">
        <is>
          <t>—</t>
        </is>
      </c>
      <c r="F139" s="62" t="inlineStr">
        <is>
          <t>Process &amp; Functional</t>
        </is>
      </c>
      <c r="G139" s="92" t="inlineStr">
        <is>
          <t>Inferred: C2 — Process Design (low conf.)</t>
        </is>
      </c>
      <c r="H139" s="62" t="inlineStr">
        <is>
          <t>T1 Primary</t>
        </is>
      </c>
      <c r="I139" s="62" t="n">
        <v>44</v>
      </c>
      <c r="J139" s="62" t="n">
        <v>81.276</v>
      </c>
      <c r="K139" s="62" t="inlineStr">
        <is>
          <t>4.2.2.3</t>
        </is>
      </c>
      <c r="L139" s="62" t="inlineStr">
        <is>
          <t>Transition between Operational Scenarios</t>
        </is>
      </c>
      <c r="M139" s="62" t="n">
        <v>29</v>
      </c>
      <c r="N139" s="62" t="inlineStr">
        <is>
          <t>Performance</t>
        </is>
      </c>
      <c r="O139" s="53" t="inlineStr">
        <is>
          <t>The Contractor shall verify each Transient Operational Scenario using the Cryogenic User Transient Model. At minimum, the Contractor shall:</t>
        </is>
      </c>
      <c r="P139" s="53" t="inlineStr">
        <is>
          <t>None explicitly named in this RTM</t>
        </is>
      </c>
      <c r="Q139" s="53" t="inlineStr">
        <is>
          <t>No separate deliverable explicitly named</t>
        </is>
      </c>
      <c r="R139" s="53" t="inlineStr">
        <is>
          <t>Calculation/model plus calibrated measurement or recorded trend; Functional design/configuration review and sequence/interface demonstration; Document review, inspection, certification, audit or traceable QC record</t>
        </is>
      </c>
      <c r="S139" s="53" t="inlineStr">
        <is>
          <t>L1 Conceptual Design; L2 Detailed Design</t>
        </is>
      </c>
      <c r="T139" s="53" t="inlineStr">
        <is>
          <t>Section/contract-derived reference; explicit deliverable/test wording</t>
        </is>
      </c>
      <c r="U139" s="62" t="inlineStr">
        <is>
          <t>TBD</t>
        </is>
      </c>
      <c r="V139" s="213" t="n"/>
      <c r="W139" s="53" t="n"/>
    </row>
    <row r="140" ht="92" customHeight="1">
      <c r="A140" s="60" t="n">
        <v>135</v>
      </c>
      <c r="B140" s="60" t="inlineStr">
        <is>
          <t>RTM-027</t>
        </is>
      </c>
      <c r="C140" s="89" t="inlineStr">
        <is>
          <t>SYSTEM</t>
        </is>
      </c>
      <c r="D140" s="90" t="inlineStr">
        <is>
          <t>Control</t>
        </is>
      </c>
      <c r="E140" s="91" t="inlineStr">
        <is>
          <t>—</t>
        </is>
      </c>
      <c r="F140" s="60" t="inlineStr">
        <is>
          <t>Process &amp; Functional</t>
        </is>
      </c>
      <c r="G140" s="60" t="inlineStr">
        <is>
          <t>C8 — Commercial &amp; Execution</t>
        </is>
      </c>
      <c r="H140" s="60" t="inlineStr">
        <is>
          <t>T1 Primary</t>
        </is>
      </c>
      <c r="I140" s="60" t="n">
        <v>44</v>
      </c>
      <c r="J140" s="60" t="n">
        <v>81.276</v>
      </c>
      <c r="K140" s="60" t="inlineStr">
        <is>
          <t>4.2.2.4.1</t>
        </is>
      </c>
      <c r="L140" s="60" t="inlineStr">
        <is>
          <t>Purging and Conditioning</t>
        </is>
      </c>
      <c r="M140" s="60" t="n">
        <v>30</v>
      </c>
      <c r="N140" s="60" t="inlineStr">
        <is>
          <t>Performance</t>
        </is>
      </c>
      <c r="O140" s="49" t="inlineStr">
        <is>
          <t>The purging and conditioning procedures shall be implemented as:</t>
        </is>
      </c>
      <c r="P140" s="49" t="inlineStr">
        <is>
          <t>None explicitly named in this RTM</t>
        </is>
      </c>
      <c r="Q140" s="49" t="inlineStr">
        <is>
          <t>Procedure / work instruction</t>
        </is>
      </c>
      <c r="R140" s="49" t="inlineStr">
        <is>
          <t>Submit and review the named deliverable with RTM traceability and approval status; Calculation/model plus calibrated measurement or recorded trend; Functional design/configuration review and sequence/interface demonstration</t>
        </is>
      </c>
      <c r="S140" s="49" t="inlineStr">
        <is>
          <t>L1 Conceptual Design; L2 Detailed Design</t>
        </is>
      </c>
      <c r="T140" s="49" t="inlineStr">
        <is>
          <t>Section/contract-derived reference; explicit deliverable/test wording</t>
        </is>
      </c>
      <c r="U140" s="60" t="inlineStr">
        <is>
          <t>TBD</t>
        </is>
      </c>
      <c r="V140" s="213" t="n"/>
      <c r="W140" s="49" t="n"/>
    </row>
    <row r="141" ht="92" customHeight="1">
      <c r="A141" s="62" t="n">
        <v>136</v>
      </c>
      <c r="B141" s="62" t="inlineStr">
        <is>
          <t>RTM-078</t>
        </is>
      </c>
      <c r="C141" s="86" t="inlineStr">
        <is>
          <t>SYSTEM</t>
        </is>
      </c>
      <c r="D141" s="87" t="inlineStr">
        <is>
          <t>Performance</t>
        </is>
      </c>
      <c r="E141" s="88" t="inlineStr">
        <is>
          <t>—</t>
        </is>
      </c>
      <c r="F141" s="62" t="inlineStr">
        <is>
          <t>Global Design Criteria</t>
        </is>
      </c>
      <c r="G141" s="92" t="inlineStr">
        <is>
          <t>Inferred: C1 — Performance (medium conf.)</t>
        </is>
      </c>
      <c r="H141" s="62" t="inlineStr">
        <is>
          <t>T1 Primary</t>
        </is>
      </c>
      <c r="I141" s="62" t="n">
        <v>44</v>
      </c>
      <c r="J141" s="62" t="n">
        <v>81.276</v>
      </c>
      <c r="K141" s="62" t="inlineStr">
        <is>
          <t>4.3.5</t>
        </is>
      </c>
      <c r="L141" s="62" t="inlineStr">
        <is>
          <t>Operational Capability Envelope</t>
        </is>
      </c>
      <c r="M141" s="62" t="n">
        <v>41</v>
      </c>
      <c r="N141" s="62" t="inlineStr">
        <is>
          <t>Performance</t>
        </is>
      </c>
      <c r="O141" s="53" t="inlineStr">
        <is>
          <t>The Contractor shall define and document the QPS capability envelopes achievable by its design for the Steady-State Operational Scenarios.</t>
        </is>
      </c>
      <c r="P141" s="53" t="inlineStr">
        <is>
          <t>None explicitly named in this RTM</t>
        </is>
      </c>
      <c r="Q141" s="53" t="inlineStr">
        <is>
          <t>No separate deliverable explicitly named</t>
        </is>
      </c>
      <c r="R141" s="53" t="inlineStr">
        <is>
          <t>Calculation/model plus calibrated measurement or recorded trend; Functional design/configuration review and sequence/interface demonstration; Document review, inspection, certification, audit or traceable QC record</t>
        </is>
      </c>
      <c r="S141" s="53" t="inlineStr">
        <is>
          <t>L1 Conceptual Design; L2 Detailed Design</t>
        </is>
      </c>
      <c r="T141" s="53" t="inlineStr">
        <is>
          <t>Section/contract-derived reference; derived evidence route</t>
        </is>
      </c>
      <c r="U141" s="62" t="inlineStr">
        <is>
          <t>TBD</t>
        </is>
      </c>
      <c r="V141" s="213" t="n"/>
      <c r="W141" s="53" t="n"/>
    </row>
    <row r="142" ht="92" customHeight="1">
      <c r="A142" s="60" t="n">
        <v>137</v>
      </c>
      <c r="B142" s="60" t="inlineStr">
        <is>
          <t>RTM-209</t>
        </is>
      </c>
      <c r="C142" s="89" t="inlineStr">
        <is>
          <t>SYSTEM</t>
        </is>
      </c>
      <c r="D142" s="90" t="inlineStr">
        <is>
          <t>Performance</t>
        </is>
      </c>
      <c r="E142" s="91" t="inlineStr">
        <is>
          <t>—</t>
        </is>
      </c>
      <c r="F142" s="60" t="inlineStr">
        <is>
          <t>Subsystems</t>
        </is>
      </c>
      <c r="G142" s="60" t="inlineStr">
        <is>
          <t>C2 — Process Design</t>
        </is>
      </c>
      <c r="H142" s="60" t="inlineStr">
        <is>
          <t>T1 Primary</t>
        </is>
      </c>
      <c r="I142" s="60" t="n">
        <v>44</v>
      </c>
      <c r="J142" s="60" t="n">
        <v>81.276</v>
      </c>
      <c r="K142" s="60" t="inlineStr">
        <is>
          <t>4.4.4.2.2</t>
        </is>
      </c>
      <c r="L142" s="60" t="inlineStr">
        <is>
          <t>Main Process Heat Exchangers (MPHX)</t>
        </is>
      </c>
      <c r="M142" s="60" t="n">
        <v>56</v>
      </c>
      <c r="N142" s="60" t="inlineStr">
        <is>
          <t>Performance</t>
        </is>
      </c>
      <c r="O142" s="49" t="inlineStr">
        <is>
          <t>For each MPHX, the Contractor shall:</t>
        </is>
      </c>
      <c r="P142" s="49" t="inlineStr">
        <is>
          <t>None explicitly named in this RTM</t>
        </is>
      </c>
      <c r="Q142" s="49" t="inlineStr">
        <is>
          <t>Procedure / work instruction</t>
        </is>
      </c>
      <c r="R142" s="49" t="inlineStr">
        <is>
          <t>Submit and review the named deliverable with RTM traceability and approval status; Calculation/model plus calibrated measurement or recorded trend; Functional design/configuration review and sequence/interface demonstration</t>
        </is>
      </c>
      <c r="S142" s="49" t="inlineStr">
        <is>
          <t>L1 Conceptual Design; L2 Detailed Design</t>
        </is>
      </c>
      <c r="T142" s="49" t="inlineStr">
        <is>
          <t>Section/contract-derived reference; explicit deliverable/test wording</t>
        </is>
      </c>
      <c r="U142" s="60" t="inlineStr">
        <is>
          <t>TBD</t>
        </is>
      </c>
      <c r="V142" s="213" t="n"/>
      <c r="W142" s="49" t="n"/>
    </row>
    <row r="143" ht="92" customHeight="1">
      <c r="A143" s="62" t="n">
        <v>138</v>
      </c>
      <c r="B143" s="62" t="inlineStr">
        <is>
          <t>RTM-389</t>
        </is>
      </c>
      <c r="C143" s="86" t="inlineStr">
        <is>
          <t>SYSTEM</t>
        </is>
      </c>
      <c r="D143" s="87" t="inlineStr">
        <is>
          <t>Control</t>
        </is>
      </c>
      <c r="E143" s="88" t="inlineStr">
        <is>
          <t>—</t>
        </is>
      </c>
      <c r="F143" s="62" t="inlineStr">
        <is>
          <t>Buildings &amp; Utilities</t>
        </is>
      </c>
      <c r="G143" s="62" t="inlineStr">
        <is>
          <t>C5 — Infrastructure &amp; Integration</t>
        </is>
      </c>
      <c r="H143" s="62" t="inlineStr">
        <is>
          <t>T1 Primary</t>
        </is>
      </c>
      <c r="I143" s="62" t="n">
        <v>44</v>
      </c>
      <c r="J143" s="62" t="n">
        <v>81.276</v>
      </c>
      <c r="K143" s="62" t="inlineStr">
        <is>
          <t>4.7.2</t>
        </is>
      </c>
      <c r="L143" s="62" t="inlineStr">
        <is>
          <t>Building</t>
        </is>
      </c>
      <c r="M143" s="62" t="n">
        <v>81</v>
      </c>
      <c r="N143" s="62" t="inlineStr">
        <is>
          <t>Reliability</t>
        </is>
      </c>
      <c r="O143" s="53" t="inlineStr">
        <is>
          <t>The Contractor shall locate the QPS equipment in accordance with the following constraints:</t>
        </is>
      </c>
      <c r="P143" s="53" t="inlineStr">
        <is>
          <t>None explicitly named in this RTM</t>
        </is>
      </c>
      <c r="Q143" s="53" t="inlineStr">
        <is>
          <t>No separate deliverable explicitly named</t>
        </is>
      </c>
      <c r="R143" s="53" t="inlineStr">
        <is>
          <t>Witnessed FAT/SAT/commissioning test against stated acceptance criteria; Functional design/configuration review and sequence/interface demonstration; RAM/maintenance substantiation and recovery/failure-response evidence</t>
        </is>
      </c>
      <c r="S143" s="53" t="inlineStr">
        <is>
          <t>L6 Site Acceptance Testing; L1 Conceptual Design; L2 Detailed Design</t>
        </is>
      </c>
      <c r="T143" s="53" t="inlineStr">
        <is>
          <t>Section/contract-derived reference; derived evidence route</t>
        </is>
      </c>
      <c r="U143" s="62" t="inlineStr">
        <is>
          <t>TBD</t>
        </is>
      </c>
      <c r="V143" s="213" t="n"/>
      <c r="W143" s="53" t="n"/>
    </row>
    <row r="144" ht="92" customHeight="1">
      <c r="A144" s="60" t="n">
        <v>139</v>
      </c>
      <c r="B144" s="60" t="inlineStr">
        <is>
          <t>RTM-545</t>
        </is>
      </c>
      <c r="C144" s="89" t="inlineStr">
        <is>
          <t>PROJECT</t>
        </is>
      </c>
      <c r="D144" s="90" t="inlineStr">
        <is>
          <t>Governance &amp; Responsibility</t>
        </is>
      </c>
      <c r="E144" s="91" t="inlineStr">
        <is>
          <t>—</t>
        </is>
      </c>
      <c r="F144" s="60" t="inlineStr">
        <is>
          <t>Acceptance Testing</t>
        </is>
      </c>
      <c r="G144" s="60" t="inlineStr">
        <is>
          <t>C7 — Quality, Testing &amp; Risk</t>
        </is>
      </c>
      <c r="H144" s="60" t="inlineStr">
        <is>
          <t>T1 Primary</t>
        </is>
      </c>
      <c r="I144" s="60" t="n">
        <v>44</v>
      </c>
      <c r="J144" s="60" t="n">
        <v>81.276</v>
      </c>
      <c r="K144" s="60" t="inlineStr">
        <is>
          <t>4.13.3.4</t>
        </is>
      </c>
      <c r="L144" s="60" t="inlineStr">
        <is>
          <t>Demonstration of operating procedures</t>
        </is>
      </c>
      <c r="M144" s="60" t="n">
        <v>107</v>
      </c>
      <c r="N144" s="60" t="inlineStr">
        <is>
          <t>Reliability</t>
        </is>
      </c>
      <c r="O144" s="49" t="inlineStr">
        <is>
          <t>The Contractor shall demonstrate during the SAT the operational procedures of the QPS that are relevant to operation, maintenance, regeneration, and special site-test conditions.</t>
        </is>
      </c>
      <c r="P144" s="49" t="inlineStr">
        <is>
          <t>None explicitly named in this RTM</t>
        </is>
      </c>
      <c r="Q144" s="49" t="inlineStr">
        <is>
          <t>Procedure / work instruction</t>
        </is>
      </c>
      <c r="R144" s="49" t="inlineStr">
        <is>
          <t>Submit and review the named deliverable with RTM traceability and approval status; Witnessed FAT/SAT/commissioning test against stated acceptance criteria; Functional design/configuration review and sequence/interface demonstration</t>
        </is>
      </c>
      <c r="S144" s="49" t="inlineStr">
        <is>
          <t>L6 Site Acceptance Testing; L1 Conceptual Design; L2 Detailed Design</t>
        </is>
      </c>
      <c r="T144" s="49" t="inlineStr">
        <is>
          <t>Section/contract-derived reference; explicit deliverable/test wording</t>
        </is>
      </c>
      <c r="U144" s="60" t="inlineStr">
        <is>
          <t>TBD</t>
        </is>
      </c>
      <c r="V144" s="213" t="n"/>
      <c r="W144" s="49" t="n"/>
    </row>
    <row r="145" ht="64" customHeight="1">
      <c r="A145" s="62" t="n">
        <v>140</v>
      </c>
      <c r="B145" s="62" t="inlineStr">
        <is>
          <t>RTM-433</t>
        </is>
      </c>
      <c r="C145" s="86" t="inlineStr">
        <is>
          <t>SYSTEM</t>
        </is>
      </c>
      <c r="D145" s="87" t="inlineStr">
        <is>
          <t>Performance</t>
        </is>
      </c>
      <c r="E145" s="88" t="inlineStr">
        <is>
          <t>—</t>
        </is>
      </c>
      <c r="F145" s="62" t="inlineStr">
        <is>
          <t>Buildings &amp; Utilities</t>
        </is>
      </c>
      <c r="G145" s="92" t="inlineStr">
        <is>
          <t>Inferred: C5 — Infrastructure &amp; Integration (high conf.)</t>
        </is>
      </c>
      <c r="H145" s="62" t="inlineStr">
        <is>
          <t>T1 Primary</t>
        </is>
      </c>
      <c r="I145" s="62" t="n">
        <v>43.3333</v>
      </c>
      <c r="J145" s="62" t="n">
        <v>80.5825</v>
      </c>
      <c r="K145" s="62" t="inlineStr">
        <is>
          <t>4.7.5.1</t>
        </is>
      </c>
      <c r="L145" s="62" t="inlineStr">
        <is>
          <t>LOOP event</t>
        </is>
      </c>
      <c r="M145" s="62" t="n">
        <v>86</v>
      </c>
      <c r="N145" s="62" t="inlineStr">
        <is>
          <t>Reliability</t>
        </is>
      </c>
      <c r="O145" s="53" t="inlineStr">
        <is>
          <t>The QPS shall include a backup system capable of providing the instrument air required to support helium recovery operations during a LOOP event.</t>
        </is>
      </c>
      <c r="P145" s="53" t="inlineStr">
        <is>
          <t>None explicitly named in this RTM</t>
        </is>
      </c>
      <c r="Q145" s="53" t="inlineStr">
        <is>
          <t>No separate deliverable explicitly named</t>
        </is>
      </c>
      <c r="R145" s="53" t="inlineStr">
        <is>
          <t>Calculation/model plus calibrated measurement or recorded trend; RAM/maintenance substantiation and recovery/failure-response evidence</t>
        </is>
      </c>
      <c r="S145" s="53" t="inlineStr">
        <is>
          <t>L1 Conceptual Design; L2 Detailed Design</t>
        </is>
      </c>
      <c r="T145" s="53" t="inlineStr">
        <is>
          <t>Section/contract-derived reference; derived evidence route</t>
        </is>
      </c>
      <c r="U145" s="62" t="inlineStr">
        <is>
          <t>TBD</t>
        </is>
      </c>
      <c r="V145" s="213" t="n"/>
      <c r="W145" s="53" t="n"/>
    </row>
    <row r="146" ht="92" customHeight="1">
      <c r="A146" s="60" t="n">
        <v>141</v>
      </c>
      <c r="B146" s="60" t="inlineStr">
        <is>
          <t>RTM-015</t>
        </is>
      </c>
      <c r="C146" s="89" t="inlineStr">
        <is>
          <t>SAFETY</t>
        </is>
      </c>
      <c r="D146" s="90" t="inlineStr">
        <is>
          <t>Interlock &amp; Control Safety</t>
        </is>
      </c>
      <c r="E146" s="91" t="inlineStr">
        <is>
          <t>—</t>
        </is>
      </c>
      <c r="F146" s="60" t="inlineStr">
        <is>
          <t>Process &amp; Functional</t>
        </is>
      </c>
      <c r="G146" s="85" t="inlineStr">
        <is>
          <t>Inferred: C2 — Process Design (low conf.)</t>
        </is>
      </c>
      <c r="H146" s="60" t="inlineStr">
        <is>
          <t>T1 Primary</t>
        </is>
      </c>
      <c r="I146" s="60" t="n">
        <v>43.3333</v>
      </c>
      <c r="J146" s="60" t="n">
        <v>80.5825</v>
      </c>
      <c r="K146" s="60" t="inlineStr">
        <is>
          <t>4.2.2</t>
        </is>
      </c>
      <c r="L146" s="60" t="inlineStr">
        <is>
          <t>Operational Scenarios and Transitions</t>
        </is>
      </c>
      <c r="M146" s="60" t="n">
        <v>28</v>
      </c>
      <c r="N146" s="60" t="inlineStr">
        <is>
          <t>Performance</t>
        </is>
      </c>
      <c r="O146" s="49" t="inlineStr">
        <is>
          <t>The Contractor shall progressively define the detailed implementation of each specified operational scenario and transition during Basic and Detailed Design. This shall include, for each scenario and sub step, at minimum:</t>
        </is>
      </c>
      <c r="P146" s="49" t="inlineStr">
        <is>
          <t>None explicitly named in this RTM</t>
        </is>
      </c>
      <c r="Q146" s="49" t="inlineStr">
        <is>
          <t>No separate deliverable explicitly named</t>
        </is>
      </c>
      <c r="R146" s="49" t="inlineStr">
        <is>
          <t>Calculation/model plus calibrated measurement or recorded trend; Functional design/configuration review and sequence/interface demonstration</t>
        </is>
      </c>
      <c r="S146" s="49" t="inlineStr">
        <is>
          <t>L2 Detailed Design; L1 Conceptual Design</t>
        </is>
      </c>
      <c r="T146" s="49" t="inlineStr">
        <is>
          <t>Section/contract-derived reference; derived evidence route</t>
        </is>
      </c>
      <c r="U146" s="60" t="inlineStr">
        <is>
          <t>TBD</t>
        </is>
      </c>
      <c r="V146" s="213" t="n"/>
      <c r="W146" s="49" t="n"/>
    </row>
    <row r="147" ht="64" customHeight="1">
      <c r="A147" s="62" t="n">
        <v>142</v>
      </c>
      <c r="B147" s="62" t="inlineStr">
        <is>
          <t>RTM-333</t>
        </is>
      </c>
      <c r="C147" s="86" t="inlineStr">
        <is>
          <t>SYSTEM</t>
        </is>
      </c>
      <c r="D147" s="87" t="inlineStr">
        <is>
          <t>Performance</t>
        </is>
      </c>
      <c r="E147" s="88" t="inlineStr">
        <is>
          <t>—</t>
        </is>
      </c>
      <c r="F147" s="62" t="inlineStr">
        <is>
          <t>Control &amp; Interlock</t>
        </is>
      </c>
      <c r="G147" s="92" t="inlineStr">
        <is>
          <t>Inferred: C4 — Software &amp; Control (high conf.)</t>
        </is>
      </c>
      <c r="H147" s="62" t="inlineStr">
        <is>
          <t>T1 Primary</t>
        </is>
      </c>
      <c r="I147" s="62" t="n">
        <v>43.3333</v>
      </c>
      <c r="J147" s="62" t="n">
        <v>80.5825</v>
      </c>
      <c r="K147" s="62" t="inlineStr">
        <is>
          <t>4.6.6</t>
        </is>
      </c>
      <c r="L147" s="62" t="inlineStr">
        <is>
          <t>User and Maintenance Manuals</t>
        </is>
      </c>
      <c r="M147" s="62" t="n">
        <v>75</v>
      </c>
      <c r="N147" s="62" t="inlineStr">
        <is>
          <t>Functional</t>
        </is>
      </c>
      <c r="O147" s="53" t="inlineStr">
        <is>
          <t>The manuals shall include, at minimum:</t>
        </is>
      </c>
      <c r="P147" s="53" t="inlineStr">
        <is>
          <t>None explicitly named in this RTM</t>
        </is>
      </c>
      <c r="Q147" s="53" t="inlineStr">
        <is>
          <t>No separate deliverable explicitly named</t>
        </is>
      </c>
      <c r="R147" s="53" t="inlineStr">
        <is>
          <t>RAM/maintenance substantiation and recovery/failure-response evidence; Document review, inspection, certification, audit or traceable QC record</t>
        </is>
      </c>
      <c r="S147" s="53" t="inlineStr">
        <is>
          <t>L1 Conceptual Design; L2 Detailed Design</t>
        </is>
      </c>
      <c r="T147" s="53" t="inlineStr">
        <is>
          <t>Section/contract-derived reference; derived evidence route</t>
        </is>
      </c>
      <c r="U147" s="62" t="inlineStr">
        <is>
          <t>TBD</t>
        </is>
      </c>
      <c r="V147" s="213" t="n"/>
      <c r="W147" s="53" t="n"/>
    </row>
    <row r="148" ht="78" customHeight="1">
      <c r="A148" s="60" t="n">
        <v>143</v>
      </c>
      <c r="B148" s="60" t="inlineStr">
        <is>
          <t>RTM-109</t>
        </is>
      </c>
      <c r="C148" s="89" t="inlineStr">
        <is>
          <t>SYSTEM</t>
        </is>
      </c>
      <c r="D148" s="90" t="inlineStr">
        <is>
          <t>Performance</t>
        </is>
      </c>
      <c r="E148" s="91" t="inlineStr">
        <is>
          <t>—</t>
        </is>
      </c>
      <c r="F148" s="60" t="inlineStr">
        <is>
          <t>Subsystems</t>
        </is>
      </c>
      <c r="G148" s="85" t="inlineStr">
        <is>
          <t>Inferred: C2 — Process Design (low conf.)</t>
        </is>
      </c>
      <c r="H148" s="60" t="inlineStr">
        <is>
          <t>T1 Primary</t>
        </is>
      </c>
      <c r="I148" s="60" t="n">
        <v>42.6667</v>
      </c>
      <c r="J148" s="60" t="n">
        <v>80.1664</v>
      </c>
      <c r="K148" s="60" t="inlineStr">
        <is>
          <t>4.4.2.2</t>
        </is>
      </c>
      <c r="L148" s="60" t="inlineStr">
        <is>
          <t>Electrical Heaters</t>
        </is>
      </c>
      <c r="M148" s="60" t="n">
        <v>45</v>
      </c>
      <c r="N148" s="60" t="inlineStr">
        <is>
          <t>Performance</t>
        </is>
      </c>
      <c r="O148" s="49" t="inlineStr">
        <is>
          <t>The heaters and associated electrical wiring shall be designed to minimise parasitic heat loads to cold surfaces through appropriate thermalisation and optimised wiring routing and diameters.</t>
        </is>
      </c>
      <c r="P148" s="49" t="inlineStr">
        <is>
          <t>None explicitly named in this RTM</t>
        </is>
      </c>
      <c r="Q148" s="49" t="inlineStr">
        <is>
          <t>No separate deliverable explicitly named</t>
        </is>
      </c>
      <c r="R148" s="49" t="inlineStr">
        <is>
          <t>Witnessed FAT/SAT/commissioning test against stated acceptance criteria; Calculation/model plus calibrated measurement or recorded trend</t>
        </is>
      </c>
      <c r="S148" s="49" t="inlineStr">
        <is>
          <t>L6 Site Acceptance Testing; L1 Conceptual Design; L2 Detailed Design</t>
        </is>
      </c>
      <c r="T148" s="49" t="inlineStr">
        <is>
          <t>Section/contract-derived reference; derived evidence route</t>
        </is>
      </c>
      <c r="U148" s="60" t="inlineStr">
        <is>
          <t>TBD</t>
        </is>
      </c>
      <c r="V148" s="213" t="n"/>
      <c r="W148" s="49" t="n"/>
    </row>
    <row r="149" ht="92" customHeight="1">
      <c r="A149" s="62" t="n">
        <v>144</v>
      </c>
      <c r="B149" s="62" t="inlineStr">
        <is>
          <t>RTM-092</t>
        </is>
      </c>
      <c r="C149" s="86" t="inlineStr">
        <is>
          <t>SYSTEM</t>
        </is>
      </c>
      <c r="D149" s="87" t="inlineStr">
        <is>
          <t>Control</t>
        </is>
      </c>
      <c r="E149" s="88" t="inlineStr">
        <is>
          <t>—</t>
        </is>
      </c>
      <c r="F149" s="62" t="inlineStr">
        <is>
          <t>Subsystems</t>
        </is>
      </c>
      <c r="G149" s="92" t="inlineStr">
        <is>
          <t>Inferred: C2 — Process Design (low conf.)</t>
        </is>
      </c>
      <c r="H149" s="62" t="inlineStr">
        <is>
          <t>T1 Primary</t>
        </is>
      </c>
      <c r="I149" s="62" t="n">
        <v>42.6667</v>
      </c>
      <c r="J149" s="62" t="n">
        <v>80.1664</v>
      </c>
      <c r="K149" s="62" t="inlineStr">
        <is>
          <t>4.4.2</t>
        </is>
      </c>
      <c r="L149" s="62" t="inlineStr">
        <is>
          <t>Common Instrumentation Parts</t>
        </is>
      </c>
      <c r="M149" s="62" t="n">
        <v>44</v>
      </c>
      <c r="N149" s="62" t="inlineStr">
        <is>
          <t>Functional</t>
        </is>
      </c>
      <c r="O149" s="53" t="inlineStr">
        <is>
          <t>The Contractor shall provide and install all instrumentation required to:</t>
        </is>
      </c>
      <c r="P149" s="53" t="inlineStr">
        <is>
          <t>None explicitly named in this RTM</t>
        </is>
      </c>
      <c r="Q149" s="53" t="inlineStr">
        <is>
          <t>No separate deliverable explicitly named</t>
        </is>
      </c>
      <c r="R149" s="53" t="inlineStr">
        <is>
          <t>Witnessed FAT/SAT/commissioning test against stated acceptance criteria; Calculation/model plus calibrated measurement or recorded trend; Functional design/configuration review and sequence/interface demonstration</t>
        </is>
      </c>
      <c r="S149" s="53" t="inlineStr">
        <is>
          <t>L1 Conceptual Design; L2 Detailed Design</t>
        </is>
      </c>
      <c r="T149" s="53" t="inlineStr">
        <is>
          <t>Section/contract-derived reference; explicit deliverable/test wording</t>
        </is>
      </c>
      <c r="U149" s="62" t="inlineStr">
        <is>
          <t>TBD</t>
        </is>
      </c>
      <c r="V149" s="213" t="n"/>
      <c r="W149" s="53" t="n"/>
    </row>
    <row r="150" ht="92" customHeight="1">
      <c r="A150" s="60" t="n">
        <v>145</v>
      </c>
      <c r="B150" s="60" t="inlineStr">
        <is>
          <t>RTM-313</t>
        </is>
      </c>
      <c r="C150" s="89" t="inlineStr">
        <is>
          <t>SYSTEM</t>
        </is>
      </c>
      <c r="D150" s="90" t="inlineStr">
        <is>
          <t>Performance</t>
        </is>
      </c>
      <c r="E150" s="91" t="inlineStr">
        <is>
          <t>—</t>
        </is>
      </c>
      <c r="F150" s="60" t="inlineStr">
        <is>
          <t>Control &amp; Interlock</t>
        </is>
      </c>
      <c r="G150" s="85" t="inlineStr">
        <is>
          <t>Inferred: C4 — Software &amp; Control (high conf.)</t>
        </is>
      </c>
      <c r="H150" s="60" t="inlineStr">
        <is>
          <t>T1 Primary</t>
        </is>
      </c>
      <c r="I150" s="60" t="n">
        <v>42.6667</v>
      </c>
      <c r="J150" s="60" t="n">
        <v>80.1664</v>
      </c>
      <c r="K150" s="60" t="inlineStr">
        <is>
          <t>4.6.4.3</t>
        </is>
      </c>
      <c r="L150" s="60" t="inlineStr">
        <is>
          <t>MIT Services Integration</t>
        </is>
      </c>
      <c r="M150" s="60" t="n">
        <v>73</v>
      </c>
      <c r="N150" s="60" t="inlineStr">
        <is>
          <t>Functional</t>
        </is>
      </c>
      <c r="O150" s="49" t="inlineStr">
        <is>
          <t>Where backup of a system is required, the Contractor shall define the QAP</t>
        </is>
      </c>
      <c r="P150" s="49" t="inlineStr">
        <is>
          <t>None explicitly named in this RTM</t>
        </is>
      </c>
      <c r="Q150" s="49" t="inlineStr">
        <is>
          <t>Quality Assurance Plan (QAP); List / register / matrix</t>
        </is>
      </c>
      <c r="R150" s="49" t="inlineStr">
        <is>
          <t>Submit and review the named deliverable with RTM traceability and approval status; RAM/maintenance substantiation and recovery/failure-response evidence; Document review, inspection, certification, audit or traceable QC record</t>
        </is>
      </c>
      <c r="S150" s="49" t="inlineStr">
        <is>
          <t>L1 Conceptual Design; L2 Detailed Design</t>
        </is>
      </c>
      <c r="T150" s="49" t="inlineStr">
        <is>
          <t>Section/contract-derived reference; explicit deliverable/test wording</t>
        </is>
      </c>
      <c r="U150" s="60" t="inlineStr">
        <is>
          <t>TBD</t>
        </is>
      </c>
      <c r="V150" s="213" t="n"/>
      <c r="W150" s="49" t="n"/>
    </row>
    <row r="151" ht="64" customHeight="1">
      <c r="A151" s="62" t="n">
        <v>146</v>
      </c>
      <c r="B151" s="62" t="inlineStr">
        <is>
          <t>RTM-042</t>
        </is>
      </c>
      <c r="C151" s="86" t="inlineStr">
        <is>
          <t>SYSTEM</t>
        </is>
      </c>
      <c r="D151" s="87" t="inlineStr">
        <is>
          <t>Control</t>
        </is>
      </c>
      <c r="E151" s="88" t="inlineStr">
        <is>
          <t>—</t>
        </is>
      </c>
      <c r="F151" s="62" t="inlineStr">
        <is>
          <t>Process &amp; Functional</t>
        </is>
      </c>
      <c r="G151" s="62" t="inlineStr">
        <is>
          <t>C2 — Process Design</t>
        </is>
      </c>
      <c r="H151" s="62" t="inlineStr">
        <is>
          <t>T1 Primary</t>
        </is>
      </c>
      <c r="I151" s="62" t="n">
        <v>42</v>
      </c>
      <c r="J151" s="62" t="n">
        <v>79.5423</v>
      </c>
      <c r="K151" s="62" t="inlineStr">
        <is>
          <t>4.2.4</t>
        </is>
      </c>
      <c r="L151" s="62" t="inlineStr">
        <is>
          <t>Cooling Capacity</t>
        </is>
      </c>
      <c r="M151" s="62" t="n">
        <v>34</v>
      </c>
      <c r="N151" s="62" t="inlineStr">
        <is>
          <t>Reliability</t>
        </is>
      </c>
      <c r="O151" s="53" t="inlineStr">
        <is>
          <t>The QPS shall be capable of continuous operation at the specified Design Cooling Capacity, while meeting the stability requirements defined in the operational conditions.</t>
        </is>
      </c>
      <c r="P151" s="53" t="inlineStr">
        <is>
          <t>None explicitly named in this RTM</t>
        </is>
      </c>
      <c r="Q151" s="53" t="inlineStr">
        <is>
          <t>No separate deliverable explicitly named</t>
        </is>
      </c>
      <c r="R151" s="53" t="inlineStr">
        <is>
          <t>Calculation/model plus calibrated measurement or recorded trend; RAM/maintenance substantiation and recovery/failure-response evidence</t>
        </is>
      </c>
      <c r="S151" s="53" t="inlineStr">
        <is>
          <t>L1 Conceptual Design; L2 Detailed Design</t>
        </is>
      </c>
      <c r="T151" s="53" t="inlineStr">
        <is>
          <t>Section/contract-derived reference; derived evidence route</t>
        </is>
      </c>
      <c r="U151" s="62" t="inlineStr">
        <is>
          <t>TBD</t>
        </is>
      </c>
      <c r="V151" s="213" t="n"/>
      <c r="W151" s="53" t="n"/>
    </row>
    <row r="152" ht="64" customHeight="1">
      <c r="A152" s="60" t="n">
        <v>147</v>
      </c>
      <c r="B152" s="60" t="inlineStr">
        <is>
          <t>RTM-052</t>
        </is>
      </c>
      <c r="C152" s="89" t="inlineStr">
        <is>
          <t>SYSTEM</t>
        </is>
      </c>
      <c r="D152" s="90" t="inlineStr">
        <is>
          <t>Performance</t>
        </is>
      </c>
      <c r="E152" s="91" t="inlineStr">
        <is>
          <t>—</t>
        </is>
      </c>
      <c r="F152" s="60" t="inlineStr">
        <is>
          <t>Process &amp; Functional</t>
        </is>
      </c>
      <c r="G152" s="85" t="inlineStr">
        <is>
          <t>Inferred: C2 — Process Design (low conf.)</t>
        </is>
      </c>
      <c r="H152" s="60" t="inlineStr">
        <is>
          <t>T1 Primary</t>
        </is>
      </c>
      <c r="I152" s="60" t="n">
        <v>42</v>
      </c>
      <c r="J152" s="60" t="n">
        <v>79.5423</v>
      </c>
      <c r="K152" s="60" t="inlineStr">
        <is>
          <t>4.2.6</t>
        </is>
      </c>
      <c r="L152" s="60" t="inlineStr">
        <is>
          <t>Abnormal event</t>
        </is>
      </c>
      <c r="M152" s="60" t="n">
        <v>36</v>
      </c>
      <c r="N152" s="60" t="inlineStr">
        <is>
          <t>Reliability</t>
        </is>
      </c>
      <c r="O152" s="49" t="inlineStr">
        <is>
          <t>The QPS design shall consider the following abnormal events affecting the cryogenic system of the QPS:</t>
        </is>
      </c>
      <c r="P152" s="49" t="inlineStr">
        <is>
          <t>None explicitly named in this RTM</t>
        </is>
      </c>
      <c r="Q152" s="49" t="inlineStr">
        <is>
          <t>No separate deliverable explicitly named</t>
        </is>
      </c>
      <c r="R152" s="49" t="inlineStr">
        <is>
          <t>Calculation/model plus calibrated measurement or recorded trend; RAM/maintenance substantiation and recovery/failure-response evidence</t>
        </is>
      </c>
      <c r="S152" s="49" t="inlineStr">
        <is>
          <t>L1 Conceptual Design; L2 Detailed Design</t>
        </is>
      </c>
      <c r="T152" s="49" t="inlineStr">
        <is>
          <t>Section/contract-derived reference; derived evidence route</t>
        </is>
      </c>
      <c r="U152" s="60" t="inlineStr">
        <is>
          <t>TBD</t>
        </is>
      </c>
      <c r="V152" s="213" t="n"/>
      <c r="W152" s="49" t="n"/>
    </row>
    <row r="153" ht="50" customHeight="1">
      <c r="A153" s="62" t="n">
        <v>148</v>
      </c>
      <c r="B153" s="62" t="inlineStr">
        <is>
          <t>RTM-226</t>
        </is>
      </c>
      <c r="C153" s="86" t="inlineStr">
        <is>
          <t>SYSTEM</t>
        </is>
      </c>
      <c r="D153" s="87" t="inlineStr">
        <is>
          <t>Control</t>
        </is>
      </c>
      <c r="E153" s="88" t="inlineStr">
        <is>
          <t>—</t>
        </is>
      </c>
      <c r="F153" s="62" t="inlineStr">
        <is>
          <t>Subsystems</t>
        </is>
      </c>
      <c r="G153" s="92" t="inlineStr">
        <is>
          <t>Inferred: C2 — Process Design (low conf.)</t>
        </is>
      </c>
      <c r="H153" s="62" t="inlineStr">
        <is>
          <t>T1 Primary</t>
        </is>
      </c>
      <c r="I153" s="62" t="n">
        <v>42</v>
      </c>
      <c r="J153" s="62" t="n">
        <v>79.5423</v>
      </c>
      <c r="K153" s="62" t="inlineStr">
        <is>
          <t>4.4.4.2.6</t>
        </is>
      </c>
      <c r="L153" s="62" t="inlineStr">
        <is>
          <t>Adsorbers</t>
        </is>
      </c>
      <c r="M153" s="62" t="n">
        <v>58</v>
      </c>
      <c r="N153" s="62" t="inlineStr">
        <is>
          <t>Performance</t>
        </is>
      </c>
      <c r="O153" s="53" t="inlineStr">
        <is>
          <t>The QRB shall include 20K and 80 K adsorbers to remove impurities. All adsorbers shall comply with the following requirements:</t>
        </is>
      </c>
      <c r="P153" s="53" t="inlineStr">
        <is>
          <t>None explicitly named in this RTM</t>
        </is>
      </c>
      <c r="Q153" s="53" t="inlineStr">
        <is>
          <t>No separate deliverable explicitly named</t>
        </is>
      </c>
      <c r="R153" s="53" t="inlineStr">
        <is>
          <t>Calculation/model plus calibrated measurement or recorded trend</t>
        </is>
      </c>
      <c r="S153" s="53" t="inlineStr">
        <is>
          <t>L1 Conceptual Design; L2 Detailed Design</t>
        </is>
      </c>
      <c r="T153" s="53" t="inlineStr">
        <is>
          <t>Section/contract-derived reference; derived evidence route</t>
        </is>
      </c>
      <c r="U153" s="62" t="inlineStr">
        <is>
          <t>TBD</t>
        </is>
      </c>
      <c r="V153" s="213" t="n"/>
      <c r="W153" s="53" t="n"/>
    </row>
    <row r="154" ht="92" customHeight="1">
      <c r="A154" s="60" t="n">
        <v>149</v>
      </c>
      <c r="B154" s="60" t="inlineStr">
        <is>
          <t>RTM-484</t>
        </is>
      </c>
      <c r="C154" s="89" t="inlineStr">
        <is>
          <t>PROJECT</t>
        </is>
      </c>
      <c r="D154" s="90" t="inlineStr">
        <is>
          <t>Governance &amp; Responsibility</t>
        </is>
      </c>
      <c r="E154" s="91" t="inlineStr">
        <is>
          <t>—</t>
        </is>
      </c>
      <c r="F154" s="60" t="inlineStr">
        <is>
          <t>Training</t>
        </is>
      </c>
      <c r="G154" s="60" t="inlineStr">
        <is>
          <t>C6 — Reliability &amp; Maintenance</t>
        </is>
      </c>
      <c r="H154" s="60" t="inlineStr">
        <is>
          <t>T1 Primary</t>
        </is>
      </c>
      <c r="I154" s="60" t="n">
        <v>42</v>
      </c>
      <c r="J154" s="60" t="n">
        <v>79.5423</v>
      </c>
      <c r="K154" s="60" t="inlineStr">
        <is>
          <t>4.12.1</t>
        </is>
      </c>
      <c r="L154" s="60" t="inlineStr">
        <is>
          <t>Training and Competence Transfer</t>
        </is>
      </c>
      <c r="M154" s="60" t="n">
        <v>94</v>
      </c>
      <c r="N154" s="60" t="inlineStr">
        <is>
          <t>Functional</t>
        </is>
      </c>
      <c r="O154" s="49" t="inlineStr">
        <is>
          <t>The Contractor shall prepare and execute a training programme.</t>
        </is>
      </c>
      <c r="P154" s="49" t="inlineStr">
        <is>
          <t>None explicitly named in this RTM</t>
        </is>
      </c>
      <c r="Q154" s="49" t="inlineStr">
        <is>
          <t>Training Programme / Materials</t>
        </is>
      </c>
      <c r="R154" s="49" t="inlineStr">
        <is>
          <t>Submit and review the named deliverable with RTM traceability and approval status; Witnessed FAT/SAT/commissioning test against stated acceptance criteria; RAM/maintenance substantiation and recovery/failure-response evidence</t>
        </is>
      </c>
      <c r="S154" s="49" t="inlineStr">
        <is>
          <t>L4 Installation; L1 Conceptual Design; L2 Detailed Design</t>
        </is>
      </c>
      <c r="T154" s="49" t="inlineStr">
        <is>
          <t>Section/contract-derived reference; explicit deliverable/test wording</t>
        </is>
      </c>
      <c r="U154" s="60" t="inlineStr">
        <is>
          <t>TBD</t>
        </is>
      </c>
      <c r="V154" s="213" t="n"/>
      <c r="W154" s="49" t="n"/>
    </row>
    <row r="155" ht="92" customHeight="1">
      <c r="A155" s="62" t="n">
        <v>150</v>
      </c>
      <c r="B155" s="62" t="inlineStr">
        <is>
          <t>RTM-511</t>
        </is>
      </c>
      <c r="C155" s="86" t="inlineStr">
        <is>
          <t>PROJECT</t>
        </is>
      </c>
      <c r="D155" s="87" t="inlineStr">
        <is>
          <t>Governance &amp; Responsibility</t>
        </is>
      </c>
      <c r="E155" s="88" t="inlineStr">
        <is>
          <t>—</t>
        </is>
      </c>
      <c r="F155" s="62" t="inlineStr">
        <is>
          <t>Acceptance Testing</t>
        </is>
      </c>
      <c r="G155" s="62" t="inlineStr">
        <is>
          <t>C7 — Quality, Testing &amp; Risk</t>
        </is>
      </c>
      <c r="H155" s="62" t="inlineStr">
        <is>
          <t>T1 Primary</t>
        </is>
      </c>
      <c r="I155" s="62" t="n">
        <v>42</v>
      </c>
      <c r="J155" s="62" t="n">
        <v>79.5423</v>
      </c>
      <c r="K155" s="62" t="inlineStr">
        <is>
          <t>4.13.3.1</t>
        </is>
      </c>
      <c r="L155" s="62" t="inlineStr">
        <is>
          <t>Demonstration of functional behaviour and operability</t>
        </is>
      </c>
      <c r="M155" s="62" t="n">
        <v>99</v>
      </c>
      <c r="N155" s="62" t="inlineStr">
        <is>
          <t>Functional</t>
        </is>
      </c>
      <c r="O155" s="53" t="inlineStr">
        <is>
          <t>The Contractor shall demonstrate the correct functioning of the QPS control sequences, alarms, protections, and interlocks. This shall include, at minimum:</t>
        </is>
      </c>
      <c r="P155" s="53" t="inlineStr">
        <is>
          <t>None explicitly named in this RTM</t>
        </is>
      </c>
      <c r="Q155" s="53" t="inlineStr">
        <is>
          <t>No separate deliverable explicitly named</t>
        </is>
      </c>
      <c r="R155" s="53" t="inlineStr">
        <is>
          <t>Witnessed FAT/SAT/commissioning test against stated acceptance criteria; Functional design/configuration review and sequence/interface demonstration; Document review, inspection, certification, audit or traceable QC record</t>
        </is>
      </c>
      <c r="S155" s="53" t="inlineStr">
        <is>
          <t>L1 Conceptual Design; L2 Detailed Design</t>
        </is>
      </c>
      <c r="T155" s="53" t="inlineStr">
        <is>
          <t>Section/contract-derived reference; explicit deliverable/test wording</t>
        </is>
      </c>
      <c r="U155" s="62" t="inlineStr">
        <is>
          <t>TBD</t>
        </is>
      </c>
      <c r="V155" s="213" t="n"/>
      <c r="W155" s="53" t="n"/>
    </row>
    <row r="156" ht="64" customHeight="1">
      <c r="A156" s="60" t="n">
        <v>151</v>
      </c>
      <c r="B156" s="60" t="inlineStr">
        <is>
          <t>RTM-513</t>
        </is>
      </c>
      <c r="C156" s="89" t="inlineStr">
        <is>
          <t>PROJECT</t>
        </is>
      </c>
      <c r="D156" s="90" t="inlineStr">
        <is>
          <t>Governance &amp; Responsibility</t>
        </is>
      </c>
      <c r="E156" s="91" t="inlineStr">
        <is>
          <t>—</t>
        </is>
      </c>
      <c r="F156" s="60" t="inlineStr">
        <is>
          <t>Acceptance Testing</t>
        </is>
      </c>
      <c r="G156" s="60" t="inlineStr">
        <is>
          <t>C7 — Quality, Testing &amp; Risk</t>
        </is>
      </c>
      <c r="H156" s="60" t="inlineStr">
        <is>
          <t>T1 Primary</t>
        </is>
      </c>
      <c r="I156" s="60" t="n">
        <v>42</v>
      </c>
      <c r="J156" s="60" t="n">
        <v>79.5423</v>
      </c>
      <c r="K156" s="60" t="inlineStr">
        <is>
          <t>4.13.3.1</t>
        </is>
      </c>
      <c r="L156" s="60" t="inlineStr">
        <is>
          <t>Demonstration of functional behaviour and operability</t>
        </is>
      </c>
      <c r="M156" s="60" t="n">
        <v>99</v>
      </c>
      <c r="N156" s="60" t="inlineStr">
        <is>
          <t>Functional</t>
        </is>
      </c>
      <c r="O156" s="49" t="inlineStr">
        <is>
          <t>The Contractor shall perform stress tests under controlled SAT conditions to demonstrate the robustness of the QPS control and protection functions under perturbed operation.</t>
        </is>
      </c>
      <c r="P156" s="49" t="inlineStr">
        <is>
          <t>None explicitly named in this RTM</t>
        </is>
      </c>
      <c r="Q156" s="49" t="inlineStr">
        <is>
          <t>No separate deliverable explicitly named</t>
        </is>
      </c>
      <c r="R156" s="49" t="inlineStr">
        <is>
          <t>Witnessed FAT/SAT/commissioning test against stated acceptance criteria; Functional design/configuration review and sequence/interface demonstration</t>
        </is>
      </c>
      <c r="S156" s="49" t="inlineStr">
        <is>
          <t>L6 Site Acceptance Testing; L1 Conceptual Design; L2 Detailed Design</t>
        </is>
      </c>
      <c r="T156" s="49" t="inlineStr">
        <is>
          <t>Section/contract-derived reference; explicit deliverable/test wording</t>
        </is>
      </c>
      <c r="U156" s="60" t="inlineStr">
        <is>
          <t>TBD</t>
        </is>
      </c>
      <c r="V156" s="213" t="n"/>
      <c r="W156" s="49" t="n"/>
    </row>
    <row r="157" ht="64" customHeight="1">
      <c r="A157" s="62" t="n">
        <v>152</v>
      </c>
      <c r="B157" s="62" t="inlineStr">
        <is>
          <t>RTM-036</t>
        </is>
      </c>
      <c r="C157" s="86" t="inlineStr">
        <is>
          <t>SYSTEM</t>
        </is>
      </c>
      <c r="D157" s="87" t="inlineStr">
        <is>
          <t>Performance</t>
        </is>
      </c>
      <c r="E157" s="88" t="inlineStr">
        <is>
          <t>—</t>
        </is>
      </c>
      <c r="F157" s="62" t="inlineStr">
        <is>
          <t>Process &amp; Functional</t>
        </is>
      </c>
      <c r="G157" s="92" t="inlineStr">
        <is>
          <t>Inferred: C2 — Process Design (low conf.)</t>
        </is>
      </c>
      <c r="H157" s="62" t="inlineStr">
        <is>
          <t>T1 Primary</t>
        </is>
      </c>
      <c r="I157" s="62" t="n">
        <v>41.3333</v>
      </c>
      <c r="J157" s="62" t="n">
        <v>78.6408</v>
      </c>
      <c r="K157" s="62" t="inlineStr">
        <is>
          <t>4.2.3</t>
        </is>
      </c>
      <c r="L157" s="62" t="inlineStr">
        <is>
          <t>Operational Condition Ranges</t>
        </is>
      </c>
      <c r="M157" s="62" t="n">
        <v>32</v>
      </c>
      <c r="N157" s="62" t="inlineStr">
        <is>
          <t>Performance</t>
        </is>
      </c>
      <c r="O157" s="53" t="inlineStr">
        <is>
          <t>The QPS shall be capable of accommodating step changes in the cavity heat load Q_CAV during the 2K-OP scenario.</t>
        </is>
      </c>
      <c r="P157" s="53" t="inlineStr">
        <is>
          <t>None explicitly named in this RTM</t>
        </is>
      </c>
      <c r="Q157" s="53" t="inlineStr">
        <is>
          <t>No separate deliverable explicitly named</t>
        </is>
      </c>
      <c r="R157" s="53" t="inlineStr">
        <is>
          <t>Calculation/model plus calibrated measurement or recorded trend; Document review, inspection, certification, audit or traceable QC record</t>
        </is>
      </c>
      <c r="S157" s="53" t="inlineStr">
        <is>
          <t>L1 Conceptual Design; L2 Detailed Design</t>
        </is>
      </c>
      <c r="T157" s="53" t="inlineStr">
        <is>
          <t>Section/contract-derived reference; derived evidence route</t>
        </is>
      </c>
      <c r="U157" s="62" t="inlineStr">
        <is>
          <t>TBD</t>
        </is>
      </c>
      <c r="V157" s="213" t="n"/>
      <c r="W157" s="53" t="n"/>
    </row>
    <row r="158" ht="92" customHeight="1">
      <c r="A158" s="60" t="n">
        <v>153</v>
      </c>
      <c r="B158" s="60" t="inlineStr">
        <is>
          <t>RTM-198</t>
        </is>
      </c>
      <c r="C158" s="89" t="inlineStr">
        <is>
          <t>SYSTEM</t>
        </is>
      </c>
      <c r="D158" s="90" t="inlineStr">
        <is>
          <t>Performance</t>
        </is>
      </c>
      <c r="E158" s="91" t="inlineStr">
        <is>
          <t>—</t>
        </is>
      </c>
      <c r="F158" s="60" t="inlineStr">
        <is>
          <t>Subsystems</t>
        </is>
      </c>
      <c r="G158" s="85" t="inlineStr">
        <is>
          <t>Inferred: C3 — Mechanical &amp; Equipment (medium conf.)</t>
        </is>
      </c>
      <c r="H158" s="60" t="inlineStr">
        <is>
          <t>T1 Primary</t>
        </is>
      </c>
      <c r="I158" s="60" t="n">
        <v>41.3333</v>
      </c>
      <c r="J158" s="60" t="n">
        <v>78.6408</v>
      </c>
      <c r="K158" s="60" t="inlineStr">
        <is>
          <t>4.4.4.2.1</t>
        </is>
      </c>
      <c r="L158" s="60" t="inlineStr">
        <is>
          <t>Vacuum vessel(s)</t>
        </is>
      </c>
      <c r="M158" s="60" t="n">
        <v>55</v>
      </c>
      <c r="N158" s="60" t="inlineStr">
        <is>
          <t>Functional</t>
        </is>
      </c>
      <c r="O158" s="49" t="inlineStr">
        <is>
          <t>The design of all penetrations connecting piping or instrumentation to the QRB vacuum vessel shall prevent condensation or frost formation at the external interfaces during all operational scenarios.</t>
        </is>
      </c>
      <c r="P158" s="49" t="inlineStr">
        <is>
          <t>None explicitly named in this RTM</t>
        </is>
      </c>
      <c r="Q158" s="49" t="inlineStr">
        <is>
          <t>No separate deliverable explicitly named</t>
        </is>
      </c>
      <c r="R158" s="49" t="inlineStr">
        <is>
          <t>Witnessed FAT/SAT/commissioning test against stated acceptance criteria; Calculation/model plus calibrated measurement or recorded trend; Functional design/configuration review and sequence/interface demonstration</t>
        </is>
      </c>
      <c r="S158" s="49" t="inlineStr">
        <is>
          <t>L6 Site Acceptance Testing; L1 Conceptual Design; L2 Detailed Design</t>
        </is>
      </c>
      <c r="T158" s="49" t="inlineStr">
        <is>
          <t>Section/contract-derived reference; derived evidence route</t>
        </is>
      </c>
      <c r="U158" s="60" t="inlineStr">
        <is>
          <t>TBD</t>
        </is>
      </c>
      <c r="V158" s="213" t="n"/>
      <c r="W158" s="49" t="n"/>
    </row>
    <row r="159" ht="92" customHeight="1">
      <c r="A159" s="62" t="n">
        <v>154</v>
      </c>
      <c r="B159" s="62" t="inlineStr">
        <is>
          <t>RTM-312</t>
        </is>
      </c>
      <c r="C159" s="86" t="inlineStr">
        <is>
          <t>PROJECT</t>
        </is>
      </c>
      <c r="D159" s="87" t="inlineStr">
        <is>
          <t>Documentation &amp; Compliance</t>
        </is>
      </c>
      <c r="E159" s="88" t="inlineStr">
        <is>
          <t>—</t>
        </is>
      </c>
      <c r="F159" s="62" t="inlineStr">
        <is>
          <t>Control &amp; Interlock</t>
        </is>
      </c>
      <c r="G159" s="92" t="inlineStr">
        <is>
          <t>Inferred: C4 — Software &amp; Control (high conf.)</t>
        </is>
      </c>
      <c r="H159" s="62" t="inlineStr">
        <is>
          <t>T1 Primary</t>
        </is>
      </c>
      <c r="I159" s="62" t="n">
        <v>41.3333</v>
      </c>
      <c r="J159" s="62" t="n">
        <v>78.6408</v>
      </c>
      <c r="K159" s="62" t="inlineStr">
        <is>
          <t>4.6.4.2</t>
        </is>
      </c>
      <c r="L159" s="62" t="inlineStr">
        <is>
          <t>General</t>
        </is>
      </c>
      <c r="M159" s="62" t="n">
        <v>73</v>
      </c>
      <c r="N159" s="62" t="inlineStr">
        <is>
          <t>Functional</t>
        </is>
      </c>
      <c r="O159" s="53" t="inlineStr">
        <is>
          <t>The Contractor shall use IP address ranges for the QPS:CIS as provided by SCK CEN. This includes Level 0 of the Perdue model. These ranges will be pre-assigned by MIT to ensure consistency with the overall network architecture and addressing schemes.</t>
        </is>
      </c>
      <c r="P159" s="53" t="inlineStr">
        <is>
          <t>None explicitly named in this RTM</t>
        </is>
      </c>
      <c r="Q159" s="53" t="inlineStr">
        <is>
          <t>No separate deliverable explicitly named</t>
        </is>
      </c>
      <c r="R159" s="53" t="inlineStr">
        <is>
          <t>Document review, inspection, certification, audit or traceable QC record</t>
        </is>
      </c>
      <c r="S159" s="53" t="inlineStr">
        <is>
          <t>L1 Conceptual Design; L2 Detailed Design</t>
        </is>
      </c>
      <c r="T159" s="53" t="inlineStr">
        <is>
          <t>Section/contract-derived reference; derived evidence route</t>
        </is>
      </c>
      <c r="U159" s="62" t="inlineStr">
        <is>
          <t>TBD</t>
        </is>
      </c>
      <c r="V159" s="213" t="n"/>
      <c r="W159" s="53" t="n"/>
    </row>
    <row r="160" ht="232" customHeight="1">
      <c r="A160" s="60" t="n">
        <v>155</v>
      </c>
      <c r="B160" s="60" t="inlineStr">
        <is>
          <t>RTM-322</t>
        </is>
      </c>
      <c r="C160" s="89" t="inlineStr">
        <is>
          <t>SYSTEM</t>
        </is>
      </c>
      <c r="D160" s="90" t="inlineStr">
        <is>
          <t>Control</t>
        </is>
      </c>
      <c r="E160" s="91" t="inlineStr">
        <is>
          <t>—</t>
        </is>
      </c>
      <c r="F160" s="60" t="inlineStr">
        <is>
          <t>Control &amp; Interlock</t>
        </is>
      </c>
      <c r="G160" s="60" t="inlineStr">
        <is>
          <t>C8 — Commercial &amp; Execution</t>
        </is>
      </c>
      <c r="H160" s="60" t="inlineStr">
        <is>
          <t>T1 Primary</t>
        </is>
      </c>
      <c r="I160" s="60" t="n">
        <v>41.3333</v>
      </c>
      <c r="J160" s="60" t="n">
        <v>78.6408</v>
      </c>
      <c r="K160" s="60" t="inlineStr">
        <is>
          <t>4.6.4.5</t>
        </is>
      </c>
      <c r="L160" s="60" t="inlineStr">
        <is>
          <t>Security</t>
        </is>
      </c>
      <c r="M160" s="60" t="n">
        <v>74</v>
      </c>
      <c r="N160" s="60" t="inlineStr">
        <is>
          <t>Functional</t>
        </is>
      </c>
      <c r="O160" s="49" t="inlineStr">
        <is>
          <t>The Contractor shall comply with the SCK CEN cybersecurity policy framework which, for this procurement, is defined as the requirements, from the “CCB Cyber Fundamentals requirements” (CyFun) at assurance level IMPORTANT, which SCK CEN identifies as obligations for the Contractor.
The Contractor shall provide a completed SCK CEN CyFun Supplier Control Response Matrix (which will be provided by SCK CEN during the Contract execution) stating for each relevant control: (1) Compliance status (Compliant / Partially compliant / Not compliant / Not applicable), (2) Description of implementation and boundary conditions, (3) Any deviations/risks and proposed compensating controls.</t>
        </is>
      </c>
      <c r="P160" s="49" t="inlineStr">
        <is>
          <t>None explicitly named in this RTM</t>
        </is>
      </c>
      <c r="Q160" s="49" t="inlineStr">
        <is>
          <t>List / register / matrix</t>
        </is>
      </c>
      <c r="R160" s="49" t="inlineStr">
        <is>
          <t>Submit and review the named deliverable with RTM traceability and approval status; Witnessed FAT/SAT/commissioning test against stated acceptance criteria; Functional design/configuration review and sequence/interface demonstration</t>
        </is>
      </c>
      <c r="S160" s="49" t="inlineStr">
        <is>
          <t>L6 Site Acceptance Testing; L1 Conceptual Design; L2 Detailed Design</t>
        </is>
      </c>
      <c r="T160" s="49" t="inlineStr">
        <is>
          <t>Section/contract-derived reference; explicit deliverable/test wording</t>
        </is>
      </c>
      <c r="U160" s="60" t="inlineStr">
        <is>
          <t>TBD</t>
        </is>
      </c>
      <c r="V160" s="213" t="n"/>
      <c r="W160" s="49" t="n"/>
    </row>
    <row r="161" ht="162" customHeight="1">
      <c r="A161" s="62" t="n">
        <v>156</v>
      </c>
      <c r="B161" s="62" t="inlineStr">
        <is>
          <t>RTM-324</t>
        </is>
      </c>
      <c r="C161" s="86" t="inlineStr">
        <is>
          <t>PROJECT</t>
        </is>
      </c>
      <c r="D161" s="87" t="inlineStr">
        <is>
          <t>Documentation &amp; Compliance</t>
        </is>
      </c>
      <c r="E161" s="88" t="inlineStr">
        <is>
          <t>—</t>
        </is>
      </c>
      <c r="F161" s="62" t="inlineStr">
        <is>
          <t>Control &amp; Interlock</t>
        </is>
      </c>
      <c r="G161" s="62" t="inlineStr">
        <is>
          <t>C8 — Commercial &amp; Execution</t>
        </is>
      </c>
      <c r="H161" s="62" t="inlineStr">
        <is>
          <t>T1 Primary</t>
        </is>
      </c>
      <c r="I161" s="62" t="n">
        <v>41.3333</v>
      </c>
      <c r="J161" s="62" t="n">
        <v>78.6408</v>
      </c>
      <c r="K161" s="62" t="inlineStr">
        <is>
          <t>4.6.4.5</t>
        </is>
      </c>
      <c r="L161" s="62" t="inlineStr">
        <is>
          <t>Security</t>
        </is>
      </c>
      <c r="M161" s="62" t="n">
        <v>75</v>
      </c>
      <c r="N161" s="62" t="inlineStr">
        <is>
          <t>Functional</t>
        </is>
      </c>
      <c r="O161" s="53" t="inlineStr">
        <is>
          <t>The Contractor shall document the system's security features and their alignment with the requested standards and framework or the Contractor’s proposed equivalent assurances. This documentation shall be provided to SCK CEN for review and approval before implementation at MINERVA site.
Any material gaps against mandatory scoped CyFun controls must be remediated prior to SAT (or within an agreed corrective action plan), subject to SCK CEN approval.</t>
        </is>
      </c>
      <c r="P161" s="53" t="inlineStr">
        <is>
          <t>None explicitly named in this RTM</t>
        </is>
      </c>
      <c r="Q161" s="53" t="inlineStr">
        <is>
          <t>No separate deliverable explicitly named</t>
        </is>
      </c>
      <c r="R161" s="53" t="inlineStr">
        <is>
          <t>Witnessed FAT/SAT/commissioning test against stated acceptance criteria; Functional design/configuration review and sequence/interface demonstration</t>
        </is>
      </c>
      <c r="S161" s="53" t="inlineStr">
        <is>
          <t>L6 Site Acceptance Testing; L1 Conceptual Design; L2 Detailed Design</t>
        </is>
      </c>
      <c r="T161" s="53" t="inlineStr">
        <is>
          <t>Section/contract-derived reference; derived evidence route</t>
        </is>
      </c>
      <c r="U161" s="62" t="inlineStr">
        <is>
          <t>TBD</t>
        </is>
      </c>
      <c r="V161" s="213" t="n"/>
      <c r="W161" s="53" t="n"/>
    </row>
    <row r="162" ht="190" customHeight="1">
      <c r="A162" s="60" t="n">
        <v>157</v>
      </c>
      <c r="B162" s="60" t="inlineStr">
        <is>
          <t>RTM-642</t>
        </is>
      </c>
      <c r="C162" s="89" t="inlineStr">
        <is>
          <t>PROJECT</t>
        </is>
      </c>
      <c r="D162" s="90" t="inlineStr">
        <is>
          <t>Documentation &amp; Compliance</t>
        </is>
      </c>
      <c r="E162" s="91" t="inlineStr">
        <is>
          <t>—</t>
        </is>
      </c>
      <c r="F162" s="60" t="inlineStr">
        <is>
          <t>Quality Assurance &amp; Control</t>
        </is>
      </c>
      <c r="G162" s="60" t="inlineStr">
        <is>
          <t>C7 — Quality, Testing &amp; Risk</t>
        </is>
      </c>
      <c r="H162" s="60" t="inlineStr">
        <is>
          <t>T1 Primary</t>
        </is>
      </c>
      <c r="I162" s="60" t="n">
        <v>41.3333</v>
      </c>
      <c r="J162" s="60" t="n">
        <v>78.6408</v>
      </c>
      <c r="K162" s="60" t="inlineStr">
        <is>
          <t>8</t>
        </is>
      </c>
      <c r="L162" s="60" t="inlineStr">
        <is>
          <t>General Quality Assurance and Control</t>
        </is>
      </c>
      <c r="M162" s="60" t="n">
        <v>124</v>
      </c>
      <c r="N162" s="60" t="inlineStr">
        <is>
          <t>Functional</t>
        </is>
      </c>
      <c r="O162" s="49" t="inlineStr">
        <is>
          <t>Prior to beginning any other work, the Contractor shall submit a detailed Quality Assurance &amp; Control Program (QAP) to SCK for approval, demonstrating compliance with the QA/QC requirements set out in this document. Any required change to the QAP during Contract execution shall be requested from SCK CEN via a Change Request. The QAP shall include e.g. Manufacturing and Inspection Plan / Inspection and Test Plan, Responsibility Matrix, Change Register, Non-Conformity Register, audit reports, FAT reports, SAT reports, commissioning reports, and installation dossiers</t>
        </is>
      </c>
      <c r="P162" s="49" t="inlineStr">
        <is>
          <t>None explicitly named in this RTM</t>
        </is>
      </c>
      <c r="Q162" s="49" t="inlineStr">
        <is>
          <t>FAT Report; SAT Report; Commissioning Report; Quality Assurance Plan (QAP); Manufacturing and Inspection Plan (MIP); Responsibility Matrix</t>
        </is>
      </c>
      <c r="R162" s="49" t="inlineStr">
        <is>
          <t>Submit and review the named deliverable with RTM traceability and approval status; Witnessed FAT/SAT/commissioning test against stated acceptance criteria; Functional design/configuration review and sequence/interface demonstration</t>
        </is>
      </c>
      <c r="S162" s="49" t="inlineStr">
        <is>
          <t>L3 Procurement &amp; Manufacturing / FAT; L4 Installation; L6 Site Acceptance Testing; L0 Tender / Offer; L1 Conceptual Design; L2 Detailed Design; L5 Standalone Commissioning</t>
        </is>
      </c>
      <c r="T162" s="49" t="inlineStr">
        <is>
          <t>Section/contract-derived reference; explicit deliverable/test wording</t>
        </is>
      </c>
      <c r="U162" s="60" t="inlineStr">
        <is>
          <t>TBD</t>
        </is>
      </c>
      <c r="V162" s="213" t="n"/>
      <c r="W162" s="49" t="n"/>
    </row>
    <row r="163" ht="92" customHeight="1">
      <c r="A163" s="62" t="n">
        <v>158</v>
      </c>
      <c r="B163" s="62" t="inlineStr">
        <is>
          <t>RTM-660</t>
        </is>
      </c>
      <c r="C163" s="86" t="inlineStr">
        <is>
          <t>PROJECT</t>
        </is>
      </c>
      <c r="D163" s="87" t="inlineStr">
        <is>
          <t>Quality Assurance</t>
        </is>
      </c>
      <c r="E163" s="88" t="inlineStr">
        <is>
          <t>—</t>
        </is>
      </c>
      <c r="F163" s="62" t="inlineStr">
        <is>
          <t>Quality Assurance &amp; Control</t>
        </is>
      </c>
      <c r="G163" s="92" t="inlineStr">
        <is>
          <t>Inferred: C7 — Quality, Testing &amp; Risk (high conf.)</t>
        </is>
      </c>
      <c r="H163" s="62" t="inlineStr">
        <is>
          <t>T1 Primary</t>
        </is>
      </c>
      <c r="I163" s="62" t="n">
        <v>41.3333</v>
      </c>
      <c r="J163" s="62" t="n">
        <v>78.6408</v>
      </c>
      <c r="K163" s="62" t="inlineStr">
        <is>
          <t>8.1.5</t>
        </is>
      </c>
      <c r="L163" s="62" t="inlineStr">
        <is>
          <t>Document Retention and Submission Requirements</t>
        </is>
      </c>
      <c r="M163" s="62" t="n">
        <v>125</v>
      </c>
      <c r="N163" s="62" t="inlineStr">
        <is>
          <t>Functional</t>
        </is>
      </c>
      <c r="O163" s="53" t="inlineStr">
        <is>
          <t>All documents submitted to SCK CEN shall:</t>
        </is>
      </c>
      <c r="P163" s="53" t="inlineStr">
        <is>
          <t>None explicitly named in this RTM</t>
        </is>
      </c>
      <c r="Q163" s="53" t="inlineStr">
        <is>
          <t>No separate deliverable explicitly named</t>
        </is>
      </c>
      <c r="R163" s="53" t="inlineStr">
        <is>
          <t>Functional design/configuration review and sequence/interface demonstration; Document review, inspection, certification, audit or traceable QC record</t>
        </is>
      </c>
      <c r="S163" s="53" t="inlineStr">
        <is>
          <t>L0 Tender / Offer; L1 Conceptual Design; L2 Detailed Design; L3 Procurement &amp; Manufacturing / FAT; L4 Installation; L5 Standalone Commissioning; L6 Site Acceptance Testing</t>
        </is>
      </c>
      <c r="T163" s="53" t="inlineStr">
        <is>
          <t>Section/contract-derived reference; derived evidence route</t>
        </is>
      </c>
      <c r="U163" s="62" t="inlineStr">
        <is>
          <t>TBD</t>
        </is>
      </c>
      <c r="V163" s="213" t="n"/>
      <c r="W163" s="53" t="n"/>
    </row>
    <row r="164" ht="64" customHeight="1">
      <c r="A164" s="60" t="n">
        <v>159</v>
      </c>
      <c r="B164" s="60" t="inlineStr">
        <is>
          <t>RTM-068</t>
        </is>
      </c>
      <c r="C164" s="89" t="inlineStr">
        <is>
          <t>SYSTEM</t>
        </is>
      </c>
      <c r="D164" s="90" t="inlineStr">
        <is>
          <t>Performance</t>
        </is>
      </c>
      <c r="E164" s="91" t="inlineStr">
        <is>
          <t>—</t>
        </is>
      </c>
      <c r="F164" s="60" t="inlineStr">
        <is>
          <t>Global Design Criteria</t>
        </is>
      </c>
      <c r="G164" s="85" t="inlineStr">
        <is>
          <t>Inferred: C1 — Performance (medium conf.)</t>
        </is>
      </c>
      <c r="H164" s="60" t="inlineStr">
        <is>
          <t>T1 Primary</t>
        </is>
      </c>
      <c r="I164" s="60" t="n">
        <v>41</v>
      </c>
      <c r="J164" s="60" t="n">
        <v>78.086</v>
      </c>
      <c r="K164" s="60" t="inlineStr">
        <is>
          <t>4.3.3</t>
        </is>
      </c>
      <c r="L164" s="60" t="inlineStr">
        <is>
          <t>Maintenance strategy</t>
        </is>
      </c>
      <c r="M164" s="60" t="n">
        <v>40</v>
      </c>
      <c r="N164" s="60" t="inlineStr">
        <is>
          <t>Reliability</t>
        </is>
      </c>
      <c r="O164" s="49" t="inlineStr">
        <is>
          <t>The QPS design shall ensure that maintenance activities can be performed without unnecessary impact on availability, safety, or helium integrity. To this end, the QPS shall:</t>
        </is>
      </c>
      <c r="P164" s="49" t="inlineStr">
        <is>
          <t>None explicitly named in this RTM</t>
        </is>
      </c>
      <c r="Q164" s="49" t="inlineStr">
        <is>
          <t>No separate deliverable explicitly named</t>
        </is>
      </c>
      <c r="R164" s="49" t="inlineStr">
        <is>
          <t>Witnessed FAT/SAT/commissioning test against stated acceptance criteria; RAM/maintenance substantiation and recovery/failure-response evidence</t>
        </is>
      </c>
      <c r="S164" s="49" t="inlineStr">
        <is>
          <t>L6 Site Acceptance Testing; L1 Conceptual Design; L2 Detailed Design</t>
        </is>
      </c>
      <c r="T164" s="49" t="inlineStr">
        <is>
          <t>Section/contract-derived reference; derived evidence route</t>
        </is>
      </c>
      <c r="U164" s="60" t="inlineStr">
        <is>
          <t>TBD</t>
        </is>
      </c>
      <c r="V164" s="213" t="n"/>
      <c r="W164" s="49" t="n"/>
    </row>
    <row r="165" ht="64" customHeight="1">
      <c r="A165" s="62" t="n">
        <v>160</v>
      </c>
      <c r="B165" s="62" t="inlineStr">
        <is>
          <t>RTM-550</t>
        </is>
      </c>
      <c r="C165" s="86" t="inlineStr">
        <is>
          <t>PROJECT</t>
        </is>
      </c>
      <c r="D165" s="87" t="inlineStr">
        <is>
          <t>Governance &amp; Responsibility</t>
        </is>
      </c>
      <c r="E165" s="88" t="inlineStr">
        <is>
          <t>—</t>
        </is>
      </c>
      <c r="F165" s="62" t="inlineStr">
        <is>
          <t>Acceptance Testing</t>
        </is>
      </c>
      <c r="G165" s="62" t="inlineStr">
        <is>
          <t>C7 — Quality, Testing &amp; Risk</t>
        </is>
      </c>
      <c r="H165" s="62" t="inlineStr">
        <is>
          <t>T1 Primary</t>
        </is>
      </c>
      <c r="I165" s="62" t="n">
        <v>40.6667</v>
      </c>
      <c r="J165" s="62" t="n">
        <v>77.8086</v>
      </c>
      <c r="K165" s="62" t="inlineStr">
        <is>
          <t>4.13.3.5</t>
        </is>
      </c>
      <c r="L165" s="62" t="inlineStr">
        <is>
          <t>Demonstration of control system behaviour</t>
        </is>
      </c>
      <c r="M165" s="62" t="n">
        <v>107</v>
      </c>
      <c r="N165" s="62" t="inlineStr">
        <is>
          <t>Reliability</t>
        </is>
      </c>
      <c r="O165" s="53" t="inlineStr">
        <is>
          <t>The Contractor shall demonstrate the behaviour of the QPS:CIS communication infrastructure during the SAT. This shall include, at minimum:</t>
        </is>
      </c>
      <c r="P165" s="53" t="inlineStr">
        <is>
          <t>None explicitly named in this RTM</t>
        </is>
      </c>
      <c r="Q165" s="53" t="inlineStr">
        <is>
          <t>No separate deliverable explicitly named</t>
        </is>
      </c>
      <c r="R165" s="53" t="inlineStr">
        <is>
          <t>Witnessed FAT/SAT/commissioning test against stated acceptance criteria; RAM/maintenance substantiation and recovery/failure-response evidence</t>
        </is>
      </c>
      <c r="S165" s="53" t="inlineStr">
        <is>
          <t>L6 Site Acceptance Testing; L1 Conceptual Design; L2 Detailed Design</t>
        </is>
      </c>
      <c r="T165" s="53" t="inlineStr">
        <is>
          <t>Section/contract-derived reference; explicit deliverable/test wording</t>
        </is>
      </c>
      <c r="U165" s="62" t="inlineStr">
        <is>
          <t>TBD</t>
        </is>
      </c>
      <c r="V165" s="213" t="n"/>
      <c r="W165" s="53" t="n"/>
    </row>
    <row r="166" ht="92" customHeight="1">
      <c r="A166" s="60" t="n">
        <v>161</v>
      </c>
      <c r="B166" s="60" t="inlineStr">
        <is>
          <t>RTM-578</t>
        </is>
      </c>
      <c r="C166" s="89" t="inlineStr">
        <is>
          <t>PROJECT</t>
        </is>
      </c>
      <c r="D166" s="90" t="inlineStr">
        <is>
          <t>Documentation &amp; Compliance</t>
        </is>
      </c>
      <c r="E166" s="91" t="inlineStr">
        <is>
          <t>—</t>
        </is>
      </c>
      <c r="F166" s="60" t="inlineStr">
        <is>
          <t>Technical Documentation</t>
        </is>
      </c>
      <c r="G166" s="60" t="inlineStr">
        <is>
          <t>Not linked to an OFFER item</t>
        </is>
      </c>
      <c r="H166" s="60" t="inlineStr">
        <is>
          <t>T1 Primary</t>
        </is>
      </c>
      <c r="I166" s="60" t="n">
        <v>40.6667</v>
      </c>
      <c r="J166" s="60" t="n">
        <v>77.8086</v>
      </c>
      <c r="K166" s="60" t="inlineStr">
        <is>
          <t>4.16.3</t>
        </is>
      </c>
      <c r="L166" s="60" t="inlineStr">
        <is>
          <t>Installation File</t>
        </is>
      </c>
      <c r="M166" s="60" t="n">
        <v>112</v>
      </c>
      <c r="N166" s="60" t="inlineStr">
        <is>
          <t>Quality / Verifiability</t>
        </is>
      </c>
      <c r="O166" s="49" t="inlineStr">
        <is>
          <t>The Installation File shall contain all information that is required to correctly position, install, and test each Element. It shall cover, at least, the following aspects:</t>
        </is>
      </c>
      <c r="P166" s="49" t="inlineStr">
        <is>
          <t>None explicitly named in this RTM</t>
        </is>
      </c>
      <c r="Q166" s="49" t="inlineStr">
        <is>
          <t>Installation File; 3D / CAD Model; Procedure / work instruction</t>
        </is>
      </c>
      <c r="R166" s="49" t="inlineStr">
        <is>
          <t>Submit and review the named deliverable with RTM traceability and approval status; Witnessed FAT/SAT/commissioning test against stated acceptance criteria; Functional design/configuration review and sequence/interface demonstration</t>
        </is>
      </c>
      <c r="S166" s="49" t="inlineStr">
        <is>
          <t>L4 Installation; L6 Site Acceptance Testing; L1 Conceptual Design; L2 Detailed Design</t>
        </is>
      </c>
      <c r="T166" s="49" t="inlineStr">
        <is>
          <t>Section/contract-derived reference; explicit deliverable/test wording</t>
        </is>
      </c>
      <c r="U166" s="60" t="inlineStr">
        <is>
          <t>TBD</t>
        </is>
      </c>
      <c r="V166" s="213" t="n"/>
      <c r="W166" s="49" t="n"/>
    </row>
    <row r="167" ht="106" customHeight="1">
      <c r="A167" s="62" t="n">
        <v>162</v>
      </c>
      <c r="B167" s="62" t="inlineStr">
        <is>
          <t>RTM-470</t>
        </is>
      </c>
      <c r="C167" s="86" t="inlineStr">
        <is>
          <t>SYSTEM</t>
        </is>
      </c>
      <c r="D167" s="87" t="inlineStr">
        <is>
          <t>Constraint</t>
        </is>
      </c>
      <c r="E167" s="88" t="inlineStr">
        <is>
          <t>—</t>
        </is>
      </c>
      <c r="F167" s="62" t="inlineStr">
        <is>
          <t>Design &amp; Fabrication</t>
        </is>
      </c>
      <c r="G167" s="92" t="inlineStr">
        <is>
          <t>Inferred: C5 — Infrastructure &amp; Integration (medium conf.)</t>
        </is>
      </c>
      <c r="H167" s="62" t="inlineStr">
        <is>
          <t>T1 Primary</t>
        </is>
      </c>
      <c r="I167" s="62" t="n">
        <v>40.6667</v>
      </c>
      <c r="J167" s="62" t="n">
        <v>77.8086</v>
      </c>
      <c r="K167" s="62" t="inlineStr">
        <is>
          <t>4.8.5</t>
        </is>
      </c>
      <c r="L167" s="62" t="inlineStr">
        <is>
          <t>General Electrical Requirements</t>
        </is>
      </c>
      <c r="M167" s="62" t="n">
        <v>92</v>
      </c>
      <c r="N167" s="62" t="inlineStr">
        <is>
          <t>Reliability</t>
        </is>
      </c>
      <c r="O167" s="53" t="inlineStr">
        <is>
          <t>The Contractor shall ensure that all VFD-driven motors operate within the allowable continuous frequency range defined by IEC 60034 (Rotating Electrical Machines). Nominal VFD operation shall not exceed 60 Hz, unless the Contractor provides substantiated evidence demonstrating that:</t>
        </is>
      </c>
      <c r="P167" s="53" t="inlineStr">
        <is>
          <t>IEC 60034</t>
        </is>
      </c>
      <c r="Q167" s="53" t="inlineStr">
        <is>
          <t>No separate deliverable explicitly named</t>
        </is>
      </c>
      <c r="R167" s="53" t="inlineStr">
        <is>
          <t>RAM/maintenance substantiation and recovery/failure-response evidence; Document review, inspection, certification, audit or traceable QC record</t>
        </is>
      </c>
      <c r="S167" s="53" t="inlineStr">
        <is>
          <t>L1 Conceptual Design; L2 Detailed Design</t>
        </is>
      </c>
      <c r="T167" s="53" t="inlineStr">
        <is>
          <t>Explicit/table-grounded standard; derived evidence route</t>
        </is>
      </c>
      <c r="U167" s="62" t="inlineStr">
        <is>
          <t>TBD</t>
        </is>
      </c>
      <c r="V167" s="213" t="n"/>
      <c r="W167" s="53" t="n"/>
    </row>
    <row r="168" ht="50" customHeight="1">
      <c r="A168" s="60" t="n">
        <v>163</v>
      </c>
      <c r="B168" s="60" t="inlineStr">
        <is>
          <t>RTM-020</t>
        </is>
      </c>
      <c r="C168" s="89" t="inlineStr">
        <is>
          <t>SYSTEM</t>
        </is>
      </c>
      <c r="D168" s="90" t="inlineStr">
        <is>
          <t>Performance</t>
        </is>
      </c>
      <c r="E168" s="91" t="inlineStr">
        <is>
          <t>—</t>
        </is>
      </c>
      <c r="F168" s="60" t="inlineStr">
        <is>
          <t>Process &amp; Functional</t>
        </is>
      </c>
      <c r="G168" s="60" t="inlineStr">
        <is>
          <t>C1 — Performance</t>
        </is>
      </c>
      <c r="H168" s="60" t="inlineStr">
        <is>
          <t>T1 Primary</t>
        </is>
      </c>
      <c r="I168" s="60" t="n">
        <v>40</v>
      </c>
      <c r="J168" s="60" t="n">
        <v>77.3925</v>
      </c>
      <c r="K168" s="60" t="inlineStr">
        <is>
          <t>4.2.2.2</t>
        </is>
      </c>
      <c r="L168" s="60" t="inlineStr">
        <is>
          <t>Transient Operational Scenarios</t>
        </is>
      </c>
      <c r="M168" s="60" t="n">
        <v>28</v>
      </c>
      <c r="N168" s="60" t="inlineStr">
        <is>
          <t>Performance</t>
        </is>
      </c>
      <c r="O168" s="49" t="inlineStr">
        <is>
          <t>For cooldown and warmup scenarios, the Contractor shall provide and substantiate the following:</t>
        </is>
      </c>
      <c r="P168" s="49" t="inlineStr">
        <is>
          <t>None explicitly named in this RTM</t>
        </is>
      </c>
      <c r="Q168" s="49" t="inlineStr">
        <is>
          <t>No separate deliverable explicitly named</t>
        </is>
      </c>
      <c r="R168" s="49" t="inlineStr">
        <is>
          <t>Calculation/model plus calibrated measurement or recorded trend</t>
        </is>
      </c>
      <c r="S168" s="49" t="inlineStr">
        <is>
          <t>L1 Conceptual Design; L2 Detailed Design</t>
        </is>
      </c>
      <c r="T168" s="49" t="inlineStr">
        <is>
          <t>Section/contract-derived reference; derived evidence route</t>
        </is>
      </c>
      <c r="U168" s="60" t="inlineStr">
        <is>
          <t>TBD</t>
        </is>
      </c>
      <c r="V168" s="213" t="n"/>
      <c r="W168" s="49" t="n"/>
    </row>
    <row r="169" ht="50" customHeight="1">
      <c r="A169" s="62" t="n">
        <v>164</v>
      </c>
      <c r="B169" s="62" t="inlineStr">
        <is>
          <t>RTM-021</t>
        </is>
      </c>
      <c r="C169" s="86" t="inlineStr">
        <is>
          <t>SYSTEM</t>
        </is>
      </c>
      <c r="D169" s="87" t="inlineStr">
        <is>
          <t>Performance</t>
        </is>
      </c>
      <c r="E169" s="88" t="inlineStr">
        <is>
          <t>—</t>
        </is>
      </c>
      <c r="F169" s="62" t="inlineStr">
        <is>
          <t>Process &amp; Functional</t>
        </is>
      </c>
      <c r="G169" s="62" t="inlineStr">
        <is>
          <t>C1 — Performance</t>
        </is>
      </c>
      <c r="H169" s="62" t="inlineStr">
        <is>
          <t>T1 Primary</t>
        </is>
      </c>
      <c r="I169" s="62" t="n">
        <v>40</v>
      </c>
      <c r="J169" s="62" t="n">
        <v>77.3925</v>
      </c>
      <c r="K169" s="62" t="inlineStr">
        <is>
          <t>4.2.2.2</t>
        </is>
      </c>
      <c r="L169" s="62" t="inlineStr">
        <is>
          <t>Transient Operational Scenarios</t>
        </is>
      </c>
      <c r="M169" s="62" t="n">
        <v>29</v>
      </c>
      <c r="N169" s="62" t="inlineStr">
        <is>
          <t>Performance</t>
        </is>
      </c>
      <c r="O169" s="53" t="inlineStr">
        <is>
          <t>For cooldown and warm-up scenarios, the QPS design shall comply with the following design basis:</t>
        </is>
      </c>
      <c r="P169" s="53" t="inlineStr">
        <is>
          <t>None explicitly named in this RTM</t>
        </is>
      </c>
      <c r="Q169" s="53" t="inlineStr">
        <is>
          <t>No separate deliverable explicitly named</t>
        </is>
      </c>
      <c r="R169" s="53" t="inlineStr">
        <is>
          <t>Calculation/model plus calibrated measurement or recorded trend</t>
        </is>
      </c>
      <c r="S169" s="53" t="inlineStr">
        <is>
          <t>L1 Conceptual Design; L2 Detailed Design</t>
        </is>
      </c>
      <c r="T169" s="53" t="inlineStr">
        <is>
          <t>Section/contract-derived reference; derived evidence route</t>
        </is>
      </c>
      <c r="U169" s="62" t="inlineStr">
        <is>
          <t>TBD</t>
        </is>
      </c>
      <c r="V169" s="213" t="n"/>
      <c r="W169" s="53" t="n"/>
    </row>
    <row r="170" ht="148" customHeight="1">
      <c r="A170" s="60" t="n">
        <v>165</v>
      </c>
      <c r="B170" s="60" t="inlineStr">
        <is>
          <t>RTM-328</t>
        </is>
      </c>
      <c r="C170" s="89" t="inlineStr">
        <is>
          <t>SYSTEM</t>
        </is>
      </c>
      <c r="D170" s="90" t="inlineStr">
        <is>
          <t>Performance</t>
        </is>
      </c>
      <c r="E170" s="91" t="inlineStr">
        <is>
          <t>—</t>
        </is>
      </c>
      <c r="F170" s="60" t="inlineStr">
        <is>
          <t>Control &amp; Interlock</t>
        </is>
      </c>
      <c r="G170" s="85" t="inlineStr">
        <is>
          <t>Inferred: C4 — Software &amp; Control (high conf.)</t>
        </is>
      </c>
      <c r="H170" s="60" t="inlineStr">
        <is>
          <t>T1 Primary</t>
        </is>
      </c>
      <c r="I170" s="60" t="n">
        <v>40</v>
      </c>
      <c r="J170" s="60" t="n">
        <v>77.3925</v>
      </c>
      <c r="K170" s="60" t="inlineStr">
        <is>
          <t>4.6.5</t>
        </is>
      </c>
      <c r="L170" s="60" t="inlineStr">
        <is>
          <t>MCS Integration</t>
        </is>
      </c>
      <c r="M170" s="60" t="n">
        <v>75</v>
      </c>
      <c r="N170" s="60" t="inlineStr">
        <is>
          <t>Performance</t>
        </is>
      </c>
      <c r="O170" s="49" t="inlineStr">
        <is>
          <t>The QPS:CIS shall regulate the mass flow rate and supply temperature at the QRB-DIST interface ensuring that the temperature change rate (during cool-down and warm-up) for QCELL during transients remains within predefined limits and the operational window. The temperature change rate is defined as the maximum allowable rate of change of the internal QCELL temperature, expressed in K/h (e.g., 4 K/h).</t>
        </is>
      </c>
      <c r="P170" s="49" t="inlineStr">
        <is>
          <t>None explicitly named in this RTM</t>
        </is>
      </c>
      <c r="Q170" s="49" t="inlineStr">
        <is>
          <t>No separate deliverable explicitly named</t>
        </is>
      </c>
      <c r="R170" s="49" t="inlineStr">
        <is>
          <t>Calculation/model plus calibrated measurement or recorded trend; Functional design/configuration review and sequence/interface demonstration</t>
        </is>
      </c>
      <c r="S170" s="49" t="inlineStr">
        <is>
          <t>L1 Conceptual Design; L2 Detailed Design</t>
        </is>
      </c>
      <c r="T170" s="49" t="inlineStr">
        <is>
          <t>Section/contract-derived reference; derived evidence route</t>
        </is>
      </c>
      <c r="U170" s="60" t="inlineStr">
        <is>
          <t>TBD</t>
        </is>
      </c>
      <c r="V170" s="213" t="n"/>
      <c r="W170" s="49" t="n"/>
    </row>
    <row r="171" ht="50" customHeight="1">
      <c r="A171" s="62" t="n">
        <v>166</v>
      </c>
      <c r="B171" s="62" t="inlineStr">
        <is>
          <t>RTM-256</t>
        </is>
      </c>
      <c r="C171" s="86" t="inlineStr">
        <is>
          <t>SYSTEM</t>
        </is>
      </c>
      <c r="D171" s="87" t="inlineStr">
        <is>
          <t>Performance</t>
        </is>
      </c>
      <c r="E171" s="88" t="inlineStr">
        <is>
          <t>—</t>
        </is>
      </c>
      <c r="F171" s="62" t="inlineStr">
        <is>
          <t>Subsystems</t>
        </is>
      </c>
      <c r="G171" s="62" t="inlineStr">
        <is>
          <t>C7 (+) — Quality, Testing &amp; Risk + others</t>
        </is>
      </c>
      <c r="H171" s="62" t="inlineStr">
        <is>
          <t>T1 Primary</t>
        </is>
      </c>
      <c r="I171" s="62" t="n">
        <v>39.3333</v>
      </c>
      <c r="J171" s="62" t="n">
        <v>77.0458</v>
      </c>
      <c r="K171" s="62" t="inlineStr">
        <is>
          <t>4.4.7</t>
        </is>
      </c>
      <c r="L171" s="62" t="inlineStr">
        <is>
          <t>Helium Inventory Management</t>
        </is>
      </c>
      <c r="M171" s="62" t="n">
        <v>62</v>
      </c>
      <c r="N171" s="62" t="inlineStr">
        <is>
          <t>Reliability</t>
        </is>
      </c>
      <c r="O171" s="53" t="inlineStr">
        <is>
          <t>The QPLANT shall be dimensioned on the basis of the helium inventory required by the Cryogenic Users, as specified in</t>
        </is>
      </c>
      <c r="P171" s="53" t="inlineStr">
        <is>
          <t>None explicitly named in this RTM</t>
        </is>
      </c>
      <c r="Q171" s="53" t="inlineStr">
        <is>
          <t>No separate deliverable explicitly named</t>
        </is>
      </c>
      <c r="R171" s="53" t="inlineStr">
        <is>
          <t>RAM/maintenance substantiation and recovery/failure-response evidence</t>
        </is>
      </c>
      <c r="S171" s="53" t="inlineStr">
        <is>
          <t>L1 Conceptual Design; L2 Detailed Design</t>
        </is>
      </c>
      <c r="T171" s="53" t="inlineStr">
        <is>
          <t>Section/contract-derived reference; derived evidence route</t>
        </is>
      </c>
      <c r="U171" s="62" t="inlineStr">
        <is>
          <t>TBD</t>
        </is>
      </c>
      <c r="V171" s="213" t="n"/>
      <c r="W171" s="53" t="n"/>
    </row>
    <row r="172" ht="50" customHeight="1">
      <c r="A172" s="60" t="n">
        <v>167</v>
      </c>
      <c r="B172" s="60" t="inlineStr">
        <is>
          <t>RTM-432</t>
        </is>
      </c>
      <c r="C172" s="89" t="inlineStr">
        <is>
          <t>SYSTEM</t>
        </is>
      </c>
      <c r="D172" s="90" t="inlineStr">
        <is>
          <t>Performance</t>
        </is>
      </c>
      <c r="E172" s="91" t="inlineStr">
        <is>
          <t>—</t>
        </is>
      </c>
      <c r="F172" s="60" t="inlineStr">
        <is>
          <t>Buildings &amp; Utilities</t>
        </is>
      </c>
      <c r="G172" s="85" t="inlineStr">
        <is>
          <t>Inferred: C5 — Infrastructure &amp; Integration (high conf.)</t>
        </is>
      </c>
      <c r="H172" s="60" t="inlineStr">
        <is>
          <t>T1 Primary</t>
        </is>
      </c>
      <c r="I172" s="60" t="n">
        <v>39.3333</v>
      </c>
      <c r="J172" s="60" t="n">
        <v>77.0458</v>
      </c>
      <c r="K172" s="60" t="inlineStr">
        <is>
          <t>4.7.5.1</t>
        </is>
      </c>
      <c r="L172" s="60" t="inlineStr">
        <is>
          <t>LOOP event</t>
        </is>
      </c>
      <c r="M172" s="60" t="n">
        <v>86</v>
      </c>
      <c r="N172" s="60" t="inlineStr">
        <is>
          <t>Reliability</t>
        </is>
      </c>
      <c r="O172" s="49" t="inlineStr">
        <is>
          <t>In the event of a Loss of Offsite Power (LOOP) to the MINERVA facility, the Contractor shall assume that:</t>
        </is>
      </c>
      <c r="P172" s="49" t="inlineStr">
        <is>
          <t>None explicitly named in this RTM</t>
        </is>
      </c>
      <c r="Q172" s="49" t="inlineStr">
        <is>
          <t>No separate deliverable explicitly named</t>
        </is>
      </c>
      <c r="R172" s="49" t="inlineStr">
        <is>
          <t>RAM/maintenance substantiation and recovery/failure-response evidence</t>
        </is>
      </c>
      <c r="S172" s="49" t="inlineStr">
        <is>
          <t>L1 Conceptual Design; L2 Detailed Design</t>
        </is>
      </c>
      <c r="T172" s="49" t="inlineStr">
        <is>
          <t>Section/contract-derived reference; derived evidence route</t>
        </is>
      </c>
      <c r="U172" s="60" t="inlineStr">
        <is>
          <t>TBD</t>
        </is>
      </c>
      <c r="V172" s="213" t="n"/>
      <c r="W172" s="49" t="n"/>
    </row>
    <row r="173" ht="64" customHeight="1">
      <c r="A173" s="62" t="n">
        <v>168</v>
      </c>
      <c r="B173" s="62" t="inlineStr">
        <is>
          <t>RTM-066</t>
        </is>
      </c>
      <c r="C173" s="86" t="inlineStr">
        <is>
          <t>SYSTEM</t>
        </is>
      </c>
      <c r="D173" s="87" t="inlineStr">
        <is>
          <t>Performance</t>
        </is>
      </c>
      <c r="E173" s="88" t="inlineStr">
        <is>
          <t>—</t>
        </is>
      </c>
      <c r="F173" s="62" t="inlineStr">
        <is>
          <t>Global Design Criteria</t>
        </is>
      </c>
      <c r="G173" s="92" t="inlineStr">
        <is>
          <t>Inferred: C1 — Performance (medium conf.)</t>
        </is>
      </c>
      <c r="H173" s="62" t="inlineStr">
        <is>
          <t>T1 Primary</t>
        </is>
      </c>
      <c r="I173" s="62" t="n">
        <v>39</v>
      </c>
      <c r="J173" s="62" t="n">
        <v>76.8377</v>
      </c>
      <c r="K173" s="62" t="inlineStr">
        <is>
          <t>4.3.3</t>
        </is>
      </c>
      <c r="L173" s="62" t="inlineStr">
        <is>
          <t>Maintenance strategy</t>
        </is>
      </c>
      <c r="M173" s="62" t="n">
        <v>39</v>
      </c>
      <c r="N173" s="62" t="inlineStr">
        <is>
          <t>Reliability</t>
        </is>
      </c>
      <c r="O173" s="53" t="inlineStr">
        <is>
          <t>The QPS design shall be compatible with the maintenance windows defined in Table 11.</t>
        </is>
      </c>
      <c r="P173" s="53" t="inlineStr">
        <is>
          <t>None explicitly named in this RTM</t>
        </is>
      </c>
      <c r="Q173" s="53" t="inlineStr">
        <is>
          <t>No separate deliverable explicitly named</t>
        </is>
      </c>
      <c r="R173" s="53" t="inlineStr">
        <is>
          <t>Calculation/model plus calibrated measurement or recorded trend; RAM/maintenance substantiation and recovery/failure-response evidence</t>
        </is>
      </c>
      <c r="S173" s="53" t="inlineStr">
        <is>
          <t>L1 Conceptual Design; L2 Detailed Design</t>
        </is>
      </c>
      <c r="T173" s="53" t="inlineStr">
        <is>
          <t>Section/contract-derived reference; derived evidence route</t>
        </is>
      </c>
      <c r="U173" s="62" t="inlineStr">
        <is>
          <t>TBD</t>
        </is>
      </c>
      <c r="V173" s="213" t="n"/>
      <c r="W173" s="53" t="n"/>
    </row>
    <row r="174" ht="64" customHeight="1">
      <c r="A174" s="60" t="n">
        <v>169</v>
      </c>
      <c r="B174" s="60" t="inlineStr">
        <is>
          <t>RTM-168</t>
        </is>
      </c>
      <c r="C174" s="89" t="inlineStr">
        <is>
          <t>SYSTEM</t>
        </is>
      </c>
      <c r="D174" s="90" t="inlineStr">
        <is>
          <t>Performance</t>
        </is>
      </c>
      <c r="E174" s="91" t="inlineStr">
        <is>
          <t>—</t>
        </is>
      </c>
      <c r="F174" s="60" t="inlineStr">
        <is>
          <t>Subsystems</t>
        </is>
      </c>
      <c r="G174" s="85" t="inlineStr">
        <is>
          <t>Inferred: C3 — Mechanical &amp; Equipment (medium conf.)</t>
        </is>
      </c>
      <c r="H174" s="60" t="inlineStr">
        <is>
          <t>T1 Primary</t>
        </is>
      </c>
      <c r="I174" s="60" t="n">
        <v>38.6667</v>
      </c>
      <c r="J174" s="60" t="n">
        <v>75.3814</v>
      </c>
      <c r="K174" s="60" t="inlineStr">
        <is>
          <t>4.4.3.5.3</t>
        </is>
      </c>
      <c r="L174" s="60" t="inlineStr">
        <is>
          <t>Oil filters</t>
        </is>
      </c>
      <c r="M174" s="60" t="n">
        <v>51</v>
      </c>
      <c r="N174" s="60" t="inlineStr">
        <is>
          <t>Reliability</t>
        </is>
      </c>
      <c r="O174" s="49" t="inlineStr">
        <is>
          <t>The compressor oil-filter system shall include, at minimum:</t>
        </is>
      </c>
      <c r="P174" s="49" t="inlineStr">
        <is>
          <t>None explicitly named in this RTM</t>
        </is>
      </c>
      <c r="Q174" s="49" t="inlineStr">
        <is>
          <t>No separate deliverable explicitly named</t>
        </is>
      </c>
      <c r="R174" s="49" t="inlineStr">
        <is>
          <t>Calculation/model plus calibrated measurement or recorded trend; RAM/maintenance substantiation and recovery/failure-response evidence</t>
        </is>
      </c>
      <c r="S174" s="49" t="inlineStr">
        <is>
          <t>L1 Conceptual Design; L2 Detailed Design</t>
        </is>
      </c>
      <c r="T174" s="49" t="inlineStr">
        <is>
          <t>Section/contract-derived reference; derived evidence route</t>
        </is>
      </c>
      <c r="U174" s="60" t="inlineStr">
        <is>
          <t>TBD</t>
        </is>
      </c>
      <c r="V174" s="213" t="n"/>
      <c r="W174" s="49" t="n"/>
    </row>
    <row r="175" ht="92" customHeight="1">
      <c r="A175" s="62" t="n">
        <v>170</v>
      </c>
      <c r="B175" s="62" t="inlineStr">
        <is>
          <t>RTM-174</t>
        </is>
      </c>
      <c r="C175" s="86" t="inlineStr">
        <is>
          <t>SYSTEM</t>
        </is>
      </c>
      <c r="D175" s="87" t="inlineStr">
        <is>
          <t>Performance</t>
        </is>
      </c>
      <c r="E175" s="88" t="inlineStr">
        <is>
          <t>—</t>
        </is>
      </c>
      <c r="F175" s="62" t="inlineStr">
        <is>
          <t>Subsystems</t>
        </is>
      </c>
      <c r="G175" s="92" t="inlineStr">
        <is>
          <t>Inferred: C2 — Process Design (low conf.)</t>
        </is>
      </c>
      <c r="H175" s="62" t="inlineStr">
        <is>
          <t>T1 Primary</t>
        </is>
      </c>
      <c r="I175" s="62" t="n">
        <v>38.6667</v>
      </c>
      <c r="J175" s="62" t="n">
        <v>75.3814</v>
      </c>
      <c r="K175" s="62" t="inlineStr">
        <is>
          <t>4.4.3.6</t>
        </is>
      </c>
      <c r="L175" s="62" t="inlineStr">
        <is>
          <t>Oil Removal and Helium Purification System (ORS/GMP)</t>
        </is>
      </c>
      <c r="M175" s="62" t="n">
        <v>52</v>
      </c>
      <c r="N175" s="62" t="inlineStr">
        <is>
          <t>Reliability</t>
        </is>
      </c>
      <c r="O175" s="53" t="inlineStr">
        <is>
          <t>The Contractor shall provide the diagnostics and validated procedures required to verify the oil concentration, at minimum, at the following locations:</t>
        </is>
      </c>
      <c r="P175" s="53" t="inlineStr">
        <is>
          <t>None explicitly named in this RTM</t>
        </is>
      </c>
      <c r="Q175" s="53" t="inlineStr">
        <is>
          <t>Procedure / work instruction</t>
        </is>
      </c>
      <c r="R175" s="53" t="inlineStr">
        <is>
          <t>Submit and review the named deliverable with RTM traceability and approval status; Calculation/model plus calibrated measurement or recorded trend; Functional design/configuration review and sequence/interface demonstration</t>
        </is>
      </c>
      <c r="S175" s="53" t="inlineStr">
        <is>
          <t>L1 Conceptual Design; L2 Detailed Design</t>
        </is>
      </c>
      <c r="T175" s="53" t="inlineStr">
        <is>
          <t>Section/contract-derived reference; explicit deliverable/test wording</t>
        </is>
      </c>
      <c r="U175" s="62" t="inlineStr">
        <is>
          <t>TBD</t>
        </is>
      </c>
      <c r="V175" s="213" t="n"/>
      <c r="W175" s="53" t="n"/>
    </row>
    <row r="176" ht="92" customHeight="1">
      <c r="A176" s="60" t="n">
        <v>171</v>
      </c>
      <c r="B176" s="60" t="inlineStr">
        <is>
          <t>RTM-180</t>
        </is>
      </c>
      <c r="C176" s="89" t="inlineStr">
        <is>
          <t>SYSTEM</t>
        </is>
      </c>
      <c r="D176" s="90" t="inlineStr">
        <is>
          <t>Performance</t>
        </is>
      </c>
      <c r="E176" s="91" t="inlineStr">
        <is>
          <t>—</t>
        </is>
      </c>
      <c r="F176" s="60" t="inlineStr">
        <is>
          <t>Subsystems</t>
        </is>
      </c>
      <c r="G176" s="85" t="inlineStr">
        <is>
          <t>Inferred: C3 — Mechanical &amp; Equipment (medium conf.)</t>
        </is>
      </c>
      <c r="H176" s="60" t="inlineStr">
        <is>
          <t>T1 Primary</t>
        </is>
      </c>
      <c r="I176" s="60" t="n">
        <v>38.6667</v>
      </c>
      <c r="J176" s="60" t="n">
        <v>75.3814</v>
      </c>
      <c r="K176" s="60" t="inlineStr">
        <is>
          <t>4.4.3.6.1</t>
        </is>
      </c>
      <c r="L176" s="60" t="inlineStr">
        <is>
          <t>Coalescer system</t>
        </is>
      </c>
      <c r="M176" s="60" t="n">
        <v>52</v>
      </c>
      <c r="N176" s="60" t="inlineStr">
        <is>
          <t>Reliability</t>
        </is>
      </c>
      <c r="O176" s="49" t="inlineStr">
        <is>
          <t>The oil collected in the stages upstream of the guard stage shall be automatically returned to the compressor suction through motorized drain valves controlled by level instrumentation.</t>
        </is>
      </c>
      <c r="P176" s="49" t="inlineStr">
        <is>
          <t>None explicitly named in this RTM</t>
        </is>
      </c>
      <c r="Q176" s="49" t="inlineStr">
        <is>
          <t>No separate deliverable explicitly named</t>
        </is>
      </c>
      <c r="R176" s="49" t="inlineStr">
        <is>
          <t>Calculation/model plus calibrated measurement or recorded trend; Functional design/configuration review and sequence/interface demonstration; RAM/maintenance substantiation and recovery/failure-response evidence</t>
        </is>
      </c>
      <c r="S176" s="49" t="inlineStr">
        <is>
          <t>L1 Conceptual Design; L2 Detailed Design</t>
        </is>
      </c>
      <c r="T176" s="49" t="inlineStr">
        <is>
          <t>Section/contract-derived reference; derived evidence route</t>
        </is>
      </c>
      <c r="U176" s="60" t="inlineStr">
        <is>
          <t>TBD</t>
        </is>
      </c>
      <c r="V176" s="213" t="n"/>
      <c r="W176" s="49" t="n"/>
    </row>
    <row r="177" ht="92" customHeight="1">
      <c r="A177" s="62" t="n">
        <v>172</v>
      </c>
      <c r="B177" s="62" t="inlineStr">
        <is>
          <t>RTM-210</t>
        </is>
      </c>
      <c r="C177" s="86" t="inlineStr">
        <is>
          <t>SYSTEM</t>
        </is>
      </c>
      <c r="D177" s="87" t="inlineStr">
        <is>
          <t>Control</t>
        </is>
      </c>
      <c r="E177" s="88" t="inlineStr">
        <is>
          <t>—</t>
        </is>
      </c>
      <c r="F177" s="62" t="inlineStr">
        <is>
          <t>Subsystems</t>
        </is>
      </c>
      <c r="G177" s="92" t="inlineStr">
        <is>
          <t>Inferred: C3 — Mechanical &amp; Equipment (medium conf.)</t>
        </is>
      </c>
      <c r="H177" s="62" t="inlineStr">
        <is>
          <t>T1 Primary</t>
        </is>
      </c>
      <c r="I177" s="62" t="n">
        <v>38.6667</v>
      </c>
      <c r="J177" s="62" t="n">
        <v>75.3814</v>
      </c>
      <c r="K177" s="62" t="inlineStr">
        <is>
          <t>4.4.4.2.3</t>
        </is>
      </c>
      <c r="L177" s="62" t="inlineStr">
        <is>
          <t>Turbines</t>
        </is>
      </c>
      <c r="M177" s="62" t="n">
        <v>57</v>
      </c>
      <c r="N177" s="62" t="inlineStr">
        <is>
          <t>Reliability</t>
        </is>
      </c>
      <c r="O177" s="53" t="inlineStr">
        <is>
          <t>Each turbine shall be equipped with either gas-lubricated bearings or magnetic bearings.</t>
        </is>
      </c>
      <c r="P177" s="53" t="inlineStr">
        <is>
          <t>None explicitly named in this RTM</t>
        </is>
      </c>
      <c r="Q177" s="53" t="inlineStr">
        <is>
          <t>No separate deliverable explicitly named</t>
        </is>
      </c>
      <c r="R177" s="53" t="inlineStr">
        <is>
          <t>Calculation/model plus calibrated measurement or recorded trend; Functional design/configuration review and sequence/interface demonstration; RAM/maintenance substantiation and recovery/failure-response evidence</t>
        </is>
      </c>
      <c r="S177" s="53" t="inlineStr">
        <is>
          <t>L1 Conceptual Design; L2 Detailed Design</t>
        </is>
      </c>
      <c r="T177" s="53" t="inlineStr">
        <is>
          <t>Section/contract-derived reference; derived evidence route</t>
        </is>
      </c>
      <c r="U177" s="62" t="inlineStr">
        <is>
          <t>TBD</t>
        </is>
      </c>
      <c r="V177" s="213" t="n"/>
      <c r="W177" s="53" t="n"/>
    </row>
    <row r="178" ht="64" customHeight="1">
      <c r="A178" s="60" t="n">
        <v>173</v>
      </c>
      <c r="B178" s="60" t="inlineStr">
        <is>
          <t>RTM-216</t>
        </is>
      </c>
      <c r="C178" s="89" t="inlineStr">
        <is>
          <t>SYSTEM</t>
        </is>
      </c>
      <c r="D178" s="90" t="inlineStr">
        <is>
          <t>Constraint</t>
        </is>
      </c>
      <c r="E178" s="91" t="inlineStr">
        <is>
          <t>—</t>
        </is>
      </c>
      <c r="F178" s="60" t="inlineStr">
        <is>
          <t>Subsystems</t>
        </is>
      </c>
      <c r="G178" s="85" t="inlineStr">
        <is>
          <t>Inferred: C3 — Mechanical &amp; Equipment (medium conf.)</t>
        </is>
      </c>
      <c r="H178" s="60" t="inlineStr">
        <is>
          <t>T1 Primary</t>
        </is>
      </c>
      <c r="I178" s="60" t="n">
        <v>38.6667</v>
      </c>
      <c r="J178" s="60" t="n">
        <v>75.3814</v>
      </c>
      <c r="K178" s="60" t="inlineStr">
        <is>
          <t>4.4.4.2.3</t>
        </is>
      </c>
      <c r="L178" s="60" t="inlineStr">
        <is>
          <t>Turbines</t>
        </is>
      </c>
      <c r="M178" s="60" t="n">
        <v>57</v>
      </c>
      <c r="N178" s="60" t="inlineStr">
        <is>
          <t>Reliability</t>
        </is>
      </c>
      <c r="O178" s="49" t="inlineStr">
        <is>
          <t>The replacement of one turbine cartridge shall not exceed 3 hours under normal maintenance conditions.</t>
        </is>
      </c>
      <c r="P178" s="49" t="inlineStr">
        <is>
          <t>None explicitly named in this RTM</t>
        </is>
      </c>
      <c r="Q178" s="49" t="inlineStr">
        <is>
          <t>No separate deliverable explicitly named</t>
        </is>
      </c>
      <c r="R178" s="49" t="inlineStr">
        <is>
          <t>Calculation/model plus calibrated measurement or recorded trend; RAM/maintenance substantiation and recovery/failure-response evidence</t>
        </is>
      </c>
      <c r="S178" s="49" t="inlineStr">
        <is>
          <t>L1 Conceptual Design; L2 Detailed Design</t>
        </is>
      </c>
      <c r="T178" s="49" t="inlineStr">
        <is>
          <t>Section/contract-derived reference; derived evidence route</t>
        </is>
      </c>
      <c r="U178" s="60" t="inlineStr">
        <is>
          <t>TBD</t>
        </is>
      </c>
      <c r="V178" s="213" t="n"/>
      <c r="W178" s="49" t="n"/>
    </row>
    <row r="179" ht="92" customHeight="1">
      <c r="A179" s="62" t="n">
        <v>174</v>
      </c>
      <c r="B179" s="62" t="inlineStr">
        <is>
          <t>RTM-218</t>
        </is>
      </c>
      <c r="C179" s="86" t="inlineStr">
        <is>
          <t>SYSTEM</t>
        </is>
      </c>
      <c r="D179" s="87" t="inlineStr">
        <is>
          <t>Control</t>
        </is>
      </c>
      <c r="E179" s="88" t="inlineStr">
        <is>
          <t>—</t>
        </is>
      </c>
      <c r="F179" s="62" t="inlineStr">
        <is>
          <t>Subsystems</t>
        </is>
      </c>
      <c r="G179" s="92" t="inlineStr">
        <is>
          <t>Inferred: C3 — Mechanical &amp; Equipment (medium conf.)</t>
        </is>
      </c>
      <c r="H179" s="62" t="inlineStr">
        <is>
          <t>T1 Primary</t>
        </is>
      </c>
      <c r="I179" s="62" t="n">
        <v>38.6667</v>
      </c>
      <c r="J179" s="62" t="n">
        <v>75.3814</v>
      </c>
      <c r="K179" s="62" t="inlineStr">
        <is>
          <t>4.4.4.2.4</t>
        </is>
      </c>
      <c r="L179" s="62" t="inlineStr">
        <is>
          <t>Cold Compressors</t>
        </is>
      </c>
      <c r="M179" s="62" t="n">
        <v>57</v>
      </c>
      <c r="N179" s="62" t="inlineStr">
        <is>
          <t>Reliability</t>
        </is>
      </c>
      <c r="O179" s="53" t="inlineStr">
        <is>
          <t>The magnetic bearings of the cold compressors shall include:</t>
        </is>
      </c>
      <c r="P179" s="53" t="inlineStr">
        <is>
          <t>None explicitly named in this RTM</t>
        </is>
      </c>
      <c r="Q179" s="53" t="inlineStr">
        <is>
          <t>No separate deliverable explicitly named</t>
        </is>
      </c>
      <c r="R179" s="53" t="inlineStr">
        <is>
          <t>Calculation/model plus calibrated measurement or recorded trend; Functional design/configuration review and sequence/interface demonstration; RAM/maintenance substantiation and recovery/failure-response evidence</t>
        </is>
      </c>
      <c r="S179" s="53" t="inlineStr">
        <is>
          <t>L1 Conceptual Design; L2 Detailed Design</t>
        </is>
      </c>
      <c r="T179" s="53" t="inlineStr">
        <is>
          <t>Section/contract-derived reference; derived evidence route</t>
        </is>
      </c>
      <c r="U179" s="62" t="inlineStr">
        <is>
          <t>TBD</t>
        </is>
      </c>
      <c r="V179" s="213" t="n"/>
      <c r="W179" s="53" t="n"/>
    </row>
    <row r="180" ht="64" customHeight="1">
      <c r="A180" s="60" t="n">
        <v>175</v>
      </c>
      <c r="B180" s="60" t="inlineStr">
        <is>
          <t>RTM-440</t>
        </is>
      </c>
      <c r="C180" s="89" t="inlineStr">
        <is>
          <t>SYSTEM</t>
        </is>
      </c>
      <c r="D180" s="90" t="inlineStr">
        <is>
          <t>Constraint</t>
        </is>
      </c>
      <c r="E180" s="91" t="inlineStr">
        <is>
          <t>—</t>
        </is>
      </c>
      <c r="F180" s="60" t="inlineStr">
        <is>
          <t>Design &amp; Fabrication</t>
        </is>
      </c>
      <c r="G180" s="85" t="inlineStr">
        <is>
          <t>Inferred: C5 — Infrastructure &amp; Integration (medium conf.)</t>
        </is>
      </c>
      <c r="H180" s="60" t="inlineStr">
        <is>
          <t>T1 Primary</t>
        </is>
      </c>
      <c r="I180" s="60" t="n">
        <v>38.6667</v>
      </c>
      <c r="J180" s="60" t="n">
        <v>75.3814</v>
      </c>
      <c r="K180" s="60" t="inlineStr">
        <is>
          <t>4.8.1</t>
        </is>
      </c>
      <c r="L180" s="60" t="inlineStr">
        <is>
          <t>Drawings and CAD models</t>
        </is>
      </c>
      <c r="M180" s="60" t="n">
        <v>87</v>
      </c>
      <c r="N180" s="60" t="inlineStr">
        <is>
          <t>Safety / Legal</t>
        </is>
      </c>
      <c r="O180" s="49" t="inlineStr">
        <is>
          <t>The 2D drawings shall comply with the Geometrical Product Specifications (GPS) standards, including but not limited to:</t>
        </is>
      </c>
      <c r="P180" s="49" t="inlineStr">
        <is>
          <t>ISO 1101:2017; ISO 1:2022; ISO 286:2010; ISO 2768:1989; ISO 2692:2021</t>
        </is>
      </c>
      <c r="Q180" s="49" t="inlineStr">
        <is>
          <t>Drawing / diagram</t>
        </is>
      </c>
      <c r="R180" s="49" t="inlineStr">
        <is>
          <t>Submit and review the named deliverable with RTM traceability and approval status; Document review, inspection, certification, audit or traceable QC record</t>
        </is>
      </c>
      <c r="S180" s="49" t="inlineStr">
        <is>
          <t>L1 Conceptual Design; L2 Detailed Design</t>
        </is>
      </c>
      <c r="T180" s="49" t="inlineStr">
        <is>
          <t>Explicit/table-grounded standard; explicit deliverable/test wording</t>
        </is>
      </c>
      <c r="U180" s="60" t="inlineStr">
        <is>
          <t>TBD</t>
        </is>
      </c>
      <c r="V180" s="213" t="n"/>
      <c r="W180" s="49" t="n"/>
    </row>
    <row r="181" ht="92" customHeight="1">
      <c r="A181" s="62" t="n">
        <v>176</v>
      </c>
      <c r="B181" s="62" t="inlineStr">
        <is>
          <t>RTM-465</t>
        </is>
      </c>
      <c r="C181" s="86" t="inlineStr">
        <is>
          <t>SYSTEM</t>
        </is>
      </c>
      <c r="D181" s="87" t="inlineStr">
        <is>
          <t>Performance</t>
        </is>
      </c>
      <c r="E181" s="88" t="inlineStr">
        <is>
          <t>—</t>
        </is>
      </c>
      <c r="F181" s="62" t="inlineStr">
        <is>
          <t>Design &amp; Fabrication</t>
        </is>
      </c>
      <c r="G181" s="92" t="inlineStr">
        <is>
          <t>Inferred: C5 — Infrastructure &amp; Integration (medium conf.)</t>
        </is>
      </c>
      <c r="H181" s="62" t="inlineStr">
        <is>
          <t>T1 Primary</t>
        </is>
      </c>
      <c r="I181" s="62" t="n">
        <v>38.6667</v>
      </c>
      <c r="J181" s="62" t="n">
        <v>75.3814</v>
      </c>
      <c r="K181" s="62" t="inlineStr">
        <is>
          <t>4.8.5</t>
        </is>
      </c>
      <c r="L181" s="62" t="inlineStr">
        <is>
          <t>General Electrical Requirements</t>
        </is>
      </c>
      <c r="M181" s="62" t="n">
        <v>91</v>
      </c>
      <c r="N181" s="62" t="inlineStr">
        <is>
          <t>Safety / Legal</t>
        </is>
      </c>
      <c r="O181" s="53" t="inlineStr">
        <is>
          <t>All electrical components (including cables, cabinets, cable trays, and associated systems) shall comply with the applicable international electrical standards, including but not limited to IEC 61508 and IEC 61511 for lifecycle functional safety aspects.</t>
        </is>
      </c>
      <c r="P181" s="53" t="inlineStr">
        <is>
          <t>IEC 61508; IEC 61511</t>
        </is>
      </c>
      <c r="Q181" s="53" t="inlineStr">
        <is>
          <t>No separate deliverable explicitly named</t>
        </is>
      </c>
      <c r="R181" s="53" t="inlineStr">
        <is>
          <t>Document review, inspection, certification, audit or traceable QC record; Conformity/safety assessment, certification and approved safety evidence</t>
        </is>
      </c>
      <c r="S181" s="53" t="inlineStr">
        <is>
          <t>L1 Conceptual Design; L2 Detailed Design</t>
        </is>
      </c>
      <c r="T181" s="53" t="inlineStr">
        <is>
          <t>Explicit/table-grounded standard; derived evidence route</t>
        </is>
      </c>
      <c r="U181" s="62" t="inlineStr">
        <is>
          <t>TBD</t>
        </is>
      </c>
      <c r="V181" s="213" t="n"/>
      <c r="W181" s="53" t="n"/>
    </row>
    <row r="182" ht="78" customHeight="1">
      <c r="A182" s="60" t="n">
        <v>177</v>
      </c>
      <c r="B182" s="60" t="inlineStr">
        <is>
          <t>RTM-504</t>
        </is>
      </c>
      <c r="C182" s="89" t="inlineStr">
        <is>
          <t>PROJECT</t>
        </is>
      </c>
      <c r="D182" s="90" t="inlineStr">
        <is>
          <t>Documentation &amp; Compliance</t>
        </is>
      </c>
      <c r="E182" s="91" t="inlineStr">
        <is>
          <t>—</t>
        </is>
      </c>
      <c r="F182" s="60" t="inlineStr">
        <is>
          <t>Acceptance Testing</t>
        </is>
      </c>
      <c r="G182" s="60" t="inlineStr">
        <is>
          <t>C7 — Quality, Testing &amp; Risk</t>
        </is>
      </c>
      <c r="H182" s="60" t="inlineStr">
        <is>
          <t>T1 Primary</t>
        </is>
      </c>
      <c r="I182" s="60" t="n">
        <v>38.6667</v>
      </c>
      <c r="J182" s="60" t="n">
        <v>75.3814</v>
      </c>
      <c r="K182" s="60" t="inlineStr">
        <is>
          <t>4.13.3</t>
        </is>
      </c>
      <c r="L182" s="60" t="inlineStr">
        <is>
          <t>Site Acceptance Tests (SAT)</t>
        </is>
      </c>
      <c r="M182" s="60" t="n">
        <v>98</v>
      </c>
      <c r="N182" s="60" t="inlineStr">
        <is>
          <t>Safety / Legal / Performance</t>
        </is>
      </c>
      <c r="O182" s="49" t="inlineStr">
        <is>
          <t>For each SAT demonstration, the Contractor shall continuously monitor and record the quantities relevant to the demonstrated function. This shall include, where applicable, at minimum:</t>
        </is>
      </c>
      <c r="P182" s="49" t="inlineStr">
        <is>
          <t>None explicitly named in this RTM</t>
        </is>
      </c>
      <c r="Q182" s="49" t="inlineStr">
        <is>
          <t>No separate deliverable explicitly named</t>
        </is>
      </c>
      <c r="R182" s="49" t="inlineStr">
        <is>
          <t>Witnessed FAT/SAT/commissioning test against stated acceptance criteria; Calculation/model plus calibrated measurement or recorded trend</t>
        </is>
      </c>
      <c r="S182" s="49" t="inlineStr">
        <is>
          <t>L6 Site Acceptance Testing; L1 Conceptual Design; L2 Detailed Design</t>
        </is>
      </c>
      <c r="T182" s="49" t="inlineStr">
        <is>
          <t>Section/contract-derived reference; explicit deliverable/test wording</t>
        </is>
      </c>
      <c r="U182" s="60" t="inlineStr">
        <is>
          <t>TBD</t>
        </is>
      </c>
      <c r="V182" s="213" t="n"/>
      <c r="W182" s="49" t="n"/>
    </row>
    <row r="183" ht="92" customHeight="1">
      <c r="A183" s="62" t="n">
        <v>178</v>
      </c>
      <c r="B183" s="62" t="inlineStr">
        <is>
          <t>RTM-526</t>
        </is>
      </c>
      <c r="C183" s="86" t="inlineStr">
        <is>
          <t>PROJECT</t>
        </is>
      </c>
      <c r="D183" s="87" t="inlineStr">
        <is>
          <t>Governance &amp; Responsibility</t>
        </is>
      </c>
      <c r="E183" s="88" t="inlineStr">
        <is>
          <t>—</t>
        </is>
      </c>
      <c r="F183" s="62" t="inlineStr">
        <is>
          <t>Acceptance Testing</t>
        </is>
      </c>
      <c r="G183" s="62" t="inlineStr">
        <is>
          <t>C7 — Quality, Testing &amp; Risk</t>
        </is>
      </c>
      <c r="H183" s="62" t="inlineStr">
        <is>
          <t>T1 Primary</t>
        </is>
      </c>
      <c r="I183" s="62" t="n">
        <v>38.6667</v>
      </c>
      <c r="J183" s="62" t="n">
        <v>75.3814</v>
      </c>
      <c r="K183" s="62" t="inlineStr">
        <is>
          <t>4.13.3.3.2</t>
        </is>
      </c>
      <c r="L183" s="62" t="inlineStr">
        <is>
          <t>Demonstration of the 2K-OP operating envelope</t>
        </is>
      </c>
      <c r="M183" s="62" t="n">
        <v>103</v>
      </c>
      <c r="N183" s="62" t="inlineStr">
        <is>
          <t>Performance</t>
        </is>
      </c>
      <c r="O183" s="53" t="inlineStr">
        <is>
          <t>The Contractor shall demonstrate the robustness and controllability of the QPS within the 2K-OP operational envelope during the SAT. This demonstration shall be performed with the QPS operating at each of the following test points:</t>
        </is>
      </c>
      <c r="P183" s="53" t="inlineStr">
        <is>
          <t>None explicitly named in this RTM</t>
        </is>
      </c>
      <c r="Q183" s="53" t="inlineStr">
        <is>
          <t>No separate deliverable explicitly named</t>
        </is>
      </c>
      <c r="R183" s="53" t="inlineStr">
        <is>
          <t>Witnessed FAT/SAT/commissioning test against stated acceptance criteria; Calculation/model plus calibrated measurement or recorded trend</t>
        </is>
      </c>
      <c r="S183" s="53" t="inlineStr">
        <is>
          <t>L6 Site Acceptance Testing; L1 Conceptual Design; L2 Detailed Design</t>
        </is>
      </c>
      <c r="T183" s="53" t="inlineStr">
        <is>
          <t>Section/contract-derived reference; explicit deliverable/test wording</t>
        </is>
      </c>
      <c r="U183" s="62" t="inlineStr">
        <is>
          <t>TBD</t>
        </is>
      </c>
      <c r="V183" s="213" t="n"/>
      <c r="W183" s="53" t="n"/>
    </row>
    <row r="184" ht="64" customHeight="1">
      <c r="A184" s="60" t="n">
        <v>179</v>
      </c>
      <c r="B184" s="60" t="inlineStr">
        <is>
          <t>RTM-527</t>
        </is>
      </c>
      <c r="C184" s="89" t="inlineStr">
        <is>
          <t>PROJECT</t>
        </is>
      </c>
      <c r="D184" s="90" t="inlineStr">
        <is>
          <t>Documentation &amp; Compliance</t>
        </is>
      </c>
      <c r="E184" s="91" t="inlineStr">
        <is>
          <t>—</t>
        </is>
      </c>
      <c r="F184" s="60" t="inlineStr">
        <is>
          <t>Acceptance Testing</t>
        </is>
      </c>
      <c r="G184" s="60" t="inlineStr">
        <is>
          <t>C7 — Quality, Testing &amp; Risk</t>
        </is>
      </c>
      <c r="H184" s="60" t="inlineStr">
        <is>
          <t>T1 Primary</t>
        </is>
      </c>
      <c r="I184" s="60" t="n">
        <v>38.6667</v>
      </c>
      <c r="J184" s="60" t="n">
        <v>75.3814</v>
      </c>
      <c r="K184" s="60" t="inlineStr">
        <is>
          <t>4.13.3.3.2</t>
        </is>
      </c>
      <c r="L184" s="60" t="inlineStr">
        <is>
          <t>Demonstration of the 2K-OP operating envelope</t>
        </is>
      </c>
      <c r="M184" s="60" t="n">
        <v>103</v>
      </c>
      <c r="N184" s="60" t="inlineStr">
        <is>
          <t>Performance</t>
        </is>
      </c>
      <c r="O184" s="49" t="inlineStr">
        <is>
          <t>At each test point of the demonstration, the Contractor shall:</t>
        </is>
      </c>
      <c r="P184" s="49" t="inlineStr">
        <is>
          <t>None explicitly named in this RTM</t>
        </is>
      </c>
      <c r="Q184" s="49" t="inlineStr">
        <is>
          <t>No separate deliverable explicitly named</t>
        </is>
      </c>
      <c r="R184" s="49" t="inlineStr">
        <is>
          <t>Witnessed FAT/SAT/commissioning test against stated acceptance criteria; Calculation/model plus calibrated measurement or recorded trend</t>
        </is>
      </c>
      <c r="S184" s="49" t="inlineStr">
        <is>
          <t>L1 Conceptual Design; L2 Detailed Design</t>
        </is>
      </c>
      <c r="T184" s="49" t="inlineStr">
        <is>
          <t>Section/contract-derived reference; explicit deliverable/test wording</t>
        </is>
      </c>
      <c r="U184" s="60" t="inlineStr">
        <is>
          <t>TBD</t>
        </is>
      </c>
      <c r="V184" s="213" t="n"/>
      <c r="W184" s="49" t="n"/>
    </row>
    <row r="185" ht="64" customHeight="1">
      <c r="A185" s="62" t="n">
        <v>180</v>
      </c>
      <c r="B185" s="62" t="inlineStr">
        <is>
          <t>RTM-528</t>
        </is>
      </c>
      <c r="C185" s="86" t="inlineStr">
        <is>
          <t>PROJECT</t>
        </is>
      </c>
      <c r="D185" s="87" t="inlineStr">
        <is>
          <t>Governance &amp; Responsibility</t>
        </is>
      </c>
      <c r="E185" s="88" t="inlineStr">
        <is>
          <t>—</t>
        </is>
      </c>
      <c r="F185" s="62" t="inlineStr">
        <is>
          <t>Acceptance Testing</t>
        </is>
      </c>
      <c r="G185" s="62" t="inlineStr">
        <is>
          <t>C7 — Quality, Testing &amp; Risk</t>
        </is>
      </c>
      <c r="H185" s="62" t="inlineStr">
        <is>
          <t>T1 Primary</t>
        </is>
      </c>
      <c r="I185" s="62" t="n">
        <v>38.6667</v>
      </c>
      <c r="J185" s="62" t="n">
        <v>75.3814</v>
      </c>
      <c r="K185" s="62" t="inlineStr">
        <is>
          <t>4.13.3.3.2</t>
        </is>
      </c>
      <c r="L185" s="62" t="inlineStr">
        <is>
          <t>Demonstration of the 2K-OP operating envelope</t>
        </is>
      </c>
      <c r="M185" s="62" t="n">
        <v>104</v>
      </c>
      <c r="N185" s="62" t="inlineStr">
        <is>
          <t>Performance</t>
        </is>
      </c>
      <c r="O185" s="53" t="inlineStr">
        <is>
          <t>The Predefined Heat-Load Step Changes (∆Q_step) shall be defined as follows:</t>
        </is>
      </c>
      <c r="P185" s="53" t="inlineStr">
        <is>
          <t>None explicitly named in this RTM</t>
        </is>
      </c>
      <c r="Q185" s="53" t="inlineStr">
        <is>
          <t>No separate deliverable explicitly named</t>
        </is>
      </c>
      <c r="R185" s="53" t="inlineStr">
        <is>
          <t>Calculation/model plus calibrated measurement or recorded trend; Document review, inspection, certification, audit or traceable QC record</t>
        </is>
      </c>
      <c r="S185" s="53" t="inlineStr">
        <is>
          <t>L1 Conceptual Design; L2 Detailed Design</t>
        </is>
      </c>
      <c r="T185" s="53" t="inlineStr">
        <is>
          <t>Section/contract-derived reference; derived evidence route</t>
        </is>
      </c>
      <c r="U185" s="62" t="inlineStr">
        <is>
          <t>TBD</t>
        </is>
      </c>
      <c r="V185" s="213" t="n"/>
      <c r="W185" s="53" t="n"/>
    </row>
    <row r="186" ht="64" customHeight="1">
      <c r="A186" s="60" t="n">
        <v>181</v>
      </c>
      <c r="B186" s="60" t="inlineStr">
        <is>
          <t>RTM-529</t>
        </is>
      </c>
      <c r="C186" s="89" t="inlineStr">
        <is>
          <t>PROJECT</t>
        </is>
      </c>
      <c r="D186" s="90" t="inlineStr">
        <is>
          <t>Governance &amp; Responsibility</t>
        </is>
      </c>
      <c r="E186" s="91" t="inlineStr">
        <is>
          <t>—</t>
        </is>
      </c>
      <c r="F186" s="60" t="inlineStr">
        <is>
          <t>Acceptance Testing</t>
        </is>
      </c>
      <c r="G186" s="60" t="inlineStr">
        <is>
          <t>C7 — Quality, Testing &amp; Risk</t>
        </is>
      </c>
      <c r="H186" s="60" t="inlineStr">
        <is>
          <t>T1 Primary</t>
        </is>
      </c>
      <c r="I186" s="60" t="n">
        <v>38.6667</v>
      </c>
      <c r="J186" s="60" t="n">
        <v>75.3814</v>
      </c>
      <c r="K186" s="60" t="inlineStr">
        <is>
          <t>4.13.3.3.2</t>
        </is>
      </c>
      <c r="L186" s="60" t="inlineStr">
        <is>
          <t>Demonstration of the 2K-OP operating envelope</t>
        </is>
      </c>
      <c r="M186" s="60" t="n">
        <v>104</v>
      </c>
      <c r="N186" s="60" t="inlineStr">
        <is>
          <t>Performance</t>
        </is>
      </c>
      <c r="O186" s="49" t="inlineStr">
        <is>
          <t>The demonstration shall be performed according to the following sequence:</t>
        </is>
      </c>
      <c r="P186" s="49" t="inlineStr">
        <is>
          <t>None explicitly named in this RTM</t>
        </is>
      </c>
      <c r="Q186" s="49" t="inlineStr">
        <is>
          <t>No separate deliverable explicitly named</t>
        </is>
      </c>
      <c r="R186" s="49" t="inlineStr">
        <is>
          <t>Witnessed FAT/SAT/commissioning test against stated acceptance criteria; Calculation/model plus calibrated measurement or recorded trend</t>
        </is>
      </c>
      <c r="S186" s="49" t="inlineStr">
        <is>
          <t>L1 Conceptual Design; L2 Detailed Design</t>
        </is>
      </c>
      <c r="T186" s="49" t="inlineStr">
        <is>
          <t>Section/contract-derived reference; explicit deliverable/test wording</t>
        </is>
      </c>
      <c r="U186" s="60" t="inlineStr">
        <is>
          <t>TBD</t>
        </is>
      </c>
      <c r="V186" s="213" t="n"/>
      <c r="W186" s="49" t="n"/>
    </row>
    <row r="187" ht="64" customHeight="1">
      <c r="A187" s="62" t="n">
        <v>182</v>
      </c>
      <c r="B187" s="62" t="inlineStr">
        <is>
          <t>RTM-534</t>
        </is>
      </c>
      <c r="C187" s="86" t="inlineStr">
        <is>
          <t>PROJECT</t>
        </is>
      </c>
      <c r="D187" s="87" t="inlineStr">
        <is>
          <t>Governance &amp; Responsibility</t>
        </is>
      </c>
      <c r="E187" s="88" t="inlineStr">
        <is>
          <t>—</t>
        </is>
      </c>
      <c r="F187" s="62" t="inlineStr">
        <is>
          <t>Acceptance Testing</t>
        </is>
      </c>
      <c r="G187" s="62" t="inlineStr">
        <is>
          <t>C7 — Quality, Testing &amp; Risk</t>
        </is>
      </c>
      <c r="H187" s="62" t="inlineStr">
        <is>
          <t>T1 Primary</t>
        </is>
      </c>
      <c r="I187" s="62" t="n">
        <v>38.6667</v>
      </c>
      <c r="J187" s="62" t="n">
        <v>75.3814</v>
      </c>
      <c r="K187" s="62" t="inlineStr">
        <is>
          <t>4.13.3.3.5</t>
        </is>
      </c>
      <c r="L187" s="62" t="inlineStr">
        <is>
          <t>Demonstration of rotating and compression equipment</t>
        </is>
      </c>
      <c r="M187" s="62" t="n">
        <v>105</v>
      </c>
      <c r="N187" s="62" t="inlineStr">
        <is>
          <t>Performance</t>
        </is>
      </c>
      <c r="O187" s="53" t="inlineStr">
        <is>
          <t>For the cold compressors, the Contractor shall demonstrate the operating envelope and stability margins during the SAT. This shall include, at minimum:</t>
        </is>
      </c>
      <c r="P187" s="53" t="inlineStr">
        <is>
          <t>None explicitly named in this RTM</t>
        </is>
      </c>
      <c r="Q187" s="53" t="inlineStr">
        <is>
          <t>No separate deliverable explicitly named</t>
        </is>
      </c>
      <c r="R187" s="53" t="inlineStr">
        <is>
          <t>Witnessed FAT/SAT/commissioning test against stated acceptance criteria; Calculation/model plus calibrated measurement or recorded trend</t>
        </is>
      </c>
      <c r="S187" s="53" t="inlineStr">
        <is>
          <t>L6 Site Acceptance Testing; L1 Conceptual Design; L2 Detailed Design</t>
        </is>
      </c>
      <c r="T187" s="53" t="inlineStr">
        <is>
          <t>Section/contract-derived reference; explicit deliverable/test wording</t>
        </is>
      </c>
      <c r="U187" s="62" t="inlineStr">
        <is>
          <t>TBD</t>
        </is>
      </c>
      <c r="V187" s="213" t="n"/>
      <c r="W187" s="53" t="n"/>
    </row>
    <row r="188" ht="64" customHeight="1">
      <c r="A188" s="60" t="n">
        <v>183</v>
      </c>
      <c r="B188" s="60" t="inlineStr">
        <is>
          <t>RTM-535</t>
        </is>
      </c>
      <c r="C188" s="89" t="inlineStr">
        <is>
          <t>PROJECT</t>
        </is>
      </c>
      <c r="D188" s="90" t="inlineStr">
        <is>
          <t>Governance &amp; Responsibility</t>
        </is>
      </c>
      <c r="E188" s="91" t="inlineStr">
        <is>
          <t>—</t>
        </is>
      </c>
      <c r="F188" s="60" t="inlineStr">
        <is>
          <t>Acceptance Testing</t>
        </is>
      </c>
      <c r="G188" s="60" t="inlineStr">
        <is>
          <t>C7 — Quality, Testing &amp; Risk</t>
        </is>
      </c>
      <c r="H188" s="60" t="inlineStr">
        <is>
          <t>T1 Primary</t>
        </is>
      </c>
      <c r="I188" s="60" t="n">
        <v>38.6667</v>
      </c>
      <c r="J188" s="60" t="n">
        <v>75.3814</v>
      </c>
      <c r="K188" s="60" t="inlineStr">
        <is>
          <t>4.13.3.3.5</t>
        </is>
      </c>
      <c r="L188" s="60" t="inlineStr">
        <is>
          <t>Demonstration of rotating and compression equipment</t>
        </is>
      </c>
      <c r="M188" s="60" t="n">
        <v>105</v>
      </c>
      <c r="N188" s="60" t="inlineStr">
        <is>
          <t>Safety / Legal / Performance</t>
        </is>
      </c>
      <c r="O188" s="49" t="inlineStr">
        <is>
          <t>For each warm compressor unit, the Contractor shall demonstrate the relevant performance and operating characteristics during the SAT. This shall include, at minimum:</t>
        </is>
      </c>
      <c r="P188" s="49" t="inlineStr">
        <is>
          <t>None explicitly named in this RTM</t>
        </is>
      </c>
      <c r="Q188" s="49" t="inlineStr">
        <is>
          <t>No separate deliverable explicitly named</t>
        </is>
      </c>
      <c r="R188" s="49" t="inlineStr">
        <is>
          <t>Witnessed FAT/SAT/commissioning test against stated acceptance criteria; Calculation/model plus calibrated measurement or recorded trend</t>
        </is>
      </c>
      <c r="S188" s="49" t="inlineStr">
        <is>
          <t>L6 Site Acceptance Testing; L1 Conceptual Design; L2 Detailed Design</t>
        </is>
      </c>
      <c r="T188" s="49" t="inlineStr">
        <is>
          <t>Section/contract-derived reference; explicit deliverable/test wording</t>
        </is>
      </c>
      <c r="U188" s="60" t="inlineStr">
        <is>
          <t>TBD</t>
        </is>
      </c>
      <c r="V188" s="213" t="n"/>
      <c r="W188" s="49" t="n"/>
    </row>
    <row r="189" ht="64" customHeight="1">
      <c r="A189" s="62" t="n">
        <v>184</v>
      </c>
      <c r="B189" s="62" t="inlineStr">
        <is>
          <t>RTM-539</t>
        </is>
      </c>
      <c r="C189" s="86" t="inlineStr">
        <is>
          <t>PROJECT</t>
        </is>
      </c>
      <c r="D189" s="87" t="inlineStr">
        <is>
          <t>Governance &amp; Responsibility</t>
        </is>
      </c>
      <c r="E189" s="88" t="inlineStr">
        <is>
          <t>—</t>
        </is>
      </c>
      <c r="F189" s="62" t="inlineStr">
        <is>
          <t>Acceptance Testing</t>
        </is>
      </c>
      <c r="G189" s="62" t="inlineStr">
        <is>
          <t>C7 — Quality, Testing &amp; Risk</t>
        </is>
      </c>
      <c r="H189" s="62" t="inlineStr">
        <is>
          <t>T1 Primary</t>
        </is>
      </c>
      <c r="I189" s="62" t="n">
        <v>38.6667</v>
      </c>
      <c r="J189" s="62" t="n">
        <v>75.3814</v>
      </c>
      <c r="K189" s="62" t="inlineStr">
        <is>
          <t>4.13.3.3.6</t>
        </is>
      </c>
      <c r="L189" s="62" t="inlineStr">
        <is>
          <t>Demonstration of storage and withdrawal systems</t>
        </is>
      </c>
      <c r="M189" s="62" t="n">
        <v>106</v>
      </c>
      <c r="N189" s="62" t="inlineStr">
        <is>
          <t>Performance</t>
        </is>
      </c>
      <c r="O189" s="53" t="inlineStr">
        <is>
          <t>For the WSH, the Contractor shall demonstrate the performance during the SAT. This shall include, at minimum:</t>
        </is>
      </c>
      <c r="P189" s="53" t="inlineStr">
        <is>
          <t>None explicitly named in this RTM</t>
        </is>
      </c>
      <c r="Q189" s="53" t="inlineStr">
        <is>
          <t>No separate deliverable explicitly named</t>
        </is>
      </c>
      <c r="R189" s="53" t="inlineStr">
        <is>
          <t>Witnessed FAT/SAT/commissioning test against stated acceptance criteria; Calculation/model plus calibrated measurement or recorded trend</t>
        </is>
      </c>
      <c r="S189" s="53" t="inlineStr">
        <is>
          <t>L6 Site Acceptance Testing; L1 Conceptual Design; L2 Detailed Design</t>
        </is>
      </c>
      <c r="T189" s="53" t="inlineStr">
        <is>
          <t>Section/contract-derived reference; explicit deliverable/test wording</t>
        </is>
      </c>
      <c r="U189" s="62" t="inlineStr">
        <is>
          <t>TBD</t>
        </is>
      </c>
      <c r="V189" s="213" t="n"/>
      <c r="W189" s="53" t="n"/>
    </row>
    <row r="190" ht="64" customHeight="1">
      <c r="A190" s="60" t="n">
        <v>185</v>
      </c>
      <c r="B190" s="60" t="inlineStr">
        <is>
          <t>RTM-540</t>
        </is>
      </c>
      <c r="C190" s="89" t="inlineStr">
        <is>
          <t>PROJECT</t>
        </is>
      </c>
      <c r="D190" s="90" t="inlineStr">
        <is>
          <t>Governance &amp; Responsibility</t>
        </is>
      </c>
      <c r="E190" s="91" t="inlineStr">
        <is>
          <t>—</t>
        </is>
      </c>
      <c r="F190" s="60" t="inlineStr">
        <is>
          <t>Acceptance Testing</t>
        </is>
      </c>
      <c r="G190" s="60" t="inlineStr">
        <is>
          <t>C7 — Quality, Testing &amp; Risk</t>
        </is>
      </c>
      <c r="H190" s="60" t="inlineStr">
        <is>
          <t>T1 Primary</t>
        </is>
      </c>
      <c r="I190" s="60" t="n">
        <v>38.6667</v>
      </c>
      <c r="J190" s="60" t="n">
        <v>75.3814</v>
      </c>
      <c r="K190" s="60" t="inlineStr">
        <is>
          <t>4.13.3.3.6</t>
        </is>
      </c>
      <c r="L190" s="60" t="inlineStr">
        <is>
          <t>Demonstration of storage and withdrawal systems</t>
        </is>
      </c>
      <c r="M190" s="60" t="n">
        <v>106</v>
      </c>
      <c r="N190" s="60" t="inlineStr">
        <is>
          <t>Performance</t>
        </is>
      </c>
      <c r="O190" s="49" t="inlineStr">
        <is>
          <t>If the QSN is supplied, the Contractor shall demonstrate the performance of the QSN during the SAT. This shall include, at minimum:</t>
        </is>
      </c>
      <c r="P190" s="49" t="inlineStr">
        <is>
          <t>None explicitly named in this RTM</t>
        </is>
      </c>
      <c r="Q190" s="49" t="inlineStr">
        <is>
          <t>No separate deliverable explicitly named</t>
        </is>
      </c>
      <c r="R190" s="49" t="inlineStr">
        <is>
          <t>Witnessed FAT/SAT/commissioning test against stated acceptance criteria; Calculation/model plus calibrated measurement or recorded trend</t>
        </is>
      </c>
      <c r="S190" s="49" t="inlineStr">
        <is>
          <t>L6 Site Acceptance Testing; L1 Conceptual Design; L2 Detailed Design</t>
        </is>
      </c>
      <c r="T190" s="49" t="inlineStr">
        <is>
          <t>Section/contract-derived reference; explicit deliverable/test wording</t>
        </is>
      </c>
      <c r="U190" s="60" t="inlineStr">
        <is>
          <t>TBD</t>
        </is>
      </c>
      <c r="V190" s="213" t="n"/>
      <c r="W190" s="49" t="n"/>
    </row>
    <row r="191" ht="64" customHeight="1">
      <c r="A191" s="62" t="n">
        <v>186</v>
      </c>
      <c r="B191" s="62" t="inlineStr">
        <is>
          <t>RTM-543</t>
        </is>
      </c>
      <c r="C191" s="86" t="inlineStr">
        <is>
          <t>PROJECT</t>
        </is>
      </c>
      <c r="D191" s="87" t="inlineStr">
        <is>
          <t>Governance &amp; Responsibility</t>
        </is>
      </c>
      <c r="E191" s="88" t="inlineStr">
        <is>
          <t>—</t>
        </is>
      </c>
      <c r="F191" s="62" t="inlineStr">
        <is>
          <t>Acceptance Testing</t>
        </is>
      </c>
      <c r="G191" s="62" t="inlineStr">
        <is>
          <t>C7 — Quality, Testing &amp; Risk</t>
        </is>
      </c>
      <c r="H191" s="62" t="inlineStr">
        <is>
          <t>T1 Primary</t>
        </is>
      </c>
      <c r="I191" s="62" t="n">
        <v>38.6667</v>
      </c>
      <c r="J191" s="62" t="n">
        <v>75.3814</v>
      </c>
      <c r="K191" s="62" t="inlineStr">
        <is>
          <t>4.13.3.3.7</t>
        </is>
      </c>
      <c r="L191" s="62" t="inlineStr">
        <is>
          <t>Energy-Efficiency demonstration</t>
        </is>
      </c>
      <c r="M191" s="62" t="n">
        <v>107</v>
      </c>
      <c r="N191" s="62" t="inlineStr">
        <is>
          <t>Performance</t>
        </is>
      </c>
      <c r="O191" s="53" t="inlineStr">
        <is>
          <t>The methodology used to determine invCOP_SAT shall be defined in advance and shall specify at least:</t>
        </is>
      </c>
      <c r="P191" s="53" t="inlineStr">
        <is>
          <t>None explicitly named in this RTM</t>
        </is>
      </c>
      <c r="Q191" s="53" t="inlineStr">
        <is>
          <t>No separate deliverable explicitly named</t>
        </is>
      </c>
      <c r="R191" s="53" t="inlineStr">
        <is>
          <t>Witnessed FAT/SAT/commissioning test against stated acceptance criteria; Calculation/model plus calibrated measurement or recorded trend</t>
        </is>
      </c>
      <c r="S191" s="53" t="inlineStr">
        <is>
          <t>L6 Site Acceptance Testing; L1 Conceptual Design; L2 Detailed Design</t>
        </is>
      </c>
      <c r="T191" s="53" t="inlineStr">
        <is>
          <t>Section/contract-derived reference; derived evidence route</t>
        </is>
      </c>
      <c r="U191" s="62" t="inlineStr">
        <is>
          <t>TBD</t>
        </is>
      </c>
      <c r="V191" s="213" t="n"/>
      <c r="W191" s="53" t="n"/>
    </row>
    <row r="192" ht="50" customHeight="1">
      <c r="A192" s="60" t="n">
        <v>187</v>
      </c>
      <c r="B192" s="60" t="inlineStr">
        <is>
          <t>RTM-565</t>
        </is>
      </c>
      <c r="C192" s="89" t="inlineStr">
        <is>
          <t>PROJECT</t>
        </is>
      </c>
      <c r="D192" s="90" t="inlineStr">
        <is>
          <t>Documentation &amp; Compliance</t>
        </is>
      </c>
      <c r="E192" s="91" t="inlineStr">
        <is>
          <t>—</t>
        </is>
      </c>
      <c r="F192" s="60" t="inlineStr">
        <is>
          <t>After-Sales</t>
        </is>
      </c>
      <c r="G192" s="60" t="inlineStr">
        <is>
          <t>C8 (+) — Commercial &amp; Execution + others</t>
        </is>
      </c>
      <c r="H192" s="60" t="inlineStr">
        <is>
          <t>T1 Primary</t>
        </is>
      </c>
      <c r="I192" s="60" t="n">
        <v>38.6667</v>
      </c>
      <c r="J192" s="60" t="n">
        <v>75.3814</v>
      </c>
      <c r="K192" s="60" t="inlineStr">
        <is>
          <t>4.15</t>
        </is>
      </c>
      <c r="L192" s="60" t="inlineStr">
        <is>
          <t>After-Sales Services</t>
        </is>
      </c>
      <c r="M192" s="60" t="n">
        <v>110</v>
      </c>
      <c r="N192" s="60" t="inlineStr">
        <is>
          <t>Reliability</t>
        </is>
      </c>
      <c r="O192" s="49" t="inlineStr">
        <is>
          <t>Following a request for support from SCK CEN, the actions and respective response times in case of a fault shall be:</t>
        </is>
      </c>
      <c r="P192" s="49" t="inlineStr">
        <is>
          <t>None explicitly named in this RTM</t>
        </is>
      </c>
      <c r="Q192" s="49" t="inlineStr">
        <is>
          <t>No separate deliverable explicitly named</t>
        </is>
      </c>
      <c r="R192" s="49" t="inlineStr">
        <is>
          <t>RAM/maintenance substantiation and recovery/failure-response evidence</t>
        </is>
      </c>
      <c r="S192" s="49" t="inlineStr">
        <is>
          <t>L1 Conceptual Design; L2 Detailed Design</t>
        </is>
      </c>
      <c r="T192" s="49" t="inlineStr">
        <is>
          <t>Section/contract-derived reference; derived evidence route</t>
        </is>
      </c>
      <c r="U192" s="60" t="inlineStr">
        <is>
          <t>TBD</t>
        </is>
      </c>
      <c r="V192" s="213" t="n"/>
      <c r="W192" s="49" t="n"/>
    </row>
    <row r="193" ht="92" customHeight="1">
      <c r="A193" s="62" t="n">
        <v>188</v>
      </c>
      <c r="B193" s="62" t="inlineStr">
        <is>
          <t>RTM-346</t>
        </is>
      </c>
      <c r="C193" s="86" t="inlineStr">
        <is>
          <t>SYSTEM</t>
        </is>
      </c>
      <c r="D193" s="87" t="inlineStr">
        <is>
          <t>Performance</t>
        </is>
      </c>
      <c r="E193" s="88" t="inlineStr">
        <is>
          <t>—</t>
        </is>
      </c>
      <c r="F193" s="62" t="inlineStr">
        <is>
          <t>Control &amp; Interlock</t>
        </is>
      </c>
      <c r="G193" s="62" t="inlineStr">
        <is>
          <t>C4 — Software &amp; Control</t>
        </is>
      </c>
      <c r="H193" s="62" t="inlineStr">
        <is>
          <t>T1 Primary</t>
        </is>
      </c>
      <c r="I193" s="62" t="n">
        <v>38.6667</v>
      </c>
      <c r="J193" s="62" t="n">
        <v>75.3814</v>
      </c>
      <c r="K193" s="62" t="inlineStr">
        <is>
          <t>4.6.8</t>
        </is>
      </c>
      <c r="L193" s="62" t="inlineStr">
        <is>
          <t>SCADA, HMI, and Data Historian Infrastructure</t>
        </is>
      </c>
      <c r="M193" s="62" t="n">
        <v>77</v>
      </c>
      <c r="N193" s="62" t="inlineStr">
        <is>
          <t>Functional</t>
        </is>
      </c>
      <c r="O193" s="53" t="inlineStr">
        <is>
          <t>The Contractor shall provide local operator stations (HMI) to support local data visualization, reporting, and maintenance activities for QPS. At minimum, one station shall be installed in the Compressor Room and one in the Cold Box Room.</t>
        </is>
      </c>
      <c r="P193" s="53" t="inlineStr">
        <is>
          <t>None explicitly named in this RTM</t>
        </is>
      </c>
      <c r="Q193" s="53" t="inlineStr">
        <is>
          <t>No separate deliverable explicitly named</t>
        </is>
      </c>
      <c r="R193" s="53" t="inlineStr">
        <is>
          <t>RAM/maintenance substantiation and recovery/failure-response evidence; Document review, inspection, certification, audit or traceable QC record</t>
        </is>
      </c>
      <c r="S193" s="53" t="inlineStr">
        <is>
          <t>L1 Conceptual Design; L2 Detailed Design</t>
        </is>
      </c>
      <c r="T193" s="53" t="inlineStr">
        <is>
          <t>Section/contract-derived reference; derived evidence route</t>
        </is>
      </c>
      <c r="U193" s="62" t="inlineStr">
        <is>
          <t>TBD</t>
        </is>
      </c>
      <c r="V193" s="213" t="n"/>
      <c r="W193" s="53" t="n"/>
    </row>
    <row r="194" ht="204" customHeight="1">
      <c r="A194" s="60" t="n">
        <v>189</v>
      </c>
      <c r="B194" s="60" t="inlineStr">
        <is>
          <t>RTM-320</t>
        </is>
      </c>
      <c r="C194" s="89" t="inlineStr">
        <is>
          <t>SYSTEM</t>
        </is>
      </c>
      <c r="D194" s="90" t="inlineStr">
        <is>
          <t>Performance</t>
        </is>
      </c>
      <c r="E194" s="91" t="inlineStr">
        <is>
          <t>—</t>
        </is>
      </c>
      <c r="F194" s="60" t="inlineStr">
        <is>
          <t>Control &amp; Interlock</t>
        </is>
      </c>
      <c r="G194" s="85" t="inlineStr">
        <is>
          <t>Inferred: C4 — Software &amp; Control (high conf.)</t>
        </is>
      </c>
      <c r="H194" s="60" t="inlineStr">
        <is>
          <t>T1 Primary</t>
        </is>
      </c>
      <c r="I194" s="60" t="n">
        <v>38</v>
      </c>
      <c r="J194" s="60" t="n">
        <v>73.7864</v>
      </c>
      <c r="K194" s="60" t="inlineStr">
        <is>
          <t>4.6.4.4</t>
        </is>
      </c>
      <c r="L194" s="60" t="inlineStr">
        <is>
          <t>Network Infrastructure</t>
        </is>
      </c>
      <c r="M194" s="60" t="n">
        <v>74</v>
      </c>
      <c r="N194" s="60" t="inlineStr">
        <is>
          <t>Reliability</t>
        </is>
      </c>
      <c r="O194" s="49" t="inlineStr">
        <is>
          <t>The aggregation network shall use a redundant ring topology, with a dedicated redundancy manager and client switches. The network shall automatically reconfigure within 300 ms in case of interruptions. Redundant connections to the backbone shall be established using a master/slave configuration, ensuring failover times under 300 ms. All links within the aggregation network, including connections to the backbone and cell networks, shall support 1 Gbit/s bandwidth. The network design shall incorporate fault recovery mechanisms to reroute traffic in the event of failures, ensuring uninterrupted data flow.</t>
        </is>
      </c>
      <c r="P194" s="49" t="inlineStr">
        <is>
          <t>None explicitly named in this RTM</t>
        </is>
      </c>
      <c r="Q194" s="49" t="inlineStr">
        <is>
          <t>No separate deliverable explicitly named</t>
        </is>
      </c>
      <c r="R194" s="49" t="inlineStr">
        <is>
          <t>RAM/maintenance substantiation and recovery/failure-response evidence</t>
        </is>
      </c>
      <c r="S194" s="49" t="inlineStr">
        <is>
          <t>L1 Conceptual Design; L2 Detailed Design</t>
        </is>
      </c>
      <c r="T194" s="49" t="inlineStr">
        <is>
          <t>Section/contract-derived reference; derived evidence route</t>
        </is>
      </c>
      <c r="U194" s="60" t="inlineStr">
        <is>
          <t>TBD</t>
        </is>
      </c>
      <c r="V194" s="213" t="n"/>
      <c r="W194" s="49" t="n"/>
    </row>
    <row r="195" ht="92" customHeight="1">
      <c r="A195" s="62" t="n">
        <v>190</v>
      </c>
      <c r="B195" s="62" t="inlineStr">
        <is>
          <t>RTM-352</t>
        </is>
      </c>
      <c r="C195" s="86" t="inlineStr">
        <is>
          <t>SYSTEM</t>
        </is>
      </c>
      <c r="D195" s="87" t="inlineStr">
        <is>
          <t>Performance</t>
        </is>
      </c>
      <c r="E195" s="88" t="inlineStr">
        <is>
          <t>—</t>
        </is>
      </c>
      <c r="F195" s="62" t="inlineStr">
        <is>
          <t>Control &amp; Interlock</t>
        </is>
      </c>
      <c r="G195" s="62" t="inlineStr">
        <is>
          <t>C4 — Software &amp; Control</t>
        </is>
      </c>
      <c r="H195" s="62" t="inlineStr">
        <is>
          <t>T1 Primary</t>
        </is>
      </c>
      <c r="I195" s="62" t="n">
        <v>38</v>
      </c>
      <c r="J195" s="62" t="n">
        <v>73.7864</v>
      </c>
      <c r="K195" s="62" t="inlineStr">
        <is>
          <t>4.6.8</t>
        </is>
      </c>
      <c r="L195" s="62" t="inlineStr">
        <is>
          <t>SCADA, HMI, and Data Historian Infrastructure</t>
        </is>
      </c>
      <c r="M195" s="62" t="n">
        <v>77</v>
      </c>
      <c r="N195" s="62" t="inlineStr">
        <is>
          <t>Reliability</t>
        </is>
      </c>
      <c r="O195" s="53" t="inlineStr">
        <is>
          <t>The SCADA platform, data historian, and HMI hardware/software shall be supported with software, firmware, and security updates for at least 20 years from commissioning. The Contractor shall provide manufacturer documentation confirming update availability.</t>
        </is>
      </c>
      <c r="P195" s="53" t="inlineStr">
        <is>
          <t>None explicitly named in this RTM</t>
        </is>
      </c>
      <c r="Q195" s="53" t="inlineStr">
        <is>
          <t>No separate deliverable explicitly named</t>
        </is>
      </c>
      <c r="R195" s="53" t="inlineStr">
        <is>
          <t>Witnessed FAT/SAT/commissioning test against stated acceptance criteria; Functional design/configuration review and sequence/interface demonstration; RAM/maintenance substantiation and recovery/failure-response evidence</t>
        </is>
      </c>
      <c r="S195" s="53" t="inlineStr">
        <is>
          <t>L1 Conceptual Design; L2 Detailed Design</t>
        </is>
      </c>
      <c r="T195" s="53" t="inlineStr">
        <is>
          <t>Section/contract-derived reference; derived evidence route</t>
        </is>
      </c>
      <c r="U195" s="62" t="inlineStr">
        <is>
          <t>TBD</t>
        </is>
      </c>
      <c r="V195" s="213" t="n"/>
      <c r="W195" s="53" t="n"/>
    </row>
    <row r="196" ht="106" customHeight="1">
      <c r="A196" s="60" t="n">
        <v>191</v>
      </c>
      <c r="B196" s="60" t="inlineStr">
        <is>
          <t>RTM-375</t>
        </is>
      </c>
      <c r="C196" s="89" t="inlineStr">
        <is>
          <t>SYSTEM</t>
        </is>
      </c>
      <c r="D196" s="90" t="inlineStr">
        <is>
          <t>Performance</t>
        </is>
      </c>
      <c r="E196" s="91" t="inlineStr">
        <is>
          <t>—</t>
        </is>
      </c>
      <c r="F196" s="60" t="inlineStr">
        <is>
          <t>Control &amp; Interlock</t>
        </is>
      </c>
      <c r="G196" s="85" t="inlineStr">
        <is>
          <t>Inferred: C4 — Software &amp; Control (high conf.)</t>
        </is>
      </c>
      <c r="H196" s="60" t="inlineStr">
        <is>
          <t>T1 Primary</t>
        </is>
      </c>
      <c r="I196" s="60" t="n">
        <v>38</v>
      </c>
      <c r="J196" s="60" t="n">
        <v>73.7864</v>
      </c>
      <c r="K196" s="60" t="inlineStr">
        <is>
          <t>4.6.10.3</t>
        </is>
      </c>
      <c r="L196" s="60" t="inlineStr">
        <is>
          <t>Interfaces with MIT</t>
        </is>
      </c>
      <c r="M196" s="60" t="n">
        <v>79</v>
      </c>
      <c r="N196" s="60" t="inlineStr">
        <is>
          <t>Reliability</t>
        </is>
      </c>
      <c r="O196" s="49" t="inlineStr">
        <is>
          <t>The QPS shall be physically connected to the MIT network in a redundant, fault tolerant way. At minimum 2 physical links will be foreseen, each link routed via a separate pathway. The physical connections need to be distributed over at minimum 2 separate physical endpoints on the QPS side.</t>
        </is>
      </c>
      <c r="P196" s="49" t="inlineStr">
        <is>
          <t>None explicitly named in this RTM</t>
        </is>
      </c>
      <c r="Q196" s="49" t="inlineStr">
        <is>
          <t>No separate deliverable explicitly named</t>
        </is>
      </c>
      <c r="R196" s="49" t="inlineStr">
        <is>
          <t>RAM/maintenance substantiation and recovery/failure-response evidence</t>
        </is>
      </c>
      <c r="S196" s="49" t="inlineStr">
        <is>
          <t>L1 Conceptual Design; L2 Detailed Design</t>
        </is>
      </c>
      <c r="T196" s="49" t="inlineStr">
        <is>
          <t>Section/contract-derived reference; derived evidence route</t>
        </is>
      </c>
      <c r="U196" s="60" t="inlineStr">
        <is>
          <t>TBD</t>
        </is>
      </c>
      <c r="V196" s="213" t="n"/>
      <c r="W196" s="49" t="n"/>
    </row>
    <row r="197" ht="64" customHeight="1">
      <c r="A197" s="62" t="n">
        <v>192</v>
      </c>
      <c r="B197" s="62" t="inlineStr">
        <is>
          <t>RTM-339</t>
        </is>
      </c>
      <c r="C197" s="86" t="inlineStr">
        <is>
          <t>SYSTEM</t>
        </is>
      </c>
      <c r="D197" s="87" t="inlineStr">
        <is>
          <t>Control</t>
        </is>
      </c>
      <c r="E197" s="88" t="inlineStr">
        <is>
          <t>—</t>
        </is>
      </c>
      <c r="F197" s="62" t="inlineStr">
        <is>
          <t>Control &amp; Interlock</t>
        </is>
      </c>
      <c r="G197" s="62" t="inlineStr">
        <is>
          <t>C4 — Software &amp; Control</t>
        </is>
      </c>
      <c r="H197" s="62" t="inlineStr">
        <is>
          <t>T1 Primary</t>
        </is>
      </c>
      <c r="I197" s="62" t="n">
        <v>37.6667</v>
      </c>
      <c r="J197" s="62" t="n">
        <v>73.509</v>
      </c>
      <c r="K197" s="62" t="inlineStr">
        <is>
          <t>4.6.7</t>
        </is>
      </c>
      <c r="L197" s="62" t="inlineStr">
        <is>
          <t>Software development</t>
        </is>
      </c>
      <c r="M197" s="62" t="n">
        <v>76</v>
      </c>
      <c r="N197" s="62" t="inlineStr">
        <is>
          <t>Functional</t>
        </is>
      </c>
      <c r="O197" s="53" t="inlineStr">
        <is>
          <t>The Contractor shall provide the following as part of Control System Dossier:</t>
        </is>
      </c>
      <c r="P197" s="53" t="inlineStr">
        <is>
          <t>None explicitly named in this RTM</t>
        </is>
      </c>
      <c r="Q197" s="53" t="inlineStr">
        <is>
          <t>No separate deliverable explicitly named</t>
        </is>
      </c>
      <c r="R197" s="53" t="inlineStr">
        <is>
          <t>Functional design/configuration review and sequence/interface demonstration; RAM/maintenance substantiation and recovery/failure-response evidence</t>
        </is>
      </c>
      <c r="S197" s="53" t="inlineStr">
        <is>
          <t>L1 Conceptual Design; L2 Detailed Design</t>
        </is>
      </c>
      <c r="T197" s="53" t="inlineStr">
        <is>
          <t>Section/contract-derived reference; derived evidence route</t>
        </is>
      </c>
      <c r="U197" s="62" t="inlineStr">
        <is>
          <t>TBD</t>
        </is>
      </c>
      <c r="V197" s="213" t="n"/>
      <c r="W197" s="53" t="n"/>
    </row>
    <row r="198" ht="64" customHeight="1">
      <c r="A198" s="60" t="n">
        <v>193</v>
      </c>
      <c r="B198" s="60" t="inlineStr">
        <is>
          <t>RTM-086</t>
        </is>
      </c>
      <c r="C198" s="89" t="inlineStr">
        <is>
          <t>SYSTEM</t>
        </is>
      </c>
      <c r="D198" s="90" t="inlineStr">
        <is>
          <t>Performance</t>
        </is>
      </c>
      <c r="E198" s="91" t="inlineStr">
        <is>
          <t>—</t>
        </is>
      </c>
      <c r="F198" s="60" t="inlineStr">
        <is>
          <t>Subsystems</t>
        </is>
      </c>
      <c r="G198" s="85" t="inlineStr">
        <is>
          <t>Inferred: C3 — Mechanical &amp; Equipment (medium conf.)</t>
        </is>
      </c>
      <c r="H198" s="60" t="inlineStr">
        <is>
          <t>T1 Primary</t>
        </is>
      </c>
      <c r="I198" s="60" t="n">
        <v>37.3333</v>
      </c>
      <c r="J198" s="60" t="n">
        <v>72.8849</v>
      </c>
      <c r="K198" s="60" t="inlineStr">
        <is>
          <t>4.4.1.4</t>
        </is>
      </c>
      <c r="L198" s="60" t="inlineStr">
        <is>
          <t>Filters</t>
        </is>
      </c>
      <c r="M198" s="60" t="n">
        <v>43</v>
      </c>
      <c r="N198" s="60" t="inlineStr">
        <is>
          <t>Reliability</t>
        </is>
      </c>
      <c r="O198" s="49" t="inlineStr">
        <is>
          <t>All filters shall comply with the following requirements:</t>
        </is>
      </c>
      <c r="P198" s="49" t="inlineStr">
        <is>
          <t>None explicitly named in this RTM</t>
        </is>
      </c>
      <c r="Q198" s="49" t="inlineStr">
        <is>
          <t>No separate deliverable explicitly named</t>
        </is>
      </c>
      <c r="R198" s="49" t="inlineStr">
        <is>
          <t>RAM/maintenance substantiation and recovery/failure-response evidence; Document review, inspection, certification, audit or traceable QC record</t>
        </is>
      </c>
      <c r="S198" s="49" t="inlineStr">
        <is>
          <t>L1 Conceptual Design; L2 Detailed Design</t>
        </is>
      </c>
      <c r="T198" s="49" t="inlineStr">
        <is>
          <t>Section/contract-derived reference; derived evidence route</t>
        </is>
      </c>
      <c r="U198" s="60" t="inlineStr">
        <is>
          <t>TBD</t>
        </is>
      </c>
      <c r="V198" s="213" t="n"/>
      <c r="W198" s="49" t="n"/>
    </row>
    <row r="199" ht="78" customHeight="1">
      <c r="A199" s="62" t="n">
        <v>194</v>
      </c>
      <c r="B199" s="62" t="inlineStr">
        <is>
          <t>RTM-087</t>
        </is>
      </c>
      <c r="C199" s="86" t="inlineStr">
        <is>
          <t>SYSTEM</t>
        </is>
      </c>
      <c r="D199" s="87" t="inlineStr">
        <is>
          <t>Performance</t>
        </is>
      </c>
      <c r="E199" s="88" t="inlineStr">
        <is>
          <t>—</t>
        </is>
      </c>
      <c r="F199" s="62" t="inlineStr">
        <is>
          <t>Subsystems</t>
        </is>
      </c>
      <c r="G199" s="92" t="inlineStr">
        <is>
          <t>Inferred: C3 — Mechanical &amp; Equipment (medium conf.)</t>
        </is>
      </c>
      <c r="H199" s="62" t="inlineStr">
        <is>
          <t>T1 Primary</t>
        </is>
      </c>
      <c r="I199" s="62" t="n">
        <v>37.3333</v>
      </c>
      <c r="J199" s="62" t="n">
        <v>72.8849</v>
      </c>
      <c r="K199" s="62" t="inlineStr">
        <is>
          <t>4.4.1.5</t>
        </is>
      </c>
      <c r="L199" s="62" t="inlineStr">
        <is>
          <t>Support structures and access equipment</t>
        </is>
      </c>
      <c r="M199" s="62" t="n">
        <v>43</v>
      </c>
      <c r="N199" s="62" t="inlineStr">
        <is>
          <t>Reliability</t>
        </is>
      </c>
      <c r="O199" s="53" t="inlineStr">
        <is>
          <t>The QPS shall include all support structures and access equipment required for the installation, operation, inspection, and maintenance of the QPS. This shall include, at minimum:</t>
        </is>
      </c>
      <c r="P199" s="53" t="inlineStr">
        <is>
          <t>None explicitly named in this RTM</t>
        </is>
      </c>
      <c r="Q199" s="53" t="inlineStr">
        <is>
          <t>No separate deliverable explicitly named</t>
        </is>
      </c>
      <c r="R199" s="53" t="inlineStr">
        <is>
          <t>RAM/maintenance substantiation and recovery/failure-response evidence; Document review, inspection, certification, audit or traceable QC record</t>
        </is>
      </c>
      <c r="S199" s="53" t="inlineStr">
        <is>
          <t>L4 Installation; L1 Conceptual Design; L2 Detailed Design</t>
        </is>
      </c>
      <c r="T199" s="53" t="inlineStr">
        <is>
          <t>Section/contract-derived reference; derived evidence route</t>
        </is>
      </c>
      <c r="U199" s="62" t="inlineStr">
        <is>
          <t>TBD</t>
        </is>
      </c>
      <c r="V199" s="213" t="n"/>
      <c r="W199" s="53" t="n"/>
    </row>
    <row r="200" ht="64" customHeight="1">
      <c r="A200" s="60" t="n">
        <v>195</v>
      </c>
      <c r="B200" s="60" t="inlineStr">
        <is>
          <t>RTM-088</t>
        </is>
      </c>
      <c r="C200" s="89" t="inlineStr">
        <is>
          <t>SYSTEM</t>
        </is>
      </c>
      <c r="D200" s="90" t="inlineStr">
        <is>
          <t>Performance</t>
        </is>
      </c>
      <c r="E200" s="91" t="inlineStr">
        <is>
          <t>—</t>
        </is>
      </c>
      <c r="F200" s="60" t="inlineStr">
        <is>
          <t>Subsystems</t>
        </is>
      </c>
      <c r="G200" s="85" t="inlineStr">
        <is>
          <t>Inferred: C7 — Quality, Testing &amp; Risk (medium conf.)</t>
        </is>
      </c>
      <c r="H200" s="60" t="inlineStr">
        <is>
          <t>T1 Primary</t>
        </is>
      </c>
      <c r="I200" s="60" t="n">
        <v>37.3333</v>
      </c>
      <c r="J200" s="60" t="n">
        <v>72.8849</v>
      </c>
      <c r="K200" s="60" t="inlineStr">
        <is>
          <t>4.4.1.5</t>
        </is>
      </c>
      <c r="L200" s="60" t="inlineStr">
        <is>
          <t>Support structures and access equipment</t>
        </is>
      </c>
      <c r="M200" s="60" t="n">
        <v>43</v>
      </c>
      <c r="N200" s="60" t="inlineStr">
        <is>
          <t>Reliability</t>
        </is>
      </c>
      <c r="O200" s="49" t="inlineStr">
        <is>
          <t>Support structures and access equipment shall allow adequate access for inspection, maintenance, and replacement of major components.</t>
        </is>
      </c>
      <c r="P200" s="49" t="inlineStr">
        <is>
          <t>None explicitly named in this RTM</t>
        </is>
      </c>
      <c r="Q200" s="49" t="inlineStr">
        <is>
          <t>No separate deliverable explicitly named</t>
        </is>
      </c>
      <c r="R200" s="49" t="inlineStr">
        <is>
          <t>RAM/maintenance substantiation and recovery/failure-response evidence; Document review, inspection, certification, audit or traceable QC record</t>
        </is>
      </c>
      <c r="S200" s="49" t="inlineStr">
        <is>
          <t>L1 Conceptual Design; L2 Detailed Design</t>
        </is>
      </c>
      <c r="T200" s="49" t="inlineStr">
        <is>
          <t>Section/contract-derived reference; derived evidence route</t>
        </is>
      </c>
      <c r="U200" s="60" t="inlineStr">
        <is>
          <t>TBD</t>
        </is>
      </c>
      <c r="V200" s="213" t="n"/>
      <c r="W200" s="49" t="n"/>
    </row>
    <row r="201" ht="50" customHeight="1">
      <c r="A201" s="62" t="n">
        <v>196</v>
      </c>
      <c r="B201" s="62" t="inlineStr">
        <is>
          <t>RTM-114</t>
        </is>
      </c>
      <c r="C201" s="86" t="inlineStr">
        <is>
          <t>PROJECT</t>
        </is>
      </c>
      <c r="D201" s="87" t="inlineStr">
        <is>
          <t>Documentation &amp; Compliance</t>
        </is>
      </c>
      <c r="E201" s="88" t="inlineStr">
        <is>
          <t>—</t>
        </is>
      </c>
      <c r="F201" s="62" t="inlineStr">
        <is>
          <t>Subsystems</t>
        </is>
      </c>
      <c r="G201" s="92" t="inlineStr">
        <is>
          <t>Inferred: C2 — Process Design (low conf.)</t>
        </is>
      </c>
      <c r="H201" s="62" t="inlineStr">
        <is>
          <t>T1 Primary</t>
        </is>
      </c>
      <c r="I201" s="62" t="n">
        <v>37.3333</v>
      </c>
      <c r="J201" s="62" t="n">
        <v>72.8849</v>
      </c>
      <c r="K201" s="62" t="inlineStr">
        <is>
          <t>4.4.2.3</t>
        </is>
      </c>
      <c r="L201" s="62" t="inlineStr">
        <is>
          <t>Temperature sensors</t>
        </is>
      </c>
      <c r="M201" s="62" t="n">
        <v>45</v>
      </c>
      <c r="N201" s="62" t="inlineStr">
        <is>
          <t>Safety / Legal / Performance</t>
        </is>
      </c>
      <c r="O201" s="53" t="inlineStr">
        <is>
          <t>For each temperature sensor, the Contractor shall define the accuracy class (“standard” or “high”, as defined in Table 12.).</t>
        </is>
      </c>
      <c r="P201" s="53" t="inlineStr">
        <is>
          <t>None explicitly named in this RTM</t>
        </is>
      </c>
      <c r="Q201" s="53" t="inlineStr">
        <is>
          <t>No separate deliverable explicitly named</t>
        </is>
      </c>
      <c r="R201" s="53" t="inlineStr">
        <is>
          <t>Calculation/model plus calibrated measurement or recorded trend</t>
        </is>
      </c>
      <c r="S201" s="53" t="inlineStr">
        <is>
          <t>L2 Detailed Design; L1 Conceptual Design</t>
        </is>
      </c>
      <c r="T201" s="53" t="inlineStr">
        <is>
          <t>Section/contract-derived reference; derived evidence route</t>
        </is>
      </c>
      <c r="U201" s="62" t="inlineStr">
        <is>
          <t>TBD</t>
        </is>
      </c>
      <c r="V201" s="213" t="n"/>
      <c r="W201" s="53" t="n"/>
    </row>
    <row r="202" ht="64" customHeight="1">
      <c r="A202" s="60" t="n">
        <v>197</v>
      </c>
      <c r="B202" s="60" t="inlineStr">
        <is>
          <t>RTM-140</t>
        </is>
      </c>
      <c r="C202" s="89" t="inlineStr">
        <is>
          <t>SYSTEM</t>
        </is>
      </c>
      <c r="D202" s="90" t="inlineStr">
        <is>
          <t>Control</t>
        </is>
      </c>
      <c r="E202" s="91" t="inlineStr">
        <is>
          <t>—</t>
        </is>
      </c>
      <c r="F202" s="60" t="inlineStr">
        <is>
          <t>Subsystems</t>
        </is>
      </c>
      <c r="G202" s="85" t="inlineStr">
        <is>
          <t>Inferred: C2 — Process Design (low conf.)</t>
        </is>
      </c>
      <c r="H202" s="60" t="inlineStr">
        <is>
          <t>T1 Primary</t>
        </is>
      </c>
      <c r="I202" s="60" t="n">
        <v>37.3333</v>
      </c>
      <c r="J202" s="60" t="n">
        <v>72.8849</v>
      </c>
      <c r="K202" s="60" t="inlineStr">
        <is>
          <t>4.4.2.8</t>
        </is>
      </c>
      <c r="L202" s="60" t="inlineStr">
        <is>
          <t>Instrumentation tags</t>
        </is>
      </c>
      <c r="M202" s="60" t="n">
        <v>48</v>
      </c>
      <c r="N202" s="60" t="inlineStr">
        <is>
          <t>Safety / Legal / Performance</t>
        </is>
      </c>
      <c r="O202" s="49" t="inlineStr">
        <is>
          <t>The Contractor shall apply the tag prefixes defined in Table 13 for instrumentation and devices represented in P&amp;IDs and control documentation.</t>
        </is>
      </c>
      <c r="P202" s="49" t="inlineStr">
        <is>
          <t>None explicitly named in this RTM</t>
        </is>
      </c>
      <c r="Q202" s="49" t="inlineStr">
        <is>
          <t>No separate deliverable explicitly named</t>
        </is>
      </c>
      <c r="R202" s="49" t="inlineStr">
        <is>
          <t>Calculation/model plus calibrated measurement or recorded trend; Functional design/configuration review and sequence/interface demonstration</t>
        </is>
      </c>
      <c r="S202" s="49" t="inlineStr">
        <is>
          <t>L1 Conceptual Design; L2 Detailed Design</t>
        </is>
      </c>
      <c r="T202" s="49" t="inlineStr">
        <is>
          <t>Section/contract-derived reference; derived evidence route</t>
        </is>
      </c>
      <c r="U202" s="60" t="inlineStr">
        <is>
          <t>TBD</t>
        </is>
      </c>
      <c r="V202" s="213" t="n"/>
      <c r="W202" s="49" t="n"/>
    </row>
    <row r="203" ht="64" customHeight="1">
      <c r="A203" s="62" t="n">
        <v>198</v>
      </c>
      <c r="B203" s="62" t="inlineStr">
        <is>
          <t>RTM-152</t>
        </is>
      </c>
      <c r="C203" s="86" t="inlineStr">
        <is>
          <t>SYSTEM</t>
        </is>
      </c>
      <c r="D203" s="87" t="inlineStr">
        <is>
          <t>Performance</t>
        </is>
      </c>
      <c r="E203" s="88" t="inlineStr">
        <is>
          <t>—</t>
        </is>
      </c>
      <c r="F203" s="62" t="inlineStr">
        <is>
          <t>Subsystems</t>
        </is>
      </c>
      <c r="G203" s="62" t="inlineStr">
        <is>
          <t>C3 — Mechanical &amp; Equipment</t>
        </is>
      </c>
      <c r="H203" s="62" t="inlineStr">
        <is>
          <t>T1 Primary</t>
        </is>
      </c>
      <c r="I203" s="62" t="n">
        <v>37.3333</v>
      </c>
      <c r="J203" s="62" t="n">
        <v>72.8849</v>
      </c>
      <c r="K203" s="62" t="inlineStr">
        <is>
          <t>4.4.3.2</t>
        </is>
      </c>
      <c r="L203" s="62" t="inlineStr">
        <is>
          <t>Compressors requirements</t>
        </is>
      </c>
      <c r="M203" s="62" t="n">
        <v>50</v>
      </c>
      <c r="N203" s="62" t="inlineStr">
        <is>
          <t>Safety / Legal / Performance</t>
        </is>
      </c>
      <c r="O203" s="53" t="inlineStr">
        <is>
          <t>The flexible coupling between the electric motor and the HP compressor shall comply with API 671 / ISO 10441, or an equivalent standard.</t>
        </is>
      </c>
      <c r="P203" s="53" t="inlineStr">
        <is>
          <t>API 671; ISO 10441</t>
        </is>
      </c>
      <c r="Q203" s="53" t="inlineStr">
        <is>
          <t>No separate deliverable explicitly named</t>
        </is>
      </c>
      <c r="R203" s="53" t="inlineStr">
        <is>
          <t>Calculation/model plus calibrated measurement or recorded trend</t>
        </is>
      </c>
      <c r="S203" s="53" t="inlineStr">
        <is>
          <t>L1 Conceptual Design; L2 Detailed Design</t>
        </is>
      </c>
      <c r="T203" s="53" t="inlineStr">
        <is>
          <t>Explicit/table-grounded standard; derived evidence route</t>
        </is>
      </c>
      <c r="U203" s="62" t="inlineStr">
        <is>
          <t>TBD</t>
        </is>
      </c>
      <c r="V203" s="213" t="n"/>
      <c r="W203" s="53" t="n"/>
    </row>
    <row r="204" ht="92" customHeight="1">
      <c r="A204" s="60" t="n">
        <v>199</v>
      </c>
      <c r="B204" s="60" t="inlineStr">
        <is>
          <t>RTM-559</t>
        </is>
      </c>
      <c r="C204" s="89" t="inlineStr">
        <is>
          <t>PROJECT</t>
        </is>
      </c>
      <c r="D204" s="90" t="inlineStr">
        <is>
          <t>Governance &amp; Responsibility</t>
        </is>
      </c>
      <c r="E204" s="91" t="inlineStr">
        <is>
          <t>—</t>
        </is>
      </c>
      <c r="F204" s="60" t="inlineStr">
        <is>
          <t>Other Deliverables</t>
        </is>
      </c>
      <c r="G204" s="85" t="inlineStr">
        <is>
          <t>Inferred: C6 — Reliability &amp; Maintenance (high conf.)</t>
        </is>
      </c>
      <c r="H204" s="60" t="inlineStr">
        <is>
          <t>T1 Primary</t>
        </is>
      </c>
      <c r="I204" s="60" t="n">
        <v>37.3333</v>
      </c>
      <c r="J204" s="60" t="n">
        <v>72.8849</v>
      </c>
      <c r="K204" s="60" t="inlineStr">
        <is>
          <t>4.14.2</t>
        </is>
      </c>
      <c r="L204" s="60" t="inlineStr">
        <is>
          <t>Special tooling</t>
        </is>
      </c>
      <c r="M204" s="60" t="n">
        <v>109</v>
      </c>
      <c r="N204" s="60" t="inlineStr">
        <is>
          <t>Functional</t>
        </is>
      </c>
      <c r="O204" s="49" t="inlineStr">
        <is>
          <t>The Contractor shall identify, document, and supply all proprietary, special, and operational tools and equipment required for operation, installation, commissioning, and maintenance.</t>
        </is>
      </c>
      <c r="P204" s="49" t="inlineStr">
        <is>
          <t>None explicitly named in this RTM</t>
        </is>
      </c>
      <c r="Q204" s="49" t="inlineStr">
        <is>
          <t>No separate deliverable explicitly named</t>
        </is>
      </c>
      <c r="R204" s="49" t="inlineStr">
        <is>
          <t>Witnessed FAT/SAT/commissioning test against stated acceptance criteria; Functional design/configuration review and sequence/interface demonstration; RAM/maintenance substantiation and recovery/failure-response evidence</t>
        </is>
      </c>
      <c r="S204" s="49" t="inlineStr">
        <is>
          <t>L4 Installation; L1 Conceptual Design; L2 Detailed Design</t>
        </is>
      </c>
      <c r="T204" s="49" t="inlineStr">
        <is>
          <t>Section/contract-derived reference; derived evidence route</t>
        </is>
      </c>
      <c r="U204" s="60" t="inlineStr">
        <is>
          <t>TBD</t>
        </is>
      </c>
      <c r="V204" s="213" t="n"/>
      <c r="W204" s="49" t="n"/>
    </row>
    <row r="205" ht="64" customHeight="1">
      <c r="A205" s="62" t="n">
        <v>200</v>
      </c>
      <c r="B205" s="62" t="inlineStr">
        <is>
          <t>RTM-582</t>
        </is>
      </c>
      <c r="C205" s="86" t="inlineStr">
        <is>
          <t>PROJECT</t>
        </is>
      </c>
      <c r="D205" s="87" t="inlineStr">
        <is>
          <t>Documentation &amp; Compliance</t>
        </is>
      </c>
      <c r="E205" s="88" t="inlineStr">
        <is>
          <t>—</t>
        </is>
      </c>
      <c r="F205" s="62" t="inlineStr">
        <is>
          <t>Technical Documentation</t>
        </is>
      </c>
      <c r="G205" s="62" t="inlineStr">
        <is>
          <t>Not linked to an OFFER item</t>
        </is>
      </c>
      <c r="H205" s="62" t="inlineStr">
        <is>
          <t>T2 Secondary</t>
        </is>
      </c>
      <c r="I205" s="62" t="n">
        <v>37.3333</v>
      </c>
      <c r="J205" s="62" t="n">
        <v>72.8849</v>
      </c>
      <c r="K205" s="62" t="inlineStr">
        <is>
          <t>4.16.4</t>
        </is>
      </c>
      <c r="L205" s="62" t="inlineStr">
        <is>
          <t>Quality Control Report</t>
        </is>
      </c>
      <c r="M205" s="62" t="n">
        <v>113</v>
      </c>
      <c r="N205" s="62" t="inlineStr">
        <is>
          <t>Safety / Legal</t>
        </is>
      </c>
      <c r="O205" s="53" t="inlineStr">
        <is>
          <t>The Quality Control Report shall include, at least, the following aspects:</t>
        </is>
      </c>
      <c r="P205" s="53" t="inlineStr">
        <is>
          <t>EN 10204</t>
        </is>
      </c>
      <c r="Q205" s="53" t="inlineStr">
        <is>
          <t>Manufacturing File; Installation File; Quality Control Report; Certificate / calibration evidence</t>
        </is>
      </c>
      <c r="R205" s="53" t="inlineStr">
        <is>
          <t>Submit and review the named deliverable with RTM traceability and approval status; Document review, inspection, certification, audit or traceable QC record</t>
        </is>
      </c>
      <c r="S205" s="53" t="inlineStr">
        <is>
          <t>L3 Procurement &amp; Manufacturing / FAT; L4 Installation; L1 Conceptual Design; L2 Detailed Design</t>
        </is>
      </c>
      <c r="T205" s="53" t="inlineStr">
        <is>
          <t>Explicit/table-grounded standard; explicit deliverable/test wording</t>
        </is>
      </c>
      <c r="U205" s="62" t="inlineStr">
        <is>
          <t>TBD</t>
        </is>
      </c>
      <c r="V205" s="213" t="n"/>
      <c r="W205" s="53" t="n"/>
    </row>
    <row r="206" ht="92" customHeight="1">
      <c r="A206" s="60" t="n">
        <v>202</v>
      </c>
      <c r="B206" s="60" t="inlineStr">
        <is>
          <t>RTM-490</t>
        </is>
      </c>
      <c r="C206" s="89" t="inlineStr">
        <is>
          <t>PROJECT</t>
        </is>
      </c>
      <c r="D206" s="90" t="inlineStr">
        <is>
          <t>Governance &amp; Responsibility</t>
        </is>
      </c>
      <c r="E206" s="91" t="inlineStr">
        <is>
          <t>—</t>
        </is>
      </c>
      <c r="F206" s="60" t="inlineStr">
        <is>
          <t>Training</t>
        </is>
      </c>
      <c r="G206" s="60" t="inlineStr">
        <is>
          <t>C6 — Reliability &amp; Maintenance</t>
        </is>
      </c>
      <c r="H206" s="60" t="inlineStr">
        <is>
          <t>T2 Secondary</t>
        </is>
      </c>
      <c r="I206" s="60" t="n">
        <v>36.6667</v>
      </c>
      <c r="J206" s="60" t="n">
        <v>72.1914</v>
      </c>
      <c r="K206" s="60" t="inlineStr">
        <is>
          <t>4.12.1</t>
        </is>
      </c>
      <c r="L206" s="60" t="inlineStr">
        <is>
          <t>Training and Competence Transfer</t>
        </is>
      </c>
      <c r="M206" s="60" t="n">
        <v>95</v>
      </c>
      <c r="N206" s="60" t="inlineStr">
        <is>
          <t>Reliability</t>
        </is>
      </c>
      <c r="O206" s="49" t="inlineStr">
        <is>
          <t>The helium logistics, consumables, waste handling, and special-tools training shall include, at minimum:</t>
        </is>
      </c>
      <c r="P206" s="49" t="inlineStr">
        <is>
          <t>None explicitly named in this RTM</t>
        </is>
      </c>
      <c r="Q206" s="49" t="inlineStr">
        <is>
          <t>Procedure / work instruction</t>
        </is>
      </c>
      <c r="R206" s="49" t="inlineStr">
        <is>
          <t>Submit and review the named deliverable with RTM traceability and approval status; Functional design/configuration review and sequence/interface demonstration; RAM/maintenance substantiation and recovery/failure-response evidence</t>
        </is>
      </c>
      <c r="S206" s="49" t="inlineStr">
        <is>
          <t>L4 Installation; PAC / Handover; L1 Conceptual Design; L2 Detailed Design</t>
        </is>
      </c>
      <c r="T206" s="49" t="inlineStr">
        <is>
          <t>Section/contract-derived reference; explicit deliverable/test wording</t>
        </is>
      </c>
      <c r="U206" s="60" t="inlineStr">
        <is>
          <t>TBD</t>
        </is>
      </c>
      <c r="V206" s="213" t="n"/>
      <c r="W206" s="49" t="n"/>
    </row>
    <row r="207" ht="92" customHeight="1">
      <c r="A207" s="62" t="n">
        <v>221</v>
      </c>
      <c r="B207" s="62" t="inlineStr">
        <is>
          <t>RTM-166</t>
        </is>
      </c>
      <c r="C207" s="86" t="inlineStr">
        <is>
          <t>SYSTEM</t>
        </is>
      </c>
      <c r="D207" s="87" t="inlineStr">
        <is>
          <t>Performance</t>
        </is>
      </c>
      <c r="E207" s="88" t="inlineStr">
        <is>
          <t>—</t>
        </is>
      </c>
      <c r="F207" s="62" t="inlineStr">
        <is>
          <t>Subsystems</t>
        </is>
      </c>
      <c r="G207" s="92" t="inlineStr">
        <is>
          <t>Inferred: C7 — Quality, Testing &amp; Risk (medium conf.)</t>
        </is>
      </c>
      <c r="H207" s="62" t="inlineStr">
        <is>
          <t>T2 Secondary</t>
        </is>
      </c>
      <c r="I207" s="62" t="n">
        <v>36</v>
      </c>
      <c r="J207" s="62" t="n">
        <v>69.9723</v>
      </c>
      <c r="K207" s="62" t="inlineStr">
        <is>
          <t>4.4.3.5.2</t>
        </is>
      </c>
      <c r="L207" s="62" t="inlineStr">
        <is>
          <t>Bulk Oil Separators and Oil Retention</t>
        </is>
      </c>
      <c r="M207" s="62" t="n">
        <v>51</v>
      </c>
      <c r="N207" s="62" t="inlineStr">
        <is>
          <t>Performance</t>
        </is>
      </c>
      <c r="O207" s="53" t="inlineStr">
        <is>
          <t>The Contractor shall provide suitable sampling points and agreed measurement procedures at the helium-gas outlet of each bulk oil separator to allow verification of oil carry-over during performance tests and long-term operation.</t>
        </is>
      </c>
      <c r="P207" s="53" t="inlineStr">
        <is>
          <t>None explicitly named in this RTM</t>
        </is>
      </c>
      <c r="Q207" s="53" t="inlineStr">
        <is>
          <t>Procedure / work instruction</t>
        </is>
      </c>
      <c r="R207" s="53" t="inlineStr">
        <is>
          <t>Submit and review the named deliverable with RTM traceability and approval status; Witnessed FAT/SAT/commissioning test against stated acceptance criteria; Calculation/model plus calibrated measurement or recorded trend</t>
        </is>
      </c>
      <c r="S207" s="53" t="inlineStr">
        <is>
          <t>L1 Conceptual Design; L2 Detailed Design</t>
        </is>
      </c>
      <c r="T207" s="53" t="inlineStr">
        <is>
          <t>Section/contract-derived reference; explicit deliverable/test wording</t>
        </is>
      </c>
      <c r="U207" s="62" t="inlineStr">
        <is>
          <t>TBD</t>
        </is>
      </c>
      <c r="V207" s="213" t="n"/>
      <c r="W207" s="53" t="n"/>
    </row>
    <row r="208" ht="64" customHeight="1">
      <c r="A208" s="60" t="n">
        <v>229</v>
      </c>
      <c r="B208" s="60" t="inlineStr">
        <is>
          <t>RTM-464</t>
        </is>
      </c>
      <c r="C208" s="89" t="inlineStr">
        <is>
          <t>SYSTEM</t>
        </is>
      </c>
      <c r="D208" s="90" t="inlineStr">
        <is>
          <t>Performance</t>
        </is>
      </c>
      <c r="E208" s="91" t="inlineStr">
        <is>
          <t>—</t>
        </is>
      </c>
      <c r="F208" s="60" t="inlineStr">
        <is>
          <t>Design &amp; Fabrication</t>
        </is>
      </c>
      <c r="G208" s="85" t="inlineStr">
        <is>
          <t>Inferred: C5 — Infrastructure &amp; Integration (medium conf.)</t>
        </is>
      </c>
      <c r="H208" s="60" t="inlineStr">
        <is>
          <t>T2 Secondary</t>
        </is>
      </c>
      <c r="I208" s="60" t="n">
        <v>36</v>
      </c>
      <c r="J208" s="60" t="n">
        <v>69.9723</v>
      </c>
      <c r="K208" s="60" t="inlineStr">
        <is>
          <t>4.8.4.3</t>
        </is>
      </c>
      <c r="L208" s="60" t="inlineStr">
        <is>
          <t>Weld testing &amp; inspections</t>
        </is>
      </c>
      <c r="M208" s="60" t="n">
        <v>91</v>
      </c>
      <c r="N208" s="60" t="inlineStr">
        <is>
          <t>Safety / Legal</t>
        </is>
      </c>
      <c r="O208" s="49" t="inlineStr">
        <is>
          <t>The Contractor shall:</t>
        </is>
      </c>
      <c r="P208" s="49" t="inlineStr">
        <is>
          <t>None explicitly named in this RTM</t>
        </is>
      </c>
      <c r="Q208" s="49" t="inlineStr">
        <is>
          <t>Manufacturing File</t>
        </is>
      </c>
      <c r="R208" s="49" t="inlineStr">
        <is>
          <t>Submit and review the named deliverable with RTM traceability and approval status; Document review, inspection, certification, audit or traceable QC record</t>
        </is>
      </c>
      <c r="S208" s="49" t="inlineStr">
        <is>
          <t>L3 Procurement &amp; Manufacturing / FAT; L1 Conceptual Design; L2 Detailed Design</t>
        </is>
      </c>
      <c r="T208" s="49" t="inlineStr">
        <is>
          <t>Section/contract-derived reference; explicit deliverable/test wording</t>
        </is>
      </c>
      <c r="U208" s="60" t="inlineStr">
        <is>
          <t>TBD</t>
        </is>
      </c>
      <c r="V208" s="213" t="n"/>
      <c r="W208" s="49" t="n"/>
    </row>
    <row r="209" ht="134" customHeight="1">
      <c r="A209" s="62" t="n">
        <v>230</v>
      </c>
      <c r="B209" s="62" t="inlineStr">
        <is>
          <t>RTM-679</t>
        </is>
      </c>
      <c r="C209" s="86" t="inlineStr">
        <is>
          <t>PROJECT</t>
        </is>
      </c>
      <c r="D209" s="87" t="inlineStr">
        <is>
          <t>Quality Assurance</t>
        </is>
      </c>
      <c r="E209" s="88" t="inlineStr">
        <is>
          <t>—</t>
        </is>
      </c>
      <c r="F209" s="62" t="inlineStr">
        <is>
          <t>Quality Assurance &amp; Control</t>
        </is>
      </c>
      <c r="G209" s="92" t="inlineStr">
        <is>
          <t>Inferred: C7 — Quality, Testing &amp; Risk (high conf.)</t>
        </is>
      </c>
      <c r="H209" s="62" t="inlineStr">
        <is>
          <t>T2 Secondary</t>
        </is>
      </c>
      <c r="I209" s="62" t="n">
        <v>36</v>
      </c>
      <c r="J209" s="62" t="n">
        <v>69.9723</v>
      </c>
      <c r="K209" s="62" t="inlineStr">
        <is>
          <t>8.1.7</t>
        </is>
      </c>
      <c r="L209" s="62" t="inlineStr">
        <is>
          <t>Non-Conformity Management</t>
        </is>
      </c>
      <c r="M209" s="62" t="n">
        <v>127</v>
      </c>
      <c r="N209" s="62" t="inlineStr">
        <is>
          <t>Safety / Legal</t>
        </is>
      </c>
      <c r="O209" s="53" t="inlineStr">
        <is>
          <t>Neither the implementation of the procedure on Non-Conformity management, nor the approval by SCK CEN of a Non-Conformity Report, shall waive or reduce the Contractor’s responsibility, according to the relevant stipulations of the Contract, to indemnify and hold SCK CEN harmless against all losses, damages, and costs (e.g. due to delay on the schedule) arising from such Non-Conformity.</t>
        </is>
      </c>
      <c r="P209" s="53" t="inlineStr">
        <is>
          <t>None explicitly named in this RTM</t>
        </is>
      </c>
      <c r="Q209" s="53" t="inlineStr">
        <is>
          <t>Procedure / work instruction</t>
        </is>
      </c>
      <c r="R209" s="53" t="inlineStr">
        <is>
          <t>Submit and review the named deliverable with RTM traceability and approval status; Functional design/configuration review and sequence/interface demonstration; Document review, inspection, certification, audit or traceable QC record</t>
        </is>
      </c>
      <c r="S209" s="53" t="inlineStr">
        <is>
          <t>L0 Tender / Offer; L1 Conceptual Design; L2 Detailed Design; L3 Procurement &amp; Manufacturing / FAT; L4 Installation; L5 Standalone Commissioning; L6 Site Acceptance Testing</t>
        </is>
      </c>
      <c r="T209" s="53" t="inlineStr">
        <is>
          <t>Section/contract-derived reference; explicit deliverable/test wording</t>
        </is>
      </c>
      <c r="U209" s="62" t="inlineStr">
        <is>
          <t>TBD</t>
        </is>
      </c>
      <c r="V209" s="213" t="n"/>
      <c r="W209" s="53" t="n"/>
    </row>
    <row r="210" ht="148" customHeight="1">
      <c r="A210" s="60" t="n">
        <v>231</v>
      </c>
      <c r="B210" s="60" t="inlineStr">
        <is>
          <t>RTM-680</t>
        </is>
      </c>
      <c r="C210" s="89" t="inlineStr">
        <is>
          <t>PROJECT</t>
        </is>
      </c>
      <c r="D210" s="90" t="inlineStr">
        <is>
          <t>Quality Assurance</t>
        </is>
      </c>
      <c r="E210" s="91" t="inlineStr">
        <is>
          <t>—</t>
        </is>
      </c>
      <c r="F210" s="60" t="inlineStr">
        <is>
          <t>Quality Assurance &amp; Control</t>
        </is>
      </c>
      <c r="G210" s="85" t="inlineStr">
        <is>
          <t>Inferred: C7 — Quality, Testing &amp; Risk (high conf.)</t>
        </is>
      </c>
      <c r="H210" s="60" t="inlineStr">
        <is>
          <t>T2 Secondary</t>
        </is>
      </c>
      <c r="I210" s="60" t="n">
        <v>36</v>
      </c>
      <c r="J210" s="60" t="n">
        <v>69.9723</v>
      </c>
      <c r="K210" s="60" t="inlineStr">
        <is>
          <t>8.1.8</t>
        </is>
      </c>
      <c r="L210" s="60" t="inlineStr">
        <is>
          <t>Audits</t>
        </is>
      </c>
      <c r="M210" s="60" t="n">
        <v>127</v>
      </c>
      <c r="N210" s="60" t="inlineStr">
        <is>
          <t>Safety / Legal</t>
        </is>
      </c>
      <c r="O210" s="49" t="inlineStr">
        <is>
          <t>SCK CEN shall be entitled to conduct, or to have carried out by a third party on its behalf (procured at SCK CEN’s own cost), an audit of Contractor/its Subcontractor’s premises, equipment, procedures to assess the ability of Contractor/Subcontractor to comply with the requirements of this document and the Contract. SCK CEN may request such audit when at least one of the following conditions is met:</t>
        </is>
      </c>
      <c r="P210" s="49" t="inlineStr">
        <is>
          <t>ISO 9001</t>
        </is>
      </c>
      <c r="Q210" s="49" t="inlineStr">
        <is>
          <t>Procedure / work instruction</t>
        </is>
      </c>
      <c r="R210" s="49" t="inlineStr">
        <is>
          <t>Submit and review the named deliverable with RTM traceability and approval status; Functional design/configuration review and sequence/interface demonstration; Document review, inspection, certification, audit or traceable QC record</t>
        </is>
      </c>
      <c r="S210" s="49" t="inlineStr">
        <is>
          <t>L0 Tender / Offer; L1 Conceptual Design; L2 Detailed Design; L3 Procurement &amp; Manufacturing / FAT; L4 Installation; L5 Standalone Commissioning; L6 Site Acceptance Testing</t>
        </is>
      </c>
      <c r="T210" s="49" t="inlineStr">
        <is>
          <t>Explicit/table-grounded standard; explicit deliverable/test wording</t>
        </is>
      </c>
      <c r="U210" s="60" t="inlineStr">
        <is>
          <t>TBD</t>
        </is>
      </c>
      <c r="V210" s="213" t="n"/>
      <c r="W210" s="49" t="n"/>
    </row>
    <row r="211" ht="92" customHeight="1">
      <c r="A211" s="62" t="n">
        <v>234</v>
      </c>
      <c r="B211" s="62" t="inlineStr">
        <is>
          <t>RTM-587</t>
        </is>
      </c>
      <c r="C211" s="86" t="inlineStr">
        <is>
          <t>PROJECT</t>
        </is>
      </c>
      <c r="D211" s="87" t="inlineStr">
        <is>
          <t>Documentation &amp; Compliance</t>
        </is>
      </c>
      <c r="E211" s="88" t="inlineStr">
        <is>
          <t>—</t>
        </is>
      </c>
      <c r="F211" s="62" t="inlineStr">
        <is>
          <t>Technical Documentation</t>
        </is>
      </c>
      <c r="G211" s="62" t="inlineStr">
        <is>
          <t>Not linked to an OFFER item</t>
        </is>
      </c>
      <c r="H211" s="62" t="inlineStr">
        <is>
          <t>T2 Secondary</t>
        </is>
      </c>
      <c r="I211" s="62" t="n">
        <v>35.3333</v>
      </c>
      <c r="J211" s="62" t="n">
        <v>67.4064</v>
      </c>
      <c r="K211" s="62" t="inlineStr">
        <is>
          <t>4.16.7</t>
        </is>
      </c>
      <c r="L211" s="62" t="inlineStr">
        <is>
          <t>Commissioning Plan</t>
        </is>
      </c>
      <c r="M211" s="62" t="n">
        <v>114</v>
      </c>
      <c r="N211" s="62" t="inlineStr">
        <is>
          <t>Functional</t>
        </is>
      </c>
      <c r="O211" s="53" t="inlineStr">
        <is>
          <t>The Commissioning Plan shall contain all information required to duly perform the commissioning of each individual Instance, each sub-system, and of the combined total system (QPS including QPS/CIS).</t>
        </is>
      </c>
      <c r="P211" s="53" t="inlineStr">
        <is>
          <t>None explicitly named in this RTM</t>
        </is>
      </c>
      <c r="Q211" s="53" t="inlineStr">
        <is>
          <t>Commissioning Plan</t>
        </is>
      </c>
      <c r="R211" s="53" t="inlineStr">
        <is>
          <t>Submit and review the named deliverable with RTM traceability and approval status; Witnessed FAT/SAT/commissioning test against stated acceptance criteria; Document review, inspection, certification, audit or traceable QC record</t>
        </is>
      </c>
      <c r="S211" s="53" t="inlineStr">
        <is>
          <t>L1 Conceptual Design; L2 Detailed Design</t>
        </is>
      </c>
      <c r="T211" s="53" t="inlineStr">
        <is>
          <t>Section/contract-derived reference; explicit deliverable/test wording</t>
        </is>
      </c>
      <c r="U211" s="62" t="inlineStr">
        <is>
          <t>TBD</t>
        </is>
      </c>
      <c r="V211" s="213" t="n"/>
      <c r="W211" s="53" t="n"/>
    </row>
    <row r="212" ht="64" customHeight="1">
      <c r="A212" s="60" t="n">
        <v>235</v>
      </c>
      <c r="B212" s="60" t="inlineStr">
        <is>
          <t>RTM-588</t>
        </is>
      </c>
      <c r="C212" s="89" t="inlineStr">
        <is>
          <t>PROJECT</t>
        </is>
      </c>
      <c r="D212" s="90" t="inlineStr">
        <is>
          <t>Documentation &amp; Compliance</t>
        </is>
      </c>
      <c r="E212" s="91" t="inlineStr">
        <is>
          <t>—</t>
        </is>
      </c>
      <c r="F212" s="60" t="inlineStr">
        <is>
          <t>Technical Documentation</t>
        </is>
      </c>
      <c r="G212" s="60" t="inlineStr">
        <is>
          <t>Not linked to an OFFER item</t>
        </is>
      </c>
      <c r="H212" s="60" t="inlineStr">
        <is>
          <t>T2 Secondary</t>
        </is>
      </c>
      <c r="I212" s="60" t="n">
        <v>35.3333</v>
      </c>
      <c r="J212" s="60" t="n">
        <v>67.4064</v>
      </c>
      <c r="K212" s="60" t="inlineStr">
        <is>
          <t>4.16.8</t>
        </is>
      </c>
      <c r="L212" s="60" t="inlineStr">
        <is>
          <t>Commissioning Report</t>
        </is>
      </c>
      <c r="M212" s="60" t="n">
        <v>114</v>
      </c>
      <c r="N212" s="60" t="inlineStr">
        <is>
          <t>Functional</t>
        </is>
      </c>
      <c r="O212" s="49" t="inlineStr">
        <is>
          <t>The Commissioning Report shall document the execution and results of each individual test stipulated in the applicable Commissioning Plan.</t>
        </is>
      </c>
      <c r="P212" s="49" t="inlineStr">
        <is>
          <t>None explicitly named in this RTM</t>
        </is>
      </c>
      <c r="Q212" s="49" t="inlineStr">
        <is>
          <t>Commissioning Plan; Commissioning Report</t>
        </is>
      </c>
      <c r="R212" s="49" t="inlineStr">
        <is>
          <t>Submit and review the named deliverable with RTM traceability and approval status; Witnessed FAT/SAT/commissioning test against stated acceptance criteria</t>
        </is>
      </c>
      <c r="S212" s="49" t="inlineStr">
        <is>
          <t>L1 Conceptual Design; L2 Detailed Design</t>
        </is>
      </c>
      <c r="T212" s="49" t="inlineStr">
        <is>
          <t>Section/contract-derived reference; explicit deliverable/test wording</t>
        </is>
      </c>
      <c r="U212" s="60" t="inlineStr">
        <is>
          <t>TBD</t>
        </is>
      </c>
      <c r="V212" s="213" t="n"/>
      <c r="W212" s="49" t="n"/>
    </row>
    <row r="213" ht="204" customHeight="1">
      <c r="A213" s="62" t="n">
        <v>240</v>
      </c>
      <c r="B213" s="62" t="inlineStr">
        <is>
          <t>RTM-633</t>
        </is>
      </c>
      <c r="C213" s="86" t="inlineStr">
        <is>
          <t>PROJECT</t>
        </is>
      </c>
      <c r="D213" s="87" t="inlineStr">
        <is>
          <t>Documentation &amp; Compliance</t>
        </is>
      </c>
      <c r="E213" s="88" t="inlineStr">
        <is>
          <t>—</t>
        </is>
      </c>
      <c r="F213" s="62" t="inlineStr">
        <is>
          <t>Contract Performance</t>
        </is>
      </c>
      <c r="G213" s="62" t="inlineStr">
        <is>
          <t>C8 — Commercial &amp; Execution</t>
        </is>
      </c>
      <c r="H213" s="62" t="inlineStr">
        <is>
          <t>T2 Secondary</t>
        </is>
      </c>
      <c r="I213" s="62" t="n">
        <v>35</v>
      </c>
      <c r="J213" s="62" t="n">
        <v>66.4355</v>
      </c>
      <c r="K213" s="62" t="inlineStr">
        <is>
          <t>7.4.1</t>
        </is>
      </c>
      <c r="L213" s="62" t="inlineStr">
        <is>
          <t>Progress Dashboard</t>
        </is>
      </c>
      <c r="M213" s="62" t="n">
        <v>122</v>
      </c>
      <c r="N213" s="62" t="inlineStr">
        <is>
          <t>Safety / Legal</t>
        </is>
      </c>
      <c r="O213" s="53" t="inlineStr">
        <is>
          <t>The Contractor shall implement a digital dashboard giving SCK CEN a snapshot up-to-date information on the status and progress of the Contract. The information shall be continuously (at least monthly) updated with the latest information. The Contractor shall produce and submit monthly progress reports to SCK CEN at least three Business Days prior to the monthly progress meeting. If comments or revisions arise during the progress meeting, the Contractor shall issue an updated version five business days after the meeting. The dashboard shall, as a minimum, include the following:</t>
        </is>
      </c>
      <c r="P213" s="53" t="inlineStr">
        <is>
          <t>None explicitly named in this RTM</t>
        </is>
      </c>
      <c r="Q213" s="53" t="inlineStr">
        <is>
          <t>List / register / matrix</t>
        </is>
      </c>
      <c r="R213" s="53" t="inlineStr">
        <is>
          <t>Submit and review the named deliverable with RTM traceability and approval status; Witnessed FAT/SAT/commissioning test against stated acceptance criteria</t>
        </is>
      </c>
      <c r="S213" s="53" t="inlineStr">
        <is>
          <t>L0 Tender / Offer; L1 Conceptual Design; L2 Detailed Design; L3 Procurement &amp; Manufacturing / FAT; L4 Installation; L5 Standalone Commissioning; L6 Site Acceptance Testing</t>
        </is>
      </c>
      <c r="T213" s="53" t="inlineStr">
        <is>
          <t>Section/contract-derived reference; explicit deliverable/test wording</t>
        </is>
      </c>
      <c r="U213" s="62" t="inlineStr">
        <is>
          <t>TBD</t>
        </is>
      </c>
      <c r="V213" s="213" t="n"/>
      <c r="W213" s="53" t="n"/>
    </row>
    <row r="214" ht="92" customHeight="1">
      <c r="A214" s="60" t="n">
        <v>254</v>
      </c>
      <c r="B214" s="60" t="inlineStr">
        <is>
          <t>RTM-475</t>
        </is>
      </c>
      <c r="C214" s="89" t="inlineStr">
        <is>
          <t>PROJECT</t>
        </is>
      </c>
      <c r="D214" s="90" t="inlineStr">
        <is>
          <t>Documentation &amp; Compliance</t>
        </is>
      </c>
      <c r="E214" s="91" t="inlineStr">
        <is>
          <t>—</t>
        </is>
      </c>
      <c r="F214" s="60" t="inlineStr">
        <is>
          <t>Installation</t>
        </is>
      </c>
      <c r="G214" s="60" t="inlineStr">
        <is>
          <t>Not linked to an OFFER item</t>
        </is>
      </c>
      <c r="H214" s="60" t="inlineStr">
        <is>
          <t>T2 Secondary</t>
        </is>
      </c>
      <c r="I214" s="60" t="n">
        <v>34.6667</v>
      </c>
      <c r="J214" s="60" t="n">
        <v>65.1872</v>
      </c>
      <c r="K214" s="60" t="inlineStr">
        <is>
          <t>4.10</t>
        </is>
      </c>
      <c r="L214" s="60" t="inlineStr">
        <is>
          <t>Installation Requirements</t>
        </is>
      </c>
      <c r="M214" s="60" t="n">
        <v>92</v>
      </c>
      <c r="N214" s="60" t="inlineStr">
        <is>
          <t>Functional</t>
        </is>
      </c>
      <c r="O214" s="49" t="inlineStr">
        <is>
          <t>Prior to installation at the SCK CEN site, the Contractor shall submit the QA/QC governance applicable to the installation activities.</t>
        </is>
      </c>
      <c r="P214" s="49" t="inlineStr">
        <is>
          <t>None explicitly named in this RTM</t>
        </is>
      </c>
      <c r="Q214" s="49" t="inlineStr">
        <is>
          <t>Quality Assurance Plan (QAP)</t>
        </is>
      </c>
      <c r="R214" s="49" t="inlineStr">
        <is>
          <t>Submit and review the named deliverable with RTM traceability and approval status; Witnessed FAT/SAT/commissioning test against stated acceptance criteria; Functional design/configuration review and sequence/interface demonstration</t>
        </is>
      </c>
      <c r="S214" s="49" t="inlineStr">
        <is>
          <t>L4 Installation; L1 Conceptual Design; L2 Detailed Design</t>
        </is>
      </c>
      <c r="T214" s="49" t="inlineStr">
        <is>
          <t>Section/contract-derived reference; explicit deliverable/test wording</t>
        </is>
      </c>
      <c r="U214" s="60" t="inlineStr">
        <is>
          <t>TBD</t>
        </is>
      </c>
      <c r="V214" s="213" t="n"/>
      <c r="W214" s="49" t="n"/>
    </row>
    <row r="215" ht="92" customHeight="1">
      <c r="A215" s="62" t="n">
        <v>256</v>
      </c>
      <c r="B215" s="62" t="inlineStr">
        <is>
          <t>RTM-552</t>
        </is>
      </c>
      <c r="C215" s="86" t="inlineStr">
        <is>
          <t>PROJECT</t>
        </is>
      </c>
      <c r="D215" s="87" t="inlineStr">
        <is>
          <t>Governance &amp; Responsibility</t>
        </is>
      </c>
      <c r="E215" s="88" t="inlineStr">
        <is>
          <t>—</t>
        </is>
      </c>
      <c r="F215" s="62" t="inlineStr">
        <is>
          <t>Acceptance Testing</t>
        </is>
      </c>
      <c r="G215" s="62" t="inlineStr">
        <is>
          <t>C7 — Quality, Testing &amp; Risk</t>
        </is>
      </c>
      <c r="H215" s="62" t="inlineStr">
        <is>
          <t>T2 Secondary</t>
        </is>
      </c>
      <c r="I215" s="62" t="n">
        <v>34.6667</v>
      </c>
      <c r="J215" s="62" t="n">
        <v>65.1872</v>
      </c>
      <c r="K215" s="62" t="inlineStr">
        <is>
          <t>4.13.3.5</t>
        </is>
      </c>
      <c r="L215" s="62" t="inlineStr">
        <is>
          <t>Demonstration of control system behaviour</t>
        </is>
      </c>
      <c r="M215" s="62" t="n">
        <v>108</v>
      </c>
      <c r="N215" s="62" t="inlineStr">
        <is>
          <t>Functional</t>
        </is>
      </c>
      <c r="O215" s="53" t="inlineStr">
        <is>
          <t>The Contractor shall demonstrate the correct behavior of the QPS:CIS protection and interlock mechanisms during the SAT. This shall include, at minimum:</t>
        </is>
      </c>
      <c r="P215" s="53" t="inlineStr">
        <is>
          <t>None explicitly named in this RTM</t>
        </is>
      </c>
      <c r="Q215" s="53" t="inlineStr">
        <is>
          <t>Procedure / work instruction</t>
        </is>
      </c>
      <c r="R215" s="53" t="inlineStr">
        <is>
          <t>Submit and review the named deliverable with RTM traceability and approval status; Witnessed FAT/SAT/commissioning test against stated acceptance criteria; Functional design/configuration review and sequence/interface demonstration</t>
        </is>
      </c>
      <c r="S215" s="53" t="inlineStr">
        <is>
          <t>L6 Site Acceptance Testing; L1 Conceptual Design; L2 Detailed Design</t>
        </is>
      </c>
      <c r="T215" s="53" t="inlineStr">
        <is>
          <t>Section/contract-derived reference; explicit deliverable/test wording</t>
        </is>
      </c>
      <c r="U215" s="62" t="inlineStr">
        <is>
          <t>TBD</t>
        </is>
      </c>
      <c r="V215" s="213" t="n"/>
      <c r="W215" s="53" t="n"/>
    </row>
    <row r="216" ht="64" customHeight="1">
      <c r="A216" s="60" t="n">
        <v>259</v>
      </c>
      <c r="B216" s="60" t="inlineStr">
        <is>
          <t>RTM-451</t>
        </is>
      </c>
      <c r="C216" s="89" t="inlineStr">
        <is>
          <t>SYSTEM</t>
        </is>
      </c>
      <c r="D216" s="90" t="inlineStr">
        <is>
          <t>Performance</t>
        </is>
      </c>
      <c r="E216" s="91" t="inlineStr">
        <is>
          <t>—</t>
        </is>
      </c>
      <c r="F216" s="60" t="inlineStr">
        <is>
          <t>Design &amp; Fabrication</t>
        </is>
      </c>
      <c r="G216" s="60" t="inlineStr">
        <is>
          <t>C4 — Software &amp; Control</t>
        </is>
      </c>
      <c r="H216" s="60" t="inlineStr">
        <is>
          <t>T2 Secondary</t>
        </is>
      </c>
      <c r="I216" s="60" t="n">
        <v>34.3333</v>
      </c>
      <c r="J216" s="60" t="n">
        <v>64.28570000000001</v>
      </c>
      <c r="K216" s="60" t="inlineStr">
        <is>
          <t>4.8.2</t>
        </is>
      </c>
      <c r="L216" s="60" t="inlineStr">
        <is>
          <t>Digital Process Model and Digital Twin</t>
        </is>
      </c>
      <c r="M216" s="60" t="n">
        <v>89</v>
      </c>
      <c r="N216" s="60" t="inlineStr">
        <is>
          <t>Safety / Legal</t>
        </is>
      </c>
      <c r="O216" s="49" t="inlineStr">
        <is>
          <t>The Contractor may supply a Digital Process Model, a Digital Twin, or both. If supplied, the Digital Process Model and/or Digital Twin shall:</t>
        </is>
      </c>
      <c r="P216" s="49" t="inlineStr">
        <is>
          <t>None explicitly named in this RTM</t>
        </is>
      </c>
      <c r="Q216" s="49" t="inlineStr">
        <is>
          <t>Digital Process Model / Digital Twin</t>
        </is>
      </c>
      <c r="R216" s="49" t="inlineStr">
        <is>
          <t>Submit and review the named deliverable with RTM traceability and approval status; Document review, inspection, certification, audit or traceable QC record</t>
        </is>
      </c>
      <c r="S216" s="49" t="inlineStr">
        <is>
          <t>L1 Conceptual Design; L2 Detailed Design</t>
        </is>
      </c>
      <c r="T216" s="49" t="inlineStr">
        <is>
          <t>Section/contract-derived reference; explicit deliverable/test wording</t>
        </is>
      </c>
      <c r="U216" s="60" t="inlineStr">
        <is>
          <t>TBD</t>
        </is>
      </c>
      <c r="V216" s="213" t="n"/>
      <c r="W216" s="49" t="n"/>
    </row>
    <row r="217" ht="92" customHeight="1">
      <c r="A217" s="62" t="n">
        <v>262</v>
      </c>
      <c r="B217" s="62" t="inlineStr">
        <is>
          <t>RTM-065</t>
        </is>
      </c>
      <c r="C217" s="86" t="inlineStr">
        <is>
          <t>SYSTEM</t>
        </is>
      </c>
      <c r="D217" s="87" t="inlineStr">
        <is>
          <t>Performance</t>
        </is>
      </c>
      <c r="E217" s="88" t="inlineStr">
        <is>
          <t>—</t>
        </is>
      </c>
      <c r="F217" s="62" t="inlineStr">
        <is>
          <t>Global Design Criteria</t>
        </is>
      </c>
      <c r="G217" s="92" t="inlineStr">
        <is>
          <t>Inferred: C1 — Performance (medium conf.)</t>
        </is>
      </c>
      <c r="H217" s="62" t="inlineStr">
        <is>
          <t>T2 Secondary</t>
        </is>
      </c>
      <c r="I217" s="62" t="n">
        <v>33.6667</v>
      </c>
      <c r="J217" s="62" t="n">
        <v>63.7309</v>
      </c>
      <c r="K217" s="62" t="inlineStr">
        <is>
          <t>4.3.3</t>
        </is>
      </c>
      <c r="L217" s="62" t="inlineStr">
        <is>
          <t>Maintenance strategy</t>
        </is>
      </c>
      <c r="M217" s="62" t="n">
        <v>39</v>
      </c>
      <c r="N217" s="62" t="inlineStr">
        <is>
          <t>Reliability</t>
        </is>
      </c>
      <c r="O217" s="53" t="inlineStr">
        <is>
          <t>The Maintenance Plan shall include, at minimum:</t>
        </is>
      </c>
      <c r="P217" s="53" t="inlineStr">
        <is>
          <t>None explicitly named in this RTM</t>
        </is>
      </c>
      <c r="Q217" s="53" t="inlineStr">
        <is>
          <t>Maintenance / RCM Plan</t>
        </is>
      </c>
      <c r="R217" s="53" t="inlineStr">
        <is>
          <t>Submit and review the named deliverable with RTM traceability and approval status; Witnessed FAT/SAT/commissioning test against stated acceptance criteria; RAM/maintenance substantiation and recovery/failure-response evidence</t>
        </is>
      </c>
      <c r="S217" s="53" t="inlineStr">
        <is>
          <t>L1 Conceptual Design; L2 Detailed Design</t>
        </is>
      </c>
      <c r="T217" s="53" t="inlineStr">
        <is>
          <t>Section/contract-derived reference; explicit deliverable/test wording</t>
        </is>
      </c>
      <c r="U217" s="62" t="inlineStr">
        <is>
          <t>TBD</t>
        </is>
      </c>
      <c r="V217" s="213" t="n"/>
      <c r="W217" s="53" t="n"/>
    </row>
    <row r="218" ht="64" customHeight="1">
      <c r="A218" s="60" t="n">
        <v>263</v>
      </c>
      <c r="B218" s="60" t="inlineStr">
        <is>
          <t>RTM-096</t>
        </is>
      </c>
      <c r="C218" s="89" t="inlineStr">
        <is>
          <t>PROJECT</t>
        </is>
      </c>
      <c r="D218" s="90" t="inlineStr">
        <is>
          <t>Documentation &amp; Compliance</t>
        </is>
      </c>
      <c r="E218" s="91" t="inlineStr">
        <is>
          <t>—</t>
        </is>
      </c>
      <c r="F218" s="60" t="inlineStr">
        <is>
          <t>Subsystems</t>
        </is>
      </c>
      <c r="G218" s="85" t="inlineStr">
        <is>
          <t>Inferred: C2 — Process Design (low conf.)</t>
        </is>
      </c>
      <c r="H218" s="60" t="inlineStr">
        <is>
          <t>T2 Secondary</t>
        </is>
      </c>
      <c r="I218" s="60" t="n">
        <v>33.6667</v>
      </c>
      <c r="J218" s="60" t="n">
        <v>63.7309</v>
      </c>
      <c r="K218" s="60" t="inlineStr">
        <is>
          <t>4.4.2</t>
        </is>
      </c>
      <c r="L218" s="60" t="inlineStr">
        <is>
          <t>Common Instrumentation Parts</t>
        </is>
      </c>
      <c r="M218" s="60" t="n">
        <v>44</v>
      </c>
      <c r="N218" s="60" t="inlineStr">
        <is>
          <t>Performance</t>
        </is>
      </c>
      <c r="O218" s="49" t="inlineStr">
        <is>
          <t>The Contractor shall submit a complete set of documentation containing at least:</t>
        </is>
      </c>
      <c r="P218" s="49" t="inlineStr">
        <is>
          <t>None explicitly named in this RTM</t>
        </is>
      </c>
      <c r="Q218" s="49" t="inlineStr">
        <is>
          <t>Drawing / diagram</t>
        </is>
      </c>
      <c r="R218" s="49" t="inlineStr">
        <is>
          <t>Submit and review the named deliverable with RTM traceability and approval status; Calculation/model plus calibrated measurement or recorded trend</t>
        </is>
      </c>
      <c r="S218" s="49" t="inlineStr">
        <is>
          <t>L1 Conceptual Design; L2 Detailed Design</t>
        </is>
      </c>
      <c r="T218" s="49" t="inlineStr">
        <is>
          <t>Section/contract-derived reference; explicit deliverable/test wording</t>
        </is>
      </c>
      <c r="U218" s="60" t="inlineStr">
        <is>
          <t>TBD</t>
        </is>
      </c>
      <c r="V218" s="213" t="n"/>
      <c r="W218" s="49" t="n"/>
    </row>
    <row r="219" ht="92" customHeight="1">
      <c r="A219" s="62" t="n">
        <v>274</v>
      </c>
      <c r="B219" s="62" t="inlineStr">
        <is>
          <t>RTM-260</t>
        </is>
      </c>
      <c r="C219" s="86" t="inlineStr">
        <is>
          <t>SAFETY</t>
        </is>
      </c>
      <c r="D219" s="87" t="inlineStr">
        <is>
          <t>Interlock &amp; Control Safety</t>
        </is>
      </c>
      <c r="E219" s="88" t="inlineStr">
        <is>
          <t>—</t>
        </is>
      </c>
      <c r="F219" s="62" t="inlineStr">
        <is>
          <t>Subsystems</t>
        </is>
      </c>
      <c r="G219" s="62" t="inlineStr">
        <is>
          <t>C2 (+) — Process Design + others</t>
        </is>
      </c>
      <c r="H219" s="62" t="inlineStr">
        <is>
          <t>T2 Secondary</t>
        </is>
      </c>
      <c r="I219" s="62" t="n">
        <v>32.6667</v>
      </c>
      <c r="J219" s="62" t="n">
        <v>62.2746</v>
      </c>
      <c r="K219" s="62" t="inlineStr">
        <is>
          <t>4.4.7.3</t>
        </is>
      </c>
      <c r="L219" s="62" t="inlineStr">
        <is>
          <t>Abnormal conditions</t>
        </is>
      </c>
      <c r="M219" s="62" t="n">
        <v>64</v>
      </c>
      <c r="N219" s="62" t="inlineStr">
        <is>
          <t>Reliability</t>
        </is>
      </c>
      <c r="O219" s="53" t="inlineStr">
        <is>
          <t>In case of QPS internal abnormal events, including those leading to abnormal conditions for the Cryogenic Users, no more than 1 % of the total helium inventory shall be lost.</t>
        </is>
      </c>
      <c r="P219" s="53" t="inlineStr">
        <is>
          <t>None explicitly named in this RTM</t>
        </is>
      </c>
      <c r="Q219" s="53" t="inlineStr">
        <is>
          <t>Procedure / work instruction</t>
        </is>
      </c>
      <c r="R219" s="53" t="inlineStr">
        <is>
          <t>Submit and review the named deliverable with RTM traceability and approval status; Functional design/configuration review and sequence/interface demonstration; RAM/maintenance substantiation and recovery/failure-response evidence</t>
        </is>
      </c>
      <c r="S219" s="53" t="inlineStr">
        <is>
          <t>L1 Conceptual Design; L2 Detailed Design</t>
        </is>
      </c>
      <c r="T219" s="53" t="inlineStr">
        <is>
          <t>Section/contract-derived reference; explicit deliverable/test wording</t>
        </is>
      </c>
      <c r="U219" s="62" t="inlineStr">
        <is>
          <t>TBD</t>
        </is>
      </c>
      <c r="V219" s="213" t="n"/>
      <c r="W219" s="53" t="n"/>
    </row>
    <row r="220" ht="92" customHeight="1">
      <c r="A220" s="60" t="n">
        <v>275</v>
      </c>
      <c r="B220" s="60" t="inlineStr">
        <is>
          <t>RTM-262</t>
        </is>
      </c>
      <c r="C220" s="89" t="inlineStr">
        <is>
          <t>SYSTEM</t>
        </is>
      </c>
      <c r="D220" s="90" t="inlineStr">
        <is>
          <t>Performance</t>
        </is>
      </c>
      <c r="E220" s="91" t="inlineStr">
        <is>
          <t>—</t>
        </is>
      </c>
      <c r="F220" s="60" t="inlineStr">
        <is>
          <t>Subsystems</t>
        </is>
      </c>
      <c r="G220" s="60" t="inlineStr">
        <is>
          <t>C2 (+) — Process Design + others</t>
        </is>
      </c>
      <c r="H220" s="60" t="inlineStr">
        <is>
          <t>T2 Secondary</t>
        </is>
      </c>
      <c r="I220" s="60" t="n">
        <v>32.6667</v>
      </c>
      <c r="J220" s="60" t="n">
        <v>62.2746</v>
      </c>
      <c r="K220" s="60" t="inlineStr">
        <is>
          <t>4.4.7.3</t>
        </is>
      </c>
      <c r="L220" s="60" t="inlineStr">
        <is>
          <t>Abnormal conditions</t>
        </is>
      </c>
      <c r="M220" s="60" t="n">
        <v>64</v>
      </c>
      <c r="N220" s="60" t="inlineStr">
        <is>
          <t>Reliability</t>
        </is>
      </c>
      <c r="O220" s="49" t="inlineStr">
        <is>
          <t>The QPS shall have a procedure to recover normal helium circulation once the initiated abnormal event is resolved.</t>
        </is>
      </c>
      <c r="P220" s="49" t="inlineStr">
        <is>
          <t>None explicitly named in this RTM</t>
        </is>
      </c>
      <c r="Q220" s="49" t="inlineStr">
        <is>
          <t>Procedure / work instruction</t>
        </is>
      </c>
      <c r="R220" s="49" t="inlineStr">
        <is>
          <t>Submit and review the named deliverable with RTM traceability and approval status; Functional design/configuration review and sequence/interface demonstration; RAM/maintenance substantiation and recovery/failure-response evidence</t>
        </is>
      </c>
      <c r="S220" s="49" t="inlineStr">
        <is>
          <t>L1 Conceptual Design; L2 Detailed Design</t>
        </is>
      </c>
      <c r="T220" s="49" t="inlineStr">
        <is>
          <t>Section/contract-derived reference; explicit deliverable/test wording</t>
        </is>
      </c>
      <c r="U220" s="60" t="inlineStr">
        <is>
          <t>TBD</t>
        </is>
      </c>
      <c r="V220" s="213" t="n"/>
      <c r="W220" s="49" t="n"/>
    </row>
    <row r="221" ht="162" customHeight="1">
      <c r="A221" s="62" t="n">
        <v>281</v>
      </c>
      <c r="B221" s="62" t="inlineStr">
        <is>
          <t>RTM-719</t>
        </is>
      </c>
      <c r="C221" s="86" t="inlineStr">
        <is>
          <t>PROJECT</t>
        </is>
      </c>
      <c r="D221" s="87" t="inlineStr">
        <is>
          <t>Documentation &amp; Compliance</t>
        </is>
      </c>
      <c r="E221" s="88" t="inlineStr">
        <is>
          <t>—</t>
        </is>
      </c>
      <c r="F221" s="62" t="inlineStr">
        <is>
          <t>Acceptance &amp; Warranty</t>
        </is>
      </c>
      <c r="G221" s="92" t="inlineStr">
        <is>
          <t>Inferred: C6 — Reliability &amp; Maintenance (high conf.)</t>
        </is>
      </c>
      <c r="H221" s="62" t="inlineStr">
        <is>
          <t>T2 Secondary</t>
        </is>
      </c>
      <c r="I221" s="62" t="n">
        <v>32.3333</v>
      </c>
      <c r="J221" s="62" t="n">
        <v>61.2344</v>
      </c>
      <c r="K221" s="62" t="inlineStr">
        <is>
          <t>10.3</t>
        </is>
      </c>
      <c r="L221" s="62" t="inlineStr">
        <is>
          <t>Warranty Conditions</t>
        </is>
      </c>
      <c r="M221" s="62" t="n">
        <v>133</v>
      </c>
      <c r="N221" s="62" t="inlineStr">
        <is>
          <t>Safety / Legal</t>
        </is>
      </c>
      <c r="O221" s="53" t="inlineStr">
        <is>
          <t>The Contractor shall keep a register of all interventions that the Contractor performs during the warranty period which can be always consulted by SCK CEN. If SCK CEN can demonstrate a trend of failure occurring during the warranty period, which is not attributable to any inappropriate use of the equipment, this will be considered as a deficiency, and the Contractor shall be liable to replace at his own risk and expense the affected item</t>
        </is>
      </c>
      <c r="P221" s="53" t="inlineStr">
        <is>
          <t>None explicitly named in this RTM</t>
        </is>
      </c>
      <c r="Q221" s="53" t="inlineStr">
        <is>
          <t>List / register / matrix</t>
        </is>
      </c>
      <c r="R221" s="53" t="inlineStr">
        <is>
          <t>Submit and review the named deliverable with RTM traceability and approval status; Witnessed FAT/SAT/commissioning test against stated acceptance criteria; Document review, inspection, certification, audit or traceable QC record</t>
        </is>
      </c>
      <c r="S221" s="53" t="inlineStr">
        <is>
          <t>Warranty; PAC / Handover; FAC</t>
        </is>
      </c>
      <c r="T221" s="53" t="inlineStr">
        <is>
          <t>Section/contract-derived reference; explicit deliverable/test wording</t>
        </is>
      </c>
      <c r="U221" s="62" t="inlineStr">
        <is>
          <t>TBD</t>
        </is>
      </c>
      <c r="V221" s="213" t="n"/>
      <c r="W221" s="53" t="n"/>
    </row>
    <row r="222" ht="92" customHeight="1">
      <c r="A222" s="60" t="n">
        <v>282</v>
      </c>
      <c r="B222" s="60" t="inlineStr">
        <is>
          <t>RTM-007</t>
        </is>
      </c>
      <c r="C222" s="89" t="inlineStr">
        <is>
          <t>SYSTEM</t>
        </is>
      </c>
      <c r="D222" s="90" t="inlineStr">
        <is>
          <t>Performance</t>
        </is>
      </c>
      <c r="E222" s="91" t="inlineStr">
        <is>
          <t>—</t>
        </is>
      </c>
      <c r="F222" s="60" t="inlineStr">
        <is>
          <t>Process &amp; Functional</t>
        </is>
      </c>
      <c r="G222" s="85" t="inlineStr">
        <is>
          <t>Inferred: C2 — Process Design (low conf.)</t>
        </is>
      </c>
      <c r="H222" s="60" t="inlineStr">
        <is>
          <t>T2 Secondary</t>
        </is>
      </c>
      <c r="I222" s="60" t="n">
        <v>32</v>
      </c>
      <c r="J222" s="60" t="n">
        <v>59.9861</v>
      </c>
      <c r="K222" s="60" t="inlineStr">
        <is>
          <t>4.2.1</t>
        </is>
      </c>
      <c r="L222" s="60" t="inlineStr">
        <is>
          <t>Design and Operational Conditions</t>
        </is>
      </c>
      <c r="M222" s="60" t="n">
        <v>26</v>
      </c>
      <c r="N222" s="60" t="inlineStr">
        <is>
          <t>Performance</t>
        </is>
      </c>
      <c r="O222" s="49" t="inlineStr">
        <is>
          <t>For the QPS design, the Contractor shall:</t>
        </is>
      </c>
      <c r="P222" s="49" t="inlineStr">
        <is>
          <t>None explicitly named in this RTM</t>
        </is>
      </c>
      <c r="Q222" s="49" t="inlineStr">
        <is>
          <t>Design / calculation package</t>
        </is>
      </c>
      <c r="R222" s="49" t="inlineStr">
        <is>
          <t>Submit and review the named deliverable with RTM traceability and approval status; Calculation/model plus calibrated measurement or recorded trend; Document review, inspection, certification, audit or traceable QC record</t>
        </is>
      </c>
      <c r="S222" s="49" t="inlineStr">
        <is>
          <t>L1 Conceptual Design; L2 Detailed Design</t>
        </is>
      </c>
      <c r="T222" s="49" t="inlineStr">
        <is>
          <t>Section/contract-derived reference; explicit deliverable/test wording</t>
        </is>
      </c>
      <c r="U222" s="60" t="inlineStr">
        <is>
          <t>TBD</t>
        </is>
      </c>
      <c r="V222" s="213" t="n"/>
      <c r="W222" s="49" t="n"/>
    </row>
    <row r="223" ht="92" customHeight="1">
      <c r="A223" s="62" t="n">
        <v>288</v>
      </c>
      <c r="B223" s="62" t="inlineStr">
        <is>
          <t>RTM-650</t>
        </is>
      </c>
      <c r="C223" s="86" t="inlineStr">
        <is>
          <t>PROJECT</t>
        </is>
      </c>
      <c r="D223" s="87" t="inlineStr">
        <is>
          <t>Documentation &amp; Compliance</t>
        </is>
      </c>
      <c r="E223" s="88" t="inlineStr">
        <is>
          <t>—</t>
        </is>
      </c>
      <c r="F223" s="62" t="inlineStr">
        <is>
          <t>Quality Assurance &amp; Control</t>
        </is>
      </c>
      <c r="G223" s="62" t="inlineStr">
        <is>
          <t>C7 — Quality, Testing &amp; Risk</t>
        </is>
      </c>
      <c r="H223" s="62" t="inlineStr">
        <is>
          <t>T2 Secondary</t>
        </is>
      </c>
      <c r="I223" s="62" t="n">
        <v>32</v>
      </c>
      <c r="J223" s="62" t="n">
        <v>59.9861</v>
      </c>
      <c r="K223" s="62" t="inlineStr">
        <is>
          <t>8.1.3.1</t>
        </is>
      </c>
      <c r="L223" s="62" t="inlineStr">
        <is>
          <t>Quality Assurance Plan (QAP)</t>
        </is>
      </c>
      <c r="M223" s="62" t="n">
        <v>124</v>
      </c>
      <c r="N223" s="62" t="inlineStr">
        <is>
          <t>Safety / Legal</t>
        </is>
      </c>
      <c r="O223" s="53" t="inlineStr">
        <is>
          <t>Prior to beginning its work, the Contractor shall submit a QAP for review and approval by SCK CEN demonstrating compliance with the requirements set out in the Contract. It shall cover at minimum the following topics:</t>
        </is>
      </c>
      <c r="P223" s="53" t="inlineStr">
        <is>
          <t>None explicitly named in this RTM</t>
        </is>
      </c>
      <c r="Q223" s="53" t="inlineStr">
        <is>
          <t>Quality Assurance Plan (QAP); Certificate / calibration evidence; List / register / matrix</t>
        </is>
      </c>
      <c r="R223" s="53" t="inlineStr">
        <is>
          <t>Submit and review the named deliverable with RTM traceability and approval status; Witnessed FAT/SAT/commissioning test against stated acceptance criteria; Conformity/safety assessment, certification and approved safety evidence</t>
        </is>
      </c>
      <c r="S223" s="53" t="inlineStr">
        <is>
          <t>L0 Tender / Offer; L1 Conceptual Design; L2 Detailed Design; L3 Procurement &amp; Manufacturing / FAT; L4 Installation; L5 Standalone Commissioning; L6 Site Acceptance Testing</t>
        </is>
      </c>
      <c r="T223" s="53" t="inlineStr">
        <is>
          <t>Section/contract-derived reference; explicit deliverable/test wording</t>
        </is>
      </c>
      <c r="U223" s="62" t="inlineStr">
        <is>
          <t>TBD</t>
        </is>
      </c>
      <c r="V223" s="213" t="n"/>
      <c r="W223" s="53" t="n"/>
    </row>
    <row r="224" ht="92" customHeight="1">
      <c r="A224" s="60" t="n">
        <v>289</v>
      </c>
      <c r="B224" s="60" t="inlineStr">
        <is>
          <t>RTM-100</t>
        </is>
      </c>
      <c r="C224" s="89" t="inlineStr">
        <is>
          <t>PROJECT</t>
        </is>
      </c>
      <c r="D224" s="90" t="inlineStr">
        <is>
          <t>Documentation &amp; Compliance</t>
        </is>
      </c>
      <c r="E224" s="91" t="inlineStr">
        <is>
          <t>—</t>
        </is>
      </c>
      <c r="F224" s="60" t="inlineStr">
        <is>
          <t>Subsystems</t>
        </is>
      </c>
      <c r="G224" s="85" t="inlineStr">
        <is>
          <t>Inferred: C3 — Mechanical &amp; Equipment (medium conf.)</t>
        </is>
      </c>
      <c r="H224" s="60" t="inlineStr">
        <is>
          <t>T2 Secondary</t>
        </is>
      </c>
      <c r="I224" s="60" t="n">
        <v>32</v>
      </c>
      <c r="J224" s="60" t="n">
        <v>59.9861</v>
      </c>
      <c r="K224" s="60" t="inlineStr">
        <is>
          <t>4.4.2.1</t>
        </is>
      </c>
      <c r="L224" s="60" t="inlineStr">
        <is>
          <t>Valves</t>
        </is>
      </c>
      <c r="M224" s="60" t="n">
        <v>44</v>
      </c>
      <c r="N224" s="60" t="inlineStr">
        <is>
          <t>Performance</t>
        </is>
      </c>
      <c r="O224" s="49" t="inlineStr">
        <is>
          <t>Manual isolation valves that are safety-relevant or operationally critical shall be equipped with end-switches confirming their mechanical position (open/closed) during operation.</t>
        </is>
      </c>
      <c r="P224" s="49" t="inlineStr">
        <is>
          <t>None explicitly named in this RTM</t>
        </is>
      </c>
      <c r="Q224" s="49" t="inlineStr">
        <is>
          <t>List / register / matrix</t>
        </is>
      </c>
      <c r="R224" s="49" t="inlineStr">
        <is>
          <t>Submit and review the named deliverable with RTM traceability and approval status; Calculation/model plus calibrated measurement or recorded trend; Functional design/configuration review and sequence/interface demonstration</t>
        </is>
      </c>
      <c r="S224" s="49" t="inlineStr">
        <is>
          <t>L2 Detailed Design; L1 Conceptual Design</t>
        </is>
      </c>
      <c r="T224" s="49" t="inlineStr">
        <is>
          <t>Section/contract-derived reference; explicit deliverable/test wording</t>
        </is>
      </c>
      <c r="U224" s="60" t="inlineStr">
        <is>
          <t>TBD</t>
        </is>
      </c>
      <c r="V224" s="213" t="n"/>
      <c r="W224" s="49" t="n"/>
    </row>
    <row r="225" ht="92" customHeight="1">
      <c r="A225" s="62" t="n">
        <v>320</v>
      </c>
      <c r="B225" s="62" t="inlineStr">
        <is>
          <t>RTM-221</t>
        </is>
      </c>
      <c r="C225" s="86" t="inlineStr">
        <is>
          <t>SYSTEM</t>
        </is>
      </c>
      <c r="D225" s="87" t="inlineStr">
        <is>
          <t>Performance</t>
        </is>
      </c>
      <c r="E225" s="88" t="inlineStr">
        <is>
          <t>—</t>
        </is>
      </c>
      <c r="F225" s="62" t="inlineStr">
        <is>
          <t>Subsystems</t>
        </is>
      </c>
      <c r="G225" s="92" t="inlineStr">
        <is>
          <t>Inferred: C3 — Mechanical &amp; Equipment (medium conf.)</t>
        </is>
      </c>
      <c r="H225" s="62" t="inlineStr">
        <is>
          <t>T2 Secondary</t>
        </is>
      </c>
      <c r="I225" s="62" t="n">
        <v>30.6667</v>
      </c>
      <c r="J225" s="62" t="n">
        <v>55.8946</v>
      </c>
      <c r="K225" s="62" t="inlineStr">
        <is>
          <t>4.4.4.2.4</t>
        </is>
      </c>
      <c r="L225" s="62" t="inlineStr">
        <is>
          <t>Cold Compressors</t>
        </is>
      </c>
      <c r="M225" s="62" t="n">
        <v>57</v>
      </c>
      <c r="N225" s="62" t="inlineStr">
        <is>
          <t>Performance</t>
        </is>
      </c>
      <c r="O225" s="53" t="inlineStr">
        <is>
          <t>For each cold compressor, the Contractor shall provide:</t>
        </is>
      </c>
      <c r="P225" s="53" t="inlineStr">
        <is>
          <t>None explicitly named in this RTM</t>
        </is>
      </c>
      <c r="Q225" s="53" t="inlineStr">
        <is>
          <t>Procedure / work instruction</t>
        </is>
      </c>
      <c r="R225" s="53" t="inlineStr">
        <is>
          <t>Submit and review the named deliverable with RTM traceability and approval status; Calculation/model plus calibrated measurement or recorded trend; Functional design/configuration review and sequence/interface demonstration</t>
        </is>
      </c>
      <c r="S225" s="53" t="inlineStr">
        <is>
          <t>L1 Conceptual Design; L2 Detailed Design</t>
        </is>
      </c>
      <c r="T225" s="53" t="inlineStr">
        <is>
          <t>Section/contract-derived reference; explicit deliverable/test wording</t>
        </is>
      </c>
      <c r="U225" s="62" t="inlineStr">
        <is>
          <t>TBD</t>
        </is>
      </c>
      <c r="V225" s="213" t="n"/>
      <c r="W225" s="53" t="n"/>
    </row>
    <row r="226" ht="92" customHeight="1">
      <c r="A226" s="60" t="n">
        <v>324</v>
      </c>
      <c r="B226" s="60" t="inlineStr">
        <is>
          <t>RTM-058</t>
        </is>
      </c>
      <c r="C226" s="89" t="inlineStr">
        <is>
          <t>SYSTEM</t>
        </is>
      </c>
      <c r="D226" s="90" t="inlineStr">
        <is>
          <t>Performance</t>
        </is>
      </c>
      <c r="E226" s="91" t="inlineStr">
        <is>
          <t>—</t>
        </is>
      </c>
      <c r="F226" s="60" t="inlineStr">
        <is>
          <t>Global Design Criteria</t>
        </is>
      </c>
      <c r="G226" s="60" t="inlineStr">
        <is>
          <t>C6 — Reliability &amp; Maintenance</t>
        </is>
      </c>
      <c r="H226" s="60" t="inlineStr">
        <is>
          <t>T2 Secondary</t>
        </is>
      </c>
      <c r="I226" s="60" t="n">
        <v>30</v>
      </c>
      <c r="J226" s="60" t="n">
        <v>54.785</v>
      </c>
      <c r="K226" s="60" t="inlineStr">
        <is>
          <t>4.3.2</t>
        </is>
      </c>
      <c r="L226" s="60" t="inlineStr">
        <is>
          <t>Availability &amp; Reliability</t>
        </is>
      </c>
      <c r="M226" s="60" t="n">
        <v>37</v>
      </c>
      <c r="N226" s="60" t="inlineStr">
        <is>
          <t>Reliability</t>
        </is>
      </c>
      <c r="O226" s="49" t="inlineStr">
        <is>
          <t>The Contractor shall perform an Availability &amp; Reliability Assessment for the QPS. To this end, the Contractor shall:</t>
        </is>
      </c>
      <c r="P226" s="49" t="inlineStr">
        <is>
          <t>None explicitly named in this RTM</t>
        </is>
      </c>
      <c r="Q226" s="49" t="inlineStr">
        <is>
          <t>Engineering File; Availability &amp; Reliability Assessment</t>
        </is>
      </c>
      <c r="R226" s="49" t="inlineStr">
        <is>
          <t>Submit and review the named deliverable with RTM traceability and approval status; RAM/maintenance substantiation and recovery/failure-response evidence; Document review, inspection, certification, audit or traceable QC record</t>
        </is>
      </c>
      <c r="S226" s="49" t="inlineStr">
        <is>
          <t>L1 Conceptual Design; L2 Detailed Design</t>
        </is>
      </c>
      <c r="T226" s="49" t="inlineStr">
        <is>
          <t>Section/contract-derived reference; explicit deliverable/test wording</t>
        </is>
      </c>
      <c r="U226" s="60" t="inlineStr">
        <is>
          <t>TBD</t>
        </is>
      </c>
      <c r="V226" s="213" t="n"/>
      <c r="W226" s="49" t="n"/>
    </row>
    <row r="227" ht="92" customHeight="1">
      <c r="A227" s="62" t="n">
        <v>325</v>
      </c>
      <c r="B227" s="62" t="inlineStr">
        <is>
          <t>RTM-060</t>
        </is>
      </c>
      <c r="C227" s="86" t="inlineStr">
        <is>
          <t>SYSTEM</t>
        </is>
      </c>
      <c r="D227" s="87" t="inlineStr">
        <is>
          <t>Performance</t>
        </is>
      </c>
      <c r="E227" s="88" t="inlineStr">
        <is>
          <t>—</t>
        </is>
      </c>
      <c r="F227" s="62" t="inlineStr">
        <is>
          <t>Global Design Criteria</t>
        </is>
      </c>
      <c r="G227" s="62" t="inlineStr">
        <is>
          <t>C6 — Reliability &amp; Maintenance</t>
        </is>
      </c>
      <c r="H227" s="62" t="inlineStr">
        <is>
          <t>T2 Secondary</t>
        </is>
      </c>
      <c r="I227" s="62" t="n">
        <v>30</v>
      </c>
      <c r="J227" s="62" t="n">
        <v>54.785</v>
      </c>
      <c r="K227" s="62" t="inlineStr">
        <is>
          <t>4.3.2</t>
        </is>
      </c>
      <c r="L227" s="62" t="inlineStr">
        <is>
          <t>Availability &amp; Reliability</t>
        </is>
      </c>
      <c r="M227" s="62" t="n">
        <v>38</v>
      </c>
      <c r="N227" s="62" t="inlineStr">
        <is>
          <t>Reliability</t>
        </is>
      </c>
      <c r="O227" s="53" t="inlineStr">
        <is>
          <t>The Contractor shall maintain and update the Availability &amp; Reliability Assessment throughout the duration of the Contract. To This end, the Contractor shall:</t>
        </is>
      </c>
      <c r="P227" s="53" t="inlineStr">
        <is>
          <t>None explicitly named in this RTM</t>
        </is>
      </c>
      <c r="Q227" s="53" t="inlineStr">
        <is>
          <t>Availability &amp; Reliability Assessment</t>
        </is>
      </c>
      <c r="R227" s="53" t="inlineStr">
        <is>
          <t>Submit and review the named deliverable with RTM traceability and approval status; RAM/maintenance substantiation and recovery/failure-response evidence; Document review, inspection, certification, audit or traceable QC record</t>
        </is>
      </c>
      <c r="S227" s="53" t="inlineStr">
        <is>
          <t>L1 Conceptual Design; L2 Detailed Design</t>
        </is>
      </c>
      <c r="T227" s="53" t="inlineStr">
        <is>
          <t>Section/contract-derived reference; explicit deliverable/test wording</t>
        </is>
      </c>
      <c r="U227" s="62" t="inlineStr">
        <is>
          <t>TBD</t>
        </is>
      </c>
      <c r="V227" s="213" t="n"/>
      <c r="W227" s="53" t="n"/>
    </row>
    <row r="228" ht="92" customHeight="1">
      <c r="A228" s="60" t="n">
        <v>326</v>
      </c>
      <c r="B228" s="60" t="inlineStr">
        <is>
          <t>RTM-575</t>
        </is>
      </c>
      <c r="C228" s="89" t="inlineStr">
        <is>
          <t>PROJECT</t>
        </is>
      </c>
      <c r="D228" s="90" t="inlineStr">
        <is>
          <t>Documentation &amp; Compliance</t>
        </is>
      </c>
      <c r="E228" s="91" t="inlineStr">
        <is>
          <t>—</t>
        </is>
      </c>
      <c r="F228" s="60" t="inlineStr">
        <is>
          <t>Technical Documentation</t>
        </is>
      </c>
      <c r="G228" s="60" t="inlineStr">
        <is>
          <t>Not linked to an OFFER item</t>
        </is>
      </c>
      <c r="H228" s="60" t="inlineStr">
        <is>
          <t>T2 Secondary</t>
        </is>
      </c>
      <c r="I228" s="60" t="n">
        <v>30</v>
      </c>
      <c r="J228" s="60" t="n">
        <v>54.785</v>
      </c>
      <c r="K228" s="60" t="inlineStr">
        <is>
          <t>4.16.2</t>
        </is>
      </c>
      <c r="L228" s="60" t="inlineStr">
        <is>
          <t>Manufacturing File</t>
        </is>
      </c>
      <c r="M228" s="60" t="n">
        <v>111</v>
      </c>
      <c r="N228" s="60" t="inlineStr">
        <is>
          <t>Functional</t>
        </is>
      </c>
      <c r="O228" s="49" t="inlineStr">
        <is>
          <t>The Contractor shall produce a Manufacturing File.</t>
        </is>
      </c>
      <c r="P228" s="49" t="inlineStr">
        <is>
          <t>None explicitly named in this RTM</t>
        </is>
      </c>
      <c r="Q228" s="49" t="inlineStr">
        <is>
          <t>Manufacturing File; Procedure / work instruction; Drawing / diagram</t>
        </is>
      </c>
      <c r="R228" s="49" t="inlineStr">
        <is>
          <t>Submit and review the named deliverable with RTM traceability and approval status; Witnessed FAT/SAT/commissioning test against stated acceptance criteria; Functional design/configuration review and sequence/interface demonstration</t>
        </is>
      </c>
      <c r="S228" s="49" t="inlineStr">
        <is>
          <t>L3 Procurement &amp; Manufacturing / FAT; L1 Conceptual Design; L2 Detailed Design</t>
        </is>
      </c>
      <c r="T228" s="49" t="inlineStr">
        <is>
          <t>Section/contract-derived reference; explicit deliverable/test wording</t>
        </is>
      </c>
      <c r="U228" s="60" t="inlineStr">
        <is>
          <t>TBD</t>
        </is>
      </c>
      <c r="V228" s="213" t="n"/>
      <c r="W228" s="49" t="n"/>
    </row>
    <row r="229" ht="92" customHeight="1">
      <c r="A229" s="62" t="n">
        <v>327</v>
      </c>
      <c r="B229" s="62" t="inlineStr">
        <is>
          <t>RTM-649</t>
        </is>
      </c>
      <c r="C229" s="86" t="inlineStr">
        <is>
          <t>PROJECT</t>
        </is>
      </c>
      <c r="D229" s="87" t="inlineStr">
        <is>
          <t>Quality Assurance</t>
        </is>
      </c>
      <c r="E229" s="88" t="inlineStr">
        <is>
          <t>—</t>
        </is>
      </c>
      <c r="F229" s="62" t="inlineStr">
        <is>
          <t>Quality Assurance &amp; Control</t>
        </is>
      </c>
      <c r="G229" s="62" t="inlineStr">
        <is>
          <t>C7 — Quality, Testing &amp; Risk</t>
        </is>
      </c>
      <c r="H229" s="62" t="inlineStr">
        <is>
          <t>T2 Secondary</t>
        </is>
      </c>
      <c r="I229" s="62" t="n">
        <v>30</v>
      </c>
      <c r="J229" s="62" t="n">
        <v>54.785</v>
      </c>
      <c r="K229" s="62" t="inlineStr">
        <is>
          <t>8.1.3</t>
        </is>
      </c>
      <c r="L229" s="62" t="inlineStr">
        <is>
          <t>Quality Assurance Program</t>
        </is>
      </c>
      <c r="M229" s="62" t="n">
        <v>124</v>
      </c>
      <c r="N229" s="62" t="inlineStr">
        <is>
          <t>Safety / Legal</t>
        </is>
      </c>
      <c r="O229" s="53" t="inlineStr">
        <is>
          <t>The Quality Assurance Program (QAP) shall include User Training and Competence Transfer as controlled activities, with defined inputs, outputs, responsibilities, and records.</t>
        </is>
      </c>
      <c r="P229" s="53" t="inlineStr">
        <is>
          <t>None explicitly named in this RTM</t>
        </is>
      </c>
      <c r="Q229" s="53" t="inlineStr">
        <is>
          <t>Quality Assurance Plan (QAP)</t>
        </is>
      </c>
      <c r="R229" s="53" t="inlineStr">
        <is>
          <t>Submit and review the named deliverable with RTM traceability and approval status; Document review, inspection, certification, audit or traceable QC record</t>
        </is>
      </c>
      <c r="S229" s="53" t="inlineStr">
        <is>
          <t>L0 Tender / Offer; L1 Conceptual Design; L2 Detailed Design; L3 Procurement &amp; Manufacturing / FAT; L4 Installation; L5 Standalone Commissioning; L6 Site Acceptance Testing</t>
        </is>
      </c>
      <c r="T229" s="53" t="inlineStr">
        <is>
          <t>Section/contract-derived reference; explicit deliverable/test wording</t>
        </is>
      </c>
      <c r="U229" s="62" t="inlineStr">
        <is>
          <t>TBD</t>
        </is>
      </c>
      <c r="V229" s="213" t="n"/>
      <c r="W229" s="53" t="n"/>
    </row>
    <row r="230" ht="120" customHeight="1">
      <c r="A230" s="60" t="n">
        <v>329</v>
      </c>
      <c r="B230" s="60" t="inlineStr">
        <is>
          <t>RTM-657</t>
        </is>
      </c>
      <c r="C230" s="89" t="inlineStr">
        <is>
          <t>PROJECT</t>
        </is>
      </c>
      <c r="D230" s="90" t="inlineStr">
        <is>
          <t>Quality Assurance</t>
        </is>
      </c>
      <c r="E230" s="91" t="inlineStr">
        <is>
          <t>—</t>
        </is>
      </c>
      <c r="F230" s="60" t="inlineStr">
        <is>
          <t>Quality Assurance &amp; Control</t>
        </is>
      </c>
      <c r="G230" s="85" t="inlineStr">
        <is>
          <t>Inferred: C7 — Quality, Testing &amp; Risk (high conf.)</t>
        </is>
      </c>
      <c r="H230" s="60" t="inlineStr">
        <is>
          <t>T2 Secondary</t>
        </is>
      </c>
      <c r="I230" s="60" t="n">
        <v>30</v>
      </c>
      <c r="J230" s="60" t="n">
        <v>54.785</v>
      </c>
      <c r="K230" s="60" t="inlineStr">
        <is>
          <t>8.1.4</t>
        </is>
      </c>
      <c r="L230" s="60" t="inlineStr">
        <is>
          <t>Qualification of personnel</t>
        </is>
      </c>
      <c r="M230" s="60" t="n">
        <v>125</v>
      </c>
      <c r="N230" s="60" t="inlineStr">
        <is>
          <t>Safety / Legal</t>
        </is>
      </c>
      <c r="O230" s="49" t="inlineStr">
        <is>
          <t>While §7.1.4 mandates qualification of Contractor staff, the Contractor shall also define the competency matrix required for SCK CEN staff. The Contractor shall issue Certificates of Competence to SCK CEN personnel upon successful completion of the training modules, validating their ability to take over operations.</t>
        </is>
      </c>
      <c r="P230" s="49" t="inlineStr">
        <is>
          <t>None explicitly named in this RTM</t>
        </is>
      </c>
      <c r="Q230" s="49" t="inlineStr">
        <is>
          <t>Certificate / calibration evidence; List / register / matrix</t>
        </is>
      </c>
      <c r="R230" s="49" t="inlineStr">
        <is>
          <t>Submit and review the named deliverable with RTM traceability and approval status; Document review, inspection, certification, audit or traceable QC record</t>
        </is>
      </c>
      <c r="S230" s="49" t="inlineStr">
        <is>
          <t>L0 Tender / Offer; L1 Conceptual Design; L2 Detailed Design; L3 Procurement &amp; Manufacturing / FAT; L4 Installation; L5 Standalone Commissioning; L6 Site Acceptance Testing</t>
        </is>
      </c>
      <c r="T230" s="49" t="inlineStr">
        <is>
          <t>Section/contract-derived reference; explicit deliverable/test wording</t>
        </is>
      </c>
      <c r="U230" s="60" t="inlineStr">
        <is>
          <t>TBD</t>
        </is>
      </c>
      <c r="V230" s="213" t="n"/>
      <c r="W230" s="49" t="n"/>
    </row>
    <row r="231" ht="134" customHeight="1">
      <c r="A231" s="62" t="n">
        <v>335</v>
      </c>
      <c r="B231" s="62" t="inlineStr">
        <is>
          <t>RTM-319</t>
        </is>
      </c>
      <c r="C231" s="86" t="inlineStr">
        <is>
          <t>SYSTEM</t>
        </is>
      </c>
      <c r="D231" s="87" t="inlineStr">
        <is>
          <t>Performance</t>
        </is>
      </c>
      <c r="E231" s="88" t="inlineStr">
        <is>
          <t>—</t>
        </is>
      </c>
      <c r="F231" s="62" t="inlineStr">
        <is>
          <t>Control &amp; Interlock</t>
        </is>
      </c>
      <c r="G231" s="92" t="inlineStr">
        <is>
          <t>Inferred: C4 — Software &amp; Control (high conf.)</t>
        </is>
      </c>
      <c r="H231" s="62" t="inlineStr">
        <is>
          <t>T2 Secondary</t>
        </is>
      </c>
      <c r="I231" s="62" t="n">
        <v>29.3333</v>
      </c>
      <c r="J231" s="62" t="n">
        <v>53.4674</v>
      </c>
      <c r="K231" s="62" t="inlineStr">
        <is>
          <t>4.6.4.3</t>
        </is>
      </c>
      <c r="L231" s="62" t="inlineStr">
        <is>
          <t>MIT Services Integration</t>
        </is>
      </c>
      <c r="M231" s="62" t="n">
        <v>74</v>
      </c>
      <c r="N231" s="62" t="inlineStr">
        <is>
          <t>Functional</t>
        </is>
      </c>
      <c r="O231" s="53" t="inlineStr">
        <is>
          <t>If a device is DHCP-capable but not configured for DHCP, the Contractor shall provide a detailed procedure for enabling and configuring DHCP on the device. The procedure shall include all necessary steps for ensuring proper DHCP functionality, such as network settings, IP lease time configuration, and alignment with MIT’s DHCP service and network standards.</t>
        </is>
      </c>
      <c r="P231" s="53" t="inlineStr">
        <is>
          <t>None explicitly named in this RTM</t>
        </is>
      </c>
      <c r="Q231" s="53" t="inlineStr">
        <is>
          <t>Procedure / work instruction</t>
        </is>
      </c>
      <c r="R231" s="53" t="inlineStr">
        <is>
          <t>Submit and review the named deliverable with RTM traceability and approval status; Functional design/configuration review and sequence/interface demonstration</t>
        </is>
      </c>
      <c r="S231" s="53" t="inlineStr">
        <is>
          <t>L1 Conceptual Design; L2 Detailed Design</t>
        </is>
      </c>
      <c r="T231" s="53" t="inlineStr">
        <is>
          <t>Section/contract-derived reference; explicit deliverable/test wording</t>
        </is>
      </c>
      <c r="U231" s="62" t="inlineStr">
        <is>
          <t>TBD</t>
        </is>
      </c>
      <c r="V231" s="213" t="n"/>
      <c r="W231" s="53" t="n"/>
    </row>
    <row r="232" ht="92" customHeight="1">
      <c r="A232" s="60" t="n">
        <v>337</v>
      </c>
      <c r="B232" s="60" t="inlineStr">
        <is>
          <t>RTM-334</t>
        </is>
      </c>
      <c r="C232" s="89" t="inlineStr">
        <is>
          <t>SYSTEM</t>
        </is>
      </c>
      <c r="D232" s="90" t="inlineStr">
        <is>
          <t>Control</t>
        </is>
      </c>
      <c r="E232" s="91" t="inlineStr">
        <is>
          <t>—</t>
        </is>
      </c>
      <c r="F232" s="60" t="inlineStr">
        <is>
          <t>Control &amp; Interlock</t>
        </is>
      </c>
      <c r="G232" s="60" t="inlineStr">
        <is>
          <t>C4 — Software &amp; Control</t>
        </is>
      </c>
      <c r="H232" s="60" t="inlineStr">
        <is>
          <t>T2 Secondary</t>
        </is>
      </c>
      <c r="I232" s="60" t="n">
        <v>29.3333</v>
      </c>
      <c r="J232" s="60" t="n">
        <v>53.4674</v>
      </c>
      <c r="K232" s="60" t="inlineStr">
        <is>
          <t>4.6.7</t>
        </is>
      </c>
      <c r="L232" s="60" t="inlineStr">
        <is>
          <t>Software development</t>
        </is>
      </c>
      <c r="M232" s="60" t="n">
        <v>76</v>
      </c>
      <c r="N232" s="60" t="inlineStr">
        <is>
          <t>Functional</t>
        </is>
      </c>
      <c r="O232" s="49" t="inlineStr">
        <is>
          <t>The Contractor shall provide a list of all development tools, environments, and version compatibility requirements necessary to edit, build, deploy, and restore the delivered control software at the time of Plant Acceptance.</t>
        </is>
      </c>
      <c r="P232" s="49" t="inlineStr">
        <is>
          <t>None explicitly named in this RTM</t>
        </is>
      </c>
      <c r="Q232" s="49" t="inlineStr">
        <is>
          <t>List / register / matrix</t>
        </is>
      </c>
      <c r="R232" s="49" t="inlineStr">
        <is>
          <t>Submit and review the named deliverable with RTM traceability and approval status; Functional design/configuration review and sequence/interface demonstration</t>
        </is>
      </c>
      <c r="S232" s="49" t="inlineStr">
        <is>
          <t>L1 Conceptual Design; L2 Detailed Design</t>
        </is>
      </c>
      <c r="T232" s="49" t="inlineStr">
        <is>
          <t>Section/contract-derived reference; explicit deliverable/test wording</t>
        </is>
      </c>
      <c r="U232" s="60" t="inlineStr">
        <is>
          <t>TBD</t>
        </is>
      </c>
      <c r="V232" s="213" t="n"/>
      <c r="W232" s="49" t="n"/>
    </row>
    <row r="233" ht="92" customHeight="1">
      <c r="A233" s="62" t="n">
        <v>341</v>
      </c>
      <c r="B233" s="62" t="inlineStr">
        <is>
          <t>RTM-536</t>
        </is>
      </c>
      <c r="C233" s="86" t="inlineStr">
        <is>
          <t>PROJECT</t>
        </is>
      </c>
      <c r="D233" s="87" t="inlineStr">
        <is>
          <t>Governance &amp; Responsibility</t>
        </is>
      </c>
      <c r="E233" s="88" t="inlineStr">
        <is>
          <t>—</t>
        </is>
      </c>
      <c r="F233" s="62" t="inlineStr">
        <is>
          <t>Acceptance Testing</t>
        </is>
      </c>
      <c r="G233" s="62" t="inlineStr">
        <is>
          <t>C7 — Quality, Testing &amp; Risk</t>
        </is>
      </c>
      <c r="H233" s="62" t="inlineStr">
        <is>
          <t>T2 Secondary</t>
        </is>
      </c>
      <c r="I233" s="62" t="n">
        <v>29.3333</v>
      </c>
      <c r="J233" s="62" t="n">
        <v>53.4674</v>
      </c>
      <c r="K233" s="62" t="inlineStr">
        <is>
          <t>4.13.3.3.5</t>
        </is>
      </c>
      <c r="L233" s="62" t="inlineStr">
        <is>
          <t>Demonstration of rotating and compression equipment</t>
        </is>
      </c>
      <c r="M233" s="62" t="n">
        <v>105</v>
      </c>
      <c r="N233" s="62" t="inlineStr">
        <is>
          <t>Quality / Verifiability</t>
        </is>
      </c>
      <c r="O233" s="53" t="inlineStr">
        <is>
          <t>For each warm compressor system, the Contractor shall demonstrate the relevant auxiliary-process performance during the SAT. This shall include, at minimum:</t>
        </is>
      </c>
      <c r="P233" s="53" t="inlineStr">
        <is>
          <t>None explicitly named in this RTM</t>
        </is>
      </c>
      <c r="Q233" s="53" t="inlineStr">
        <is>
          <t>Procedure / work instruction</t>
        </is>
      </c>
      <c r="R233" s="53" t="inlineStr">
        <is>
          <t>Submit and review the named deliverable with RTM traceability and approval status; Witnessed FAT/SAT/commissioning test against stated acceptance criteria; Functional design/configuration review and sequence/interface demonstration</t>
        </is>
      </c>
      <c r="S233" s="53" t="inlineStr">
        <is>
          <t>L6 Site Acceptance Testing; L1 Conceptual Design; L2 Detailed Design</t>
        </is>
      </c>
      <c r="T233" s="53" t="inlineStr">
        <is>
          <t>Section/contract-derived reference; explicit deliverable/test wording</t>
        </is>
      </c>
      <c r="U233" s="62" t="inlineStr">
        <is>
          <t>TBD</t>
        </is>
      </c>
      <c r="V233" s="213" t="n"/>
      <c r="W233" s="53" t="n"/>
    </row>
    <row r="234" ht="92" customHeight="1">
      <c r="A234" s="60" t="n">
        <v>342</v>
      </c>
      <c r="B234" s="60" t="inlineStr">
        <is>
          <t>RTM-554</t>
        </is>
      </c>
      <c r="C234" s="89" t="inlineStr">
        <is>
          <t>PROJECT</t>
        </is>
      </c>
      <c r="D234" s="90" t="inlineStr">
        <is>
          <t>Governance &amp; Responsibility</t>
        </is>
      </c>
      <c r="E234" s="91" t="inlineStr">
        <is>
          <t>—</t>
        </is>
      </c>
      <c r="F234" s="60" t="inlineStr">
        <is>
          <t>Acceptance Testing</t>
        </is>
      </c>
      <c r="G234" s="60" t="inlineStr">
        <is>
          <t>C7 — Quality, Testing &amp; Risk</t>
        </is>
      </c>
      <c r="H234" s="60" t="inlineStr">
        <is>
          <t>T2 Secondary</t>
        </is>
      </c>
      <c r="I234" s="60" t="n">
        <v>29.3333</v>
      </c>
      <c r="J234" s="60" t="n">
        <v>53.4674</v>
      </c>
      <c r="K234" s="60" t="inlineStr">
        <is>
          <t>4.13.3.5</t>
        </is>
      </c>
      <c r="L234" s="60" t="inlineStr">
        <is>
          <t>Demonstration of control system behaviour</t>
        </is>
      </c>
      <c r="M234" s="60" t="n">
        <v>108</v>
      </c>
      <c r="N234" s="60" t="inlineStr">
        <is>
          <t>Quality / Verifiability</t>
        </is>
      </c>
      <c r="O234" s="49" t="inlineStr">
        <is>
          <t>The Contractor shall demonstrate the capability of the QPS:CIS to recover from a loss of power and to support black-start procedures.</t>
        </is>
      </c>
      <c r="P234" s="49" t="inlineStr">
        <is>
          <t>None explicitly named in this RTM</t>
        </is>
      </c>
      <c r="Q234" s="49" t="inlineStr">
        <is>
          <t>Procedure / work instruction</t>
        </is>
      </c>
      <c r="R234" s="49" t="inlineStr">
        <is>
          <t>Submit and review the named deliverable with RTM traceability and approval status; Witnessed FAT/SAT/commissioning test against stated acceptance criteria; Functional design/configuration review and sequence/interface demonstration</t>
        </is>
      </c>
      <c r="S234" s="49" t="inlineStr">
        <is>
          <t>L1 Conceptual Design; L2 Detailed Design</t>
        </is>
      </c>
      <c r="T234" s="49" t="inlineStr">
        <is>
          <t>Section/contract-derived reference; explicit deliverable/test wording</t>
        </is>
      </c>
      <c r="U234" s="60" t="inlineStr">
        <is>
          <t>TBD</t>
        </is>
      </c>
      <c r="V234" s="213" t="n"/>
      <c r="W234" s="49" t="n"/>
    </row>
    <row r="235" ht="64" customHeight="1">
      <c r="A235" s="62" t="n">
        <v>343</v>
      </c>
      <c r="B235" s="62" t="inlineStr">
        <is>
          <t>RTM-064</t>
        </is>
      </c>
      <c r="C235" s="86" t="inlineStr">
        <is>
          <t>SYSTEM</t>
        </is>
      </c>
      <c r="D235" s="87" t="inlineStr">
        <is>
          <t>Performance</t>
        </is>
      </c>
      <c r="E235" s="88" t="inlineStr">
        <is>
          <t>—</t>
        </is>
      </c>
      <c r="F235" s="62" t="inlineStr">
        <is>
          <t>Global Design Criteria</t>
        </is>
      </c>
      <c r="G235" s="92" t="inlineStr">
        <is>
          <t>Inferred: C1 — Performance (medium conf.)</t>
        </is>
      </c>
      <c r="H235" s="62" t="inlineStr">
        <is>
          <t>T2 Secondary</t>
        </is>
      </c>
      <c r="I235" s="62" t="n">
        <v>29</v>
      </c>
      <c r="J235" s="62" t="n">
        <v>52.5659</v>
      </c>
      <c r="K235" s="62" t="inlineStr">
        <is>
          <t>4.3.3</t>
        </is>
      </c>
      <c r="L235" s="62" t="inlineStr">
        <is>
          <t>Maintenance strategy</t>
        </is>
      </c>
      <c r="M235" s="62" t="n">
        <v>39</v>
      </c>
      <c r="N235" s="62" t="inlineStr">
        <is>
          <t>Reliability</t>
        </is>
      </c>
      <c r="O235" s="53" t="inlineStr">
        <is>
          <t>The Contractor shall provide a Maintenance Plan for the QPS. The Maintenance Plan shall:</t>
        </is>
      </c>
      <c r="P235" s="53" t="inlineStr">
        <is>
          <t>ISO 55000; ISO 14224</t>
        </is>
      </c>
      <c r="Q235" s="53" t="inlineStr">
        <is>
          <t>Maintenance / RCM Plan</t>
        </is>
      </c>
      <c r="R235" s="53" t="inlineStr">
        <is>
          <t>Submit and review the named deliverable with RTM traceability and approval status; RAM/maintenance substantiation and recovery/failure-response evidence</t>
        </is>
      </c>
      <c r="S235" s="53" t="inlineStr">
        <is>
          <t>L1 Conceptual Design; L2 Detailed Design</t>
        </is>
      </c>
      <c r="T235" s="53" t="inlineStr">
        <is>
          <t>Explicit/table-grounded standard; explicit deliverable/test wording</t>
        </is>
      </c>
      <c r="U235" s="62" t="inlineStr">
        <is>
          <t>TBD</t>
        </is>
      </c>
      <c r="V235" s="213" t="n"/>
      <c r="W235" s="53" t="n"/>
    </row>
    <row r="236" ht="92" customHeight="1">
      <c r="A236" s="60" t="n">
        <v>367</v>
      </c>
      <c r="B236" s="60" t="inlineStr">
        <is>
          <t>RTM-309</t>
        </is>
      </c>
      <c r="C236" s="89" t="inlineStr">
        <is>
          <t>SYSTEM</t>
        </is>
      </c>
      <c r="D236" s="90" t="inlineStr">
        <is>
          <t>Performance</t>
        </is>
      </c>
      <c r="E236" s="91" t="inlineStr">
        <is>
          <t>—</t>
        </is>
      </c>
      <c r="F236" s="60" t="inlineStr">
        <is>
          <t>Control &amp; Interlock</t>
        </is>
      </c>
      <c r="G236" s="85" t="inlineStr">
        <is>
          <t>Inferred: C4 — Software &amp; Control (high conf.)</t>
        </is>
      </c>
      <c r="H236" s="60" t="inlineStr">
        <is>
          <t>T2 Secondary</t>
        </is>
      </c>
      <c r="I236" s="60" t="n">
        <v>28</v>
      </c>
      <c r="J236" s="60" t="n">
        <v>50</v>
      </c>
      <c r="K236" s="60" t="inlineStr">
        <is>
          <t>4.6.3</t>
        </is>
      </c>
      <c r="L236" s="60" t="inlineStr">
        <is>
          <t>General requirements</t>
        </is>
      </c>
      <c r="M236" s="60" t="n">
        <v>72</v>
      </c>
      <c r="N236" s="60" t="inlineStr">
        <is>
          <t>Functional</t>
        </is>
      </c>
      <c r="O236" s="49" t="inlineStr">
        <is>
          <t>The QPS:CIS shall include functionality to perform automated testing procedures to validate the correct functioning of the whole QPS e.g., during SAT.</t>
        </is>
      </c>
      <c r="P236" s="49" t="inlineStr">
        <is>
          <t>None explicitly named in this RTM</t>
        </is>
      </c>
      <c r="Q236" s="49" t="inlineStr">
        <is>
          <t>Procedure / work instruction</t>
        </is>
      </c>
      <c r="R236" s="49" t="inlineStr">
        <is>
          <t>Submit and review the named deliverable with RTM traceability and approval status; Witnessed FAT/SAT/commissioning test against stated acceptance criteria; Functional design/configuration review and sequence/interface demonstration</t>
        </is>
      </c>
      <c r="S236" s="49" t="inlineStr">
        <is>
          <t>L6 Site Acceptance Testing; L1 Conceptual Design; L2 Detailed Design</t>
        </is>
      </c>
      <c r="T236" s="49" t="inlineStr">
        <is>
          <t>Section/contract-derived reference; explicit deliverable/test wording</t>
        </is>
      </c>
      <c r="U236" s="60" t="inlineStr">
        <is>
          <t>TBD</t>
        </is>
      </c>
      <c r="V236" s="213" t="n"/>
      <c r="W236" s="49" t="n"/>
    </row>
    <row r="237" ht="92" customHeight="1">
      <c r="A237" s="62" t="n">
        <v>377</v>
      </c>
      <c r="B237" s="62" t="inlineStr">
        <is>
          <t>RTM-061</t>
        </is>
      </c>
      <c r="C237" s="86" t="inlineStr">
        <is>
          <t>SYSTEM</t>
        </is>
      </c>
      <c r="D237" s="87" t="inlineStr">
        <is>
          <t>Performance</t>
        </is>
      </c>
      <c r="E237" s="88" t="inlineStr">
        <is>
          <t>—</t>
        </is>
      </c>
      <c r="F237" s="62" t="inlineStr">
        <is>
          <t>Global Design Criteria</t>
        </is>
      </c>
      <c r="G237" s="62" t="inlineStr">
        <is>
          <t>C6 — Reliability &amp; Maintenance</t>
        </is>
      </c>
      <c r="H237" s="62" t="inlineStr">
        <is>
          <t>T2 Secondary</t>
        </is>
      </c>
      <c r="I237" s="62" t="n">
        <v>26</v>
      </c>
      <c r="J237" s="62" t="n">
        <v>47.5728</v>
      </c>
      <c r="K237" s="62" t="inlineStr">
        <is>
          <t>4.3.2</t>
        </is>
      </c>
      <c r="L237" s="62" t="inlineStr">
        <is>
          <t>Availability &amp; Reliability</t>
        </is>
      </c>
      <c r="M237" s="62" t="n">
        <v>38</v>
      </c>
      <c r="N237" s="62" t="inlineStr">
        <is>
          <t>Reliability</t>
        </is>
      </c>
      <c r="O237" s="53" t="inlineStr">
        <is>
          <t>The Contractor shall include the following failure classes in its Availability &amp; Reliability Assessment:</t>
        </is>
      </c>
      <c r="P237" s="53" t="inlineStr">
        <is>
          <t>None explicitly named in this RTM</t>
        </is>
      </c>
      <c r="Q237" s="53" t="inlineStr">
        <is>
          <t>Availability &amp; Reliability Assessment</t>
        </is>
      </c>
      <c r="R237" s="53" t="inlineStr">
        <is>
          <t>Submit and review the named deliverable with RTM traceability and approval status; Calculation/model plus calibrated measurement or recorded trend; RAM/maintenance substantiation and recovery/failure-response evidence</t>
        </is>
      </c>
      <c r="S237" s="53" t="inlineStr">
        <is>
          <t>L1 Conceptual Design; L2 Detailed Design</t>
        </is>
      </c>
      <c r="T237" s="53" t="inlineStr">
        <is>
          <t>Section/contract-derived reference; explicit deliverable/test wording</t>
        </is>
      </c>
      <c r="U237" s="62" t="inlineStr">
        <is>
          <t>TBD</t>
        </is>
      </c>
      <c r="V237" s="213" t="n"/>
      <c r="W237" s="53" t="n"/>
    </row>
    <row r="238" ht="92" customHeight="1">
      <c r="A238" s="60" t="n">
        <v>384</v>
      </c>
      <c r="B238" s="60" t="inlineStr">
        <is>
          <t>RTM-385</t>
        </is>
      </c>
      <c r="C238" s="89" t="inlineStr">
        <is>
          <t>PROJECT</t>
        </is>
      </c>
      <c r="D238" s="90" t="inlineStr">
        <is>
          <t>Documentation &amp; Compliance</t>
        </is>
      </c>
      <c r="E238" s="91" t="inlineStr">
        <is>
          <t>—</t>
        </is>
      </c>
      <c r="F238" s="60" t="inlineStr">
        <is>
          <t>Buildings &amp; Utilities</t>
        </is>
      </c>
      <c r="G238" s="85" t="inlineStr">
        <is>
          <t>Inferred: C5 — Infrastructure &amp; Integration (high conf.)</t>
        </is>
      </c>
      <c r="H238" s="60" t="inlineStr">
        <is>
          <t>T2 Secondary</t>
        </is>
      </c>
      <c r="I238" s="60" t="n">
        <v>25.3333</v>
      </c>
      <c r="J238" s="60" t="n">
        <v>43.7587</v>
      </c>
      <c r="K238" s="60" t="inlineStr">
        <is>
          <t>4.7</t>
        </is>
      </c>
      <c r="L238" s="60" t="inlineStr">
        <is>
          <t>Buildings and Utility Interfaces</t>
        </is>
      </c>
      <c r="M238" s="60" t="n">
        <v>80</v>
      </c>
      <c r="N238" s="60" t="inlineStr">
        <is>
          <t>Functional</t>
        </is>
      </c>
      <c r="O238" s="49" t="inlineStr">
        <is>
          <t>The Contractor shall specify the relevant parameters and operating limits for each type of interface with SCK CEN.</t>
        </is>
      </c>
      <c r="P238" s="49" t="inlineStr">
        <is>
          <t>None explicitly named in this RTM</t>
        </is>
      </c>
      <c r="Q238" s="49" t="inlineStr">
        <is>
          <t>Engineering File; Interface Control Document</t>
        </is>
      </c>
      <c r="R238" s="49" t="inlineStr">
        <is>
          <t>Submit and review the named deliverable with RTM traceability and approval status; Functional design/configuration review and sequence/interface demonstration; Document review, inspection, certification, audit or traceable QC record</t>
        </is>
      </c>
      <c r="S238" s="49" t="inlineStr">
        <is>
          <t>L1 Conceptual Design; L2 Detailed Design</t>
        </is>
      </c>
      <c r="T238" s="49" t="inlineStr">
        <is>
          <t>Section/contract-derived reference; explicit deliverable/test wording</t>
        </is>
      </c>
      <c r="U238" s="60" t="inlineStr">
        <is>
          <t>TBD</t>
        </is>
      </c>
      <c r="V238" s="213" t="n"/>
      <c r="W238" s="49" t="n"/>
    </row>
    <row r="239" ht="64" customHeight="1">
      <c r="A239" s="62" t="n">
        <v>385</v>
      </c>
      <c r="B239" s="62" t="inlineStr">
        <is>
          <t>RTM-441</t>
        </is>
      </c>
      <c r="C239" s="86" t="inlineStr">
        <is>
          <t>SYSTEM</t>
        </is>
      </c>
      <c r="D239" s="87" t="inlineStr">
        <is>
          <t>Performance</t>
        </is>
      </c>
      <c r="E239" s="88" t="inlineStr">
        <is>
          <t>—</t>
        </is>
      </c>
      <c r="F239" s="62" t="inlineStr">
        <is>
          <t>Design &amp; Fabrication</t>
        </is>
      </c>
      <c r="G239" s="92" t="inlineStr">
        <is>
          <t>Inferred: C5 — Infrastructure &amp; Integration (medium conf.)</t>
        </is>
      </c>
      <c r="H239" s="62" t="inlineStr">
        <is>
          <t>T2 Secondary</t>
        </is>
      </c>
      <c r="I239" s="62" t="n">
        <v>25.3333</v>
      </c>
      <c r="J239" s="62" t="n">
        <v>43.7587</v>
      </c>
      <c r="K239" s="62" t="inlineStr">
        <is>
          <t>4.8.1</t>
        </is>
      </c>
      <c r="L239" s="62" t="inlineStr">
        <is>
          <t>Drawings and CAD models</t>
        </is>
      </c>
      <c r="M239" s="62" t="n">
        <v>87</v>
      </c>
      <c r="N239" s="62" t="inlineStr">
        <is>
          <t>Functional</t>
        </is>
      </c>
      <c r="O239" s="53" t="inlineStr">
        <is>
          <t>All 3D models and 2D layouts shall use a coherent coordinate system, axis orientation, and global origin.</t>
        </is>
      </c>
      <c r="P239" s="53" t="inlineStr">
        <is>
          <t>None explicitly named in this RTM</t>
        </is>
      </c>
      <c r="Q239" s="53" t="inlineStr">
        <is>
          <t>3D / CAD Model</t>
        </is>
      </c>
      <c r="R239" s="53" t="inlineStr">
        <is>
          <t>Submit and review the named deliverable with RTM traceability and approval status; Document review, inspection, certification, audit or traceable QC record</t>
        </is>
      </c>
      <c r="S239" s="53" t="inlineStr">
        <is>
          <t>L1 Conceptual Design; L2 Detailed Design</t>
        </is>
      </c>
      <c r="T239" s="53" t="inlineStr">
        <is>
          <t>Section/contract-derived reference; explicit deliverable/test wording</t>
        </is>
      </c>
      <c r="U239" s="62" t="inlineStr">
        <is>
          <t>TBD</t>
        </is>
      </c>
      <c r="V239" s="213" t="n"/>
      <c r="W239" s="53" t="n"/>
    </row>
    <row r="240" ht="64" customHeight="1">
      <c r="A240" s="60" t="n">
        <v>386</v>
      </c>
      <c r="B240" s="60" t="inlineStr">
        <is>
          <t>RTM-491</t>
        </is>
      </c>
      <c r="C240" s="89" t="inlineStr">
        <is>
          <t>PROJECT</t>
        </is>
      </c>
      <c r="D240" s="90" t="inlineStr">
        <is>
          <t>Governance &amp; Responsibility</t>
        </is>
      </c>
      <c r="E240" s="91" t="inlineStr">
        <is>
          <t>—</t>
        </is>
      </c>
      <c r="F240" s="60" t="inlineStr">
        <is>
          <t>Acceptance Testing</t>
        </is>
      </c>
      <c r="G240" s="60" t="inlineStr">
        <is>
          <t>C7 — Quality, Testing &amp; Risk</t>
        </is>
      </c>
      <c r="H240" s="60" t="inlineStr">
        <is>
          <t>T2 Secondary</t>
        </is>
      </c>
      <c r="I240" s="60" t="n">
        <v>25.3333</v>
      </c>
      <c r="J240" s="60" t="n">
        <v>43.7587</v>
      </c>
      <c r="K240" s="60" t="inlineStr">
        <is>
          <t>4.13.1</t>
        </is>
      </c>
      <c r="L240" s="60" t="inlineStr">
        <is>
          <t>General Requirements</t>
        </is>
      </c>
      <c r="M240" s="60" t="n">
        <v>95</v>
      </c>
      <c r="N240" s="60" t="inlineStr">
        <is>
          <t>Safety / Legal</t>
        </is>
      </c>
      <c r="O240" s="49" t="inlineStr">
        <is>
          <t>The Contractor shall be responsible for:</t>
        </is>
      </c>
      <c r="P240" s="49" t="inlineStr">
        <is>
          <t>None explicitly named in this RTM</t>
        </is>
      </c>
      <c r="Q240" s="49" t="inlineStr">
        <is>
          <t>Test procedure / report</t>
        </is>
      </c>
      <c r="R240" s="49" t="inlineStr">
        <is>
          <t>Submit and review the named deliverable with RTM traceability and approval status; Witnessed FAT/SAT/commissioning test against stated acceptance criteria</t>
        </is>
      </c>
      <c r="S240" s="49" t="inlineStr">
        <is>
          <t>L1 Conceptual Design; L2 Detailed Design</t>
        </is>
      </c>
      <c r="T240" s="49" t="inlineStr">
        <is>
          <t>Section/contract-derived reference; explicit deliverable/test wording</t>
        </is>
      </c>
      <c r="U240" s="60" t="inlineStr">
        <is>
          <t>TBD</t>
        </is>
      </c>
      <c r="V240" s="213" t="n"/>
      <c r="W240" s="49" t="n"/>
    </row>
    <row r="241" ht="64" customHeight="1">
      <c r="A241" s="62" t="n">
        <v>388</v>
      </c>
      <c r="B241" s="62" t="inlineStr">
        <is>
          <t>RTM-494</t>
        </is>
      </c>
      <c r="C241" s="86" t="inlineStr">
        <is>
          <t>PROJECT</t>
        </is>
      </c>
      <c r="D241" s="87" t="inlineStr">
        <is>
          <t>Documentation &amp; Compliance</t>
        </is>
      </c>
      <c r="E241" s="88" t="inlineStr">
        <is>
          <t>—</t>
        </is>
      </c>
      <c r="F241" s="62" t="inlineStr">
        <is>
          <t>Acceptance Testing</t>
        </is>
      </c>
      <c r="G241" s="62" t="inlineStr">
        <is>
          <t>C7 — Quality, Testing &amp; Risk</t>
        </is>
      </c>
      <c r="H241" s="62" t="inlineStr">
        <is>
          <t>T2 Secondary</t>
        </is>
      </c>
      <c r="I241" s="62" t="n">
        <v>25.3333</v>
      </c>
      <c r="J241" s="62" t="n">
        <v>43.7587</v>
      </c>
      <c r="K241" s="62" t="inlineStr">
        <is>
          <t>4.13.1</t>
        </is>
      </c>
      <c r="L241" s="62" t="inlineStr">
        <is>
          <t>General Requirements</t>
        </is>
      </c>
      <c r="M241" s="62" t="n">
        <v>96</v>
      </c>
      <c r="N241" s="62" t="inlineStr">
        <is>
          <t>Safety / Legal</t>
        </is>
      </c>
      <c r="O241" s="53" t="inlineStr">
        <is>
          <t>The acceptance tests shall be documented in dedicated reports (the FAT Report and the SAT Report, respectively).</t>
        </is>
      </c>
      <c r="P241" s="53" t="inlineStr">
        <is>
          <t>None explicitly named in this RTM</t>
        </is>
      </c>
      <c r="Q241" s="53" t="inlineStr">
        <is>
          <t>FAT Report; SAT Report; Test procedure / report</t>
        </is>
      </c>
      <c r="R241" s="53" t="inlineStr">
        <is>
          <t>Submit and review the named deliverable with RTM traceability and approval status; Witnessed FAT/SAT/commissioning test against stated acceptance criteria</t>
        </is>
      </c>
      <c r="S241" s="53" t="inlineStr">
        <is>
          <t>L6 Site Acceptance Testing; L1 Conceptual Design; L2 Detailed Design</t>
        </is>
      </c>
      <c r="T241" s="53" t="inlineStr">
        <is>
          <t>Section/contract-derived reference; explicit deliverable/test wording</t>
        </is>
      </c>
      <c r="U241" s="62" t="inlineStr">
        <is>
          <t>TBD</t>
        </is>
      </c>
      <c r="V241" s="213" t="n"/>
      <c r="W241" s="53" t="n"/>
    </row>
    <row r="242" ht="64" customHeight="1">
      <c r="A242" s="60" t="n">
        <v>395</v>
      </c>
      <c r="B242" s="60" t="inlineStr">
        <is>
          <t>RTM-503</t>
        </is>
      </c>
      <c r="C242" s="89" t="inlineStr">
        <is>
          <t>PROJECT</t>
        </is>
      </c>
      <c r="D242" s="90" t="inlineStr">
        <is>
          <t>Documentation &amp; Compliance</t>
        </is>
      </c>
      <c r="E242" s="91" t="inlineStr">
        <is>
          <t>—</t>
        </is>
      </c>
      <c r="F242" s="60" t="inlineStr">
        <is>
          <t>Acceptance Testing</t>
        </is>
      </c>
      <c r="G242" s="60" t="inlineStr">
        <is>
          <t>C7 — Quality, Testing &amp; Risk</t>
        </is>
      </c>
      <c r="H242" s="60" t="inlineStr">
        <is>
          <t>T2 Secondary</t>
        </is>
      </c>
      <c r="I242" s="60" t="n">
        <v>25.3333</v>
      </c>
      <c r="J242" s="60" t="n">
        <v>43.7587</v>
      </c>
      <c r="K242" s="60" t="inlineStr">
        <is>
          <t>4.13.3</t>
        </is>
      </c>
      <c r="L242" s="60" t="inlineStr">
        <is>
          <t>Site Acceptance Tests (SAT)</t>
        </is>
      </c>
      <c r="M242" s="60" t="n">
        <v>98</v>
      </c>
      <c r="N242" s="60" t="inlineStr">
        <is>
          <t>Safety / Legal</t>
        </is>
      </c>
      <c r="O242" s="49" t="inlineStr">
        <is>
          <t>Where specified, the SAT demonstration shall be performed with the QPS operating at QPLANT Predefined Test Points, which are defined as follows:</t>
        </is>
      </c>
      <c r="P242" s="49" t="inlineStr">
        <is>
          <t>None explicitly named in this RTM</t>
        </is>
      </c>
      <c r="Q242" s="49" t="inlineStr">
        <is>
          <t>SAT Report</t>
        </is>
      </c>
      <c r="R242" s="49" t="inlineStr">
        <is>
          <t>Submit and review the named deliverable with RTM traceability and approval status; Witnessed FAT/SAT/commissioning test against stated acceptance criteria</t>
        </is>
      </c>
      <c r="S242" s="49" t="inlineStr">
        <is>
          <t>L6 Site Acceptance Testing; L1 Conceptual Design; L2 Detailed Design</t>
        </is>
      </c>
      <c r="T242" s="49" t="inlineStr">
        <is>
          <t>Section/contract-derived reference; explicit deliverable/test wording</t>
        </is>
      </c>
      <c r="U242" s="60" t="inlineStr">
        <is>
          <t>TBD</t>
        </is>
      </c>
      <c r="V242" s="213" t="n"/>
      <c r="W242" s="49" t="n"/>
    </row>
    <row r="243" ht="78" customHeight="1">
      <c r="A243" s="62" t="n">
        <v>399</v>
      </c>
      <c r="B243" s="62" t="inlineStr">
        <is>
          <t>RTM-508</t>
        </is>
      </c>
      <c r="C243" s="86" t="inlineStr">
        <is>
          <t>PROJECT</t>
        </is>
      </c>
      <c r="D243" s="87" t="inlineStr">
        <is>
          <t>Governance &amp; Responsibility</t>
        </is>
      </c>
      <c r="E243" s="88" t="inlineStr">
        <is>
          <t>—</t>
        </is>
      </c>
      <c r="F243" s="62" t="inlineStr">
        <is>
          <t>Acceptance Testing</t>
        </is>
      </c>
      <c r="G243" s="62" t="inlineStr">
        <is>
          <t>C7 — Quality, Testing &amp; Risk</t>
        </is>
      </c>
      <c r="H243" s="62" t="inlineStr">
        <is>
          <t>T2 Secondary</t>
        </is>
      </c>
      <c r="I243" s="62" t="n">
        <v>25.3333</v>
      </c>
      <c r="J243" s="62" t="n">
        <v>43.7587</v>
      </c>
      <c r="K243" s="62" t="inlineStr">
        <is>
          <t>4.13.3</t>
        </is>
      </c>
      <c r="L243" s="62" t="inlineStr">
        <is>
          <t>Site Acceptance Tests (SAT)</t>
        </is>
      </c>
      <c r="M243" s="62" t="n">
        <v>98</v>
      </c>
      <c r="N243" s="62" t="inlineStr">
        <is>
          <t>Safety / Legal</t>
        </is>
      </c>
      <c r="O243" s="53" t="inlineStr">
        <is>
          <t>The Contractor shall provide and use the test equipment and arrangements necessary to emulate the representative user-side operating conditions required for the SAT demonstrations.</t>
        </is>
      </c>
      <c r="P243" s="53" t="inlineStr">
        <is>
          <t>None explicitly named in this RTM</t>
        </is>
      </c>
      <c r="Q243" s="53" t="inlineStr">
        <is>
          <t>Engineering File</t>
        </is>
      </c>
      <c r="R243" s="53" t="inlineStr">
        <is>
          <t>Submit and review the named deliverable with RTM traceability and approval status; Witnessed FAT/SAT/commissioning test against stated acceptance criteria</t>
        </is>
      </c>
      <c r="S243" s="53" t="inlineStr">
        <is>
          <t>L6 Site Acceptance Testing; L1 Conceptual Design; L2 Detailed Design</t>
        </is>
      </c>
      <c r="T243" s="53" t="inlineStr">
        <is>
          <t>Section/contract-derived reference; explicit deliverable/test wording</t>
        </is>
      </c>
      <c r="U243" s="62" t="inlineStr">
        <is>
          <t>TBD</t>
        </is>
      </c>
      <c r="V243" s="213" t="n"/>
      <c r="W243" s="53" t="n"/>
    </row>
    <row r="244" ht="92" customHeight="1">
      <c r="A244" s="60" t="n">
        <v>406</v>
      </c>
      <c r="B244" s="60" t="inlineStr">
        <is>
          <t>RTM-648</t>
        </is>
      </c>
      <c r="C244" s="89" t="inlineStr">
        <is>
          <t>PROJECT</t>
        </is>
      </c>
      <c r="D244" s="90" t="inlineStr">
        <is>
          <t>Quality Assurance</t>
        </is>
      </c>
      <c r="E244" s="91" t="inlineStr">
        <is>
          <t>—</t>
        </is>
      </c>
      <c r="F244" s="60" t="inlineStr">
        <is>
          <t>Quality Assurance &amp; Control</t>
        </is>
      </c>
      <c r="G244" s="60" t="inlineStr">
        <is>
          <t>C7 — Quality, Testing &amp; Risk</t>
        </is>
      </c>
      <c r="H244" s="60" t="inlineStr">
        <is>
          <t>T2 Secondary</t>
        </is>
      </c>
      <c r="I244" s="60" t="n">
        <v>25.3333</v>
      </c>
      <c r="J244" s="60" t="n">
        <v>43.7587</v>
      </c>
      <c r="K244" s="60" t="inlineStr">
        <is>
          <t>8.1.3</t>
        </is>
      </c>
      <c r="L244" s="60" t="inlineStr">
        <is>
          <t>Quality Assurance Program</t>
        </is>
      </c>
      <c r="M244" s="60" t="n">
        <v>124</v>
      </c>
      <c r="N244" s="60" t="inlineStr">
        <is>
          <t>Safety / Legal</t>
        </is>
      </c>
      <c r="O244" s="49" t="inlineStr">
        <is>
          <t>Quality assurance and control activities, including QAP, MIP, inspections, and requirements fulfilment and conformity assessment, shall be implemented.</t>
        </is>
      </c>
      <c r="P244" s="49" t="inlineStr">
        <is>
          <t>None explicitly named in this RTM</t>
        </is>
      </c>
      <c r="Q244" s="49" t="inlineStr">
        <is>
          <t>Quality Assurance Plan (QAP); Manufacturing and Inspection Plan (MIP)</t>
        </is>
      </c>
      <c r="R244" s="49" t="inlineStr">
        <is>
          <t>Submit and review the named deliverable with RTM traceability and approval status; Witnessed FAT/SAT/commissioning test against stated acceptance criteria</t>
        </is>
      </c>
      <c r="S244" s="49" t="inlineStr">
        <is>
          <t>L0 Tender / Offer; L1 Conceptual Design; L2 Detailed Design; L3 Procurement &amp; Manufacturing / FAT; L4 Installation; L5 Standalone Commissioning; L6 Site Acceptance Testing</t>
        </is>
      </c>
      <c r="T244" s="49" t="inlineStr">
        <is>
          <t>Section/contract-derived reference; explicit deliverable/test wording</t>
        </is>
      </c>
      <c r="U244" s="60" t="inlineStr">
        <is>
          <t>TBD</t>
        </is>
      </c>
      <c r="V244" s="213" t="n"/>
      <c r="W244" s="49" t="n"/>
    </row>
    <row r="245" ht="92" customHeight="1">
      <c r="A245" s="62" t="n">
        <v>407</v>
      </c>
      <c r="B245" s="62" t="inlineStr">
        <is>
          <t>RTM-651</t>
        </is>
      </c>
      <c r="C245" s="86" t="inlineStr">
        <is>
          <t>PROJECT</t>
        </is>
      </c>
      <c r="D245" s="87" t="inlineStr">
        <is>
          <t>Quality Assurance</t>
        </is>
      </c>
      <c r="E245" s="88" t="inlineStr">
        <is>
          <t>—</t>
        </is>
      </c>
      <c r="F245" s="62" t="inlineStr">
        <is>
          <t>Quality Assurance &amp; Control</t>
        </is>
      </c>
      <c r="G245" s="62" t="inlineStr">
        <is>
          <t>C7 — Quality, Testing &amp; Risk</t>
        </is>
      </c>
      <c r="H245" s="62" t="inlineStr">
        <is>
          <t>T2 Secondary</t>
        </is>
      </c>
      <c r="I245" s="62" t="n">
        <v>25.3333</v>
      </c>
      <c r="J245" s="62" t="n">
        <v>43.7587</v>
      </c>
      <c r="K245" s="62" t="inlineStr">
        <is>
          <t>8.1.3.1</t>
        </is>
      </c>
      <c r="L245" s="62" t="inlineStr">
        <is>
          <t>Quality Assurance Plan (QAP)</t>
        </is>
      </c>
      <c r="M245" s="62" t="n">
        <v>125</v>
      </c>
      <c r="N245" s="62" t="inlineStr">
        <is>
          <t>Safety / Legal</t>
        </is>
      </c>
      <c r="O245" s="53" t="inlineStr">
        <is>
          <t>The Contractor must adhere to the QAP and shall apply the mandatory QA/QC measures throughout the performance of the Contract. In case a deviation is required from one or another condition set out in the Contract, such request shall be clearly stated in the QAP.</t>
        </is>
      </c>
      <c r="P245" s="53" t="inlineStr">
        <is>
          <t>None explicitly named in this RTM</t>
        </is>
      </c>
      <c r="Q245" s="53" t="inlineStr">
        <is>
          <t>Quality Assurance Plan (QAP)</t>
        </is>
      </c>
      <c r="R245" s="53" t="inlineStr">
        <is>
          <t>Submit and review the named deliverable with RTM traceability and approval status; Document review, inspection, certification, audit or traceable QC record</t>
        </is>
      </c>
      <c r="S245" s="53" t="inlineStr">
        <is>
          <t>L0 Tender / Offer; L1 Conceptual Design; L2 Detailed Design; L3 Procurement &amp; Manufacturing / FAT; L4 Installation; L5 Standalone Commissioning; L6 Site Acceptance Testing</t>
        </is>
      </c>
      <c r="T245" s="53" t="inlineStr">
        <is>
          <t>Section/contract-derived reference; explicit deliverable/test wording</t>
        </is>
      </c>
      <c r="U245" s="62" t="inlineStr">
        <is>
          <t>TBD</t>
        </is>
      </c>
      <c r="V245" s="213" t="n"/>
      <c r="W245" s="53" t="n"/>
    </row>
    <row r="246" ht="92" customHeight="1">
      <c r="A246" s="60" t="n">
        <v>408</v>
      </c>
      <c r="B246" s="60" t="inlineStr">
        <is>
          <t>RTM-652</t>
        </is>
      </c>
      <c r="C246" s="89" t="inlineStr">
        <is>
          <t>PROJECT</t>
        </is>
      </c>
      <c r="D246" s="90" t="inlineStr">
        <is>
          <t>Quality Assurance</t>
        </is>
      </c>
      <c r="E246" s="91" t="inlineStr">
        <is>
          <t>—</t>
        </is>
      </c>
      <c r="F246" s="60" t="inlineStr">
        <is>
          <t>Quality Assurance &amp; Control</t>
        </is>
      </c>
      <c r="G246" s="60" t="inlineStr">
        <is>
          <t>C7 — Quality, Testing &amp; Risk</t>
        </is>
      </c>
      <c r="H246" s="60" t="inlineStr">
        <is>
          <t>T2 Secondary</t>
        </is>
      </c>
      <c r="I246" s="60" t="n">
        <v>25.3333</v>
      </c>
      <c r="J246" s="60" t="n">
        <v>43.7587</v>
      </c>
      <c r="K246" s="60" t="inlineStr">
        <is>
          <t>8.1.3.1</t>
        </is>
      </c>
      <c r="L246" s="60" t="inlineStr">
        <is>
          <t>Quality Assurance Plan (QAP)</t>
        </is>
      </c>
      <c r="M246" s="60" t="n">
        <v>125</v>
      </c>
      <c r="N246" s="60" t="inlineStr">
        <is>
          <t>Safety / Legal</t>
        </is>
      </c>
      <c r="O246" s="49" t="inlineStr">
        <is>
          <t>Contractors who subcontract work to a subcontractor must take appropriate measures to ensure that the subcontractor complies with the QAP.</t>
        </is>
      </c>
      <c r="P246" s="49" t="inlineStr">
        <is>
          <t>None explicitly named in this RTM</t>
        </is>
      </c>
      <c r="Q246" s="49" t="inlineStr">
        <is>
          <t>Quality Assurance Plan (QAP)</t>
        </is>
      </c>
      <c r="R246" s="49" t="inlineStr">
        <is>
          <t>Submit and review the named deliverable with RTM traceability and approval status; Document review, inspection, certification, audit or traceable QC record</t>
        </is>
      </c>
      <c r="S246" s="49" t="inlineStr">
        <is>
          <t>L0 Tender / Offer; L1 Conceptual Design; L2 Detailed Design; L3 Procurement &amp; Manufacturing / FAT; L4 Installation; L5 Standalone Commissioning; L6 Site Acceptance Testing</t>
        </is>
      </c>
      <c r="T246" s="49" t="inlineStr">
        <is>
          <t>Section/contract-derived reference; explicit deliverable/test wording</t>
        </is>
      </c>
      <c r="U246" s="60" t="inlineStr">
        <is>
          <t>TBD</t>
        </is>
      </c>
      <c r="V246" s="213" t="n"/>
      <c r="W246" s="49" t="n"/>
    </row>
    <row r="247" ht="92" customHeight="1">
      <c r="A247" s="62" t="n">
        <v>413</v>
      </c>
      <c r="B247" s="62" t="inlineStr">
        <is>
          <t>RTM-663</t>
        </is>
      </c>
      <c r="C247" s="86" t="inlineStr">
        <is>
          <t>PROJECT</t>
        </is>
      </c>
      <c r="D247" s="87" t="inlineStr">
        <is>
          <t>Quality Assurance</t>
        </is>
      </c>
      <c r="E247" s="88" t="inlineStr">
        <is>
          <t>—</t>
        </is>
      </c>
      <c r="F247" s="62" t="inlineStr">
        <is>
          <t>Quality Assurance &amp; Control</t>
        </is>
      </c>
      <c r="G247" s="92" t="inlineStr">
        <is>
          <t>Inferred: C7 — Quality, Testing &amp; Risk (high conf.)</t>
        </is>
      </c>
      <c r="H247" s="62" t="inlineStr">
        <is>
          <t>T2 Secondary</t>
        </is>
      </c>
      <c r="I247" s="62" t="n">
        <v>25.3333</v>
      </c>
      <c r="J247" s="62" t="n">
        <v>43.7587</v>
      </c>
      <c r="K247" s="62" t="inlineStr">
        <is>
          <t>8.1.6</t>
        </is>
      </c>
      <c r="L247" s="62" t="inlineStr">
        <is>
          <t>Change Management</t>
        </is>
      </c>
      <c r="M247" s="62" t="n">
        <v>126</v>
      </c>
      <c r="N247" s="62" t="inlineStr">
        <is>
          <t>Safety / Legal</t>
        </is>
      </c>
      <c r="O247" s="53" t="inlineStr">
        <is>
          <t>The Contractor shall include the Change Request template in annex to the QAP.</t>
        </is>
      </c>
      <c r="P247" s="53" t="inlineStr">
        <is>
          <t>None explicitly named in this RTM</t>
        </is>
      </c>
      <c r="Q247" s="53" t="inlineStr">
        <is>
          <t>Quality Assurance Plan (QAP)</t>
        </is>
      </c>
      <c r="R247" s="53" t="inlineStr">
        <is>
          <t>Submit and review the named deliverable with RTM traceability and approval status; Document review, inspection, certification, audit or traceable QC record</t>
        </is>
      </c>
      <c r="S247" s="53" t="inlineStr">
        <is>
          <t>L0 Tender / Offer; L1 Conceptual Design; L2 Detailed Design; L3 Procurement &amp; Manufacturing / FAT; L4 Installation; L5 Standalone Commissioning; L6 Site Acceptance Testing</t>
        </is>
      </c>
      <c r="T247" s="53" t="inlineStr">
        <is>
          <t>Section/contract-derived reference; explicit deliverable/test wording</t>
        </is>
      </c>
      <c r="U247" s="62" t="inlineStr">
        <is>
          <t>TBD</t>
        </is>
      </c>
      <c r="V247" s="213" t="n"/>
      <c r="W247" s="53" t="n"/>
    </row>
    <row r="248" ht="92" customHeight="1">
      <c r="A248" s="60" t="n">
        <v>415</v>
      </c>
      <c r="B248" s="60" t="inlineStr">
        <is>
          <t>RTM-665</t>
        </is>
      </c>
      <c r="C248" s="89" t="inlineStr">
        <is>
          <t>PROJECT</t>
        </is>
      </c>
      <c r="D248" s="90" t="inlineStr">
        <is>
          <t>Quality Assurance</t>
        </is>
      </c>
      <c r="E248" s="91" t="inlineStr">
        <is>
          <t>—</t>
        </is>
      </c>
      <c r="F248" s="60" t="inlineStr">
        <is>
          <t>Quality Assurance &amp; Control</t>
        </is>
      </c>
      <c r="G248" s="85" t="inlineStr">
        <is>
          <t>Inferred: C7 — Quality, Testing &amp; Risk (high conf.)</t>
        </is>
      </c>
      <c r="H248" s="60" t="inlineStr">
        <is>
          <t>T2 Secondary</t>
        </is>
      </c>
      <c r="I248" s="60" t="n">
        <v>25.3333</v>
      </c>
      <c r="J248" s="60" t="n">
        <v>43.7587</v>
      </c>
      <c r="K248" s="60" t="inlineStr">
        <is>
          <t>8.1.6</t>
        </is>
      </c>
      <c r="L248" s="60" t="inlineStr">
        <is>
          <t>Change Management</t>
        </is>
      </c>
      <c r="M248" s="60" t="n">
        <v>126</v>
      </c>
      <c r="N248" s="60" t="inlineStr">
        <is>
          <t>Safety / Legal</t>
        </is>
      </c>
      <c r="O248" s="49" t="inlineStr">
        <is>
          <t>The Contractor shall create and maintain a Change Register, accessible to SCK CEN, in which all Change Requests shall be logged, including at least:</t>
        </is>
      </c>
      <c r="P248" s="49" t="inlineStr">
        <is>
          <t>None explicitly named in this RTM</t>
        </is>
      </c>
      <c r="Q248" s="49" t="inlineStr">
        <is>
          <t>List / register / matrix</t>
        </is>
      </c>
      <c r="R248" s="49" t="inlineStr">
        <is>
          <t>Submit and review the named deliverable with RTM traceability and approval status; Document review, inspection, certification, audit or traceable QC record</t>
        </is>
      </c>
      <c r="S248" s="49" t="inlineStr">
        <is>
          <t>L0 Tender / Offer; L1 Conceptual Design; L2 Detailed Design; L3 Procurement &amp; Manufacturing / FAT; L4 Installation; L5 Standalone Commissioning; L6 Site Acceptance Testing</t>
        </is>
      </c>
      <c r="T248" s="49" t="inlineStr">
        <is>
          <t>Section/contract-derived reference; explicit deliverable/test wording</t>
        </is>
      </c>
      <c r="U248" s="60" t="inlineStr">
        <is>
          <t>TBD</t>
        </is>
      </c>
      <c r="V248" s="213" t="n"/>
      <c r="W248" s="49" t="n"/>
    </row>
    <row r="249" ht="92" customHeight="1">
      <c r="A249" s="62" t="n">
        <v>421</v>
      </c>
      <c r="B249" s="62" t="inlineStr">
        <is>
          <t>RTM-671</t>
        </is>
      </c>
      <c r="C249" s="86" t="inlineStr">
        <is>
          <t>PROJECT</t>
        </is>
      </c>
      <c r="D249" s="87" t="inlineStr">
        <is>
          <t>Quality Assurance</t>
        </is>
      </c>
      <c r="E249" s="88" t="inlineStr">
        <is>
          <t>—</t>
        </is>
      </c>
      <c r="F249" s="62" t="inlineStr">
        <is>
          <t>Quality Assurance &amp; Control</t>
        </is>
      </c>
      <c r="G249" s="92" t="inlineStr">
        <is>
          <t>Inferred: C7 — Quality, Testing &amp; Risk (high conf.)</t>
        </is>
      </c>
      <c r="H249" s="62" t="inlineStr">
        <is>
          <t>T2 Secondary</t>
        </is>
      </c>
      <c r="I249" s="62" t="n">
        <v>25.3333</v>
      </c>
      <c r="J249" s="62" t="n">
        <v>43.7587</v>
      </c>
      <c r="K249" s="62" t="inlineStr">
        <is>
          <t>8.1.7</t>
        </is>
      </c>
      <c r="L249" s="62" t="inlineStr">
        <is>
          <t>Non-Conformity Management</t>
        </is>
      </c>
      <c r="M249" s="62" t="n">
        <v>126</v>
      </c>
      <c r="N249" s="62" t="inlineStr">
        <is>
          <t>Safety / Legal</t>
        </is>
      </c>
      <c r="O249" s="53" t="inlineStr">
        <is>
          <t>The Contractor shall include the NCR template in annex to the QAP.</t>
        </is>
      </c>
      <c r="P249" s="53" t="inlineStr">
        <is>
          <t>None explicitly named in this RTM</t>
        </is>
      </c>
      <c r="Q249" s="53" t="inlineStr">
        <is>
          <t>Quality Assurance Plan (QAP)</t>
        </is>
      </c>
      <c r="R249" s="53" t="inlineStr">
        <is>
          <t>Submit and review the named deliverable with RTM traceability and approval status; Document review, inspection, certification, audit or traceable QC record</t>
        </is>
      </c>
      <c r="S249" s="53" t="inlineStr">
        <is>
          <t>L0 Tender / Offer; L1 Conceptual Design; L2 Detailed Design; L3 Procurement &amp; Manufacturing / FAT; L4 Installation; L5 Standalone Commissioning; L6 Site Acceptance Testing</t>
        </is>
      </c>
      <c r="T249" s="53" t="inlineStr">
        <is>
          <t>Section/contract-derived reference; explicit deliverable/test wording</t>
        </is>
      </c>
      <c r="U249" s="62" t="inlineStr">
        <is>
          <t>TBD</t>
        </is>
      </c>
      <c r="V249" s="213" t="n"/>
      <c r="W249" s="53" t="n"/>
    </row>
    <row r="250" ht="106" customHeight="1">
      <c r="A250" s="60" t="n">
        <v>425</v>
      </c>
      <c r="B250" s="60" t="inlineStr">
        <is>
          <t>RTM-675</t>
        </is>
      </c>
      <c r="C250" s="89" t="inlineStr">
        <is>
          <t>PROJECT</t>
        </is>
      </c>
      <c r="D250" s="90" t="inlineStr">
        <is>
          <t>Quality Assurance</t>
        </is>
      </c>
      <c r="E250" s="91" t="inlineStr">
        <is>
          <t>—</t>
        </is>
      </c>
      <c r="F250" s="60" t="inlineStr">
        <is>
          <t>Quality Assurance &amp; Control</t>
        </is>
      </c>
      <c r="G250" s="85" t="inlineStr">
        <is>
          <t>Inferred: C7 — Quality, Testing &amp; Risk (high conf.)</t>
        </is>
      </c>
      <c r="H250" s="60" t="inlineStr">
        <is>
          <t>T2 Secondary</t>
        </is>
      </c>
      <c r="I250" s="60" t="n">
        <v>25.3333</v>
      </c>
      <c r="J250" s="60" t="n">
        <v>43.7587</v>
      </c>
      <c r="K250" s="60" t="inlineStr">
        <is>
          <t>8.1.7</t>
        </is>
      </c>
      <c r="L250" s="60" t="inlineStr">
        <is>
          <t>Non-Conformity Management</t>
        </is>
      </c>
      <c r="M250" s="60" t="n">
        <v>127</v>
      </c>
      <c r="N250" s="60" t="inlineStr">
        <is>
          <t>Safety / Legal</t>
        </is>
      </c>
      <c r="O250" s="49" t="inlineStr">
        <is>
          <t>At the specific request of SCK CEN, to avoid repetition of possible recurring Non-Conformities during the execution of the Contract, or when imposed by the Contractor's quality management system or the QAP, the Contractor shall conduct a root cause analysis of the Non-Conformity. Such an analysis shall:</t>
        </is>
      </c>
      <c r="P250" s="49" t="inlineStr">
        <is>
          <t>None explicitly named in this RTM</t>
        </is>
      </c>
      <c r="Q250" s="49" t="inlineStr">
        <is>
          <t>Quality Assurance Plan (QAP)</t>
        </is>
      </c>
      <c r="R250" s="49" t="inlineStr">
        <is>
          <t>Submit and review the named deliverable with RTM traceability and approval status; Document review, inspection, certification, audit or traceable QC record</t>
        </is>
      </c>
      <c r="S250" s="49" t="inlineStr">
        <is>
          <t>L0 Tender / Offer; L1 Conceptual Design; L2 Detailed Design; L3 Procurement &amp; Manufacturing / FAT; L4 Installation; L5 Standalone Commissioning; L6 Site Acceptance Testing</t>
        </is>
      </c>
      <c r="T250" s="49" t="inlineStr">
        <is>
          <t>Section/contract-derived reference; explicit deliverable/test wording</t>
        </is>
      </c>
      <c r="U250" s="60" t="inlineStr">
        <is>
          <t>TBD</t>
        </is>
      </c>
      <c r="V250" s="213" t="n"/>
      <c r="W250" s="49" t="n"/>
    </row>
    <row r="251" ht="92" customHeight="1">
      <c r="A251" s="62" t="n">
        <v>431</v>
      </c>
      <c r="B251" s="62" t="inlineStr">
        <is>
          <t>RTM-684</t>
        </is>
      </c>
      <c r="C251" s="86" t="inlineStr">
        <is>
          <t>PROJECT</t>
        </is>
      </c>
      <c r="D251" s="87" t="inlineStr">
        <is>
          <t>Quality Assurance</t>
        </is>
      </c>
      <c r="E251" s="88" t="inlineStr">
        <is>
          <t>—</t>
        </is>
      </c>
      <c r="F251" s="62" t="inlineStr">
        <is>
          <t>Quality Assurance &amp; Control</t>
        </is>
      </c>
      <c r="G251" s="92" t="inlineStr">
        <is>
          <t>Inferred: C7 — Quality, Testing &amp; Risk (high conf.)</t>
        </is>
      </c>
      <c r="H251" s="62" t="inlineStr">
        <is>
          <t>T2 Secondary</t>
        </is>
      </c>
      <c r="I251" s="62" t="n">
        <v>25.3333</v>
      </c>
      <c r="J251" s="62" t="n">
        <v>43.7587</v>
      </c>
      <c r="K251" s="62" t="inlineStr">
        <is>
          <t>8.2.1</t>
        </is>
      </c>
      <c r="L251" s="62" t="inlineStr">
        <is>
          <t>General requirements</t>
        </is>
      </c>
      <c r="M251" s="62" t="n">
        <v>128</v>
      </c>
      <c r="N251" s="62" t="inlineStr">
        <is>
          <t>Safety / Legal</t>
        </is>
      </c>
      <c r="O251" s="53" t="inlineStr">
        <is>
          <t>Additionally, to ensure compliance with the requirements outlined in this document, the Quality Assurance Program (QAP) shall, at a minimum, include the qualification and validation requirements specified herein.</t>
        </is>
      </c>
      <c r="P251" s="53" t="inlineStr">
        <is>
          <t>None explicitly named in this RTM</t>
        </is>
      </c>
      <c r="Q251" s="53" t="inlineStr">
        <is>
          <t>Quality Assurance Plan (QAP)</t>
        </is>
      </c>
      <c r="R251" s="53" t="inlineStr">
        <is>
          <t>Submit and review the named deliverable with RTM traceability and approval status; Document review, inspection, certification, audit or traceable QC record</t>
        </is>
      </c>
      <c r="S251" s="53" t="inlineStr">
        <is>
          <t>L0 Tender / Offer; L1 Conceptual Design; L2 Detailed Design; L3 Procurement &amp; Manufacturing / FAT; L4 Installation; L5 Standalone Commissioning; L6 Site Acceptance Testing</t>
        </is>
      </c>
      <c r="T251" s="53" t="inlineStr">
        <is>
          <t>Section/contract-derived reference; explicit deliverable/test wording</t>
        </is>
      </c>
      <c r="U251" s="62" t="inlineStr">
        <is>
          <t>TBD</t>
        </is>
      </c>
      <c r="V251" s="213" t="n"/>
      <c r="W251" s="53" t="n"/>
    </row>
    <row r="252" ht="92" customHeight="1">
      <c r="A252" s="60" t="n">
        <v>432</v>
      </c>
      <c r="B252" s="60" t="inlineStr">
        <is>
          <t>RTM-442</t>
        </is>
      </c>
      <c r="C252" s="89" t="inlineStr">
        <is>
          <t>PROJECT</t>
        </is>
      </c>
      <c r="D252" s="90" t="inlineStr">
        <is>
          <t>Documentation &amp; Compliance</t>
        </is>
      </c>
      <c r="E252" s="91" t="inlineStr">
        <is>
          <t>—</t>
        </is>
      </c>
      <c r="F252" s="60" t="inlineStr">
        <is>
          <t>Design &amp; Fabrication</t>
        </is>
      </c>
      <c r="G252" s="85" t="inlineStr">
        <is>
          <t>Inferred: C5 — Infrastructure &amp; Integration (medium conf.)</t>
        </is>
      </c>
      <c r="H252" s="60" t="inlineStr">
        <is>
          <t>T2 Secondary</t>
        </is>
      </c>
      <c r="I252" s="60" t="n">
        <v>25</v>
      </c>
      <c r="J252" s="60" t="n">
        <v>40.1526</v>
      </c>
      <c r="K252" s="60" t="inlineStr">
        <is>
          <t>4.8.1</t>
        </is>
      </c>
      <c r="L252" s="60" t="inlineStr">
        <is>
          <t>Drawings and CAD models</t>
        </is>
      </c>
      <c r="M252" s="60" t="n">
        <v>88</v>
      </c>
      <c r="N252" s="60" t="inlineStr">
        <is>
          <t>Quality / Verifiability</t>
        </is>
      </c>
      <c r="O252" s="49" t="inlineStr">
        <is>
          <t>The Contractor shall submit updated 3D CAD models at the following Contract stages:</t>
        </is>
      </c>
      <c r="P252" s="49" t="inlineStr">
        <is>
          <t>None explicitly named in this RTM</t>
        </is>
      </c>
      <c r="Q252" s="49" t="inlineStr">
        <is>
          <t>3D / CAD Model</t>
        </is>
      </c>
      <c r="R252" s="49" t="inlineStr">
        <is>
          <t>Submit and review the named deliverable with RTM traceability and approval status; Witnessed FAT/SAT/commissioning test against stated acceptance criteria; Functional design/configuration review and sequence/interface demonstration</t>
        </is>
      </c>
      <c r="S252" s="49" t="inlineStr">
        <is>
          <t>L1 Conceptual Design; L2 Detailed Design; L6 Site Acceptance Testing</t>
        </is>
      </c>
      <c r="T252" s="49" t="inlineStr">
        <is>
          <t>Section/contract-derived reference; explicit deliverable/test wording</t>
        </is>
      </c>
      <c r="U252" s="60" t="inlineStr">
        <is>
          <t>TBD</t>
        </is>
      </c>
      <c r="V252" s="213" t="n"/>
      <c r="W252" s="49" t="n"/>
    </row>
    <row r="253" ht="92" customHeight="1">
      <c r="A253" s="62" t="n">
        <v>433</v>
      </c>
      <c r="B253" s="62" t="inlineStr">
        <is>
          <t>RTM-638</t>
        </is>
      </c>
      <c r="C253" s="86" t="inlineStr">
        <is>
          <t>PROJECT</t>
        </is>
      </c>
      <c r="D253" s="87" t="inlineStr">
        <is>
          <t>Documentation &amp; Compliance</t>
        </is>
      </c>
      <c r="E253" s="88" t="inlineStr">
        <is>
          <t>—</t>
        </is>
      </c>
      <c r="F253" s="62" t="inlineStr">
        <is>
          <t>Contract Performance</t>
        </is>
      </c>
      <c r="G253" s="92" t="inlineStr">
        <is>
          <t>Inferred: C8 — Commercial &amp; Execution (medium conf.)</t>
        </is>
      </c>
      <c r="H253" s="62" t="inlineStr">
        <is>
          <t>T2 Secondary</t>
        </is>
      </c>
      <c r="I253" s="62" t="n">
        <v>25</v>
      </c>
      <c r="J253" s="62" t="n">
        <v>40.1526</v>
      </c>
      <c r="K253" s="62" t="inlineStr">
        <is>
          <t>7.4.2.2</t>
        </is>
      </c>
      <c r="L253" s="62" t="inlineStr">
        <is>
          <t>Milestone Meetings</t>
        </is>
      </c>
      <c r="M253" s="62" t="n">
        <v>122</v>
      </c>
      <c r="N253" s="62" t="inlineStr">
        <is>
          <t>Quality / Verifiability</t>
        </is>
      </c>
      <c r="O253" s="53" t="inlineStr">
        <is>
          <t>The Contractor shall organize at least the following Milestone Meetings:</t>
        </is>
      </c>
      <c r="P253" s="53" t="inlineStr">
        <is>
          <t>None explicitly named in this RTM</t>
        </is>
      </c>
      <c r="Q253" s="53" t="inlineStr">
        <is>
          <t>Schedule / milestone plan</t>
        </is>
      </c>
      <c r="R253" s="53" t="inlineStr">
        <is>
          <t>Submit and review the named deliverable with RTM traceability and approval status; Witnessed FAT/SAT/commissioning test against stated acceptance criteria</t>
        </is>
      </c>
      <c r="S253" s="53" t="inlineStr">
        <is>
          <t>L6 Site Acceptance Testing; L0 Tender / Offer; L1 Conceptual Design; L2 Detailed Design; L3 Procurement &amp; Manufacturing / FAT; L4 Installation; L5 Standalone Commissioning</t>
        </is>
      </c>
      <c r="T253" s="53" t="inlineStr">
        <is>
          <t>Section/contract-derived reference; explicit deliverable/test wording</t>
        </is>
      </c>
      <c r="U253" s="62" t="inlineStr">
        <is>
          <t>TBD</t>
        </is>
      </c>
      <c r="V253" s="213" t="n"/>
      <c r="W253" s="53" t="n"/>
    </row>
    <row r="254" ht="64" customHeight="1">
      <c r="A254" s="60" t="n">
        <v>444</v>
      </c>
      <c r="B254" s="60" t="inlineStr">
        <is>
          <t>RTM-121</t>
        </is>
      </c>
      <c r="C254" s="89" t="inlineStr">
        <is>
          <t>SYSTEM</t>
        </is>
      </c>
      <c r="D254" s="90" t="inlineStr">
        <is>
          <t>Performance</t>
        </is>
      </c>
      <c r="E254" s="91" t="inlineStr">
        <is>
          <t>—</t>
        </is>
      </c>
      <c r="F254" s="60" t="inlineStr">
        <is>
          <t>Subsystems</t>
        </is>
      </c>
      <c r="G254" s="85" t="inlineStr">
        <is>
          <t>Inferred: C2 — Process Design (low conf.)</t>
        </is>
      </c>
      <c r="H254" s="60" t="inlineStr">
        <is>
          <t>T3 Contextual</t>
        </is>
      </c>
      <c r="I254" s="60" t="n">
        <v>24</v>
      </c>
      <c r="J254" s="60" t="n">
        <v>33.2871</v>
      </c>
      <c r="K254" s="60" t="inlineStr">
        <is>
          <t>4.4.2.3</t>
        </is>
      </c>
      <c r="L254" s="60" t="inlineStr">
        <is>
          <t>Temperature sensors</t>
        </is>
      </c>
      <c r="M254" s="60" t="n">
        <v>46</v>
      </c>
      <c r="N254" s="60" t="inlineStr">
        <is>
          <t>Performance</t>
        </is>
      </c>
      <c r="O254" s="49" t="inlineStr">
        <is>
          <t>The Contractor shall define the measurement ranges of all pressure instruments and submit them as part of Engineering File.</t>
        </is>
      </c>
      <c r="P254" s="49" t="inlineStr">
        <is>
          <t>None explicitly named in this RTM</t>
        </is>
      </c>
      <c r="Q254" s="49" t="inlineStr">
        <is>
          <t>Engineering File</t>
        </is>
      </c>
      <c r="R254" s="49" t="inlineStr">
        <is>
          <t>Submit and review the named deliverable with RTM traceability and approval status; Calculation/model plus calibrated measurement or recorded trend</t>
        </is>
      </c>
      <c r="S254" s="49" t="inlineStr">
        <is>
          <t>L1 Conceptual Design; L2 Detailed Design</t>
        </is>
      </c>
      <c r="T254" s="49" t="inlineStr">
        <is>
          <t>Section/contract-derived reference; explicit deliverable/test wording</t>
        </is>
      </c>
      <c r="U254" s="60" t="inlineStr">
        <is>
          <t>TBD</t>
        </is>
      </c>
      <c r="V254" s="213" t="n"/>
      <c r="W254" s="49" t="n"/>
    </row>
    <row r="255" ht="176" customHeight="1">
      <c r="A255" s="62" t="n">
        <v>511</v>
      </c>
      <c r="B255" s="62" t="inlineStr">
        <is>
          <t>RTM-323</t>
        </is>
      </c>
      <c r="C255" s="86" t="inlineStr">
        <is>
          <t>SYSTEM</t>
        </is>
      </c>
      <c r="D255" s="87" t="inlineStr">
        <is>
          <t>Performance</t>
        </is>
      </c>
      <c r="E255" s="88" t="inlineStr">
        <is>
          <t>—</t>
        </is>
      </c>
      <c r="F255" s="62" t="inlineStr">
        <is>
          <t>Control &amp; Interlock</t>
        </is>
      </c>
      <c r="G255" s="62" t="inlineStr">
        <is>
          <t>C8 — Commercial &amp; Execution</t>
        </is>
      </c>
      <c r="H255" s="62" t="inlineStr">
        <is>
          <t>T3 Contextual</t>
        </is>
      </c>
      <c r="I255" s="62" t="n">
        <v>24</v>
      </c>
      <c r="J255" s="62" t="n">
        <v>33.2871</v>
      </c>
      <c r="K255" s="62" t="inlineStr">
        <is>
          <t>4.6.4.5</t>
        </is>
      </c>
      <c r="L255" s="62" t="inlineStr">
        <is>
          <t>Security</t>
        </is>
      </c>
      <c r="M255" s="62" t="n">
        <v>74</v>
      </c>
      <c r="N255" s="62" t="inlineStr">
        <is>
          <t>Functional</t>
        </is>
      </c>
      <c r="O255" s="53" t="inlineStr">
        <is>
          <t>Where the proposed delivered product and/or installed system is claimed to be certified to IEC 62443-3-3 Security Level (SL 2, 3 or 4 ), the Applicant shall provide with the offer (1) certification document(s) (certificate or assessment report) from a recognized scheme/provider, and (2) a version and configuration declaration confirming that any delivered version/configuration matches the IEC 62443-3-3 SL(2/3/4) certified scope or identification of deviations and their implications.</t>
        </is>
      </c>
      <c r="P255" s="53" t="inlineStr">
        <is>
          <t>IEC 62443-3-3</t>
        </is>
      </c>
      <c r="Q255" s="53" t="inlineStr">
        <is>
          <t>Certificate / calibration evidence</t>
        </is>
      </c>
      <c r="R255" s="53" t="inlineStr">
        <is>
          <t>Submit and review the named deliverable with RTM traceability and approval status; Document review, inspection, certification, audit or traceable QC record</t>
        </is>
      </c>
      <c r="S255" s="53" t="inlineStr">
        <is>
          <t>L0 Tender / Offer; L1 Conceptual Design; L2 Detailed Design</t>
        </is>
      </c>
      <c r="T255" s="53" t="inlineStr">
        <is>
          <t>Explicit/table-grounded standard; explicit deliverable/test wording</t>
        </is>
      </c>
      <c r="U255" s="62" t="inlineStr">
        <is>
          <t>TBD</t>
        </is>
      </c>
      <c r="V255" s="213" t="n"/>
      <c r="W255" s="53" t="n"/>
    </row>
    <row r="256" ht="64" customHeight="1">
      <c r="A256" s="60" t="n">
        <v>518</v>
      </c>
      <c r="B256" s="60" t="inlineStr">
        <is>
          <t>RTM-398</t>
        </is>
      </c>
      <c r="C256" s="89" t="inlineStr">
        <is>
          <t>SYSTEM</t>
        </is>
      </c>
      <c r="D256" s="90" t="inlineStr">
        <is>
          <t>Performance</t>
        </is>
      </c>
      <c r="E256" s="91" t="inlineStr">
        <is>
          <t>—</t>
        </is>
      </c>
      <c r="F256" s="60" t="inlineStr">
        <is>
          <t>Buildings &amp; Utilities</t>
        </is>
      </c>
      <c r="G256" s="85" t="inlineStr">
        <is>
          <t>Inferred: C5 — Infrastructure &amp; Integration (high conf.)</t>
        </is>
      </c>
      <c r="H256" s="60" t="inlineStr">
        <is>
          <t>T3 Contextual</t>
        </is>
      </c>
      <c r="I256" s="60" t="n">
        <v>24</v>
      </c>
      <c r="J256" s="60" t="n">
        <v>33.2871</v>
      </c>
      <c r="K256" s="60" t="inlineStr">
        <is>
          <t>4.7.3</t>
        </is>
      </c>
      <c r="L256" s="60" t="inlineStr">
        <is>
          <t>Electrical Interface</t>
        </is>
      </c>
      <c r="M256" s="60" t="n">
        <v>83</v>
      </c>
      <c r="N256" s="60" t="inlineStr">
        <is>
          <t>Performance</t>
        </is>
      </c>
      <c r="O256" s="49" t="inlineStr">
        <is>
          <t>All electrical design files - including one-line diagrams, layout plans, and protection studies - shall be submitted for SCK CEN approval.</t>
        </is>
      </c>
      <c r="P256" s="49" t="inlineStr">
        <is>
          <t>None explicitly named in this RTM</t>
        </is>
      </c>
      <c r="Q256" s="49" t="inlineStr">
        <is>
          <t>Drawing / diagram</t>
        </is>
      </c>
      <c r="R256" s="49" t="inlineStr">
        <is>
          <t>Submit and review the named deliverable with RTM traceability and approval status; Calculation/model plus calibrated measurement or recorded trend</t>
        </is>
      </c>
      <c r="S256" s="49" t="inlineStr">
        <is>
          <t>L1 Conceptual Design; L2 Detailed Design</t>
        </is>
      </c>
      <c r="T256" s="49" t="inlineStr">
        <is>
          <t>Section/contract-derived reference; explicit deliverable/test wording</t>
        </is>
      </c>
      <c r="U256" s="60" t="inlineStr">
        <is>
          <t>TBD</t>
        </is>
      </c>
      <c r="V256" s="213" t="n"/>
      <c r="W256" s="49" t="n"/>
    </row>
    <row r="257" ht="92" customHeight="1">
      <c r="A257" s="62" t="n">
        <v>531</v>
      </c>
      <c r="B257" s="62" t="inlineStr">
        <is>
          <t>RTM-617</t>
        </is>
      </c>
      <c r="C257" s="86" t="inlineStr">
        <is>
          <t>PROJECT</t>
        </is>
      </c>
      <c r="D257" s="87" t="inlineStr">
        <is>
          <t>Governance &amp; Responsibility</t>
        </is>
      </c>
      <c r="E257" s="88" t="inlineStr">
        <is>
          <t>—</t>
        </is>
      </c>
      <c r="F257" s="62" t="inlineStr">
        <is>
          <t>Schedule</t>
        </is>
      </c>
      <c r="G257" s="62" t="inlineStr">
        <is>
          <t>C8 — Commercial &amp; Execution</t>
        </is>
      </c>
      <c r="H257" s="62" t="inlineStr">
        <is>
          <t>T3 Contextual</t>
        </is>
      </c>
      <c r="I257" s="62" t="n">
        <v>23.6667</v>
      </c>
      <c r="J257" s="62" t="n">
        <v>26.491</v>
      </c>
      <c r="K257" s="62" t="inlineStr">
        <is>
          <t>6.1.3</t>
        </is>
      </c>
      <c r="L257" s="62" t="inlineStr">
        <is>
          <t>Construction (L3)</t>
        </is>
      </c>
      <c r="M257" s="62" t="n">
        <v>118</v>
      </c>
      <c r="N257" s="62" t="inlineStr">
        <is>
          <t>Quality / Verifiability</t>
        </is>
      </c>
      <c r="O257" s="53" t="inlineStr">
        <is>
          <t>In this phase, the Contractor shall, at least, perform the following activities:</t>
        </is>
      </c>
      <c r="P257" s="53" t="inlineStr">
        <is>
          <t>None explicitly named in this RTM</t>
        </is>
      </c>
      <c r="Q257" s="53" t="inlineStr">
        <is>
          <t>Procedure / work instruction</t>
        </is>
      </c>
      <c r="R257" s="53" t="inlineStr">
        <is>
          <t>Submit and review the named deliverable with RTM traceability and approval status; Witnessed FAT/SAT/commissioning test against stated acceptance criteria; Functional design/configuration review and sequence/interface demonstration</t>
        </is>
      </c>
      <c r="S257" s="53" t="inlineStr">
        <is>
          <t>L3 Procurement &amp; Manufacturing / FAT; L0 Tender / Offer; L1 Conceptual Design; L2 Detailed Design; L4 Installation; L5 Standalone Commissioning; L6 Site Acceptance Testing</t>
        </is>
      </c>
      <c r="T257" s="53" t="inlineStr">
        <is>
          <t>Section/contract-derived reference; explicit deliverable/test wording</t>
        </is>
      </c>
      <c r="U257" s="62" t="inlineStr">
        <is>
          <t>TBD</t>
        </is>
      </c>
      <c r="V257" s="213" t="n"/>
      <c r="W257" s="53" t="n"/>
    </row>
    <row r="258" ht="64" customHeight="1">
      <c r="A258" s="60" t="n">
        <v>544</v>
      </c>
      <c r="B258" s="60" t="inlineStr">
        <is>
          <t>RTM-580</t>
        </is>
      </c>
      <c r="C258" s="89" t="inlineStr">
        <is>
          <t>PROJECT</t>
        </is>
      </c>
      <c r="D258" s="90" t="inlineStr">
        <is>
          <t>Documentation &amp; Compliance</t>
        </is>
      </c>
      <c r="E258" s="91" t="inlineStr">
        <is>
          <t>—</t>
        </is>
      </c>
      <c r="F258" s="60" t="inlineStr">
        <is>
          <t>Technical Documentation</t>
        </is>
      </c>
      <c r="G258" s="60" t="inlineStr">
        <is>
          <t>Not linked to an OFFER item</t>
        </is>
      </c>
      <c r="H258" s="60" t="inlineStr">
        <is>
          <t>T3 Contextual</t>
        </is>
      </c>
      <c r="I258" s="60" t="n">
        <v>23.3333</v>
      </c>
      <c r="J258" s="60" t="n">
        <v>25.0347</v>
      </c>
      <c r="K258" s="60" t="inlineStr">
        <is>
          <t>4.16.4</t>
        </is>
      </c>
      <c r="L258" s="60" t="inlineStr">
        <is>
          <t>Quality Control Report</t>
        </is>
      </c>
      <c r="M258" s="60" t="n">
        <v>113</v>
      </c>
      <c r="N258" s="60" t="inlineStr">
        <is>
          <t>Quality / Verifiability</t>
        </is>
      </c>
      <c r="O258" s="49" t="inlineStr">
        <is>
          <t>The Contractor shall produce a Quality Control Report (QCR)</t>
        </is>
      </c>
      <c r="P258" s="49" t="inlineStr">
        <is>
          <t>None explicitly named in this RTM</t>
        </is>
      </c>
      <c r="Q258" s="49" t="inlineStr">
        <is>
          <t>Quality Control Report</t>
        </is>
      </c>
      <c r="R258" s="49" t="inlineStr">
        <is>
          <t>Submit and review the named deliverable with RTM traceability and approval status; Document review, inspection, certification, audit or traceable QC record</t>
        </is>
      </c>
      <c r="S258" s="49" t="inlineStr">
        <is>
          <t>L1 Conceptual Design; L2 Detailed Design</t>
        </is>
      </c>
      <c r="T258" s="49" t="inlineStr">
        <is>
          <t>Section/contract-derived reference; explicit deliverable/test wording</t>
        </is>
      </c>
      <c r="U258" s="60" t="inlineStr">
        <is>
          <t>TBD</t>
        </is>
      </c>
      <c r="V258" s="213" t="n"/>
      <c r="W258" s="49" t="n"/>
    </row>
    <row r="259" ht="64" customHeight="1">
      <c r="A259" s="62" t="n">
        <v>545</v>
      </c>
      <c r="B259" s="62" t="inlineStr">
        <is>
          <t>RTM-581</t>
        </is>
      </c>
      <c r="C259" s="86" t="inlineStr">
        <is>
          <t>PROJECT</t>
        </is>
      </c>
      <c r="D259" s="87" t="inlineStr">
        <is>
          <t>Documentation &amp; Compliance</t>
        </is>
      </c>
      <c r="E259" s="88" t="inlineStr">
        <is>
          <t>—</t>
        </is>
      </c>
      <c r="F259" s="62" t="inlineStr">
        <is>
          <t>Technical Documentation</t>
        </is>
      </c>
      <c r="G259" s="62" t="inlineStr">
        <is>
          <t>Not linked to an OFFER item</t>
        </is>
      </c>
      <c r="H259" s="62" t="inlineStr">
        <is>
          <t>T3 Contextual</t>
        </is>
      </c>
      <c r="I259" s="62" t="n">
        <v>23.3333</v>
      </c>
      <c r="J259" s="62" t="n">
        <v>25.0347</v>
      </c>
      <c r="K259" s="62" t="inlineStr">
        <is>
          <t>4.16.4</t>
        </is>
      </c>
      <c r="L259" s="62" t="inlineStr">
        <is>
          <t>Quality Control Report</t>
        </is>
      </c>
      <c r="M259" s="62" t="n">
        <v>113</v>
      </c>
      <c r="N259" s="62" t="inlineStr">
        <is>
          <t>Quality / Verifiability</t>
        </is>
      </c>
      <c r="O259" s="53" t="inlineStr">
        <is>
          <t>The Quality Control Report shall include, at minimum:</t>
        </is>
      </c>
      <c r="P259" s="53" t="inlineStr">
        <is>
          <t>None explicitly named in this RTM</t>
        </is>
      </c>
      <c r="Q259" s="53" t="inlineStr">
        <is>
          <t>Quality Control Report</t>
        </is>
      </c>
      <c r="R259" s="53" t="inlineStr">
        <is>
          <t>Submit and review the named deliverable with RTM traceability and approval status; Witnessed FAT/SAT/commissioning test against stated acceptance criteria</t>
        </is>
      </c>
      <c r="S259" s="53" t="inlineStr">
        <is>
          <t>L4 Installation; L1 Conceptual Design; L2 Detailed Design</t>
        </is>
      </c>
      <c r="T259" s="53" t="inlineStr">
        <is>
          <t>Section/contract-derived reference; explicit deliverable/test wording</t>
        </is>
      </c>
      <c r="U259" s="62" t="inlineStr">
        <is>
          <t>TBD</t>
        </is>
      </c>
      <c r="V259" s="213" t="n"/>
      <c r="W259" s="53" t="n"/>
    </row>
    <row r="260" ht="64" customHeight="1">
      <c r="A260" s="60" t="n">
        <v>548</v>
      </c>
      <c r="B260" s="60" t="inlineStr">
        <is>
          <t>RTM-585</t>
        </is>
      </c>
      <c r="C260" s="89" t="inlineStr">
        <is>
          <t>PROJECT</t>
        </is>
      </c>
      <c r="D260" s="90" t="inlineStr">
        <is>
          <t>Documentation &amp; Compliance</t>
        </is>
      </c>
      <c r="E260" s="91" t="inlineStr">
        <is>
          <t>—</t>
        </is>
      </c>
      <c r="F260" s="60" t="inlineStr">
        <is>
          <t>Technical Documentation</t>
        </is>
      </c>
      <c r="G260" s="60" t="inlineStr">
        <is>
          <t>Not linked to an OFFER item</t>
        </is>
      </c>
      <c r="H260" s="60" t="inlineStr">
        <is>
          <t>T3 Contextual</t>
        </is>
      </c>
      <c r="I260" s="60" t="n">
        <v>23.3333</v>
      </c>
      <c r="J260" s="60" t="n">
        <v>25.0347</v>
      </c>
      <c r="K260" s="60" t="inlineStr">
        <is>
          <t>4.16.5</t>
        </is>
      </c>
      <c r="L260" s="60" t="inlineStr">
        <is>
          <t>FAT Report</t>
        </is>
      </c>
      <c r="M260" s="60" t="n">
        <v>113</v>
      </c>
      <c r="N260" s="60" t="inlineStr">
        <is>
          <t>Quality / Verifiability</t>
        </is>
      </c>
      <c r="O260" s="49" t="inlineStr">
        <is>
          <t>The FAT Report shall include, at minimum:</t>
        </is>
      </c>
      <c r="P260" s="49" t="inlineStr">
        <is>
          <t>None explicitly named in this RTM</t>
        </is>
      </c>
      <c r="Q260" s="49" t="inlineStr">
        <is>
          <t>Manufacturing File; FAT Report</t>
        </is>
      </c>
      <c r="R260" s="49" t="inlineStr">
        <is>
          <t>Submit and review the named deliverable with RTM traceability and approval status; Witnessed FAT/SAT/commissioning test against stated acceptance criteria</t>
        </is>
      </c>
      <c r="S260" s="49" t="inlineStr">
        <is>
          <t>L3 Procurement &amp; Manufacturing / FAT; L1 Conceptual Design; L2 Detailed Design</t>
        </is>
      </c>
      <c r="T260" s="49" t="inlineStr">
        <is>
          <t>Section/contract-derived reference; explicit deliverable/test wording</t>
        </is>
      </c>
      <c r="U260" s="60" t="inlineStr">
        <is>
          <t>TBD</t>
        </is>
      </c>
      <c r="V260" s="213" t="n"/>
      <c r="W260" s="49" t="n"/>
    </row>
    <row r="261" ht="64" customHeight="1">
      <c r="A261" s="62" t="n">
        <v>549</v>
      </c>
      <c r="B261" s="62" t="inlineStr">
        <is>
          <t>RTM-586</t>
        </is>
      </c>
      <c r="C261" s="86" t="inlineStr">
        <is>
          <t>PROJECT</t>
        </is>
      </c>
      <c r="D261" s="87" t="inlineStr">
        <is>
          <t>Documentation &amp; Compliance</t>
        </is>
      </c>
      <c r="E261" s="88" t="inlineStr">
        <is>
          <t>—</t>
        </is>
      </c>
      <c r="F261" s="62" t="inlineStr">
        <is>
          <t>Technical Documentation</t>
        </is>
      </c>
      <c r="G261" s="62" t="inlineStr">
        <is>
          <t>Not linked to an OFFER item</t>
        </is>
      </c>
      <c r="H261" s="62" t="inlineStr">
        <is>
          <t>T3 Contextual</t>
        </is>
      </c>
      <c r="I261" s="62" t="n">
        <v>23.3333</v>
      </c>
      <c r="J261" s="62" t="n">
        <v>25.0347</v>
      </c>
      <c r="K261" s="62" t="inlineStr">
        <is>
          <t>4.16.6</t>
        </is>
      </c>
      <c r="L261" s="62" t="inlineStr">
        <is>
          <t>SAT Report</t>
        </is>
      </c>
      <c r="M261" s="62" t="n">
        <v>113</v>
      </c>
      <c r="N261" s="62" t="inlineStr">
        <is>
          <t>Quality / Verifiability</t>
        </is>
      </c>
      <c r="O261" s="53" t="inlineStr">
        <is>
          <t>The SAT Report shall document the execution and results of each individual test stipulated in the applicable SAT Program.</t>
        </is>
      </c>
      <c r="P261" s="53" t="inlineStr">
        <is>
          <t>None explicitly named in this RTM</t>
        </is>
      </c>
      <c r="Q261" s="53" t="inlineStr">
        <is>
          <t>SAT Report</t>
        </is>
      </c>
      <c r="R261" s="53" t="inlineStr">
        <is>
          <t>Submit and review the named deliverable with RTM traceability and approval status; Witnessed FAT/SAT/commissioning test against stated acceptance criteria</t>
        </is>
      </c>
      <c r="S261" s="53" t="inlineStr">
        <is>
          <t>L6 Site Acceptance Testing; L1 Conceptual Design; L2 Detailed Design</t>
        </is>
      </c>
      <c r="T261" s="53" t="inlineStr">
        <is>
          <t>Section/contract-derived reference; explicit deliverable/test wording</t>
        </is>
      </c>
      <c r="U261" s="62" t="inlineStr">
        <is>
          <t>TBD</t>
        </is>
      </c>
      <c r="V261" s="213" t="n"/>
      <c r="W261" s="53" t="n"/>
    </row>
    <row r="262" ht="64" customHeight="1">
      <c r="A262" s="60" t="n">
        <v>550</v>
      </c>
      <c r="B262" s="60" t="inlineStr">
        <is>
          <t>RTM-589</t>
        </is>
      </c>
      <c r="C262" s="89" t="inlineStr">
        <is>
          <t>PROJECT</t>
        </is>
      </c>
      <c r="D262" s="90" t="inlineStr">
        <is>
          <t>Documentation &amp; Compliance</t>
        </is>
      </c>
      <c r="E262" s="91" t="inlineStr">
        <is>
          <t>—</t>
        </is>
      </c>
      <c r="F262" s="60" t="inlineStr">
        <is>
          <t>Technical Documentation</t>
        </is>
      </c>
      <c r="G262" s="60" t="inlineStr">
        <is>
          <t>Not linked to an OFFER item</t>
        </is>
      </c>
      <c r="H262" s="60" t="inlineStr">
        <is>
          <t>T3 Contextual</t>
        </is>
      </c>
      <c r="I262" s="60" t="n">
        <v>23.3333</v>
      </c>
      <c r="J262" s="60" t="n">
        <v>25.0347</v>
      </c>
      <c r="K262" s="60" t="inlineStr">
        <is>
          <t>4.16.9</t>
        </is>
      </c>
      <c r="L262" s="60" t="inlineStr">
        <is>
          <t>As-built File</t>
        </is>
      </c>
      <c r="M262" s="60" t="n">
        <v>114</v>
      </c>
      <c r="N262" s="60" t="inlineStr">
        <is>
          <t>Quality / Verifiability</t>
        </is>
      </c>
      <c r="O262" s="49" t="inlineStr">
        <is>
          <t>The As-Built File shall consolidate the complete final “as-is” implementation of the QPS at the MINERVA site and shall form part of the SAT deliverables.</t>
        </is>
      </c>
      <c r="P262" s="49" t="inlineStr">
        <is>
          <t>None explicitly named in this RTM</t>
        </is>
      </c>
      <c r="Q262" s="49" t="inlineStr">
        <is>
          <t>As-built File</t>
        </is>
      </c>
      <c r="R262" s="49" t="inlineStr">
        <is>
          <t>Submit and review the named deliverable with RTM traceability and approval status; Witnessed FAT/SAT/commissioning test against stated acceptance criteria</t>
        </is>
      </c>
      <c r="S262" s="49" t="inlineStr">
        <is>
          <t>L6 Site Acceptance Testing; L1 Conceptual Design; L2 Detailed Design</t>
        </is>
      </c>
      <c r="T262" s="49" t="inlineStr">
        <is>
          <t>Section/contract-derived reference; explicit deliverable/test wording</t>
        </is>
      </c>
      <c r="U262" s="60" t="inlineStr">
        <is>
          <t>TBD</t>
        </is>
      </c>
      <c r="V262" s="213" t="n"/>
      <c r="W262" s="49" t="n"/>
    </row>
    <row r="263" ht="64" customHeight="1">
      <c r="A263" s="62" t="n">
        <v>551</v>
      </c>
      <c r="B263" s="62" t="inlineStr">
        <is>
          <t>RTM-591</t>
        </is>
      </c>
      <c r="C263" s="86" t="inlineStr">
        <is>
          <t>PROJECT</t>
        </is>
      </c>
      <c r="D263" s="87" t="inlineStr">
        <is>
          <t>Documentation &amp; Compliance</t>
        </is>
      </c>
      <c r="E263" s="88" t="inlineStr">
        <is>
          <t>—</t>
        </is>
      </c>
      <c r="F263" s="62" t="inlineStr">
        <is>
          <t>Technical Documentation</t>
        </is>
      </c>
      <c r="G263" s="62" t="inlineStr">
        <is>
          <t>Not linked to an OFFER item</t>
        </is>
      </c>
      <c r="H263" s="62" t="inlineStr">
        <is>
          <t>T3 Contextual</t>
        </is>
      </c>
      <c r="I263" s="62" t="n">
        <v>23.3333</v>
      </c>
      <c r="J263" s="62" t="n">
        <v>25.0347</v>
      </c>
      <c r="K263" s="62" t="inlineStr">
        <is>
          <t>4.16.9</t>
        </is>
      </c>
      <c r="L263" s="62" t="inlineStr">
        <is>
          <t>As-built File</t>
        </is>
      </c>
      <c r="M263" s="62" t="n">
        <v>114</v>
      </c>
      <c r="N263" s="62" t="inlineStr">
        <is>
          <t>Quality / Verifiability</t>
        </is>
      </c>
      <c r="O263" s="53" t="inlineStr">
        <is>
          <t>The Contractor shall submit the As-built File as part of the SAT.</t>
        </is>
      </c>
      <c r="P263" s="53" t="inlineStr">
        <is>
          <t>None explicitly named in this RTM</t>
        </is>
      </c>
      <c r="Q263" s="53" t="inlineStr">
        <is>
          <t>As-built File</t>
        </is>
      </c>
      <c r="R263" s="53" t="inlineStr">
        <is>
          <t>Submit and review the named deliverable with RTM traceability and approval status; Witnessed FAT/SAT/commissioning test against stated acceptance criteria</t>
        </is>
      </c>
      <c r="S263" s="53" t="inlineStr">
        <is>
          <t>L6 Site Acceptance Testing; L1 Conceptual Design; L2 Detailed Design</t>
        </is>
      </c>
      <c r="T263" s="53" t="inlineStr">
        <is>
          <t>Section/contract-derived reference; explicit deliverable/test wording</t>
        </is>
      </c>
      <c r="U263" s="62" t="inlineStr">
        <is>
          <t>TBD</t>
        </is>
      </c>
      <c r="V263" s="213" t="n"/>
      <c r="W263" s="53" t="n"/>
    </row>
    <row r="264" ht="92" customHeight="1">
      <c r="A264" s="60" t="n">
        <v>553</v>
      </c>
      <c r="B264" s="60" t="inlineStr">
        <is>
          <t>RTM-458</t>
        </is>
      </c>
      <c r="C264" s="89" t="inlineStr">
        <is>
          <t>SYSTEM</t>
        </is>
      </c>
      <c r="D264" s="90" t="inlineStr">
        <is>
          <t>Performance</t>
        </is>
      </c>
      <c r="E264" s="91" t="inlineStr">
        <is>
          <t>—</t>
        </is>
      </c>
      <c r="F264" s="60" t="inlineStr">
        <is>
          <t>Design &amp; Fabrication</t>
        </is>
      </c>
      <c r="G264" s="85" t="inlineStr">
        <is>
          <t>Inferred: C5 — Infrastructure &amp; Integration (medium conf.)</t>
        </is>
      </c>
      <c r="H264" s="60" t="inlineStr">
        <is>
          <t>T3 Contextual</t>
        </is>
      </c>
      <c r="I264" s="60" t="n">
        <v>22.6667</v>
      </c>
      <c r="J264" s="60" t="n">
        <v>23.0929</v>
      </c>
      <c r="K264" s="60" t="inlineStr">
        <is>
          <t>4.8.4.1</t>
        </is>
      </c>
      <c r="L264" s="60" t="inlineStr">
        <is>
          <t>Certification and Qualification</t>
        </is>
      </c>
      <c r="M264" s="60" t="n">
        <v>90</v>
      </c>
      <c r="N264" s="60" t="inlineStr">
        <is>
          <t>Quality / Verifiability</t>
        </is>
      </c>
      <c r="O264" s="49" t="inlineStr">
        <is>
          <t>The Contractor shall qualify the different welding procedures to the maximum extent possible.</t>
        </is>
      </c>
      <c r="P264" s="49" t="inlineStr">
        <is>
          <t>None explicitly named in this RTM</t>
        </is>
      </c>
      <c r="Q264" s="49" t="inlineStr">
        <is>
          <t>Procedure / work instruction</t>
        </is>
      </c>
      <c r="R264" s="49" t="inlineStr">
        <is>
          <t>Submit and review the named deliverable with RTM traceability and approval status; Functional design/configuration review and sequence/interface demonstration; Document review, inspection, certification, audit or traceable QC record</t>
        </is>
      </c>
      <c r="S264" s="49" t="inlineStr">
        <is>
          <t>L1 Conceptual Design; L2 Detailed Design</t>
        </is>
      </c>
      <c r="T264" s="49" t="inlineStr">
        <is>
          <t>Section/contract-derived reference; explicit deliverable/test wording</t>
        </is>
      </c>
      <c r="U264" s="60" t="inlineStr">
        <is>
          <t>TBD</t>
        </is>
      </c>
      <c r="V264" s="213" t="n"/>
      <c r="W264" s="49" t="n"/>
    </row>
    <row r="265" ht="92" customHeight="1">
      <c r="A265" s="62" t="n">
        <v>562</v>
      </c>
      <c r="B265" s="62" t="inlineStr">
        <is>
          <t>RTM-067</t>
        </is>
      </c>
      <c r="C265" s="86" t="inlineStr">
        <is>
          <t>SYSTEM</t>
        </is>
      </c>
      <c r="D265" s="87" t="inlineStr">
        <is>
          <t>Performance</t>
        </is>
      </c>
      <c r="E265" s="88" t="inlineStr">
        <is>
          <t>—</t>
        </is>
      </c>
      <c r="F265" s="62" t="inlineStr">
        <is>
          <t>Global Design Criteria</t>
        </is>
      </c>
      <c r="G265" s="92" t="inlineStr">
        <is>
          <t>Inferred: C1 — Performance (medium conf.)</t>
        </is>
      </c>
      <c r="H265" s="62" t="inlineStr">
        <is>
          <t>T3 Contextual</t>
        </is>
      </c>
      <c r="I265" s="62" t="n">
        <v>21.6667</v>
      </c>
      <c r="J265" s="62" t="n">
        <v>22.1221</v>
      </c>
      <c r="K265" s="62" t="inlineStr">
        <is>
          <t>4.3.3</t>
        </is>
      </c>
      <c r="L265" s="62" t="inlineStr">
        <is>
          <t>Maintenance strategy</t>
        </is>
      </c>
      <c r="M265" s="62" t="n">
        <v>39</v>
      </c>
      <c r="N265" s="62" t="inlineStr">
        <is>
          <t>Reliability</t>
        </is>
      </c>
      <c r="O265" s="53" t="inlineStr">
        <is>
          <t>The Maintenance Plan may include “online interventions” performed while maintaining the QPS within the applicable cold operational state and without requiring Warm Stop (WSTOP). Where such online interventions are proposed, the Contractor shall:</t>
        </is>
      </c>
      <c r="P265" s="53" t="inlineStr">
        <is>
          <t>None explicitly named in this RTM</t>
        </is>
      </c>
      <c r="Q265" s="53" t="inlineStr">
        <is>
          <t>Maintenance / RCM Plan</t>
        </is>
      </c>
      <c r="R265" s="53" t="inlineStr">
        <is>
          <t>Submit and review the named deliverable with RTM traceability and approval status; RAM/maintenance substantiation and recovery/failure-response evidence</t>
        </is>
      </c>
      <c r="S265" s="53" t="inlineStr">
        <is>
          <t>L1 Conceptual Design; L2 Detailed Design</t>
        </is>
      </c>
      <c r="T265" s="53" t="inlineStr">
        <is>
          <t>Section/contract-derived reference; explicit deliverable/test wording</t>
        </is>
      </c>
      <c r="U265" s="62" t="inlineStr">
        <is>
          <t>TBD</t>
        </is>
      </c>
      <c r="V265" s="213" t="n"/>
      <c r="W265" s="53" t="n"/>
    </row>
    <row r="266" ht="64" customHeight="1">
      <c r="A266" s="60" t="n">
        <v>564</v>
      </c>
      <c r="B266" s="60" t="inlineStr">
        <is>
          <t>RTM-005</t>
        </is>
      </c>
      <c r="C266" s="89" t="inlineStr">
        <is>
          <t>PROJECT</t>
        </is>
      </c>
      <c r="D266" s="90" t="inlineStr">
        <is>
          <t>Documentation &amp; Compliance</t>
        </is>
      </c>
      <c r="E266" s="91" t="inlineStr">
        <is>
          <t>—</t>
        </is>
      </c>
      <c r="F266" s="60" t="inlineStr">
        <is>
          <t>General / Compliance</t>
        </is>
      </c>
      <c r="G266" s="85" t="inlineStr">
        <is>
          <t>Inferred: C8 — Commercial &amp; Execution (high conf.)</t>
        </is>
      </c>
      <c r="H266" s="60" t="inlineStr">
        <is>
          <t>T3 Contextual</t>
        </is>
      </c>
      <c r="I266" s="60" t="n">
        <v>21.3333</v>
      </c>
      <c r="J266" s="60" t="n">
        <v>21.8447</v>
      </c>
      <c r="K266" s="60" t="inlineStr">
        <is>
          <t>4.1.1</t>
        </is>
      </c>
      <c r="L266" s="60" t="inlineStr">
        <is>
          <t>Applicable Units</t>
        </is>
      </c>
      <c r="M266" s="60" t="n">
        <v>25</v>
      </c>
      <c r="N266" s="60" t="inlineStr">
        <is>
          <t>Safety / Legal</t>
        </is>
      </c>
      <c r="O266" s="49" t="inlineStr">
        <is>
          <t>All technical documentation, calculations, drawings, and performance data submitted under this Contract shall:</t>
        </is>
      </c>
      <c r="P266" s="49" t="inlineStr">
        <is>
          <t>None explicitly named in this RTM</t>
        </is>
      </c>
      <c r="Q266" s="49" t="inlineStr">
        <is>
          <t>Drawing / diagram</t>
        </is>
      </c>
      <c r="R266" s="49" t="inlineStr">
        <is>
          <t>Submit and review the named deliverable with RTM traceability and approval status; Document review, inspection, certification, audit or traceable QC record</t>
        </is>
      </c>
      <c r="S266" s="49" t="inlineStr">
        <is>
          <t>L1 Conceptual Design; L2 Detailed Design</t>
        </is>
      </c>
      <c r="T266" s="49" t="inlineStr">
        <is>
          <t>Section/contract-derived reference; explicit deliverable/test wording</t>
        </is>
      </c>
      <c r="U266" s="60" t="inlineStr">
        <is>
          <t>TBD</t>
        </is>
      </c>
      <c r="V266" s="213" t="n"/>
      <c r="W266" s="49" t="n"/>
    </row>
    <row r="267" ht="64" customHeight="1">
      <c r="A267" s="62" t="n">
        <v>566</v>
      </c>
      <c r="B267" s="62" t="inlineStr">
        <is>
          <t>RTM-437</t>
        </is>
      </c>
      <c r="C267" s="86" t="inlineStr">
        <is>
          <t>SYSTEM</t>
        </is>
      </c>
      <c r="D267" s="87" t="inlineStr">
        <is>
          <t>Performance</t>
        </is>
      </c>
      <c r="E267" s="88" t="inlineStr">
        <is>
          <t>—</t>
        </is>
      </c>
      <c r="F267" s="62" t="inlineStr">
        <is>
          <t>Design &amp; Fabrication</t>
        </is>
      </c>
      <c r="G267" s="92" t="inlineStr">
        <is>
          <t>Inferred: C5 — Infrastructure &amp; Integration (medium conf.)</t>
        </is>
      </c>
      <c r="H267" s="62" t="inlineStr">
        <is>
          <t>T3 Contextual</t>
        </is>
      </c>
      <c r="I267" s="62" t="n">
        <v>21</v>
      </c>
      <c r="J267" s="62" t="n">
        <v>21.5673</v>
      </c>
      <c r="K267" s="62" t="inlineStr">
        <is>
          <t>4.8.1</t>
        </is>
      </c>
      <c r="L267" s="62" t="inlineStr">
        <is>
          <t>Drawings and CAD models</t>
        </is>
      </c>
      <c r="M267" s="62" t="n">
        <v>87</v>
      </c>
      <c r="N267" s="62" t="inlineStr">
        <is>
          <t>Functional</t>
        </is>
      </c>
      <c r="O267" s="53" t="inlineStr">
        <is>
          <t>The Contractor shall:</t>
        </is>
      </c>
      <c r="P267" s="53" t="inlineStr">
        <is>
          <t>ISA 5.1</t>
        </is>
      </c>
      <c r="Q267" s="53" t="inlineStr">
        <is>
          <t>3D / CAD Model; Drawing / diagram</t>
        </is>
      </c>
      <c r="R267" s="53" t="inlineStr">
        <is>
          <t>Submit and review the named deliverable with RTM traceability and approval status; Document review, inspection, certification, audit or traceable QC record</t>
        </is>
      </c>
      <c r="S267" s="53" t="inlineStr">
        <is>
          <t>L3 Procurement &amp; Manufacturing / FAT; L1 Conceptual Design; L2 Detailed Design</t>
        </is>
      </c>
      <c r="T267" s="53" t="inlineStr">
        <is>
          <t>Explicit/table-grounded standard; explicit deliverable/test wording</t>
        </is>
      </c>
      <c r="U267" s="62" t="inlineStr">
        <is>
          <t>TBD</t>
        </is>
      </c>
      <c r="V267" s="213" t="n"/>
      <c r="W267" s="53" t="n"/>
    </row>
    <row r="268" ht="78" customHeight="1">
      <c r="A268" s="60" t="n">
        <v>569</v>
      </c>
      <c r="B268" s="60" t="inlineStr">
        <is>
          <t>RTM-706</t>
        </is>
      </c>
      <c r="C268" s="89" t="inlineStr">
        <is>
          <t>PROJECT</t>
        </is>
      </c>
      <c r="D268" s="90" t="inlineStr">
        <is>
          <t>Governance &amp; Responsibility</t>
        </is>
      </c>
      <c r="E268" s="91" t="inlineStr">
        <is>
          <t>—</t>
        </is>
      </c>
      <c r="F268" s="60" t="inlineStr">
        <is>
          <t>Acceptance &amp; Warranty</t>
        </is>
      </c>
      <c r="G268" s="85" t="inlineStr">
        <is>
          <t>Inferred: C6 — Reliability &amp; Maintenance (high conf.)</t>
        </is>
      </c>
      <c r="H268" s="60" t="inlineStr">
        <is>
          <t>T3 Contextual</t>
        </is>
      </c>
      <c r="I268" s="60" t="n">
        <v>20.3333</v>
      </c>
      <c r="J268" s="60" t="n">
        <v>21.0125</v>
      </c>
      <c r="K268" s="60" t="inlineStr">
        <is>
          <t>10.1</t>
        </is>
      </c>
      <c r="L268" s="60" t="inlineStr">
        <is>
          <t>Provisional Acceptance</t>
        </is>
      </c>
      <c r="M268" s="60" t="n">
        <v>132</v>
      </c>
      <c r="N268" s="60" t="inlineStr">
        <is>
          <t>Safety / Legal</t>
        </is>
      </c>
      <c r="O268" s="49" t="inlineStr">
        <is>
          <t>A Provisional Acceptance Certificate shall be issued by SCK CEN for each deliverable (together with the required documentation), provided that no shortcomings are identified during the provisional acceptance.</t>
        </is>
      </c>
      <c r="P268" s="49" t="inlineStr">
        <is>
          <t>None explicitly named in this RTM</t>
        </is>
      </c>
      <c r="Q268" s="49" t="inlineStr">
        <is>
          <t>Certificate / calibration evidence</t>
        </is>
      </c>
      <c r="R268" s="49" t="inlineStr">
        <is>
          <t>Submit and review the named deliverable with RTM traceability and approval status</t>
        </is>
      </c>
      <c r="S268" s="49" t="inlineStr">
        <is>
          <t>PAC / Handover; Warranty; FAC</t>
        </is>
      </c>
      <c r="T268" s="49" t="inlineStr">
        <is>
          <t>Section/contract-derived reference; explicit deliverable/test wording</t>
        </is>
      </c>
      <c r="U268" s="60" t="inlineStr">
        <is>
          <t>TBD</t>
        </is>
      </c>
      <c r="V268" s="213" t="n"/>
      <c r="W268" s="49" t="n"/>
    </row>
    <row r="269" ht="64" customHeight="1">
      <c r="A269" s="62" t="n">
        <v>582</v>
      </c>
      <c r="B269" s="62" t="inlineStr">
        <is>
          <t>RTM-050</t>
        </is>
      </c>
      <c r="C269" s="86" t="inlineStr">
        <is>
          <t>SYSTEM</t>
        </is>
      </c>
      <c r="D269" s="87" t="inlineStr">
        <is>
          <t>Constraint</t>
        </is>
      </c>
      <c r="E269" s="88" t="inlineStr">
        <is>
          <t>—</t>
        </is>
      </c>
      <c r="F269" s="62" t="inlineStr">
        <is>
          <t>Process &amp; Functional</t>
        </is>
      </c>
      <c r="G269" s="92" t="inlineStr">
        <is>
          <t>Inferred: C2 — Process Design (low conf.)</t>
        </is>
      </c>
      <c r="H269" s="62" t="inlineStr">
        <is>
          <t>T3 Contextual</t>
        </is>
      </c>
      <c r="I269" s="62" t="n">
        <v>20</v>
      </c>
      <c r="J269" s="62" t="n">
        <v>19.4868</v>
      </c>
      <c r="K269" s="62" t="inlineStr">
        <is>
          <t>4.2.6</t>
        </is>
      </c>
      <c r="L269" s="62" t="inlineStr">
        <is>
          <t>Abnormal event</t>
        </is>
      </c>
      <c r="M269" s="62" t="n">
        <v>36</v>
      </c>
      <c r="N269" s="62" t="inlineStr">
        <is>
          <t>Performance</t>
        </is>
      </c>
      <c r="O269" s="53" t="inlineStr">
        <is>
          <t>For each abnormal event, the Contractor shall:</t>
        </is>
      </c>
      <c r="P269" s="53" t="inlineStr">
        <is>
          <t>None explicitly named in this RTM</t>
        </is>
      </c>
      <c r="Q269" s="53" t="inlineStr">
        <is>
          <t>Engineering File</t>
        </is>
      </c>
      <c r="R269" s="53" t="inlineStr">
        <is>
          <t>Submit and review the named deliverable with RTM traceability and approval status; Calculation/model plus calibrated measurement or recorded trend</t>
        </is>
      </c>
      <c r="S269" s="53" t="inlineStr">
        <is>
          <t>L1 Conceptual Design; L2 Detailed Design</t>
        </is>
      </c>
      <c r="T269" s="53" t="inlineStr">
        <is>
          <t>Section/contract-derived reference; explicit deliverable/test wording</t>
        </is>
      </c>
      <c r="U269" s="62" t="inlineStr">
        <is>
          <t>TBD</t>
        </is>
      </c>
      <c r="V269" s="213" t="n"/>
      <c r="W269" s="53" t="n"/>
    </row>
    <row r="270" ht="92" customHeight="1">
      <c r="A270" s="60" t="n">
        <v>591</v>
      </c>
      <c r="B270" s="60" t="inlineStr">
        <is>
          <t>RTM-616</t>
        </is>
      </c>
      <c r="C270" s="89" t="inlineStr">
        <is>
          <t>PROJECT</t>
        </is>
      </c>
      <c r="D270" s="90" t="inlineStr">
        <is>
          <t>Governance &amp; Responsibility</t>
        </is>
      </c>
      <c r="E270" s="91" t="inlineStr">
        <is>
          <t>—</t>
        </is>
      </c>
      <c r="F270" s="60" t="inlineStr">
        <is>
          <t>Schedule</t>
        </is>
      </c>
      <c r="G270" s="60" t="inlineStr">
        <is>
          <t>C8 — Commercial &amp; Execution</t>
        </is>
      </c>
      <c r="H270" s="60" t="inlineStr">
        <is>
          <t>T3 Contextual</t>
        </is>
      </c>
      <c r="I270" s="60" t="n">
        <v>19.6667</v>
      </c>
      <c r="J270" s="60" t="n">
        <v>18.1692</v>
      </c>
      <c r="K270" s="60" t="inlineStr">
        <is>
          <t>6.1.2</t>
        </is>
      </c>
      <c r="L270" s="60" t="inlineStr">
        <is>
          <t>Detailed Design (L2)</t>
        </is>
      </c>
      <c r="M270" s="60" t="n">
        <v>118</v>
      </c>
      <c r="N270" s="60" t="inlineStr">
        <is>
          <t>Functional</t>
        </is>
      </c>
      <c r="O270" s="49" t="inlineStr">
        <is>
          <t>In this phase, the Contractor shall, at least, perform the following activities:</t>
        </is>
      </c>
      <c r="P270" s="49" t="inlineStr">
        <is>
          <t>None explicitly named in this RTM</t>
        </is>
      </c>
      <c r="Q270" s="49" t="inlineStr">
        <is>
          <t>Manufacturing and Inspection Plan (MIP); Procedure / work instruction; Drawing / diagram; Datasheet / technical specification; List / register / matrix</t>
        </is>
      </c>
      <c r="R270" s="49" t="inlineStr">
        <is>
          <t>Submit and review the named deliverable with RTM traceability and approval status; Functional design/configuration review and sequence/interface demonstration; Document review, inspection, certification, audit or traceable QC record</t>
        </is>
      </c>
      <c r="S270" s="49" t="inlineStr">
        <is>
          <t>L2 Detailed Design; L3 Procurement &amp; Manufacturing / FAT; L4 Installation; L0 Tender / Offer; L1 Conceptual Design; L5 Standalone Commissioning; L6 Site Acceptance Testing</t>
        </is>
      </c>
      <c r="T270" s="49" t="inlineStr">
        <is>
          <t>Section/contract-derived reference; explicit deliverable/test wording</t>
        </is>
      </c>
      <c r="U270" s="60" t="inlineStr">
        <is>
          <t>TBD</t>
        </is>
      </c>
      <c r="V270" s="213" t="n"/>
      <c r="W270" s="49" t="n"/>
    </row>
    <row r="271" ht="64" customHeight="1">
      <c r="A271" s="62" t="n">
        <v>598</v>
      </c>
      <c r="B271" s="62" t="inlineStr">
        <is>
          <t>RTM-572</t>
        </is>
      </c>
      <c r="C271" s="86" t="inlineStr">
        <is>
          <t>PROJECT</t>
        </is>
      </c>
      <c r="D271" s="87" t="inlineStr">
        <is>
          <t>Documentation &amp; Compliance</t>
        </is>
      </c>
      <c r="E271" s="88" t="inlineStr">
        <is>
          <t>—</t>
        </is>
      </c>
      <c r="F271" s="62" t="inlineStr">
        <is>
          <t>Technical Documentation</t>
        </is>
      </c>
      <c r="G271" s="62" t="inlineStr">
        <is>
          <t>Not linked to an OFFER item</t>
        </is>
      </c>
      <c r="H271" s="62" t="inlineStr">
        <is>
          <t>T3 Contextual</t>
        </is>
      </c>
      <c r="I271" s="62" t="n">
        <v>19.3333</v>
      </c>
      <c r="J271" s="62" t="n">
        <v>17.1983</v>
      </c>
      <c r="K271" s="62" t="inlineStr">
        <is>
          <t>4.16.1</t>
        </is>
      </c>
      <c r="L271" s="62" t="inlineStr">
        <is>
          <t>Engineering File</t>
        </is>
      </c>
      <c r="M271" s="62" t="n">
        <v>111</v>
      </c>
      <c r="N271" s="62" t="inlineStr">
        <is>
          <t>Quality / Verifiability</t>
        </is>
      </c>
      <c r="O271" s="53" t="inlineStr">
        <is>
          <t>The Contractor shall produce an Engineering File.</t>
        </is>
      </c>
      <c r="P271" s="53" t="inlineStr">
        <is>
          <t>None explicitly named in this RTM</t>
        </is>
      </c>
      <c r="Q271" s="53" t="inlineStr">
        <is>
          <t>Engineering File</t>
        </is>
      </c>
      <c r="R271" s="53" t="inlineStr">
        <is>
          <t>Submit and review the named deliverable with RTM traceability and approval status; Document review, inspection, certification, audit or traceable QC record</t>
        </is>
      </c>
      <c r="S271" s="53" t="inlineStr">
        <is>
          <t>L1 Conceptual Design; L2 Detailed Design</t>
        </is>
      </c>
      <c r="T271" s="53" t="inlineStr">
        <is>
          <t>Section/contract-derived reference; explicit deliverable/test wording</t>
        </is>
      </c>
      <c r="U271" s="62" t="inlineStr">
        <is>
          <t>TBD</t>
        </is>
      </c>
      <c r="V271" s="213" t="n"/>
      <c r="W271" s="53" t="n"/>
    </row>
    <row r="272" ht="92" customHeight="1">
      <c r="A272" s="60" t="n">
        <v>599</v>
      </c>
      <c r="B272" s="60" t="inlineStr">
        <is>
          <t>RTM-574</t>
        </is>
      </c>
      <c r="C272" s="89" t="inlineStr">
        <is>
          <t>PROJECT</t>
        </is>
      </c>
      <c r="D272" s="90" t="inlineStr">
        <is>
          <t>Documentation &amp; Compliance</t>
        </is>
      </c>
      <c r="E272" s="91" t="inlineStr">
        <is>
          <t>—</t>
        </is>
      </c>
      <c r="F272" s="60" t="inlineStr">
        <is>
          <t>Technical Documentation</t>
        </is>
      </c>
      <c r="G272" s="60" t="inlineStr">
        <is>
          <t>Not linked to an OFFER item</t>
        </is>
      </c>
      <c r="H272" s="60" t="inlineStr">
        <is>
          <t>T3 Contextual</t>
        </is>
      </c>
      <c r="I272" s="60" t="n">
        <v>19.3333</v>
      </c>
      <c r="J272" s="60" t="n">
        <v>17.1983</v>
      </c>
      <c r="K272" s="60" t="inlineStr">
        <is>
          <t>4.16.1</t>
        </is>
      </c>
      <c r="L272" s="60" t="inlineStr">
        <is>
          <t>Engineering File</t>
        </is>
      </c>
      <c r="M272" s="60" t="n">
        <v>111</v>
      </c>
      <c r="N272" s="60" t="inlineStr">
        <is>
          <t>Quality / Verifiability</t>
        </is>
      </c>
      <c r="O272" s="49" t="inlineStr">
        <is>
          <t>As part of the Engineering File, the Contractor shall provide the technical data and design datasheets of the critical components required to enable SCK CEN to model the complete cryogenic system, including the cryogenic plant, in simulations.</t>
        </is>
      </c>
      <c r="P272" s="49" t="inlineStr">
        <is>
          <t>None explicitly named in this RTM</t>
        </is>
      </c>
      <c r="Q272" s="49" t="inlineStr">
        <is>
          <t>Engineering File; Datasheet / technical specification</t>
        </is>
      </c>
      <c r="R272" s="49" t="inlineStr">
        <is>
          <t>Submit and review the named deliverable with RTM traceability and approval status; Document review, inspection, certification, audit or traceable QC record</t>
        </is>
      </c>
      <c r="S272" s="49" t="inlineStr">
        <is>
          <t>L1 Conceptual Design; L2 Detailed Design</t>
        </is>
      </c>
      <c r="T272" s="49" t="inlineStr">
        <is>
          <t>Section/contract-derived reference; explicit deliverable/test wording</t>
        </is>
      </c>
      <c r="U272" s="60" t="inlineStr">
        <is>
          <t>TBD</t>
        </is>
      </c>
      <c r="V272" s="213" t="n"/>
      <c r="W272" s="49" t="n"/>
    </row>
    <row r="273" ht="64" customHeight="1">
      <c r="A273" s="62" t="n">
        <v>600</v>
      </c>
      <c r="B273" s="62" t="inlineStr">
        <is>
          <t>RTM-577</t>
        </is>
      </c>
      <c r="C273" s="86" t="inlineStr">
        <is>
          <t>PROJECT</t>
        </is>
      </c>
      <c r="D273" s="87" t="inlineStr">
        <is>
          <t>Documentation &amp; Compliance</t>
        </is>
      </c>
      <c r="E273" s="88" t="inlineStr">
        <is>
          <t>—</t>
        </is>
      </c>
      <c r="F273" s="62" t="inlineStr">
        <is>
          <t>Technical Documentation</t>
        </is>
      </c>
      <c r="G273" s="62" t="inlineStr">
        <is>
          <t>Not linked to an OFFER item</t>
        </is>
      </c>
      <c r="H273" s="62" t="inlineStr">
        <is>
          <t>T3 Contextual</t>
        </is>
      </c>
      <c r="I273" s="62" t="n">
        <v>19.3333</v>
      </c>
      <c r="J273" s="62" t="n">
        <v>17.1983</v>
      </c>
      <c r="K273" s="62" t="inlineStr">
        <is>
          <t>4.16.3</t>
        </is>
      </c>
      <c r="L273" s="62" t="inlineStr">
        <is>
          <t>Installation File</t>
        </is>
      </c>
      <c r="M273" s="62" t="n">
        <v>112</v>
      </c>
      <c r="N273" s="62" t="inlineStr">
        <is>
          <t>Quality / Verifiability</t>
        </is>
      </c>
      <c r="O273" s="53" t="inlineStr">
        <is>
          <t>The Contractor shall produce an Installation File. The File shall differentiate between,</t>
        </is>
      </c>
      <c r="P273" s="53" t="inlineStr">
        <is>
          <t>None explicitly named in this RTM</t>
        </is>
      </c>
      <c r="Q273" s="53" t="inlineStr">
        <is>
          <t>Installation File</t>
        </is>
      </c>
      <c r="R273" s="53" t="inlineStr">
        <is>
          <t>Submit and review the named deliverable with RTM traceability and approval status; Document review, inspection, certification, audit or traceable QC record</t>
        </is>
      </c>
      <c r="S273" s="53" t="inlineStr">
        <is>
          <t>L4 Installation; L1 Conceptual Design; L2 Detailed Design</t>
        </is>
      </c>
      <c r="T273" s="53" t="inlineStr">
        <is>
          <t>Section/contract-derived reference; explicit deliverable/test wording</t>
        </is>
      </c>
      <c r="U273" s="62" t="inlineStr">
        <is>
          <t>TBD</t>
        </is>
      </c>
      <c r="V273" s="213" t="n"/>
      <c r="W273" s="53" t="n"/>
    </row>
    <row r="274" ht="64" customHeight="1">
      <c r="A274" s="60" t="n">
        <v>601</v>
      </c>
      <c r="B274" s="60" t="inlineStr">
        <is>
          <t>RTM-579</t>
        </is>
      </c>
      <c r="C274" s="89" t="inlineStr">
        <is>
          <t>PROJECT</t>
        </is>
      </c>
      <c r="D274" s="90" t="inlineStr">
        <is>
          <t>Documentation &amp; Compliance</t>
        </is>
      </c>
      <c r="E274" s="91" t="inlineStr">
        <is>
          <t>—</t>
        </is>
      </c>
      <c r="F274" s="60" t="inlineStr">
        <is>
          <t>Technical Documentation</t>
        </is>
      </c>
      <c r="G274" s="60" t="inlineStr">
        <is>
          <t>Not linked to an OFFER item</t>
        </is>
      </c>
      <c r="H274" s="60" t="inlineStr">
        <is>
          <t>T3 Contextual</t>
        </is>
      </c>
      <c r="I274" s="60" t="n">
        <v>19.3333</v>
      </c>
      <c r="J274" s="60" t="n">
        <v>17.1983</v>
      </c>
      <c r="K274" s="60" t="inlineStr">
        <is>
          <t>4.16.3</t>
        </is>
      </c>
      <c r="L274" s="60" t="inlineStr">
        <is>
          <t>Installation File</t>
        </is>
      </c>
      <c r="M274" s="60" t="n">
        <v>112</v>
      </c>
      <c r="N274" s="60" t="inlineStr">
        <is>
          <t>Quality / Verifiability</t>
        </is>
      </c>
      <c r="O274" s="49" t="inlineStr">
        <is>
          <t>The Contractor shall add their “Health, Safety and Environmental Plan” to the Installation File.</t>
        </is>
      </c>
      <c r="P274" s="49" t="inlineStr">
        <is>
          <t>None explicitly named in this RTM</t>
        </is>
      </c>
      <c r="Q274" s="49" t="inlineStr">
        <is>
          <t>Installation File</t>
        </is>
      </c>
      <c r="R274" s="49" t="inlineStr">
        <is>
          <t>Submit and review the named deliverable with RTM traceability and approval status; Document review, inspection, certification, audit or traceable QC record</t>
        </is>
      </c>
      <c r="S274" s="49" t="inlineStr">
        <is>
          <t>L4 Installation; L1 Conceptual Design; L2 Detailed Design</t>
        </is>
      </c>
      <c r="T274" s="49" t="inlineStr">
        <is>
          <t>Section/contract-derived reference; explicit deliverable/test wording</t>
        </is>
      </c>
      <c r="U274" s="60" t="inlineStr">
        <is>
          <t>TBD</t>
        </is>
      </c>
      <c r="V274" s="213" t="n"/>
      <c r="W274" s="49" t="n"/>
    </row>
    <row r="275" ht="64" customHeight="1">
      <c r="A275" s="62" t="n">
        <v>602</v>
      </c>
      <c r="B275" s="62" t="inlineStr">
        <is>
          <t>RTM-592</t>
        </is>
      </c>
      <c r="C275" s="86" t="inlineStr">
        <is>
          <t>PROJECT</t>
        </is>
      </c>
      <c r="D275" s="87" t="inlineStr">
        <is>
          <t>Documentation &amp; Compliance</t>
        </is>
      </c>
      <c r="E275" s="88" t="inlineStr">
        <is>
          <t>—</t>
        </is>
      </c>
      <c r="F275" s="62" t="inlineStr">
        <is>
          <t>Technical Documentation</t>
        </is>
      </c>
      <c r="G275" s="62" t="inlineStr">
        <is>
          <t>Not linked to an OFFER item</t>
        </is>
      </c>
      <c r="H275" s="62" t="inlineStr">
        <is>
          <t>T3 Contextual</t>
        </is>
      </c>
      <c r="I275" s="62" t="n">
        <v>19.3333</v>
      </c>
      <c r="J275" s="62" t="n">
        <v>17.1983</v>
      </c>
      <c r="K275" s="62" t="inlineStr">
        <is>
          <t>4.16.10</t>
        </is>
      </c>
      <c r="L275" s="62" t="inlineStr">
        <is>
          <t>Technical File</t>
        </is>
      </c>
      <c r="M275" s="62" t="n">
        <v>114</v>
      </c>
      <c r="N275" s="62" t="inlineStr">
        <is>
          <t>Quality / Verifiability</t>
        </is>
      </c>
      <c r="O275" s="53" t="inlineStr">
        <is>
          <t>The Contractor shall provide Technical Files in accordance with §9.1.</t>
        </is>
      </c>
      <c r="P275" s="53" t="inlineStr">
        <is>
          <t>None explicitly named in this RTM</t>
        </is>
      </c>
      <c r="Q275" s="53" t="inlineStr">
        <is>
          <t>Technical File</t>
        </is>
      </c>
      <c r="R275" s="53" t="inlineStr">
        <is>
          <t>Submit and review the named deliverable with RTM traceability and approval status; Document review, inspection, certification, audit or traceable QC record</t>
        </is>
      </c>
      <c r="S275" s="53" t="inlineStr">
        <is>
          <t>L1 Conceptual Design; L2 Detailed Design</t>
        </is>
      </c>
      <c r="T275" s="53" t="inlineStr">
        <is>
          <t>Section/contract-derived reference; explicit deliverable/test wording</t>
        </is>
      </c>
      <c r="U275" s="62" t="inlineStr">
        <is>
          <t>TBD</t>
        </is>
      </c>
      <c r="V275" s="213" t="n"/>
      <c r="W275" s="53" t="n"/>
    </row>
    <row r="276" ht="64" customHeight="1">
      <c r="A276" s="60" t="n">
        <v>603</v>
      </c>
      <c r="B276" s="60" t="inlineStr">
        <is>
          <t>RTM-593</t>
        </is>
      </c>
      <c r="C276" s="89" t="inlineStr">
        <is>
          <t>PROJECT</t>
        </is>
      </c>
      <c r="D276" s="90" t="inlineStr">
        <is>
          <t>Documentation &amp; Compliance</t>
        </is>
      </c>
      <c r="E276" s="91" t="inlineStr">
        <is>
          <t>—</t>
        </is>
      </c>
      <c r="F276" s="60" t="inlineStr">
        <is>
          <t>Technical Documentation</t>
        </is>
      </c>
      <c r="G276" s="60" t="inlineStr">
        <is>
          <t>Not linked to an OFFER item</t>
        </is>
      </c>
      <c r="H276" s="60" t="inlineStr">
        <is>
          <t>T3 Contextual</t>
        </is>
      </c>
      <c r="I276" s="60" t="n">
        <v>19.3333</v>
      </c>
      <c r="J276" s="60" t="n">
        <v>17.1983</v>
      </c>
      <c r="K276" s="60" t="inlineStr">
        <is>
          <t>4.16.11</t>
        </is>
      </c>
      <c r="L276" s="60" t="inlineStr">
        <is>
          <t>VLAREM Technical File</t>
        </is>
      </c>
      <c r="M276" s="60" t="n">
        <v>114</v>
      </c>
      <c r="N276" s="60" t="inlineStr">
        <is>
          <t>Quality / Verifiability</t>
        </is>
      </c>
      <c r="O276" s="49" t="inlineStr">
        <is>
          <t>The Contractor shall provide the VLAREM Technical File in accordance with VLAREM II (§9.1).</t>
        </is>
      </c>
      <c r="P276" s="49" t="inlineStr">
        <is>
          <t>VLAREM II</t>
        </is>
      </c>
      <c r="Q276" s="49" t="inlineStr">
        <is>
          <t>Technical File; VLAREM Technical File</t>
        </is>
      </c>
      <c r="R276" s="49" t="inlineStr">
        <is>
          <t>Submit and review the named deliverable with RTM traceability and approval status; Document review, inspection, certification, audit or traceable QC record</t>
        </is>
      </c>
      <c r="S276" s="49" t="inlineStr">
        <is>
          <t>L1 Conceptual Design; L2 Detailed Design</t>
        </is>
      </c>
      <c r="T276" s="49" t="inlineStr">
        <is>
          <t>Explicit/table-grounded standard; explicit deliverable/test wording</t>
        </is>
      </c>
      <c r="U276" s="60" t="inlineStr">
        <is>
          <t>TBD</t>
        </is>
      </c>
      <c r="V276" s="213" t="n"/>
      <c r="W276" s="49" t="n"/>
    </row>
    <row r="277" ht="64" customHeight="1">
      <c r="A277" s="62" t="n">
        <v>605</v>
      </c>
      <c r="B277" s="62" t="inlineStr">
        <is>
          <t>RTM-438</t>
        </is>
      </c>
      <c r="C277" s="86" t="inlineStr">
        <is>
          <t>SYSTEM</t>
        </is>
      </c>
      <c r="D277" s="87" t="inlineStr">
        <is>
          <t>Performance</t>
        </is>
      </c>
      <c r="E277" s="88" t="inlineStr">
        <is>
          <t>—</t>
        </is>
      </c>
      <c r="F277" s="62" t="inlineStr">
        <is>
          <t>Design &amp; Fabrication</t>
        </is>
      </c>
      <c r="G277" s="92" t="inlineStr">
        <is>
          <t>Inferred: C5 — Infrastructure &amp; Integration (medium conf.)</t>
        </is>
      </c>
      <c r="H277" s="62" t="inlineStr">
        <is>
          <t>T3 Contextual</t>
        </is>
      </c>
      <c r="I277" s="62" t="n">
        <v>18.6667</v>
      </c>
      <c r="J277" s="62" t="n">
        <v>14.2857</v>
      </c>
      <c r="K277" s="62" t="inlineStr">
        <is>
          <t>4.8.1</t>
        </is>
      </c>
      <c r="L277" s="62" t="inlineStr">
        <is>
          <t>Drawings and CAD models</t>
        </is>
      </c>
      <c r="M277" s="62" t="n">
        <v>87</v>
      </c>
      <c r="N277" s="62" t="inlineStr">
        <is>
          <t>Functional</t>
        </is>
      </c>
      <c r="O277" s="53" t="inlineStr">
        <is>
          <t>The 3D model(s) shall be submitted in the following formats:</t>
        </is>
      </c>
      <c r="P277" s="53" t="inlineStr">
        <is>
          <t>ISO 10303-242; ISO 10303</t>
        </is>
      </c>
      <c r="Q277" s="53" t="inlineStr">
        <is>
          <t>3D / CAD Model</t>
        </is>
      </c>
      <c r="R277" s="53" t="inlineStr">
        <is>
          <t>Submit and review the named deliverable with RTM traceability and approval status; Document review, inspection, certification, audit or traceable QC record</t>
        </is>
      </c>
      <c r="S277" s="53" t="inlineStr">
        <is>
          <t>L1 Conceptual Design; L2 Detailed Design</t>
        </is>
      </c>
      <c r="T277" s="53" t="inlineStr">
        <is>
          <t>Explicit/table-grounded standard; explicit deliverable/test wording</t>
        </is>
      </c>
      <c r="U277" s="62" t="inlineStr">
        <is>
          <t>TBD</t>
        </is>
      </c>
      <c r="V277" s="213" t="n"/>
      <c r="W277" s="53" t="n"/>
    </row>
    <row r="278" ht="64" customHeight="1">
      <c r="A278" s="60" t="n">
        <v>608</v>
      </c>
      <c r="B278" s="60" t="inlineStr">
        <is>
          <t>RTM-445</t>
        </is>
      </c>
      <c r="C278" s="89" t="inlineStr">
        <is>
          <t>SYSTEM</t>
        </is>
      </c>
      <c r="D278" s="90" t="inlineStr">
        <is>
          <t>Performance</t>
        </is>
      </c>
      <c r="E278" s="91" t="inlineStr">
        <is>
          <t>—</t>
        </is>
      </c>
      <c r="F278" s="60" t="inlineStr">
        <is>
          <t>Design &amp; Fabrication</t>
        </is>
      </c>
      <c r="G278" s="60" t="inlineStr">
        <is>
          <t>C5 — Infrastructure &amp; Integration</t>
        </is>
      </c>
      <c r="H278" s="60" t="inlineStr">
        <is>
          <t>T3 Contextual</t>
        </is>
      </c>
      <c r="I278" s="60" t="n">
        <v>18.6667</v>
      </c>
      <c r="J278" s="60" t="n">
        <v>14.2857</v>
      </c>
      <c r="K278" s="60" t="inlineStr">
        <is>
          <t>4.8.1.2</t>
        </is>
      </c>
      <c r="L278" s="60" t="inlineStr">
        <is>
          <t>CAD Models with Intellectual Property</t>
        </is>
      </c>
      <c r="M278" s="60" t="n">
        <v>88</v>
      </c>
      <c r="N278" s="60" t="inlineStr">
        <is>
          <t>Functional</t>
        </is>
      </c>
      <c r="O278" s="49" t="inlineStr">
        <is>
          <t>Without prejudice to the provisions on IP, in case the CAD model would contain IP content that the Contractor does not wish to share with other parties than SCK CEN:</t>
        </is>
      </c>
      <c r="P278" s="49" t="inlineStr">
        <is>
          <t>None explicitly named in this RTM</t>
        </is>
      </c>
      <c r="Q278" s="49" t="inlineStr">
        <is>
          <t>3D / CAD Model</t>
        </is>
      </c>
      <c r="R278" s="49" t="inlineStr">
        <is>
          <t>Submit and review the named deliverable with RTM traceability and approval status; Document review, inspection, certification, audit or traceable QC record</t>
        </is>
      </c>
      <c r="S278" s="49" t="inlineStr">
        <is>
          <t>L1 Conceptual Design; L2 Detailed Design</t>
        </is>
      </c>
      <c r="T278" s="49" t="inlineStr">
        <is>
          <t>Section/contract-derived reference; explicit deliverable/test wording</t>
        </is>
      </c>
      <c r="U278" s="60" t="inlineStr">
        <is>
          <t>TBD</t>
        </is>
      </c>
      <c r="V278" s="213" t="n"/>
      <c r="W278" s="49" t="n"/>
    </row>
    <row r="279" ht="92" customHeight="1">
      <c r="A279" s="62" t="n">
        <v>610</v>
      </c>
      <c r="B279" s="62" t="inlineStr">
        <is>
          <t>RTM-447</t>
        </is>
      </c>
      <c r="C279" s="86" t="inlineStr">
        <is>
          <t>SYSTEM</t>
        </is>
      </c>
      <c r="D279" s="87" t="inlineStr">
        <is>
          <t>Performance</t>
        </is>
      </c>
      <c r="E279" s="88" t="inlineStr">
        <is>
          <t>—</t>
        </is>
      </c>
      <c r="F279" s="62" t="inlineStr">
        <is>
          <t>Design &amp; Fabrication</t>
        </is>
      </c>
      <c r="G279" s="62" t="inlineStr">
        <is>
          <t>C5 — Infrastructure &amp; Integration</t>
        </is>
      </c>
      <c r="H279" s="62" t="inlineStr">
        <is>
          <t>T3 Contextual</t>
        </is>
      </c>
      <c r="I279" s="62" t="n">
        <v>18.6667</v>
      </c>
      <c r="J279" s="62" t="n">
        <v>14.2857</v>
      </c>
      <c r="K279" s="62" t="inlineStr">
        <is>
          <t>4.8.1.2</t>
        </is>
      </c>
      <c r="L279" s="62" t="inlineStr">
        <is>
          <t>CAD Models with Intellectual Property</t>
        </is>
      </c>
      <c r="M279" s="62" t="n">
        <v>89</v>
      </c>
      <c r="N279" s="62" t="inlineStr">
        <is>
          <t>Functional</t>
        </is>
      </c>
      <c r="O279" s="53" t="inlineStr">
        <is>
          <t>The Contractor shall establish and maintain a 3D-model management platform (e.g. Autodesk BIM 360 Docs or an equivalent system approved by SCK CEN) for the controlled exchange, review, and version tracking of all 3D CAD models and related 2D drawings.</t>
        </is>
      </c>
      <c r="P279" s="53" t="inlineStr">
        <is>
          <t>None explicitly named in this RTM</t>
        </is>
      </c>
      <c r="Q279" s="53" t="inlineStr">
        <is>
          <t>3D / CAD Model; Drawing / diagram</t>
        </is>
      </c>
      <c r="R279" s="53" t="inlineStr">
        <is>
          <t>Submit and review the named deliverable with RTM traceability and approval status; Functional design/configuration review and sequence/interface demonstration; Document review, inspection, certification, audit or traceable QC record</t>
        </is>
      </c>
      <c r="S279" s="53" t="inlineStr">
        <is>
          <t>L1 Conceptual Design; L2 Detailed Design</t>
        </is>
      </c>
      <c r="T279" s="53" t="inlineStr">
        <is>
          <t>Section/contract-derived reference; explicit deliverable/test wording</t>
        </is>
      </c>
      <c r="U279" s="62" t="inlineStr">
        <is>
          <t>TBD</t>
        </is>
      </c>
      <c r="V279" s="213" t="n"/>
      <c r="W279" s="53" t="n"/>
    </row>
    <row r="280" ht="92" customHeight="1">
      <c r="A280" s="60" t="n">
        <v>612</v>
      </c>
      <c r="B280" s="60" t="inlineStr">
        <is>
          <t>RTM-449</t>
        </is>
      </c>
      <c r="C280" s="89" t="inlineStr">
        <is>
          <t>SYSTEM</t>
        </is>
      </c>
      <c r="D280" s="90" t="inlineStr">
        <is>
          <t>Performance</t>
        </is>
      </c>
      <c r="E280" s="91" t="inlineStr">
        <is>
          <t>—</t>
        </is>
      </c>
      <c r="F280" s="60" t="inlineStr">
        <is>
          <t>Design &amp; Fabrication</t>
        </is>
      </c>
      <c r="G280" s="60" t="inlineStr">
        <is>
          <t>C5 — Infrastructure &amp; Integration</t>
        </is>
      </c>
      <c r="H280" s="60" t="inlineStr">
        <is>
          <t>T3 Contextual</t>
        </is>
      </c>
      <c r="I280" s="60" t="n">
        <v>18.6667</v>
      </c>
      <c r="J280" s="60" t="n">
        <v>14.2857</v>
      </c>
      <c r="K280" s="60" t="inlineStr">
        <is>
          <t>4.8.1.2</t>
        </is>
      </c>
      <c r="L280" s="60" t="inlineStr">
        <is>
          <t>CAD Models with Intellectual Property</t>
        </is>
      </c>
      <c r="M280" s="60" t="n">
        <v>89</v>
      </c>
      <c r="N280" s="60" t="inlineStr">
        <is>
          <t>Functional</t>
        </is>
      </c>
      <c r="O280" s="49" t="inlineStr">
        <is>
          <t>The Contractor should ensure that the 3D models and associated workflows are compatible with SCK CEN’s current digital engineering environment, which includes PTC Windchill, PTC Creo, Autodesk Revit, Autodesk Navisworks, and Autodesk Construction Cloud.</t>
        </is>
      </c>
      <c r="P280" s="49" t="inlineStr">
        <is>
          <t>None explicitly named in this RTM</t>
        </is>
      </c>
      <c r="Q280" s="49" t="inlineStr">
        <is>
          <t>3D / CAD Model</t>
        </is>
      </c>
      <c r="R280" s="49" t="inlineStr">
        <is>
          <t>Submit and review the named deliverable with RTM traceability and approval status; Document review, inspection, certification, audit or traceable QC record</t>
        </is>
      </c>
      <c r="S280" s="49" t="inlineStr">
        <is>
          <t>L1 Conceptual Design; L2 Detailed Design</t>
        </is>
      </c>
      <c r="T280" s="49" t="inlineStr">
        <is>
          <t>Section/contract-derived reference; explicit deliverable/test wording</t>
        </is>
      </c>
      <c r="U280" s="60" t="inlineStr">
        <is>
          <t>TBD</t>
        </is>
      </c>
      <c r="V280" s="213" t="n"/>
      <c r="W280" s="49" t="n"/>
    </row>
    <row r="281" ht="64" customHeight="1">
      <c r="A281" s="62" t="n">
        <v>614</v>
      </c>
      <c r="B281" s="62" t="inlineStr">
        <is>
          <t>RTM-452</t>
        </is>
      </c>
      <c r="C281" s="86" t="inlineStr">
        <is>
          <t>SYSTEM</t>
        </is>
      </c>
      <c r="D281" s="87" t="inlineStr">
        <is>
          <t>Performance</t>
        </is>
      </c>
      <c r="E281" s="88" t="inlineStr">
        <is>
          <t>—</t>
        </is>
      </c>
      <c r="F281" s="62" t="inlineStr">
        <is>
          <t>Design &amp; Fabrication</t>
        </is>
      </c>
      <c r="G281" s="92" t="inlineStr">
        <is>
          <t>Inferred: C5 — Infrastructure &amp; Integration (medium conf.)</t>
        </is>
      </c>
      <c r="H281" s="62" t="inlineStr">
        <is>
          <t>T3 Contextual</t>
        </is>
      </c>
      <c r="I281" s="62" t="n">
        <v>18.6667</v>
      </c>
      <c r="J281" s="62" t="n">
        <v>14.2857</v>
      </c>
      <c r="K281" s="62" t="inlineStr">
        <is>
          <t>4.8.3.1</t>
        </is>
      </c>
      <c r="L281" s="62" t="inlineStr">
        <is>
          <t>Material Requirements</t>
        </is>
      </c>
      <c r="M281" s="62" t="n">
        <v>89</v>
      </c>
      <c r="N281" s="62" t="inlineStr">
        <is>
          <t>Functional</t>
        </is>
      </c>
      <c r="O281" s="53" t="inlineStr">
        <is>
          <t>All materials shall be delivered with traceable certificates. This requirement applies, including but not limited to, the following:</t>
        </is>
      </c>
      <c r="P281" s="53" t="inlineStr">
        <is>
          <t>None explicitly named in this RTM</t>
        </is>
      </c>
      <c r="Q281" s="53" t="inlineStr">
        <is>
          <t>Certificate / calibration evidence</t>
        </is>
      </c>
      <c r="R281" s="53" t="inlineStr">
        <is>
          <t>Submit and review the named deliverable with RTM traceability and approval status; Document review, inspection, certification, audit or traceable QC record</t>
        </is>
      </c>
      <c r="S281" s="53" t="inlineStr">
        <is>
          <t>L1 Conceptual Design; L2 Detailed Design</t>
        </is>
      </c>
      <c r="T281" s="53" t="inlineStr">
        <is>
          <t>Section/contract-derived reference; explicit deliverable/test wording</t>
        </is>
      </c>
      <c r="U281" s="62" t="inlineStr">
        <is>
          <t>TBD</t>
        </is>
      </c>
      <c r="V281" s="213" t="n"/>
      <c r="W281" s="53" t="n"/>
    </row>
    <row r="282" ht="78" customHeight="1">
      <c r="A282" s="60" t="n">
        <v>618</v>
      </c>
      <c r="B282" s="60" t="inlineStr">
        <is>
          <t>RTM-457</t>
        </is>
      </c>
      <c r="C282" s="89" t="inlineStr">
        <is>
          <t>SYSTEM</t>
        </is>
      </c>
      <c r="D282" s="90" t="inlineStr">
        <is>
          <t>Performance</t>
        </is>
      </c>
      <c r="E282" s="91" t="inlineStr">
        <is>
          <t>—</t>
        </is>
      </c>
      <c r="F282" s="60" t="inlineStr">
        <is>
          <t>Design &amp; Fabrication</t>
        </is>
      </c>
      <c r="G282" s="85" t="inlineStr">
        <is>
          <t>Inferred: C5 — Infrastructure &amp; Integration (medium conf.)</t>
        </is>
      </c>
      <c r="H282" s="60" t="inlineStr">
        <is>
          <t>T3 Contextual</t>
        </is>
      </c>
      <c r="I282" s="60" t="n">
        <v>18.6667</v>
      </c>
      <c r="J282" s="60" t="n">
        <v>14.2857</v>
      </c>
      <c r="K282" s="60" t="inlineStr">
        <is>
          <t>4.8.4.1</t>
        </is>
      </c>
      <c r="L282" s="60" t="inlineStr">
        <is>
          <t>Certification and Qualification</t>
        </is>
      </c>
      <c r="M282" s="60" t="n">
        <v>90</v>
      </c>
      <c r="N282" s="60" t="inlineStr">
        <is>
          <t>Functional</t>
        </is>
      </c>
      <c r="O282" s="49" t="inlineStr">
        <is>
          <t>All operating modes for each type of welding shall be qualified according to EN ISO 15614-1. The Welding Process Qualification Record (WPQR) shall be included in the Manufacturing File.</t>
        </is>
      </c>
      <c r="P282" s="49" t="inlineStr">
        <is>
          <t>EN ISO 15614-1</t>
        </is>
      </c>
      <c r="Q282" s="49" t="inlineStr">
        <is>
          <t>Manufacturing File</t>
        </is>
      </c>
      <c r="R282" s="49" t="inlineStr">
        <is>
          <t>Submit and review the named deliverable with RTM traceability and approval status; Document review, inspection, certification, audit or traceable QC record</t>
        </is>
      </c>
      <c r="S282" s="49" t="inlineStr">
        <is>
          <t>L3 Procurement &amp; Manufacturing / FAT; L1 Conceptual Design; L2 Detailed Design</t>
        </is>
      </c>
      <c r="T282" s="49" t="inlineStr">
        <is>
          <t>Explicit/table-grounded standard; explicit deliverable/test wording</t>
        </is>
      </c>
      <c r="U282" s="60" t="inlineStr">
        <is>
          <t>TBD</t>
        </is>
      </c>
      <c r="V282" s="213" t="n"/>
      <c r="W282" s="49" t="n"/>
    </row>
    <row r="283" ht="92" customHeight="1">
      <c r="A283" s="62" t="n">
        <v>620</v>
      </c>
      <c r="B283" s="62" t="inlineStr">
        <is>
          <t>RTM-461</t>
        </is>
      </c>
      <c r="C283" s="86" t="inlineStr">
        <is>
          <t>SYSTEM</t>
        </is>
      </c>
      <c r="D283" s="87" t="inlineStr">
        <is>
          <t>Constraint</t>
        </is>
      </c>
      <c r="E283" s="88" t="inlineStr">
        <is>
          <t>—</t>
        </is>
      </c>
      <c r="F283" s="62" t="inlineStr">
        <is>
          <t>Design &amp; Fabrication</t>
        </is>
      </c>
      <c r="G283" s="92" t="inlineStr">
        <is>
          <t>Inferred: C5 — Infrastructure &amp; Integration (medium conf.)</t>
        </is>
      </c>
      <c r="H283" s="62" t="inlineStr">
        <is>
          <t>T3 Contextual</t>
        </is>
      </c>
      <c r="I283" s="62" t="n">
        <v>18.6667</v>
      </c>
      <c r="J283" s="62" t="n">
        <v>14.2857</v>
      </c>
      <c r="K283" s="62" t="inlineStr">
        <is>
          <t>4.8.4.2</t>
        </is>
      </c>
      <c r="L283" s="62" t="inlineStr">
        <is>
          <t>Welding procedures</t>
        </is>
      </c>
      <c r="M283" s="62" t="n">
        <v>91</v>
      </c>
      <c r="N283" s="62" t="inlineStr">
        <is>
          <t>Functional</t>
        </is>
      </c>
      <c r="O283" s="53" t="inlineStr">
        <is>
          <t>For the welding method, the Contractor shall adhere to the following requirements:</t>
        </is>
      </c>
      <c r="P283" s="53" t="inlineStr">
        <is>
          <t>EN 15614-1</t>
        </is>
      </c>
      <c r="Q283" s="53" t="inlineStr">
        <is>
          <t>Procedure / work instruction</t>
        </is>
      </c>
      <c r="R283" s="53" t="inlineStr">
        <is>
          <t>Submit and review the named deliverable with RTM traceability and approval status; Functional design/configuration review and sequence/interface demonstration; Document review, inspection, certification, audit or traceable QC record</t>
        </is>
      </c>
      <c r="S283" s="53" t="inlineStr">
        <is>
          <t>L1 Conceptual Design; L2 Detailed Design</t>
        </is>
      </c>
      <c r="T283" s="53" t="inlineStr">
        <is>
          <t>Explicit/table-grounded standard; explicit deliverable/test wording</t>
        </is>
      </c>
      <c r="U283" s="62" t="inlineStr">
        <is>
          <t>TBD</t>
        </is>
      </c>
      <c r="V283" s="213" t="n"/>
      <c r="W283" s="53" t="n"/>
    </row>
    <row r="284" ht="92" customHeight="1">
      <c r="A284" s="60" t="n">
        <v>634</v>
      </c>
      <c r="B284" s="60" t="inlineStr">
        <is>
          <t>RTM-615</t>
        </is>
      </c>
      <c r="C284" s="89" t="inlineStr">
        <is>
          <t>PROJECT</t>
        </is>
      </c>
      <c r="D284" s="90" t="inlineStr">
        <is>
          <t>Governance &amp; Responsibility</t>
        </is>
      </c>
      <c r="E284" s="91" t="inlineStr">
        <is>
          <t>—</t>
        </is>
      </c>
      <c r="F284" s="60" t="inlineStr">
        <is>
          <t>Schedule</t>
        </is>
      </c>
      <c r="G284" s="60" t="inlineStr">
        <is>
          <t>C8 — Commercial &amp; Execution</t>
        </is>
      </c>
      <c r="H284" s="60" t="inlineStr">
        <is>
          <t>T3 Contextual</t>
        </is>
      </c>
      <c r="I284" s="60" t="n">
        <v>18.3333</v>
      </c>
      <c r="J284" s="60" t="n">
        <v>12.1359</v>
      </c>
      <c r="K284" s="60" t="inlineStr">
        <is>
          <t>6.1.1</t>
        </is>
      </c>
      <c r="L284" s="60" t="inlineStr">
        <is>
          <t>Conceptual Design (L1)</t>
        </is>
      </c>
      <c r="M284" s="60" t="n">
        <v>118</v>
      </c>
      <c r="N284" s="60" t="inlineStr">
        <is>
          <t>Quality / Verifiability</t>
        </is>
      </c>
      <c r="O284" s="49" t="inlineStr">
        <is>
          <t>In this phase, the Contractor shall, at least, perform the following activities:</t>
        </is>
      </c>
      <c r="P284" s="49" t="inlineStr">
        <is>
          <t>None explicitly named in this RTM</t>
        </is>
      </c>
      <c r="Q284" s="49" t="inlineStr">
        <is>
          <t>Datasheet / technical specification</t>
        </is>
      </c>
      <c r="R284" s="49" t="inlineStr">
        <is>
          <t>Submit and review the named deliverable with RTM traceability and approval status; Document review, inspection, certification, audit or traceable QC record</t>
        </is>
      </c>
      <c r="S284" s="49" t="inlineStr">
        <is>
          <t>L1 Conceptual Design; L0 Tender / Offer; L2 Detailed Design; L3 Procurement &amp; Manufacturing / FAT; L4 Installation; L5 Standalone Commissioning; L6 Site Acceptance Testing</t>
        </is>
      </c>
      <c r="T284" s="49" t="inlineStr">
        <is>
          <t>Section/contract-derived reference; explicit deliverable/test wording</t>
        </is>
      </c>
      <c r="U284" s="60" t="inlineStr">
        <is>
          <t>TBD</t>
        </is>
      </c>
      <c r="V284" s="213" t="n"/>
      <c r="W284" s="49" t="n"/>
    </row>
    <row r="285" ht="78" customHeight="1">
      <c r="A285" s="62" t="n">
        <v>661</v>
      </c>
      <c r="B285" s="62" t="inlineStr">
        <is>
          <t>RTM-303</t>
        </is>
      </c>
      <c r="C285" s="86" t="inlineStr">
        <is>
          <t>SYSTEM</t>
        </is>
      </c>
      <c r="D285" s="87" t="inlineStr">
        <is>
          <t>Performance</t>
        </is>
      </c>
      <c r="E285" s="88" t="inlineStr">
        <is>
          <t>—</t>
        </is>
      </c>
      <c r="F285" s="62" t="inlineStr">
        <is>
          <t>Control &amp; Interlock</t>
        </is>
      </c>
      <c r="G285" s="92" t="inlineStr">
        <is>
          <t>Inferred: C4 — Software &amp; Control (high conf.)</t>
        </is>
      </c>
      <c r="H285" s="62" t="inlineStr">
        <is>
          <t>T3 Contextual</t>
        </is>
      </c>
      <c r="I285" s="62" t="n">
        <v>16</v>
      </c>
      <c r="J285" s="62" t="n">
        <v>6.38</v>
      </c>
      <c r="K285" s="62" t="inlineStr">
        <is>
          <t>4.6.3</t>
        </is>
      </c>
      <c r="L285" s="62" t="inlineStr">
        <is>
          <t>General requirements</t>
        </is>
      </c>
      <c r="M285" s="62" t="n">
        <v>72</v>
      </c>
      <c r="N285" s="62" t="inlineStr">
        <is>
          <t>Functional</t>
        </is>
      </c>
      <c r="O285" s="53" t="inlineStr">
        <is>
          <t>Where a Software Component can be upgraded, the QPS:CIS shall support an upgrade procedure which can be automated as script(s), without the need for an Internet connection. A list of required tools must be provided.</t>
        </is>
      </c>
      <c r="P285" s="53" t="inlineStr">
        <is>
          <t>None explicitly named in this RTM</t>
        </is>
      </c>
      <c r="Q285" s="53" t="inlineStr">
        <is>
          <t>Procedure / work instruction; List / register / matrix</t>
        </is>
      </c>
      <c r="R285" s="53" t="inlineStr">
        <is>
          <t>Submit and review the named deliverable with RTM traceability and approval status; Functional design/configuration review and sequence/interface demonstration</t>
        </is>
      </c>
      <c r="S285" s="53" t="inlineStr">
        <is>
          <t>L1 Conceptual Design; L2 Detailed Design</t>
        </is>
      </c>
      <c r="T285" s="53" t="inlineStr">
        <is>
          <t>Section/contract-derived reference; explicit deliverable/test wording</t>
        </is>
      </c>
      <c r="U285" s="62" t="inlineStr">
        <is>
          <t>TBD</t>
        </is>
      </c>
      <c r="V285" s="213" t="n"/>
      <c r="W285" s="53" t="n"/>
    </row>
    <row r="286" ht="64" customHeight="1">
      <c r="A286" s="60" t="n">
        <v>664</v>
      </c>
      <c r="B286" s="60" t="inlineStr">
        <is>
          <t>RTM-310</t>
        </is>
      </c>
      <c r="C286" s="89" t="inlineStr">
        <is>
          <t>SYSTEM</t>
        </is>
      </c>
      <c r="D286" s="90" t="inlineStr">
        <is>
          <t>Performance</t>
        </is>
      </c>
      <c r="E286" s="91" t="inlineStr">
        <is>
          <t>—</t>
        </is>
      </c>
      <c r="F286" s="60" t="inlineStr">
        <is>
          <t>Control &amp; Interlock</t>
        </is>
      </c>
      <c r="G286" s="85" t="inlineStr">
        <is>
          <t>Inferred: C4 — Software &amp; Control (high conf.)</t>
        </is>
      </c>
      <c r="H286" s="60" t="inlineStr">
        <is>
          <t>T3 Contextual</t>
        </is>
      </c>
      <c r="I286" s="60" t="n">
        <v>16</v>
      </c>
      <c r="J286" s="60" t="n">
        <v>6.38</v>
      </c>
      <c r="K286" s="60" t="inlineStr">
        <is>
          <t>4.6.4.2</t>
        </is>
      </c>
      <c r="L286" s="60" t="inlineStr">
        <is>
          <t>General</t>
        </is>
      </c>
      <c r="M286" s="60" t="n">
        <v>73</v>
      </c>
      <c r="N286" s="60" t="inlineStr">
        <is>
          <t>Functional</t>
        </is>
      </c>
      <c r="O286" s="49" t="inlineStr">
        <is>
          <t>The Contractor shall supply a detailed list of the network ports and protocols necessary for the correct functionality of their system and application as part of CIS Dossier.</t>
        </is>
      </c>
      <c r="P286" s="49" t="inlineStr">
        <is>
          <t>None explicitly named in this RTM</t>
        </is>
      </c>
      <c r="Q286" s="49" t="inlineStr">
        <is>
          <t>List / register / matrix</t>
        </is>
      </c>
      <c r="R286" s="49" t="inlineStr">
        <is>
          <t>Submit and review the named deliverable with RTM traceability and approval status</t>
        </is>
      </c>
      <c r="S286" s="49" t="inlineStr">
        <is>
          <t>L1 Conceptual Design; L2 Detailed Design</t>
        </is>
      </c>
      <c r="T286" s="49" t="inlineStr">
        <is>
          <t>Section/contract-derived reference; explicit deliverable/test wording</t>
        </is>
      </c>
      <c r="U286" s="60" t="inlineStr">
        <is>
          <t>TBD</t>
        </is>
      </c>
      <c r="V286" s="213" t="n"/>
      <c r="W286" s="49" t="n"/>
    </row>
    <row r="287" ht="106" customHeight="1">
      <c r="A287" s="62" t="n">
        <v>668</v>
      </c>
      <c r="B287" s="62" t="inlineStr">
        <is>
          <t>RTM-318</t>
        </is>
      </c>
      <c r="C287" s="86" t="inlineStr">
        <is>
          <t>SYSTEM</t>
        </is>
      </c>
      <c r="D287" s="87" t="inlineStr">
        <is>
          <t>Performance</t>
        </is>
      </c>
      <c r="E287" s="88" t="inlineStr">
        <is>
          <t>—</t>
        </is>
      </c>
      <c r="F287" s="62" t="inlineStr">
        <is>
          <t>Control &amp; Interlock</t>
        </is>
      </c>
      <c r="G287" s="92" t="inlineStr">
        <is>
          <t>Inferred: C4 — Software &amp; Control (high conf.)</t>
        </is>
      </c>
      <c r="H287" s="62" t="inlineStr">
        <is>
          <t>T3 Contextual</t>
        </is>
      </c>
      <c r="I287" s="62" t="n">
        <v>16</v>
      </c>
      <c r="J287" s="62" t="n">
        <v>6.38</v>
      </c>
      <c r="K287" s="62" t="inlineStr">
        <is>
          <t>4.6.4.3</t>
        </is>
      </c>
      <c r="L287" s="62" t="inlineStr">
        <is>
          <t>MIT Services Integration</t>
        </is>
      </c>
      <c r="M287" s="62" t="n">
        <v>74</v>
      </c>
      <c r="N287" s="62" t="inlineStr">
        <is>
          <t>Functional</t>
        </is>
      </c>
      <c r="O287" s="53" t="inlineStr">
        <is>
          <t>The Contractor shall provide a comprehensive list of all devices, including their respective MAC addresses, prior to configuring the network. This list is crucial for tracking and managing devices, especially when configuring static IP addresses or ensuring proper DHCP assignment.</t>
        </is>
      </c>
      <c r="P287" s="53" t="inlineStr">
        <is>
          <t>None explicitly named in this RTM</t>
        </is>
      </c>
      <c r="Q287" s="53" t="inlineStr">
        <is>
          <t>List / register / matrix</t>
        </is>
      </c>
      <c r="R287" s="53" t="inlineStr">
        <is>
          <t>Submit and review the named deliverable with RTM traceability and approval status</t>
        </is>
      </c>
      <c r="S287" s="53" t="inlineStr">
        <is>
          <t>L1 Conceptual Design; L2 Detailed Design</t>
        </is>
      </c>
      <c r="T287" s="53" t="inlineStr">
        <is>
          <t>Section/contract-derived reference; explicit deliverable/test wording</t>
        </is>
      </c>
      <c r="U287" s="62" t="inlineStr">
        <is>
          <t>TBD</t>
        </is>
      </c>
      <c r="V287" s="213" t="n"/>
      <c r="W287" s="53" t="n"/>
    </row>
    <row r="288" ht="134" customHeight="1">
      <c r="A288" s="60" t="n">
        <v>674</v>
      </c>
      <c r="B288" s="60" t="inlineStr">
        <is>
          <t>RTM-340</t>
        </is>
      </c>
      <c r="C288" s="89" t="inlineStr">
        <is>
          <t>SYSTEM</t>
        </is>
      </c>
      <c r="D288" s="90" t="inlineStr">
        <is>
          <t>Control</t>
        </is>
      </c>
      <c r="E288" s="91" t="inlineStr">
        <is>
          <t>—</t>
        </is>
      </c>
      <c r="F288" s="60" t="inlineStr">
        <is>
          <t>Control &amp; Interlock</t>
        </is>
      </c>
      <c r="G288" s="60" t="inlineStr">
        <is>
          <t>C4 — Software &amp; Control</t>
        </is>
      </c>
      <c r="H288" s="60" t="inlineStr">
        <is>
          <t>T3 Contextual</t>
        </is>
      </c>
      <c r="I288" s="60" t="n">
        <v>16</v>
      </c>
      <c r="J288" s="60" t="n">
        <v>6.38</v>
      </c>
      <c r="K288" s="60" t="inlineStr">
        <is>
          <t>4.6.7</t>
        </is>
      </c>
      <c r="L288" s="60" t="inlineStr">
        <is>
          <t>Software development</t>
        </is>
      </c>
      <c r="M288" s="60" t="n">
        <v>76</v>
      </c>
      <c r="N288" s="60" t="inlineStr">
        <is>
          <t>Functional</t>
        </is>
      </c>
      <c r="O288" s="49" t="inlineStr">
        <is>
          <t>The use of Instruction List (IL) is highly discouraged. Higher-level languages like Structured Text (ST) are highly recommended for better clarity, maintainability, and portability of PLC programs. Therefore, the Contractor is strongly advised to avoid new implementations in IL and to migrate any existing IL-based code to ST or other recommended IEC 61131-3 languages whenever possible.</t>
        </is>
      </c>
      <c r="P288" s="49" t="inlineStr">
        <is>
          <t>IEC 61131-3</t>
        </is>
      </c>
      <c r="Q288" s="49" t="inlineStr">
        <is>
          <t>List / register / matrix</t>
        </is>
      </c>
      <c r="R288" s="49" t="inlineStr">
        <is>
          <t>Submit and review the named deliverable with RTM traceability and approval status</t>
        </is>
      </c>
      <c r="S288" s="49" t="inlineStr">
        <is>
          <t>L1 Conceptual Design; L2 Detailed Design</t>
        </is>
      </c>
      <c r="T288" s="49" t="inlineStr">
        <is>
          <t>Explicit/table-grounded standard; explicit deliverable/test wording</t>
        </is>
      </c>
      <c r="U288" s="60" t="inlineStr">
        <is>
          <t>TBD</t>
        </is>
      </c>
      <c r="V288" s="213" t="n"/>
      <c r="W288" s="49" t="n"/>
    </row>
    <row r="289" ht="176" customHeight="1">
      <c r="A289" s="62" t="n">
        <v>676</v>
      </c>
      <c r="B289" s="62" t="inlineStr">
        <is>
          <t>RTM-342</t>
        </is>
      </c>
      <c r="C289" s="86" t="inlineStr">
        <is>
          <t>SYSTEM</t>
        </is>
      </c>
      <c r="D289" s="87" t="inlineStr">
        <is>
          <t>Control</t>
        </is>
      </c>
      <c r="E289" s="88" t="inlineStr">
        <is>
          <t>—</t>
        </is>
      </c>
      <c r="F289" s="62" t="inlineStr">
        <is>
          <t>Control &amp; Interlock</t>
        </is>
      </c>
      <c r="G289" s="62" t="inlineStr">
        <is>
          <t>C4 — Software &amp; Control</t>
        </is>
      </c>
      <c r="H289" s="62" t="inlineStr">
        <is>
          <t>T3 Contextual</t>
        </is>
      </c>
      <c r="I289" s="62" t="n">
        <v>16</v>
      </c>
      <c r="J289" s="62" t="n">
        <v>6.38</v>
      </c>
      <c r="K289" s="62" t="inlineStr">
        <is>
          <t>4.6.7</t>
        </is>
      </c>
      <c r="L289" s="62" t="inlineStr">
        <is>
          <t>Software development</t>
        </is>
      </c>
      <c r="M289" s="62" t="n">
        <v>76</v>
      </c>
      <c r="N289" s="62" t="inlineStr">
        <is>
          <t>Functional</t>
        </is>
      </c>
      <c r="O289" s="53" t="inlineStr">
        <is>
          <t>The Contractor shall develop a functional analysis and a detailed description of all control scenarios including interfaces. The detailed description shall also include a program sequence plan (functions and procedures used in the program). For each software module, functional block, component, or data block, the Contractor shall provide a detailed description of the logical conditions and input states that govern the activation, value assignment, or change of each output parameter.</t>
        </is>
      </c>
      <c r="P289" s="53" t="inlineStr">
        <is>
          <t>None explicitly named in this RTM</t>
        </is>
      </c>
      <c r="Q289" s="53" t="inlineStr">
        <is>
          <t>Procedure / work instruction</t>
        </is>
      </c>
      <c r="R289" s="53" t="inlineStr">
        <is>
          <t>Submit and review the named deliverable with RTM traceability and approval status; Functional design/configuration review and sequence/interface demonstration</t>
        </is>
      </c>
      <c r="S289" s="53" t="inlineStr">
        <is>
          <t>L1 Conceptual Design; L2 Detailed Design</t>
        </is>
      </c>
      <c r="T289" s="53" t="inlineStr">
        <is>
          <t>Section/contract-derived reference; explicit deliverable/test wording</t>
        </is>
      </c>
      <c r="U289" s="62" t="inlineStr">
        <is>
          <t>TBD</t>
        </is>
      </c>
      <c r="V289" s="213" t="n"/>
      <c r="W289" s="53" t="n"/>
    </row>
    <row r="290" ht="78" customHeight="1">
      <c r="A290" s="60" t="n">
        <v>679</v>
      </c>
      <c r="B290" s="60" t="inlineStr">
        <is>
          <t>RTM-353</t>
        </is>
      </c>
      <c r="C290" s="89" t="inlineStr">
        <is>
          <t>SYSTEM</t>
        </is>
      </c>
      <c r="D290" s="90" t="inlineStr">
        <is>
          <t>Performance</t>
        </is>
      </c>
      <c r="E290" s="91" t="inlineStr">
        <is>
          <t>—</t>
        </is>
      </c>
      <c r="F290" s="60" t="inlineStr">
        <is>
          <t>Control &amp; Interlock</t>
        </is>
      </c>
      <c r="G290" s="60" t="inlineStr">
        <is>
          <t>C4 — Software &amp; Control</t>
        </is>
      </c>
      <c r="H290" s="60" t="inlineStr">
        <is>
          <t>T3 Contextual</t>
        </is>
      </c>
      <c r="I290" s="60" t="n">
        <v>16</v>
      </c>
      <c r="J290" s="60" t="n">
        <v>6.38</v>
      </c>
      <c r="K290" s="60" t="inlineStr">
        <is>
          <t>4.6.8</t>
        </is>
      </c>
      <c r="L290" s="60" t="inlineStr">
        <is>
          <t>SCADA, HMI, and Data Historian Infrastructure</t>
        </is>
      </c>
      <c r="M290" s="60" t="n">
        <v>78</v>
      </c>
      <c r="N290" s="60" t="inlineStr">
        <is>
          <t>Functional</t>
        </is>
      </c>
      <c r="O290" s="49" t="inlineStr">
        <is>
          <t>The HMI shall be designed to allow migration to newer hardware from the same manufacturer, ensuring compatibility of project files, software licenses, and configuration transfer procedures.</t>
        </is>
      </c>
      <c r="P290" s="49" t="inlineStr">
        <is>
          <t>None explicitly named in this RTM</t>
        </is>
      </c>
      <c r="Q290" s="49" t="inlineStr">
        <is>
          <t>Procedure / work instruction</t>
        </is>
      </c>
      <c r="R290" s="49" t="inlineStr">
        <is>
          <t>Submit and review the named deliverable with RTM traceability and approval status; Functional design/configuration review and sequence/interface demonstration</t>
        </is>
      </c>
      <c r="S290" s="49" t="inlineStr">
        <is>
          <t>L1 Conceptual Design; L2 Detailed Design</t>
        </is>
      </c>
      <c r="T290" s="49" t="inlineStr">
        <is>
          <t>Section/contract-derived reference; explicit deliverable/test wording</t>
        </is>
      </c>
      <c r="U290" s="60" t="inlineStr">
        <is>
          <t>TBD</t>
        </is>
      </c>
      <c r="V290" s="213" t="n"/>
      <c r="W290" s="49" t="n"/>
    </row>
    <row r="291" ht="64" customHeight="1">
      <c r="A291" s="62" t="n">
        <v>686</v>
      </c>
      <c r="B291" s="62" t="inlineStr">
        <is>
          <t>RTM-366</t>
        </is>
      </c>
      <c r="C291" s="86" t="inlineStr">
        <is>
          <t>SYSTEM</t>
        </is>
      </c>
      <c r="D291" s="87" t="inlineStr">
        <is>
          <t>Performance</t>
        </is>
      </c>
      <c r="E291" s="88" t="inlineStr">
        <is>
          <t>—</t>
        </is>
      </c>
      <c r="F291" s="62" t="inlineStr">
        <is>
          <t>Control &amp; Interlock</t>
        </is>
      </c>
      <c r="G291" s="62" t="inlineStr">
        <is>
          <t>C4 — Software &amp; Control</t>
        </is>
      </c>
      <c r="H291" s="62" t="inlineStr">
        <is>
          <t>T3 Contextual</t>
        </is>
      </c>
      <c r="I291" s="62" t="n">
        <v>16</v>
      </c>
      <c r="J291" s="62" t="n">
        <v>6.38</v>
      </c>
      <c r="K291" s="62" t="inlineStr">
        <is>
          <t>4.6.8</t>
        </is>
      </c>
      <c r="L291" s="62" t="inlineStr">
        <is>
          <t>SCADA, HMI, and Data Historian Infrastructure</t>
        </is>
      </c>
      <c r="M291" s="62" t="n">
        <v>78</v>
      </c>
      <c r="N291" s="62" t="inlineStr">
        <is>
          <t>Functional</t>
        </is>
      </c>
      <c r="O291" s="53" t="inlineStr">
        <is>
          <t>Graphical views shall be consistent with the Process &amp; Instrumentation Diagrams to ensure intuitive operation.</t>
        </is>
      </c>
      <c r="P291" s="53" t="inlineStr">
        <is>
          <t>None explicitly named in this RTM</t>
        </is>
      </c>
      <c r="Q291" s="53" t="inlineStr">
        <is>
          <t>Drawing / diagram</t>
        </is>
      </c>
      <c r="R291" s="53" t="inlineStr">
        <is>
          <t>Submit and review the named deliverable with RTM traceability and approval status</t>
        </is>
      </c>
      <c r="S291" s="53" t="inlineStr">
        <is>
          <t>L1 Conceptual Design; L2 Detailed Design</t>
        </is>
      </c>
      <c r="T291" s="53" t="inlineStr">
        <is>
          <t>Section/contract-derived reference; explicit deliverable/test wording</t>
        </is>
      </c>
      <c r="U291" s="62" t="inlineStr">
        <is>
          <t>TBD</t>
        </is>
      </c>
      <c r="V291" s="213" t="n"/>
      <c r="W291" s="53" t="n"/>
    </row>
    <row r="292" ht="78" customHeight="1">
      <c r="A292" s="60" t="n">
        <v>692</v>
      </c>
      <c r="B292" s="60" t="inlineStr">
        <is>
          <t>RTM-378</t>
        </is>
      </c>
      <c r="C292" s="89" t="inlineStr">
        <is>
          <t>SYSTEM</t>
        </is>
      </c>
      <c r="D292" s="90" t="inlineStr">
        <is>
          <t>Performance</t>
        </is>
      </c>
      <c r="E292" s="91" t="inlineStr">
        <is>
          <t>—</t>
        </is>
      </c>
      <c r="F292" s="60" t="inlineStr">
        <is>
          <t>Control &amp; Interlock</t>
        </is>
      </c>
      <c r="G292" s="85" t="inlineStr">
        <is>
          <t>Inferred: C4 — Software &amp; Control (high conf.)</t>
        </is>
      </c>
      <c r="H292" s="60" t="inlineStr">
        <is>
          <t>T3 Contextual</t>
        </is>
      </c>
      <c r="I292" s="60" t="n">
        <v>16</v>
      </c>
      <c r="J292" s="60" t="n">
        <v>6.38</v>
      </c>
      <c r="K292" s="60" t="inlineStr">
        <is>
          <t>4.6.10.3</t>
        </is>
      </c>
      <c r="L292" s="60" t="inlineStr">
        <is>
          <t>Interfaces with MIT</t>
        </is>
      </c>
      <c r="M292" s="60" t="n">
        <v>79</v>
      </c>
      <c r="N292" s="60" t="inlineStr">
        <is>
          <t>Functional</t>
        </is>
      </c>
      <c r="O292" s="49" t="inlineStr">
        <is>
          <t>Logs can be encrypted during transport if the security classification of the data permits this, but in this case the decryption procedure and required secret(s) need to be provided.</t>
        </is>
      </c>
      <c r="P292" s="49" t="inlineStr">
        <is>
          <t>None explicitly named in this RTM</t>
        </is>
      </c>
      <c r="Q292" s="49" t="inlineStr">
        <is>
          <t>Procedure / work instruction</t>
        </is>
      </c>
      <c r="R292" s="49" t="inlineStr">
        <is>
          <t>Submit and review the named deliverable with RTM traceability and approval status; Functional design/configuration review and sequence/interface demonstration</t>
        </is>
      </c>
      <c r="S292" s="49" t="inlineStr">
        <is>
          <t>L1 Conceptual Design; L2 Detailed Design</t>
        </is>
      </c>
      <c r="T292" s="49" t="inlineStr">
        <is>
          <t>Section/contract-derived reference; explicit deliverable/test wording</t>
        </is>
      </c>
      <c r="U292" s="60" t="inlineStr">
        <is>
          <t>TBD</t>
        </is>
      </c>
      <c r="V292" s="213" t="n"/>
      <c r="W292" s="49" t="n"/>
    </row>
    <row r="293" ht="92" customHeight="1">
      <c r="A293" s="62" t="n">
        <v>709</v>
      </c>
      <c r="B293" s="62" t="inlineStr">
        <is>
          <t>RTM-628</t>
        </is>
      </c>
      <c r="C293" s="86" t="inlineStr">
        <is>
          <t>PROJECT</t>
        </is>
      </c>
      <c r="D293" s="87" t="inlineStr">
        <is>
          <t>Documentation &amp; Compliance</t>
        </is>
      </c>
      <c r="E293" s="88" t="inlineStr">
        <is>
          <t>—</t>
        </is>
      </c>
      <c r="F293" s="62" t="inlineStr">
        <is>
          <t>Contract Performance</t>
        </is>
      </c>
      <c r="G293" s="92" t="inlineStr">
        <is>
          <t>Inferred: C8 — Commercial &amp; Execution (medium conf.)</t>
        </is>
      </c>
      <c r="H293" s="62" t="inlineStr">
        <is>
          <t>T3 Contextual</t>
        </is>
      </c>
      <c r="I293" s="62" t="n">
        <v>12</v>
      </c>
      <c r="J293" s="62" t="n">
        <v>2.1498</v>
      </c>
      <c r="K293" s="62" t="inlineStr">
        <is>
          <t>7.2</t>
        </is>
      </c>
      <c r="L293" s="62" t="inlineStr">
        <is>
          <t>Communication</t>
        </is>
      </c>
      <c r="M293" s="62" t="n">
        <v>121</v>
      </c>
      <c r="N293" s="62" t="inlineStr">
        <is>
          <t>Safety / Legal</t>
        </is>
      </c>
      <c r="O293" s="53" t="inlineStr">
        <is>
          <t>If the Contractor anticipates any delays or difficulties in meeting the schedule, planned deliveries or any other milestone within its offer, it shall promptly notify SCK CEN.</t>
        </is>
      </c>
      <c r="P293" s="53" t="inlineStr">
        <is>
          <t>None explicitly named in this RTM</t>
        </is>
      </c>
      <c r="Q293" s="53" t="inlineStr">
        <is>
          <t>Schedule / milestone plan</t>
        </is>
      </c>
      <c r="R293" s="53" t="inlineStr">
        <is>
          <t>Submit and review the named deliverable with RTM traceability and approval status</t>
        </is>
      </c>
      <c r="S293" s="53" t="inlineStr">
        <is>
          <t>L0 Tender / Offer; L1 Conceptual Design; L2 Detailed Design; L3 Procurement &amp; Manufacturing / FAT; L4 Installation; L5 Standalone Commissioning; L6 Site Acceptance Testing</t>
        </is>
      </c>
      <c r="T293" s="53" t="inlineStr">
        <is>
          <t>Section/contract-derived reference; explicit deliverable/test wording</t>
        </is>
      </c>
      <c r="U293" s="62" t="inlineStr">
        <is>
          <t>TBD</t>
        </is>
      </c>
      <c r="V293" s="213" t="n"/>
      <c r="W293" s="53" t="n"/>
    </row>
    <row r="294" ht="134" customHeight="1">
      <c r="A294" s="60" t="n">
        <v>710</v>
      </c>
      <c r="B294" s="60" t="inlineStr">
        <is>
          <t>RTM-640</t>
        </is>
      </c>
      <c r="C294" s="89" t="inlineStr">
        <is>
          <t>PROJECT</t>
        </is>
      </c>
      <c r="D294" s="90" t="inlineStr">
        <is>
          <t>Documentation &amp; Compliance</t>
        </is>
      </c>
      <c r="E294" s="91" t="inlineStr">
        <is>
          <t>—</t>
        </is>
      </c>
      <c r="F294" s="60" t="inlineStr">
        <is>
          <t>Contract Performance</t>
        </is>
      </c>
      <c r="G294" s="60" t="inlineStr">
        <is>
          <t>C7 — Quality, Testing &amp; Risk</t>
        </is>
      </c>
      <c r="H294" s="60" t="inlineStr">
        <is>
          <t>T3 Contextual</t>
        </is>
      </c>
      <c r="I294" s="60" t="n">
        <v>12</v>
      </c>
      <c r="J294" s="60" t="n">
        <v>2.1498</v>
      </c>
      <c r="K294" s="60" t="inlineStr">
        <is>
          <t>7.5</t>
        </is>
      </c>
      <c r="L294" s="60" t="inlineStr">
        <is>
          <t>Risk Assessment &amp; Management Plan</t>
        </is>
      </c>
      <c r="M294" s="60" t="n">
        <v>123</v>
      </c>
      <c r="N294" s="60" t="inlineStr">
        <is>
          <t>Safety / Legal</t>
        </is>
      </c>
      <c r="O294" s="49" t="inlineStr">
        <is>
          <t>During contract execution, the Contractor shall detail, complete, and continuously maintain the Risk Assessment &amp; Management Plan. The Contractor shall continuously monitor, identify, and document any new risks that might threaten the successful completion of the Contract in any way. The Contractor shall duly implement the mitigation strategy in accordance with this plan.</t>
        </is>
      </c>
      <c r="P294" s="49" t="inlineStr">
        <is>
          <t>None explicitly named in this RTM</t>
        </is>
      </c>
      <c r="Q294" s="49" t="inlineStr">
        <is>
          <t>Risk Assessment / HAZOP / FMECA</t>
        </is>
      </c>
      <c r="R294" s="49" t="inlineStr">
        <is>
          <t>Submit and review the named deliverable with RTM traceability and approval status</t>
        </is>
      </c>
      <c r="S294" s="49" t="inlineStr">
        <is>
          <t>L0 Tender / Offer; L1 Conceptual Design; L2 Detailed Design; L3 Procurement &amp; Manufacturing / FAT; L4 Installation; L5 Standalone Commissioning; L6 Site Acceptance Testing</t>
        </is>
      </c>
      <c r="T294" s="49" t="inlineStr">
        <is>
          <t>Section/contract-derived reference; explicit deliverable/test wording</t>
        </is>
      </c>
      <c r="U294" s="60" t="inlineStr">
        <is>
          <t>TBD</t>
        </is>
      </c>
      <c r="V294" s="213" t="n"/>
      <c r="W294" s="49" t="n"/>
    </row>
  </sheetData>
  <autoFilter ref="A5:W294"/>
  <mergeCells count="2">
    <mergeCell ref="A2:W2"/>
    <mergeCell ref="A1:W1"/>
  </mergeCells>
  <conditionalFormatting sqref="G6:G294">
    <cfRule type="expression" priority="1" dxfId="70" stopIfTrue="0">
      <formula>ISNUMBER(SEARCH("C1 —",G6))</formula>
    </cfRule>
    <cfRule type="expression" priority="2" dxfId="71" stopIfTrue="0">
      <formula>ISNUMBER(SEARCH("C2 —",G6))</formula>
    </cfRule>
    <cfRule type="expression" priority="3" dxfId="72" stopIfTrue="0">
      <formula>ISNUMBER(SEARCH("C3 —",G6))</formula>
    </cfRule>
    <cfRule type="expression" priority="4" dxfId="73" stopIfTrue="0">
      <formula>ISNUMBER(SEARCH("C4 —",G6))</formula>
    </cfRule>
    <cfRule type="expression" priority="5" dxfId="74" stopIfTrue="0">
      <formula>ISNUMBER(SEARCH("C5 —",G6))</formula>
    </cfRule>
    <cfRule type="expression" priority="6" dxfId="75" stopIfTrue="0">
      <formula>ISNUMBER(SEARCH("C6 —",G6))</formula>
    </cfRule>
    <cfRule type="expression" priority="7" dxfId="76" stopIfTrue="0">
      <formula>ISNUMBER(SEARCH("C7 —",G6))</formula>
    </cfRule>
    <cfRule type="expression" priority="8" dxfId="77" stopIfTrue="0">
      <formula>ISNUMBER(SEARCH("C8 —",G6))</formula>
    </cfRule>
  </conditionalFormatting>
  <dataValidations count="1">
    <dataValidation sqref="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U105 U106 U107 U108 U109 U110 U111 U112 U113 U114 U115 U116 U117 U118 U119 U120 U121 U122 U123 U124 U125 U126 U127 U128 U129 U130 U131 U132 U133 U134 U135 U136 U137 U138 U139 U140 U141 U142 U143 U144 U145 U146 U147 U148 U149 U150 U151 U152 U153 U154 U155 U156 U157 U158 U159 U160 U161 U162 U163 U164 U165 U166 U167 U168 U169 U170 U171 U172 U173 U174 U175 U176 U177 U178 U179 U180 U181 U182 U183 U184 U185 U186 U187 U188 U189 U190 U191 U192 U193 U194 U195 U196 U197 U198 U199 U200 U201 U202 U203 U204 U205 U206 U207 U208 U209 U210 U211 U212 U213 U214 U215 U216 U217 U218 U219 U220 U221 U222 U223 U224 U225 U226 U227 U228 U229 U230 U231 U232 U233 U234 U235 U236 U237 U238 U239 U240 U241 U242 U243 U244 U245 U246 U247 U248 U249 U250 U251 U252 U253 U254 U255 U256 U257 U258 U259 U260 U261 U262 U263 U264 U265 U266 U267 U268 U269 U270 U271 U272 U273 U274 U275 U276 U277 U278 U279 U280 U281 U282 U283 U284 U285 U286 U287 U288 U289 U290 U291 U292 U293 U294" showDropDown="0" showInputMessage="0" showErrorMessage="0" allowBlank="1" type="list">
      <formula1>"TBD,Deviation,Clarification,Not Fulfilled (NF),Partially Fulfilled,Conditionally Accepted,Unconditionally Accepted"</formula1>
    </dataValidation>
  </dataValidations>
  <pageMargins left="0.75" right="0.75" top="1" bottom="1" header="0.5" footer="0.5"/>
</worksheet>
</file>

<file path=xl/worksheets/sheet18.xml><?xml version="1.0" encoding="utf-8"?>
<worksheet xmlns="http://schemas.openxmlformats.org/spreadsheetml/2006/main">
  <sheetPr>
    <tabColor rgb="000B5FA5"/>
    <outlinePr summaryBelow="1" summaryRight="1"/>
    <pageSetUpPr/>
  </sheetPr>
  <dimension ref="A1:J51"/>
  <sheetViews>
    <sheetView topLeftCell="A1" zoomScale="90" zoomScaleNormal="90" workbookViewId="0">
      <selection activeCell="A1" sqref="A1"/>
    </sheetView>
  </sheetViews>
  <sheetFormatPr baseColWidth="8" defaultRowHeight="14.25"/>
  <cols>
    <col width="30" customWidth="1" min="1" max="1"/>
    <col width="48" customWidth="1" min="2" max="2"/>
    <col width="32" customWidth="1" min="3" max="4"/>
    <col width="13" customWidth="1" min="4" max="4"/>
    <col width="22" customWidth="1" min="5" max="5"/>
    <col width="12" customWidth="1" min="6" max="7"/>
    <col width="13" customWidth="1" min="7" max="7"/>
  </cols>
  <sheetData>
    <row r="1" ht="32.1" customHeight="1">
      <c r="A1" s="35" t="inlineStr">
        <is>
          <t>Standards register — OFFER view</t>
        </is>
      </c>
    </row>
    <row r="2" ht="30" customHeight="1">
      <c r="A2" s="36" t="inlineStr">
        <is>
          <t>Filter by explicit RTM, related OFFER and section.</t>
        </is>
      </c>
    </row>
    <row r="3" ht="21.95" customHeight="1">
      <c r="A3" s="188">
        <f>HYPERLINK("#START_HERE!A1","Start")</f>
        <v/>
      </c>
      <c r="B3" s="188">
        <f>HYPERLINK("#DASHBOARD!A1","Dashboard")</f>
        <v/>
      </c>
      <c r="C3" s="188">
        <f>HYPERLINK("#OFFER_RANKING!A1","Ranking")</f>
        <v/>
      </c>
      <c r="D3" s="188">
        <f>HYPERLINK("#EVALUATION_INPUT!A1","Evaluate")</f>
        <v/>
      </c>
      <c r="E3" s="188">
        <f>HYPERLINK("#OFFER_CANONICAL!A1","Canonical")</f>
        <v/>
      </c>
      <c r="F3" s="188">
        <f>HYPERLINK("#RTM_CROSSWALK!A1","Crosswalk")</f>
        <v/>
      </c>
      <c r="G3" s="188">
        <f>HYPERLINK("#WEIGHTS_METHOD!A1","Method")</f>
        <v/>
      </c>
      <c r="H3" s="1" t="n"/>
      <c r="I3" s="1" t="n"/>
      <c r="J3" s="1" t="n"/>
    </row>
    <row r="5" ht="33.95" customHeight="1">
      <c r="A5" s="3" t="inlineStr">
        <is>
          <t>Reference / Code / Standard</t>
        </is>
      </c>
      <c r="B5" s="3" t="inlineStr">
        <is>
          <t>Scope / Description</t>
        </is>
      </c>
      <c r="C5" s="3" t="inlineStr">
        <is>
          <t>Explicit RTM IDs</t>
        </is>
      </c>
      <c r="D5" s="3" t="inlineStr">
        <is>
          <t>Related OFFER IDs</t>
        </is>
      </c>
      <c r="E5" s="3" t="inlineStr">
        <is>
          <t>Section(s)</t>
        </is>
      </c>
      <c r="F5" s="3" t="inlineStr">
        <is>
          <t>RTM Count</t>
        </is>
      </c>
      <c r="G5" s="3" t="inlineStr">
        <is>
          <t>OFFER Count</t>
        </is>
      </c>
    </row>
    <row r="6" ht="32" customHeight="1">
      <c r="A6" s="6" t="inlineStr">
        <is>
          <t>API 520/521</t>
        </is>
      </c>
      <c r="B6" s="6" t="inlineStr">
        <is>
          <t>PSVs / BD</t>
        </is>
      </c>
      <c r="C6" s="6" t="inlineStr">
        <is>
          <t>RTM-702</t>
        </is>
      </c>
      <c r="D6" s="6" t="inlineStr">
        <is>
          <t>OFFER-49</t>
        </is>
      </c>
      <c r="E6" s="6" t="inlineStr">
        <is>
          <t>9.4</t>
        </is>
      </c>
      <c r="F6" s="6" t="n">
        <v>1</v>
      </c>
      <c r="G6" s="6" t="n">
        <v>1</v>
      </c>
    </row>
    <row r="7" ht="32" customHeight="1">
      <c r="A7" s="6" t="inlineStr">
        <is>
          <t>API 671</t>
        </is>
      </c>
      <c r="B7" s="83" t="inlineStr">
        <is>
          <t>Performance / —: “The flexible coupling between the electric motor and the HP compressor shall comply with API 671 / ISO 10441, …”</t>
        </is>
      </c>
      <c r="C7" s="6" t="inlineStr">
        <is>
          <t>RTM-152</t>
        </is>
      </c>
      <c r="D7" s="6" t="inlineStr">
        <is>
          <t>OFFER-13; OFFER-16</t>
        </is>
      </c>
      <c r="E7" s="6" t="inlineStr">
        <is>
          <t>4.4.3.2</t>
        </is>
      </c>
      <c r="F7" s="6" t="n">
        <v>1</v>
      </c>
      <c r="G7" s="6" t="n">
        <v>2</v>
      </c>
    </row>
    <row r="8" ht="32" customHeight="1">
      <c r="A8" s="6" t="inlineStr">
        <is>
          <t>ASME VIII-1</t>
        </is>
      </c>
      <c r="B8" s="6" t="inlineStr">
        <is>
          <t>Design / certification</t>
        </is>
      </c>
      <c r="C8" s="6" t="inlineStr">
        <is>
          <t>RTM-702</t>
        </is>
      </c>
      <c r="D8" s="6" t="inlineStr">
        <is>
          <t>OFFER-49</t>
        </is>
      </c>
      <c r="E8" s="6" t="inlineStr">
        <is>
          <t>9.4</t>
        </is>
      </c>
      <c r="F8" s="6" t="n">
        <v>1</v>
      </c>
      <c r="G8" s="6" t="n">
        <v>1</v>
      </c>
    </row>
    <row r="9" ht="32" customHeight="1">
      <c r="A9" s="6" t="inlineStr">
        <is>
          <t>ASTM D5464</t>
        </is>
      </c>
      <c r="B9" s="6" t="inlineStr">
        <is>
          <t>Getter skid validation</t>
        </is>
      </c>
      <c r="C9" s="6" t="inlineStr">
        <is>
          <t>RTM-705</t>
        </is>
      </c>
      <c r="D9" s="6" t="inlineStr">
        <is>
          <t>OFFER-49</t>
        </is>
      </c>
      <c r="E9" s="6" t="inlineStr">
        <is>
          <t>9.6</t>
        </is>
      </c>
      <c r="F9" s="6" t="n">
        <v>1</v>
      </c>
      <c r="G9" s="6" t="n">
        <v>1</v>
      </c>
    </row>
    <row r="10" ht="32" customHeight="1">
      <c r="A10" s="6" t="inlineStr">
        <is>
          <t>CE marking</t>
        </is>
      </c>
      <c r="B10" s="83" t="inlineStr">
        <is>
          <t>Documentation &amp; Compliance / CRA digital-element inventory: “The Contractor shall identify all products with digital elements (as per the EU Cyber Resilience Act (CRA)), w…”</t>
        </is>
      </c>
      <c r="C10" s="6" t="inlineStr">
        <is>
          <t>RTM-327; RTM-689; RTM-693</t>
        </is>
      </c>
      <c r="D10" s="6" t="inlineStr">
        <is>
          <t>OFFER-25; OFFER-49</t>
        </is>
      </c>
      <c r="E10" s="6" t="inlineStr">
        <is>
          <t>4.6.4.5; 9.1</t>
        </is>
      </c>
      <c r="F10" s="6" t="n">
        <v>3</v>
      </c>
      <c r="G10" s="6" t="n">
        <v>2</v>
      </c>
    </row>
    <row r="11" ht="32" customHeight="1">
      <c r="A11" s="6" t="inlineStr">
        <is>
          <t>EMC Directive 2014/30/EU</t>
        </is>
      </c>
      <c r="B11" s="83" t="inlineStr">
        <is>
          <t>Documentation &amp; Compliance / EU directive applicability register: “The Contractor shall identify all EU directives applicable to the QPS and ensure compliance with said EU direc…”</t>
        </is>
      </c>
      <c r="C11" s="6" t="inlineStr">
        <is>
          <t>RTM-690</t>
        </is>
      </c>
      <c r="D11" s="6" t="inlineStr">
        <is>
          <t>OFFER-49</t>
        </is>
      </c>
      <c r="E11" s="6" t="inlineStr">
        <is>
          <t>9.1</t>
        </is>
      </c>
      <c r="F11" s="6" t="n">
        <v>1</v>
      </c>
      <c r="G11" s="6" t="n">
        <v>1</v>
      </c>
    </row>
    <row r="12" ht="32" customHeight="1">
      <c r="A12" s="6" t="inlineStr">
        <is>
          <t>EN 13185:2001</t>
        </is>
      </c>
      <c r="B12" s="83" t="inlineStr">
        <is>
          <t>Performance / —: “The Contractor shall implement a helium leak-detection and monitoring system in accordance with EN 13185:2001,…”</t>
        </is>
      </c>
      <c r="C12" s="6" t="inlineStr">
        <is>
          <t>RTM-254</t>
        </is>
      </c>
      <c r="D12" s="6" t="inlineStr">
        <is>
          <t>OFFER-13; OFFER-20</t>
        </is>
      </c>
      <c r="E12" s="6" t="inlineStr">
        <is>
          <t>4.4.7</t>
        </is>
      </c>
      <c r="F12" s="6" t="n">
        <v>1</v>
      </c>
      <c r="G12" s="6" t="n">
        <v>2</v>
      </c>
    </row>
    <row r="13" ht="32" customHeight="1">
      <c r="A13" s="6" t="inlineStr">
        <is>
          <t>EN 13445</t>
        </is>
      </c>
      <c r="B13" s="6" t="inlineStr">
        <is>
          <t>EU compliance</t>
        </is>
      </c>
      <c r="C13" s="6" t="inlineStr">
        <is>
          <t>RTM-688; RTM-702</t>
        </is>
      </c>
      <c r="D13" s="6" t="inlineStr">
        <is>
          <t>OFFER-49</t>
        </is>
      </c>
      <c r="E13" s="6" t="inlineStr">
        <is>
          <t>9; 9.4</t>
        </is>
      </c>
      <c r="F13" s="6" t="n">
        <v>2</v>
      </c>
      <c r="G13" s="6" t="n">
        <v>1</v>
      </c>
    </row>
    <row r="14" ht="32" customHeight="1">
      <c r="A14" s="6" t="inlineStr">
        <is>
          <t>EN 13480</t>
        </is>
      </c>
      <c r="B14" s="83" t="inlineStr">
        <is>
          <t>Quality Assurance / Codes &amp; standards hierarchy: “The Contractor shall organise the applicable codes and standards in a hierarchical manner where management-sys…”</t>
        </is>
      </c>
      <c r="C14" s="6" t="inlineStr">
        <is>
          <t>RTM-688</t>
        </is>
      </c>
      <c r="D14" s="6" t="inlineStr">
        <is>
          <t>OFFER-49</t>
        </is>
      </c>
      <c r="E14" s="6" t="inlineStr">
        <is>
          <t>9</t>
        </is>
      </c>
      <c r="F14" s="6" t="n">
        <v>1</v>
      </c>
      <c r="G14" s="6" t="n">
        <v>1</v>
      </c>
    </row>
    <row r="15" ht="32" customHeight="1">
      <c r="A15" s="6" t="inlineStr">
        <is>
          <t>EN 61000-6-2</t>
        </is>
      </c>
      <c r="B15" s="83" t="inlineStr">
        <is>
          <t>Constraint / EMC design constraint: “The proposed solution shall comply with the relevant sections of EN 61000-6-2 (Immunity for industrial environ…”</t>
        </is>
      </c>
      <c r="C15" s="6" t="inlineStr">
        <is>
          <t>RTM-700</t>
        </is>
      </c>
      <c r="D15" s="6" t="inlineStr">
        <is>
          <t>OFFER-49</t>
        </is>
      </c>
      <c r="E15" s="6" t="inlineStr">
        <is>
          <t>9.3</t>
        </is>
      </c>
      <c r="F15" s="6" t="n">
        <v>1</v>
      </c>
      <c r="G15" s="6" t="n">
        <v>1</v>
      </c>
    </row>
    <row r="16" ht="32" customHeight="1">
      <c r="A16" s="6" t="inlineStr">
        <is>
          <t>EN 61000-6-4</t>
        </is>
      </c>
      <c r="B16" s="83" t="inlineStr">
        <is>
          <t>Constraint / EMC design constraint: “The proposed solution shall comply with the relevant sections of EN 61000-6-2 (Immunity for industrial environ…”</t>
        </is>
      </c>
      <c r="C16" s="6" t="inlineStr">
        <is>
          <t>RTM-700</t>
        </is>
      </c>
      <c r="D16" s="6" t="inlineStr">
        <is>
          <t>OFFER-49</t>
        </is>
      </c>
      <c r="E16" s="6" t="inlineStr">
        <is>
          <t>9.3</t>
        </is>
      </c>
      <c r="F16" s="6" t="n">
        <v>1</v>
      </c>
      <c r="G16" s="6" t="n">
        <v>1</v>
      </c>
    </row>
    <row r="17" ht="32" customHeight="1">
      <c r="A17" s="6" t="inlineStr">
        <is>
          <t>EN ISO 4126</t>
        </is>
      </c>
      <c r="B17" s="6" t="inlineStr">
        <is>
          <t>Proof-test ≤ 5 y</t>
        </is>
      </c>
      <c r="C17" s="6" t="inlineStr">
        <is>
          <t>RTM-702</t>
        </is>
      </c>
      <c r="D17" s="6" t="inlineStr">
        <is>
          <t>OFFER-49</t>
        </is>
      </c>
      <c r="E17" s="6" t="inlineStr">
        <is>
          <t>9.4</t>
        </is>
      </c>
      <c r="F17" s="6" t="n">
        <v>1</v>
      </c>
      <c r="G17" s="6" t="n">
        <v>1</v>
      </c>
    </row>
    <row r="18" ht="32" customHeight="1">
      <c r="A18" s="6" t="inlineStr">
        <is>
          <t>EU Cyber Resilience Act (CRA)</t>
        </is>
      </c>
      <c r="B18" s="83" t="inlineStr">
        <is>
          <t>Documentation &amp; Compliance / CRA digital-element inventory: “The Contractor shall identify all products with digital elements (as per the EU Cyber Resilience Act (CRA)), w…”</t>
        </is>
      </c>
      <c r="C18" s="6" t="inlineStr">
        <is>
          <t>RTM-327</t>
        </is>
      </c>
      <c r="D18" s="6" t="inlineStr">
        <is>
          <t>OFFER-25</t>
        </is>
      </c>
      <c r="E18" s="6" t="inlineStr">
        <is>
          <t>4.6.4.5</t>
        </is>
      </c>
      <c r="F18" s="6" t="n">
        <v>1</v>
      </c>
      <c r="G18" s="6" t="n">
        <v>1</v>
      </c>
    </row>
    <row r="19" ht="32" customHeight="1">
      <c r="A19" s="6" t="inlineStr">
        <is>
          <t>EU Eco-design Directive 2009/125/EC</t>
        </is>
      </c>
      <c r="B19" s="83" t="inlineStr">
        <is>
          <t>Documentation &amp; Compliance / EU directive applicability register: “The Contractor shall identify all EU directives applicable to the QPS and ensure compliance with said EU direc…”</t>
        </is>
      </c>
      <c r="C19" s="6" t="inlineStr">
        <is>
          <t>RTM-690</t>
        </is>
      </c>
      <c r="D19" s="6" t="inlineStr">
        <is>
          <t>OFFER-49</t>
        </is>
      </c>
      <c r="E19" s="6" t="inlineStr">
        <is>
          <t>9.1</t>
        </is>
      </c>
      <c r="F19" s="6" t="n">
        <v>1</v>
      </c>
      <c r="G19" s="6" t="n">
        <v>1</v>
      </c>
    </row>
    <row r="20" ht="32" customHeight="1">
      <c r="A20" s="6" t="inlineStr">
        <is>
          <t>EU declaration of conformity</t>
        </is>
      </c>
      <c r="B20" s="83" t="inlineStr">
        <is>
          <t>Documentation &amp; Compliance / EU DoC + CE marking, all components: “The Contractor shall provide an EU declaration of conformity for the QPS and CE mark all QPS components.”</t>
        </is>
      </c>
      <c r="C20" s="6" t="inlineStr">
        <is>
          <t>RTM-689; RTM-693</t>
        </is>
      </c>
      <c r="D20" s="6" t="inlineStr">
        <is>
          <t>OFFER-49</t>
        </is>
      </c>
      <c r="E20" s="6" t="inlineStr">
        <is>
          <t>9.1</t>
        </is>
      </c>
      <c r="F20" s="6" t="n">
        <v>2</v>
      </c>
      <c r="G20" s="6" t="n">
        <v>1</v>
      </c>
    </row>
    <row r="21" ht="32" customHeight="1">
      <c r="A21" s="6" t="inlineStr">
        <is>
          <t>IEC 60204-1 / 61439</t>
        </is>
      </c>
      <c r="B21" s="6" t="inlineStr">
        <is>
          <t>Control cabinet</t>
        </is>
      </c>
      <c r="C21" s="6" t="inlineStr">
        <is>
          <t>RTM-703</t>
        </is>
      </c>
      <c r="D21" s="6" t="inlineStr">
        <is>
          <t>OFFER-49</t>
        </is>
      </c>
      <c r="E21" s="6" t="inlineStr">
        <is>
          <t>9.5</t>
        </is>
      </c>
      <c r="F21" s="6" t="n">
        <v>1</v>
      </c>
      <c r="G21" s="6" t="n">
        <v>1</v>
      </c>
    </row>
    <row r="22" ht="32" customHeight="1">
      <c r="A22" s="6" t="inlineStr">
        <is>
          <t>IEC 60300-3-11</t>
        </is>
      </c>
      <c r="B22" s="6" t="inlineStr">
        <is>
          <t>Reliability-Centred Maintenance (RCM)</t>
        </is>
      </c>
      <c r="C22" s="6" t="inlineStr">
        <is>
          <t>RTM-697</t>
        </is>
      </c>
      <c r="D22" s="6" t="inlineStr">
        <is>
          <t>OFFER-49</t>
        </is>
      </c>
      <c r="E22" s="6" t="inlineStr">
        <is>
          <t>9.2</t>
        </is>
      </c>
      <c r="F22" s="6" t="n">
        <v>1</v>
      </c>
      <c r="G22" s="6" t="n">
        <v>1</v>
      </c>
    </row>
    <row r="23" ht="32" customHeight="1">
      <c r="A23" s="6" t="inlineStr">
        <is>
          <t>IEC 60300-3-12 (Life-cycle costing)</t>
        </is>
      </c>
      <c r="B23" s="6" t="inlineStr">
        <is>
          <t>CAPEX/OPEX modelling</t>
        </is>
      </c>
      <c r="C23" s="6" t="inlineStr">
        <is>
          <t>RTM-697</t>
        </is>
      </c>
      <c r="D23" s="6" t="inlineStr">
        <is>
          <t>OFFER-49</t>
        </is>
      </c>
      <c r="E23" s="6" t="inlineStr">
        <is>
          <t>9.2</t>
        </is>
      </c>
      <c r="F23" s="6" t="n">
        <v>1</v>
      </c>
      <c r="G23" s="6" t="n">
        <v>1</v>
      </c>
    </row>
    <row r="24" ht="32" customHeight="1">
      <c r="A24" s="6" t="inlineStr">
        <is>
          <t>IEC 60300-3-3</t>
        </is>
      </c>
      <c r="B24" s="6" t="inlineStr">
        <is>
          <t>Links to DMAIC Control</t>
        </is>
      </c>
      <c r="C24" s="6" t="inlineStr">
        <is>
          <t>RTM-703</t>
        </is>
      </c>
      <c r="D24" s="6" t="inlineStr">
        <is>
          <t>OFFER-49</t>
        </is>
      </c>
      <c r="E24" s="6" t="inlineStr">
        <is>
          <t>9.5</t>
        </is>
      </c>
      <c r="F24" s="6" t="n">
        <v>1</v>
      </c>
      <c r="G24" s="6" t="n">
        <v>1</v>
      </c>
    </row>
    <row r="25" ht="32" customHeight="1">
      <c r="A25" s="6" t="inlineStr">
        <is>
          <t>IEC 60300-3-3 (Reliability-Centered Maintenance)</t>
        </is>
      </c>
      <c r="B25" s="6" t="inlineStr">
        <is>
          <t>Defines RCM logic that operators and technicians must understand failure modes, maintenance tasks, condition-based actions</t>
        </is>
      </c>
      <c r="C25" s="6" t="inlineStr">
        <is>
          <t>RTM-697</t>
        </is>
      </c>
      <c r="D25" s="6" t="inlineStr">
        <is>
          <t>OFFER-49</t>
        </is>
      </c>
      <c r="E25" s="6" t="inlineStr">
        <is>
          <t>9.2</t>
        </is>
      </c>
      <c r="F25" s="6" t="n">
        <v>1</v>
      </c>
      <c r="G25" s="6" t="n">
        <v>1</v>
      </c>
    </row>
    <row r="26" ht="32" customHeight="1">
      <c r="A26" s="6" t="inlineStr">
        <is>
          <t>IEC 61131-3</t>
        </is>
      </c>
      <c r="B26" s="83" t="inlineStr">
        <is>
          <t>Control / —: “The use of Instruction List (IL) is highly discouraged. Higher-level languages like Structured Text (ST) are h…”</t>
        </is>
      </c>
      <c r="C26" s="6" t="inlineStr">
        <is>
          <t>RTM-340</t>
        </is>
      </c>
      <c r="D26" s="6" t="inlineStr">
        <is>
          <t>OFFER-26; OFFER-27; OFFER-28</t>
        </is>
      </c>
      <c r="E26" s="6" t="inlineStr">
        <is>
          <t>4.6.7</t>
        </is>
      </c>
      <c r="F26" s="6" t="n">
        <v>1</v>
      </c>
      <c r="G26" s="6" t="n">
        <v>3</v>
      </c>
    </row>
    <row r="27" ht="32" customHeight="1">
      <c r="A27" s="6" t="inlineStr">
        <is>
          <t>IEC 61508</t>
        </is>
      </c>
      <c r="B27" s="6" t="inlineStr">
        <is>
          <t>SIL assignment</t>
        </is>
      </c>
      <c r="C27" s="6" t="inlineStr">
        <is>
          <t>RTM-465; RTM-703; RTM-704</t>
        </is>
      </c>
      <c r="D27" s="6" t="inlineStr">
        <is>
          <t>OFFER-49</t>
        </is>
      </c>
      <c r="E27" s="6" t="inlineStr">
        <is>
          <t>4.8.5; 9.5</t>
        </is>
      </c>
      <c r="F27" s="6" t="n">
        <v>3</v>
      </c>
      <c r="G27" s="6" t="n">
        <v>1</v>
      </c>
    </row>
    <row r="28" ht="32" customHeight="1">
      <c r="A28" s="6" t="inlineStr">
        <is>
          <t>IEC 61511</t>
        </is>
      </c>
      <c r="B28" s="6" t="inlineStr">
        <is>
          <t>SIS lifecycle</t>
        </is>
      </c>
      <c r="C28" s="6" t="inlineStr">
        <is>
          <t>RTM-465; RTM-703; RTM-704</t>
        </is>
      </c>
      <c r="D28" s="6" t="inlineStr">
        <is>
          <t>OFFER-49</t>
        </is>
      </c>
      <c r="E28" s="6" t="inlineStr">
        <is>
          <t>4.8.5; 9.5</t>
        </is>
      </c>
      <c r="F28" s="6" t="n">
        <v>3</v>
      </c>
      <c r="G28" s="6" t="n">
        <v>1</v>
      </c>
    </row>
    <row r="29" ht="32" customHeight="1">
      <c r="A29" s="6" t="inlineStr">
        <is>
          <t>IEC 62061</t>
        </is>
      </c>
      <c r="B29" s="83" t="inlineStr">
        <is>
          <t>Interlock &amp; Control Safety / Personnel-protection SIL design basis: “Any system involved in personnel protection shall be designed according to standards IEC 61508 (Functional Saf…”</t>
        </is>
      </c>
      <c r="C29" s="6" t="inlineStr">
        <is>
          <t>RTM-704</t>
        </is>
      </c>
      <c r="D29" s="6" t="inlineStr">
        <is>
          <t>OFFER-49</t>
        </is>
      </c>
      <c r="E29" s="6" t="inlineStr">
        <is>
          <t>9.5</t>
        </is>
      </c>
      <c r="F29" s="6" t="n">
        <v>1</v>
      </c>
      <c r="G29" s="6" t="n">
        <v>1</v>
      </c>
    </row>
    <row r="30" ht="32" customHeight="1">
      <c r="A30" s="6" t="inlineStr">
        <is>
          <t>IEC 62443-3-3</t>
        </is>
      </c>
      <c r="B30" s="83" t="inlineStr">
        <is>
          <t>Performance / —: “Where the proposed delivered product and/or installed system is claimed to be certified to IEC 62443-3-3 Secur…”</t>
        </is>
      </c>
      <c r="C30" s="6" t="inlineStr">
        <is>
          <t>RTM-323</t>
        </is>
      </c>
      <c r="D30" s="6" t="inlineStr">
        <is>
          <t>OFFER-25</t>
        </is>
      </c>
      <c r="E30" s="6" t="inlineStr">
        <is>
          <t>4.6.4.5</t>
        </is>
      </c>
      <c r="F30" s="6" t="n">
        <v>1</v>
      </c>
      <c r="G30" s="6" t="n">
        <v>1</v>
      </c>
    </row>
    <row r="31" ht="32" customHeight="1">
      <c r="A31" s="6" t="inlineStr">
        <is>
          <t>ISO 10441</t>
        </is>
      </c>
      <c r="B31" s="83" t="inlineStr">
        <is>
          <t>Performance / —: “The flexible coupling between the electric motor and the HP compressor shall comply with API 671 / ISO 10441, …”</t>
        </is>
      </c>
      <c r="C31" s="6" t="inlineStr">
        <is>
          <t>RTM-152</t>
        </is>
      </c>
      <c r="D31" s="6" t="inlineStr">
        <is>
          <t>OFFER-13; OFFER-16</t>
        </is>
      </c>
      <c r="E31" s="6" t="inlineStr">
        <is>
          <t>4.4.3.2</t>
        </is>
      </c>
      <c r="F31" s="6" t="n">
        <v>1</v>
      </c>
      <c r="G31" s="6" t="n">
        <v>2</v>
      </c>
    </row>
    <row r="32" ht="32" customHeight="1">
      <c r="A32" s="6" t="inlineStr">
        <is>
          <t>ISO 13849-1</t>
        </is>
      </c>
      <c r="B32" s="83" t="inlineStr">
        <is>
          <t>Interlock &amp; Control Safety / Personnel-protection SIL design basis: “Any system involved in personnel protection shall be designed according to standards IEC 61508 (Functional Saf…”</t>
        </is>
      </c>
      <c r="C32" s="6" t="inlineStr">
        <is>
          <t>RTM-704</t>
        </is>
      </c>
      <c r="D32" s="6" t="inlineStr">
        <is>
          <t>OFFER-49</t>
        </is>
      </c>
      <c r="E32" s="6" t="inlineStr">
        <is>
          <t>9.5</t>
        </is>
      </c>
      <c r="F32" s="6" t="n">
        <v>1</v>
      </c>
      <c r="G32" s="6" t="n">
        <v>1</v>
      </c>
    </row>
    <row r="33" ht="32" customHeight="1">
      <c r="A33" s="6" t="inlineStr">
        <is>
          <t>ISO 14224 (Reliability &amp; maintenance data)</t>
        </is>
      </c>
      <c r="B33" s="6" t="inlineStr">
        <is>
          <t>MTBF reporting</t>
        </is>
      </c>
      <c r="C33" s="6" t="inlineStr">
        <is>
          <t>RTM-697</t>
        </is>
      </c>
      <c r="D33" s="6" t="inlineStr">
        <is>
          <t>OFFER-49</t>
        </is>
      </c>
      <c r="E33" s="6" t="inlineStr">
        <is>
          <t>9.2</t>
        </is>
      </c>
      <c r="F33" s="6" t="n">
        <v>1</v>
      </c>
      <c r="G33" s="6" t="n">
        <v>1</v>
      </c>
    </row>
    <row r="34" ht="32" customHeight="1">
      <c r="A34" s="6" t="inlineStr">
        <is>
          <t>ISO 20815</t>
        </is>
      </c>
      <c r="B34" s="6" t="inlineStr">
        <is>
          <t>Production assurance and availability management</t>
        </is>
      </c>
      <c r="C34" s="6" t="inlineStr">
        <is>
          <t>RTM-697</t>
        </is>
      </c>
      <c r="D34" s="6" t="inlineStr">
        <is>
          <t>OFFER-49</t>
        </is>
      </c>
      <c r="E34" s="6" t="inlineStr">
        <is>
          <t>9.2</t>
        </is>
      </c>
      <c r="F34" s="6" t="n">
        <v>1</v>
      </c>
      <c r="G34" s="6" t="n">
        <v>1</v>
      </c>
    </row>
    <row r="35" ht="32" customHeight="1">
      <c r="A35" s="6" t="inlineStr">
        <is>
          <t>ISO 20816</t>
        </is>
      </c>
      <c r="B35" s="83" t="inlineStr">
        <is>
          <t>Documentation &amp; Compliance / —: “The maximum vibration levels of the compressors and other rotating machines shall comply with ISO 2372 or its …”</t>
        </is>
      </c>
      <c r="C35" s="6" t="inlineStr">
        <is>
          <t>RTM-146</t>
        </is>
      </c>
      <c r="D35" s="6" t="inlineStr">
        <is>
          <t>OFFER-13; OFFER-15</t>
        </is>
      </c>
      <c r="E35" s="6" t="inlineStr">
        <is>
          <t>4.4.3.1</t>
        </is>
      </c>
      <c r="F35" s="6" t="n">
        <v>1</v>
      </c>
      <c r="G35" s="6" t="n">
        <v>2</v>
      </c>
    </row>
    <row r="36" ht="32" customHeight="1">
      <c r="A36" s="6" t="inlineStr">
        <is>
          <t>ISO 21013-1/2</t>
        </is>
      </c>
      <c r="B36" s="6" t="inlineStr">
        <is>
          <t>LP &amp; HP vessels</t>
        </is>
      </c>
      <c r="C36" s="6" t="inlineStr">
        <is>
          <t>RTM-702</t>
        </is>
      </c>
      <c r="D36" s="6" t="inlineStr">
        <is>
          <t>OFFER-49</t>
        </is>
      </c>
      <c r="E36" s="6" t="inlineStr">
        <is>
          <t>9.4</t>
        </is>
      </c>
      <c r="F36" s="6" t="n">
        <v>1</v>
      </c>
      <c r="G36" s="6" t="n">
        <v>1</v>
      </c>
    </row>
    <row r="37" ht="32" customHeight="1">
      <c r="A37" s="6" t="inlineStr">
        <is>
          <t>ISO 2151</t>
        </is>
      </c>
      <c r="B37" s="83" t="inlineStr">
        <is>
          <t>Constraint / —: “The sound pressure level of each compressor shall not exceed 80 dB at 1 m while in any steady-state operating …”</t>
        </is>
      </c>
      <c r="C37" s="6" t="inlineStr">
        <is>
          <t>RTM-147</t>
        </is>
      </c>
      <c r="D37" s="6" t="inlineStr">
        <is>
          <t>OFFER-13; OFFER-15</t>
        </is>
      </c>
      <c r="E37" s="6" t="inlineStr">
        <is>
          <t>4.4.3.1</t>
        </is>
      </c>
      <c r="F37" s="6" t="n">
        <v>1</v>
      </c>
      <c r="G37" s="6" t="n">
        <v>2</v>
      </c>
    </row>
    <row r="38" ht="32" customHeight="1">
      <c r="A38" s="6" t="inlineStr">
        <is>
          <t>ISO 2372</t>
        </is>
      </c>
      <c r="B38" s="83" t="inlineStr">
        <is>
          <t>Documentation &amp; Compliance / —: “The maximum vibration levels of the compressors and other rotating machines shall comply with ISO 2372 or its …”</t>
        </is>
      </c>
      <c r="C38" s="6" t="inlineStr">
        <is>
          <t>RTM-146</t>
        </is>
      </c>
      <c r="D38" s="6" t="inlineStr">
        <is>
          <t>OFFER-13; OFFER-15</t>
        </is>
      </c>
      <c r="E38" s="6" t="inlineStr">
        <is>
          <t>4.4.3.1</t>
        </is>
      </c>
      <c r="F38" s="6" t="n">
        <v>1</v>
      </c>
      <c r="G38" s="6" t="n">
        <v>2</v>
      </c>
    </row>
    <row r="39" ht="32" customHeight="1">
      <c r="A39" s="6" t="inlineStr">
        <is>
          <t>ISO 27001</t>
        </is>
      </c>
      <c r="B39" s="83" t="inlineStr">
        <is>
          <t>Performance / —: “The Contractor shall maintain an Information Security Management System (ISMS) in accordance with ISO 27001. I…”</t>
        </is>
      </c>
      <c r="C39" s="6" t="inlineStr">
        <is>
          <t>RTM-321</t>
        </is>
      </c>
      <c r="D39" s="6" t="inlineStr">
        <is>
          <t>OFFER-25</t>
        </is>
      </c>
      <c r="E39" s="6" t="inlineStr">
        <is>
          <t>4.6.4.5</t>
        </is>
      </c>
      <c r="F39" s="6" t="n">
        <v>1</v>
      </c>
      <c r="G39" s="6" t="n">
        <v>1</v>
      </c>
    </row>
    <row r="40" ht="32" customHeight="1">
      <c r="A40" s="6" t="inlineStr">
        <is>
          <t>ISO 2954</t>
        </is>
      </c>
      <c r="B40" s="83" t="inlineStr">
        <is>
          <t>Documentation &amp; Compliance / —: “The maximum vibration levels of the compressors and other rotating machines shall comply with ISO 2372 or its …”</t>
        </is>
      </c>
      <c r="C40" s="6" t="inlineStr">
        <is>
          <t>RTM-146</t>
        </is>
      </c>
      <c r="D40" s="6" t="inlineStr">
        <is>
          <t>OFFER-13; OFFER-15</t>
        </is>
      </c>
      <c r="E40" s="6" t="inlineStr">
        <is>
          <t>4.4.3.1</t>
        </is>
      </c>
      <c r="F40" s="6" t="n">
        <v>1</v>
      </c>
      <c r="G40" s="6" t="n">
        <v>2</v>
      </c>
    </row>
    <row r="41" ht="32" customHeight="1">
      <c r="A41" s="6" t="inlineStr">
        <is>
          <t>ISO 55000 / 55001 / 55002 (Asset Management)</t>
        </is>
      </c>
      <c r="B41" s="6" t="inlineStr">
        <is>
          <t>Training shall support asset lifecycle thinking operation, maintenance, obsolescence, and risk</t>
        </is>
      </c>
      <c r="C41" s="6" t="inlineStr">
        <is>
          <t>RTM-697</t>
        </is>
      </c>
      <c r="D41" s="6" t="inlineStr">
        <is>
          <t>OFFER-49</t>
        </is>
      </c>
      <c r="E41" s="6" t="inlineStr">
        <is>
          <t>9.2</t>
        </is>
      </c>
      <c r="F41" s="6" t="n">
        <v>1</v>
      </c>
      <c r="G41" s="6" t="n">
        <v>1</v>
      </c>
    </row>
    <row r="42" ht="32" customHeight="1">
      <c r="A42" s="6" t="inlineStr">
        <is>
          <t>ISO 8573-1 Class 0</t>
        </is>
      </c>
      <c r="B42" s="6" t="inlineStr">
        <is>
          <t>Compressors</t>
        </is>
      </c>
      <c r="C42" s="6" t="inlineStr">
        <is>
          <t>RTM-705</t>
        </is>
      </c>
      <c r="D42" s="6" t="inlineStr">
        <is>
          <t>OFFER-49</t>
        </is>
      </c>
      <c r="E42" s="6" t="inlineStr">
        <is>
          <t>9.6</t>
        </is>
      </c>
      <c r="F42" s="6" t="n">
        <v>1</v>
      </c>
      <c r="G42" s="6" t="n">
        <v>1</v>
      </c>
    </row>
    <row r="43" ht="32" customHeight="1">
      <c r="A43" s="6" t="inlineStr">
        <is>
          <t>ISO 9001</t>
        </is>
      </c>
      <c r="B43" s="83" t="inlineStr">
        <is>
          <t>Quality Assurance / —: “The Contractor shall implement and maintain a Quality Management System compliant with ISO 9001 for all activi…”</t>
        </is>
      </c>
      <c r="C43" s="6" t="inlineStr">
        <is>
          <t>RTM-643; RTM-644; RTM-646; RTM-680; RTM-688</t>
        </is>
      </c>
      <c r="D43" s="6" t="inlineStr">
        <is>
          <t>OFFER-49</t>
        </is>
      </c>
      <c r="E43" s="6" t="inlineStr">
        <is>
          <t>8.1.1; 8.1.2; 8.1.8; 9</t>
        </is>
      </c>
      <c r="F43" s="6" t="n">
        <v>5</v>
      </c>
      <c r="G43" s="6" t="n">
        <v>1</v>
      </c>
    </row>
    <row r="44" ht="32" customHeight="1">
      <c r="A44" s="6" t="inlineStr">
        <is>
          <t>Low Voltage Directive 2014/35/EU</t>
        </is>
      </c>
      <c r="B44" s="83" t="inlineStr">
        <is>
          <t>Documentation &amp; Compliance / EU directive applicability register: “The Contractor shall identify all EU directives applicable to the QPS and ensure compliance with said EU direc…”</t>
        </is>
      </c>
      <c r="C44" s="6" t="inlineStr">
        <is>
          <t>RTM-690</t>
        </is>
      </c>
      <c r="D44" s="6" t="inlineStr">
        <is>
          <t>OFFER-49</t>
        </is>
      </c>
      <c r="E44" s="6" t="inlineStr">
        <is>
          <t>9.1</t>
        </is>
      </c>
      <c r="F44" s="6" t="n">
        <v>1</v>
      </c>
      <c r="G44" s="6" t="n">
        <v>1</v>
      </c>
    </row>
    <row r="45" ht="32" customHeight="1">
      <c r="A45" s="6" t="inlineStr">
        <is>
          <t>Machinery Directive 2006/42/EC</t>
        </is>
      </c>
      <c r="B45" s="83" t="inlineStr">
        <is>
          <t>Documentation &amp; Compliance / EU directive applicability register: “The Contractor shall identify all EU directives applicable to the QPS and ensure compliance with said EU direc…”</t>
        </is>
      </c>
      <c r="C45" s="6" t="inlineStr">
        <is>
          <t>RTM-690</t>
        </is>
      </c>
      <c r="D45" s="6" t="inlineStr">
        <is>
          <t>OFFER-49</t>
        </is>
      </c>
      <c r="E45" s="6" t="inlineStr">
        <is>
          <t>9.1</t>
        </is>
      </c>
      <c r="F45" s="6" t="n">
        <v>1</v>
      </c>
      <c r="G45" s="6" t="n">
        <v>1</v>
      </c>
    </row>
    <row r="46" ht="32" customHeight="1">
      <c r="A46" s="6" t="inlineStr">
        <is>
          <t>PED</t>
        </is>
      </c>
      <c r="B46" s="83" t="inlineStr">
        <is>
          <t>Governance &amp; Responsibility / Third-party inspection ownership: “The Contractor shall be responsible for any required 3rd party for inspection or certification (e.g. PED audit…”</t>
        </is>
      </c>
      <c r="C46" s="6" t="inlineStr">
        <is>
          <t>RTM-605; RTM-688</t>
        </is>
      </c>
      <c r="D46" s="6" t="inlineStr">
        <is>
          <t>OFFER-49</t>
        </is>
      </c>
      <c r="E46" s="6" t="inlineStr">
        <is>
          <t>5.2; 9</t>
        </is>
      </c>
      <c r="F46" s="6" t="n">
        <v>2</v>
      </c>
      <c r="G46" s="6" t="n">
        <v>1</v>
      </c>
    </row>
    <row r="47" ht="32" customHeight="1">
      <c r="A47" s="6" t="inlineStr">
        <is>
          <t>PED 2014/68/EU</t>
        </is>
      </c>
      <c r="B47" s="6" t="inlineStr">
        <is>
          <t>EU Pressure Equipment Directive</t>
        </is>
      </c>
      <c r="C47" s="6" t="inlineStr">
        <is>
          <t>RTM-702</t>
        </is>
      </c>
      <c r="D47" s="6" t="inlineStr">
        <is>
          <t>OFFER-49</t>
        </is>
      </c>
      <c r="E47" s="6" t="inlineStr">
        <is>
          <t>9.4</t>
        </is>
      </c>
      <c r="F47" s="6" t="n">
        <v>1</v>
      </c>
      <c r="G47" s="6" t="n">
        <v>1</v>
      </c>
    </row>
    <row r="48" ht="32" customHeight="1">
      <c r="A48" s="6" t="inlineStr">
        <is>
          <t>Pressure Equipment Directive 2014/68/EU</t>
        </is>
      </c>
      <c r="B48" s="83" t="inlineStr">
        <is>
          <t>Documentation &amp; Compliance / EU directive applicability register: “The Contractor shall identify all EU directives applicable to the QPS and ensure compliance with said EU direc…”</t>
        </is>
      </c>
      <c r="C48" s="6" t="inlineStr">
        <is>
          <t>RTM-690; RTM-691</t>
        </is>
      </c>
      <c r="D48" s="6" t="inlineStr">
        <is>
          <t>OFFER-49</t>
        </is>
      </c>
      <c r="E48" s="6" t="inlineStr">
        <is>
          <t>9.1</t>
        </is>
      </c>
      <c r="F48" s="6" t="n">
        <v>2</v>
      </c>
      <c r="G48" s="6" t="n">
        <v>1</v>
      </c>
    </row>
    <row r="49" ht="32" customHeight="1">
      <c r="A49" s="6" t="inlineStr">
        <is>
          <t>VLAREM II</t>
        </is>
      </c>
      <c r="B49" s="83" t="inlineStr">
        <is>
          <t>Documentation &amp; Compliance / —: “The Contractor shall provide the VLAREM Technical File in accordance with VLAREM II (§9.1).”</t>
        </is>
      </c>
      <c r="C49" s="6" t="inlineStr">
        <is>
          <t>RTM-593; RTM-694</t>
        </is>
      </c>
      <c r="D49" s="6" t="inlineStr">
        <is>
          <t>OFFER-49</t>
        </is>
      </c>
      <c r="E49" s="6" t="inlineStr">
        <is>
          <t>4.16.11; 9.1</t>
        </is>
      </c>
      <c r="F49" s="6" t="n">
        <v>2</v>
      </c>
      <c r="G49" s="6" t="n">
        <v>1</v>
      </c>
    </row>
    <row r="51" ht="60" customHeight="1">
      <c r="A51" s="94" t="inlineStr">
        <is>
          <t>Column B methodology (Phase 17): rows that previously read only "Scope defined by cited canonical requirement/section" were rewritten from the first linked RTM's own Category / Subcategory and a clipped snippet of its shall-statement (RTM_RANKING) -- not invented knowledge about the standard itself. This sheet is real, used cross-reference data (44 codes/standards, each with genuine linked RTM/OFFER IDs and section numbers) -- kept, not dropped.</t>
        </is>
      </c>
    </row>
  </sheetData>
  <mergeCells count="3">
    <mergeCell ref="A1:J1"/>
    <mergeCell ref="A51:G51"/>
    <mergeCell ref="A2:J2"/>
  </mergeCells>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tabColor rgb="000B5FA5"/>
    <outlinePr summaryBelow="1" summaryRight="1"/>
    <pageSetUpPr/>
  </sheetPr>
  <dimension ref="A1:L57"/>
  <sheetViews>
    <sheetView topLeftCell="A1" zoomScale="90" zoomScaleNormal="90" workbookViewId="0">
      <selection activeCell="A1" sqref="A1"/>
    </sheetView>
  </sheetViews>
  <sheetFormatPr baseColWidth="8" defaultRowHeight="14.25"/>
  <cols>
    <col width="8.75" customWidth="1" min="1" max="1"/>
    <col width="12" customWidth="1" min="2" max="3"/>
    <col width="13" customWidth="1" min="3" max="3"/>
    <col width="36" customWidth="1" min="4" max="4"/>
    <col width="42" customWidth="1" min="5" max="5"/>
    <col width="46" customWidth="1" min="6" max="6"/>
    <col width="25" customWidth="1" min="7" max="7"/>
    <col width="19.25" customWidth="1" min="8" max="8"/>
    <col width="20.75" customWidth="1" min="9" max="10"/>
  </cols>
  <sheetData>
    <row r="1" ht="32.1" customHeight="1">
      <c r="A1" s="35" t="inlineStr">
        <is>
          <t>OFFER deliverables and proof register</t>
        </is>
      </c>
    </row>
    <row r="2" ht="30" customHeight="1">
      <c r="A2" s="36" t="inlineStr">
        <is>
          <t>Explicit deliverables are separated from derived evidence and measurability guidance.</t>
        </is>
      </c>
    </row>
    <row r="3" ht="21.95" customHeight="1">
      <c r="A3" s="188">
        <f>HYPERLINK("#START_HERE!A1","Start")</f>
        <v/>
      </c>
      <c r="B3" s="188">
        <f>HYPERLINK("#DASHBOARD!A1","Dashboard")</f>
        <v/>
      </c>
      <c r="C3" s="188">
        <f>HYPERLINK("#OFFER_RANKING!A1","Ranking")</f>
        <v/>
      </c>
      <c r="D3" s="188">
        <f>HYPERLINK("#EVALUATION_INPUT!A1","Evaluate")</f>
        <v/>
      </c>
      <c r="E3" s="188">
        <f>HYPERLINK("#OFFER_CANONICAL!A1","Canonical")</f>
        <v/>
      </c>
      <c r="F3" s="188">
        <f>HYPERLINK("#RTM_CROSSWALK!A1","Crosswalk")</f>
        <v/>
      </c>
      <c r="G3" s="188">
        <f>HYPERLINK("#WEIGHTS_METHOD!A1","Method")</f>
        <v/>
      </c>
      <c r="H3" s="1" t="n"/>
      <c r="I3" s="1" t="n"/>
      <c r="J3" s="1" t="n"/>
      <c r="K3" s="1" t="n"/>
      <c r="L3" s="1" t="n"/>
    </row>
    <row r="5" ht="33.95" customHeight="1">
      <c r="A5" s="3" t="inlineStr">
        <is>
          <t>Type</t>
        </is>
      </c>
      <c r="B5" s="3" t="inlineStr">
        <is>
          <t>ID</t>
        </is>
      </c>
      <c r="C5" s="3" t="inlineStr">
        <is>
          <t>Section</t>
        </is>
      </c>
      <c r="D5" s="3" t="inlineStr">
        <is>
          <t>Title / Requirement</t>
        </is>
      </c>
      <c r="E5" s="3" t="inlineStr">
        <is>
          <t>Explicit Deliverable / Proof</t>
        </is>
      </c>
      <c r="F5" s="3" t="inlineStr">
        <is>
          <t>Fulfilment / Evidence / Measurability</t>
        </is>
      </c>
      <c r="G5" s="3" t="inlineStr">
        <is>
          <t>Applicable Phase(s)</t>
        </is>
      </c>
      <c r="H5" s="3" t="inlineStr">
        <is>
          <t>Actual Explicit Code / Standard</t>
        </is>
      </c>
      <c r="I5" s="3" t="inlineStr">
        <is>
          <t>Reference Code / Standard</t>
        </is>
      </c>
      <c r="J5" s="3" t="inlineStr">
        <is>
          <t>Basis / Linkage</t>
        </is>
      </c>
    </row>
    <row r="6" ht="73" customHeight="1">
      <c r="A6" s="6" t="inlineStr">
        <is>
          <t>OFFER</t>
        </is>
      </c>
      <c r="B6" s="6" t="inlineStr">
        <is>
          <t>OFFER-01</t>
        </is>
      </c>
      <c r="C6" s="6" t="inlineStr">
        <is>
          <t>4.1</t>
        </is>
      </c>
      <c r="D6" s="6" t="inlineStr">
        <is>
          <t>Tender Compliance Confirmation</t>
        </is>
      </c>
      <c r="E6" s="6" t="inlineStr">
        <is>
          <t>Offer response: Tender Compliance Confirmation</t>
        </is>
      </c>
      <c r="F6" s="83" t="inlineStr">
        <is>
          <t>Evidenced via linked RTMs RTM-001; RTM-003 — see RTM Ranking / RTM Lookup for that item's own detailed evidence criteria (not repeated here). Document review and traceability/approval-status confirmation (a governance or commercial deliverable, not a technical test).</t>
        </is>
      </c>
      <c r="G6" s="6" t="inlineStr">
        <is>
          <t>L0 Tender / Offer; L1 Conceptual Design; L2 Detailed Design</t>
        </is>
      </c>
      <c r="H6" s="6" t="inlineStr">
        <is>
          <t>None explicitly named in the OFFER text</t>
        </is>
      </c>
      <c r="I6" s="6" t="inlineStr">
        <is>
          <t>SCK CEN/90508872 §4.1; no named external code in OFFER text</t>
        </is>
      </c>
      <c r="J6" s="6" t="inlineStr">
        <is>
          <t>OFFER-stage evidence; linked standards are contextual; does not prove full RTM compliance</t>
        </is>
      </c>
    </row>
    <row r="7" ht="73" customHeight="1">
      <c r="A7" s="6" t="inlineStr">
        <is>
          <t>OFFER</t>
        </is>
      </c>
      <c r="B7" s="6" t="inlineStr">
        <is>
          <t>OFFER-02</t>
        </is>
      </c>
      <c r="C7" s="6" t="inlineStr">
        <is>
          <t>4.1</t>
        </is>
      </c>
      <c r="D7" s="6" t="inlineStr">
        <is>
          <t>Assumptions, Deviations &amp; Additions Register</t>
        </is>
      </c>
      <c r="E7" s="6" t="inlineStr">
        <is>
          <t>Offer response: Assumptions, Deviations &amp; Additions Register</t>
        </is>
      </c>
      <c r="F7" s="83" t="inlineStr">
        <is>
          <t>Evidenced via linked RTM RTM-004 — see RTM Ranking / RTM Lookup for that item's own detailed evidence criteria (not repeated here). Document review and traceability/approval-status confirmation (a governance or commercial deliverable, not a technical test).</t>
        </is>
      </c>
      <c r="G7" s="6" t="inlineStr">
        <is>
          <t>L0 Tender / Offer; L1 Conceptual Design; L2 Detailed Design</t>
        </is>
      </c>
      <c r="H7" s="6" t="inlineStr">
        <is>
          <t>None explicitly named in the OFFER text</t>
        </is>
      </c>
      <c r="I7" s="6" t="inlineStr">
        <is>
          <t>SCK CEN/90508872 §4.1; no named external code in OFFER text</t>
        </is>
      </c>
      <c r="J7" s="6" t="inlineStr">
        <is>
          <t>OFFER-stage evidence; linked standards are contextual; does not prove full RTM compliance</t>
        </is>
      </c>
    </row>
    <row r="8" ht="73" customHeight="1">
      <c r="A8" s="6" t="inlineStr">
        <is>
          <t>OFFER</t>
        </is>
      </c>
      <c r="B8" s="6" t="inlineStr">
        <is>
          <t>OFFER-03</t>
        </is>
      </c>
      <c r="C8" s="6" t="inlineStr">
        <is>
          <t>4.1</t>
        </is>
      </c>
      <c r="D8" s="6" t="inlineStr">
        <is>
          <t>Integrated Technical Proposal &amp; Execution Strategy</t>
        </is>
      </c>
      <c r="E8" s="6" t="inlineStr">
        <is>
          <t>Offer response: Integrated Technical Proposal &amp; Execution Strategy</t>
        </is>
      </c>
      <c r="F8" s="83" t="inlineStr">
        <is>
          <t>Evidenced via linked RTM RTM-002 — see RTM Ranking / RTM Lookup for that item's own detailed evidence criteria (not repeated here). Document review and traceability/approval-status confirmation (a governance or commercial deliverable, not a technical test).</t>
        </is>
      </c>
      <c r="G8" s="6" t="inlineStr">
        <is>
          <t>L0 Tender / Offer; L1 Conceptual Design; L2 Detailed Design</t>
        </is>
      </c>
      <c r="H8" s="6" t="inlineStr">
        <is>
          <t>None explicitly named in the OFFER text</t>
        </is>
      </c>
      <c r="I8" s="6" t="inlineStr">
        <is>
          <t>SCK CEN/90508872 §4.1; no named external code in OFFER text</t>
        </is>
      </c>
      <c r="J8" s="6" t="inlineStr">
        <is>
          <t>OFFER-stage evidence; linked standards are contextual; does not prove full RTM compliance</t>
        </is>
      </c>
    </row>
    <row r="9" ht="73" customHeight="1">
      <c r="A9" s="6" t="inlineStr">
        <is>
          <t>OFFER</t>
        </is>
      </c>
      <c r="B9" s="6" t="inlineStr">
        <is>
          <t>OFFER-04</t>
        </is>
      </c>
      <c r="C9" s="6" t="inlineStr">
        <is>
          <t>4.2.2.2</t>
        </is>
      </c>
      <c r="D9" s="6" t="inlineStr">
        <is>
          <t>Cooldown &amp; Thermal Performance Modelling</t>
        </is>
      </c>
      <c r="E9" s="6" t="inlineStr">
        <is>
          <t>Offer response: Cooldown &amp; Thermal Performance Modelling</t>
        </is>
      </c>
      <c r="F9" s="83" t="inlineStr">
        <is>
          <t>Evidenced via linked RTMs RTM-019..RTM-022 — see RTM Ranking / RTM Lookup for that item's own detailed evidence criteria (not repeated here). Calculation/model plus calibrated measurement or witnessed test against the stated performance criteria.</t>
        </is>
      </c>
      <c r="G9" s="6" t="inlineStr">
        <is>
          <t>L0 Tender / Offer; L1 Conceptual Design; L2 Detailed Design</t>
        </is>
      </c>
      <c r="H9" s="6" t="inlineStr">
        <is>
          <t>None explicitly named in the OFFER text</t>
        </is>
      </c>
      <c r="I9" s="6" t="inlineStr">
        <is>
          <t>SCK CEN/90508872 §4.2.2.2; no named external code in OFFER text</t>
        </is>
      </c>
      <c r="J9" s="6" t="inlineStr">
        <is>
          <t>OFFER-stage evidence; linked standards are contextual; does not prove full RTM compliance</t>
        </is>
      </c>
    </row>
    <row r="10" ht="60" customHeight="1">
      <c r="A10" s="6" t="inlineStr">
        <is>
          <t>OFFER</t>
        </is>
      </c>
      <c r="B10" s="6" t="inlineStr">
        <is>
          <t>OFFER-05</t>
        </is>
      </c>
      <c r="C10" s="6" t="inlineStr">
        <is>
          <t>4.2.2.4.1</t>
        </is>
      </c>
      <c r="D10" s="6" t="inlineStr">
        <is>
          <t>Operational Procedure Strategy (Auto vs Manual)</t>
        </is>
      </c>
      <c r="E10" s="6" t="inlineStr">
        <is>
          <t>Offer response: Operational Procedure Strategy (Auto vs Manual); Procedure / work instruction</t>
        </is>
      </c>
      <c r="F10" s="83" t="inlineStr">
        <is>
          <t>Evidenced via linked RTMs RTM-025..RTM-027 — see RTM Ranking / RTM Lookup for that item's own detailed evidence criteria (not repeated here). Procedure/plan document review plus RAM or maintenance substantiation.</t>
        </is>
      </c>
      <c r="G10" s="6" t="inlineStr">
        <is>
          <t>L0 Tender / Offer; L1 Conceptual Design; L2 Detailed Design</t>
        </is>
      </c>
      <c r="H10" s="6" t="inlineStr">
        <is>
          <t>None explicitly named in the OFFER text</t>
        </is>
      </c>
      <c r="I10" s="6" t="inlineStr">
        <is>
          <t>SCK CEN/90508872 §4.2.2.4.1; no named external code in OFFER text</t>
        </is>
      </c>
      <c r="J10" s="6" t="inlineStr">
        <is>
          <t>OFFER-stage evidence; linked standards are contextual; does not prove full RTM compliance</t>
        </is>
      </c>
    </row>
    <row r="11" ht="73" customHeight="1">
      <c r="A11" s="6" t="inlineStr">
        <is>
          <t>OFFER</t>
        </is>
      </c>
      <c r="B11" s="6" t="inlineStr">
        <is>
          <t>OFFER-06</t>
        </is>
      </c>
      <c r="C11" s="6" t="inlineStr">
        <is>
          <t>4.2.2.4.3</t>
        </is>
      </c>
      <c r="D11" s="6" t="inlineStr">
        <is>
          <t>LHe Filling &amp; Emptying Performance</t>
        </is>
      </c>
      <c r="E11" s="6" t="inlineStr">
        <is>
          <t>Offer response: LHe Filling &amp; Emptying Performance</t>
        </is>
      </c>
      <c r="F11" s="83" t="inlineStr">
        <is>
          <t>Evidenced via linked RTMs RTM-030..RTM-033 — see RTM Ranking / RTM Lookup for that item's own detailed evidence criteria (not repeated here). Calculation/model plus calibrated measurement or witnessed test against the stated performance criteria.</t>
        </is>
      </c>
      <c r="G11" s="6" t="inlineStr">
        <is>
          <t>L0 Tender / Offer; L1 Conceptual Design; L2 Detailed Design</t>
        </is>
      </c>
      <c r="H11" s="6" t="inlineStr">
        <is>
          <t>None explicitly named in the OFFER text</t>
        </is>
      </c>
      <c r="I11" s="6" t="inlineStr">
        <is>
          <t>SCK CEN/90508872 §4.2.2.4.3; no named external code in OFFER text</t>
        </is>
      </c>
      <c r="J11" s="6" t="inlineStr">
        <is>
          <t>OFFER-stage evidence; linked standards are contextual; does not prove full RTM compliance</t>
        </is>
      </c>
    </row>
    <row r="12" ht="73" customHeight="1">
      <c r="A12" s="6" t="inlineStr">
        <is>
          <t>OFFER</t>
        </is>
      </c>
      <c r="B12" s="6" t="inlineStr">
        <is>
          <t>OFFER-07</t>
        </is>
      </c>
      <c r="C12" s="6" t="inlineStr">
        <is>
          <t>4.2.4</t>
        </is>
      </c>
      <c r="D12" s="6" t="inlineStr">
        <is>
          <t>Header Design Pressure &amp; Temperature Definition</t>
        </is>
      </c>
      <c r="E12" s="6" t="inlineStr">
        <is>
          <t>Offer response: Header Design Pressure &amp; Temperature Definition</t>
        </is>
      </c>
      <c r="F12" s="83" t="inlineStr">
        <is>
          <t>Evidenced via linked RTMs RTM-040..RTM-044 — see RTM Ranking / RTM Lookup for that item's own detailed evidence criteria (not repeated here). Process/design documentation review (P&amp;ID, mass/energy balance, or equivalent) against the stated design criteria.</t>
        </is>
      </c>
      <c r="G12" s="6" t="inlineStr">
        <is>
          <t>L0 Tender / Offer; L1 Conceptual Design; L2 Detailed Design</t>
        </is>
      </c>
      <c r="H12" s="6" t="inlineStr">
        <is>
          <t>None explicitly named in the OFFER text</t>
        </is>
      </c>
      <c r="I12" s="6" t="inlineStr">
        <is>
          <t>SCK CEN/90508872 §4.2.4; no named external code in OFFER text</t>
        </is>
      </c>
      <c r="J12" s="6" t="inlineStr">
        <is>
          <t>OFFER-stage evidence; linked standards are contextual; does not prove full RTM compliance</t>
        </is>
      </c>
    </row>
    <row r="13" ht="73" customHeight="1">
      <c r="A13" s="6" t="inlineStr">
        <is>
          <t>OFFER</t>
        </is>
      </c>
      <c r="B13" s="6" t="inlineStr">
        <is>
          <t>OFFER-08</t>
        </is>
      </c>
      <c r="C13" s="6" t="inlineStr">
        <is>
          <t>4.2.5</t>
        </is>
      </c>
      <c r="D13" s="6" t="inlineStr">
        <is>
          <t>LN2 Precooling Design Decision</t>
        </is>
      </c>
      <c r="E13" s="6" t="inlineStr">
        <is>
          <t>Offer response: LN2 Precooling Design Decision</t>
        </is>
      </c>
      <c r="F13" s="83" t="inlineStr">
        <is>
          <t>Evidenced via linked RTM RTM-045 — see RTM Ranking / RTM Lookup for that item's own detailed evidence criteria (not repeated here). Process/design documentation review (P&amp;ID, mass/energy balance, or equivalent) against the stated design criteria.</t>
        </is>
      </c>
      <c r="G13" s="6" t="inlineStr">
        <is>
          <t>L0 Tender / Offer; L1 Conceptual Design; L2 Detailed Design</t>
        </is>
      </c>
      <c r="H13" s="6" t="inlineStr">
        <is>
          <t>None explicitly named in the OFFER text</t>
        </is>
      </c>
      <c r="I13" s="6" t="inlineStr">
        <is>
          <t>SCK CEN/90508872 §4.2.5; no named external code in OFFER text</t>
        </is>
      </c>
      <c r="J13" s="6" t="inlineStr">
        <is>
          <t>OFFER-stage evidence; linked standards are contextual; does not prove full RTM compliance</t>
        </is>
      </c>
    </row>
    <row r="14" ht="73" customHeight="1">
      <c r="A14" s="6" t="inlineStr">
        <is>
          <t>OFFER</t>
        </is>
      </c>
      <c r="B14" s="6" t="inlineStr">
        <is>
          <t>OFFER-09</t>
        </is>
      </c>
      <c r="C14" s="6" t="inlineStr">
        <is>
          <t>4.2.5</t>
        </is>
      </c>
      <c r="D14" s="6" t="inlineStr">
        <is>
          <t>LN2 Techno-Economic Evaluation (CAPEX/OPEX)</t>
        </is>
      </c>
      <c r="E14" s="6" t="inlineStr">
        <is>
          <t>Offer response: LN2 Techno-Economic Evaluation (CAPEX/OPEX)</t>
        </is>
      </c>
      <c r="F14" s="83" t="inlineStr">
        <is>
          <t>No RTM crosswalk anchor for this item — its evidence basis is the OFFER text response itself (see Explicit Deliverable / Proof, this row). Document review and traceability/approval-status confirmation (a governance or commercial deliverable, not a technical test).</t>
        </is>
      </c>
      <c r="G14" s="6" t="inlineStr">
        <is>
          <t>L0 Tender / Offer; PAC / Handover; L1 Conceptual Design; L2 Detailed Design</t>
        </is>
      </c>
      <c r="H14" s="6" t="inlineStr">
        <is>
          <t>None explicitly named in the OFFER text</t>
        </is>
      </c>
      <c r="I14" s="6" t="inlineStr">
        <is>
          <t>SCK CEN/90508872 §4.2.5; no named external code in OFFER text</t>
        </is>
      </c>
      <c r="J14" s="6" t="inlineStr">
        <is>
          <t>OFFER-stage evidence; linked standards are contextual; does not prove full RTM compliance</t>
        </is>
      </c>
    </row>
    <row r="15" ht="73" customHeight="1">
      <c r="A15" s="6" t="inlineStr">
        <is>
          <t>OFFER</t>
        </is>
      </c>
      <c r="B15" s="6" t="inlineStr">
        <is>
          <t>OFFER-10</t>
        </is>
      </c>
      <c r="C15" s="6" t="inlineStr">
        <is>
          <t>4.2.5</t>
        </is>
      </c>
      <c r="D15" s="6" t="inlineStr">
        <is>
          <t>LN2 System Functional &amp; Interface Design</t>
        </is>
      </c>
      <c r="E15" s="6" t="inlineStr">
        <is>
          <t>Offer response: LN2 System Functional &amp; Interface Design</t>
        </is>
      </c>
      <c r="F15" s="83" t="inlineStr">
        <is>
          <t>Evidenced via linked RTMs RTM-046..RTM-047 — see RTM Ranking / RTM Lookup for that item's own detailed evidence criteria (not repeated here). Process/design documentation review (P&amp;ID, mass/energy balance, or equivalent) against the stated design criteria.</t>
        </is>
      </c>
      <c r="G15" s="6" t="inlineStr">
        <is>
          <t>L0 Tender / Offer; L6 Site Acceptance Testing; L1 Conceptual Design; L2 Detailed Design</t>
        </is>
      </c>
      <c r="H15" s="6" t="inlineStr">
        <is>
          <t>None explicitly named in the OFFER text</t>
        </is>
      </c>
      <c r="I15" s="6" t="inlineStr">
        <is>
          <t>SCK CEN/90508872 §4.2.5; no named external code in OFFER text</t>
        </is>
      </c>
      <c r="J15" s="6" t="inlineStr">
        <is>
          <t>OFFER-stage evidence; linked standards are contextual; does not prove full RTM compliance</t>
        </is>
      </c>
    </row>
    <row r="16" ht="60" customHeight="1">
      <c r="A16" s="6" t="inlineStr">
        <is>
          <t>OFFER</t>
        </is>
      </c>
      <c r="B16" s="6" t="inlineStr">
        <is>
          <t>OFFER-11</t>
        </is>
      </c>
      <c r="C16" s="6" t="inlineStr">
        <is>
          <t>4.3.2</t>
        </is>
      </c>
      <c r="D16" s="6" t="inlineStr">
        <is>
          <t>Reliability, MTBF &amp; Recovery Strategy</t>
        </is>
      </c>
      <c r="E16" s="6" t="inlineStr">
        <is>
          <t>Offer response: Reliability, MTBF &amp; Recovery Strategy</t>
        </is>
      </c>
      <c r="F16" s="83" t="inlineStr">
        <is>
          <t>Evidenced via linked RTMs RTM-057..RTM-063 — see RTM Ranking / RTM Lookup for that item's own detailed evidence criteria (not repeated here). Procedure/plan document review plus RAM or maintenance substantiation.</t>
        </is>
      </c>
      <c r="G16" s="6" t="inlineStr">
        <is>
          <t>L0 Tender / Offer; L1 Conceptual Design; L2 Detailed Design</t>
        </is>
      </c>
      <c r="H16" s="6" t="inlineStr">
        <is>
          <t>None explicitly named in the OFFER text</t>
        </is>
      </c>
      <c r="I16" s="6" t="inlineStr">
        <is>
          <t>SCK CEN/90508872 §4.3.2; no named external code in OFFER text</t>
        </is>
      </c>
      <c r="J16" s="6" t="inlineStr">
        <is>
          <t>OFFER-stage evidence; linked standards are contextual; does not prove full RTM compliance</t>
        </is>
      </c>
    </row>
    <row r="17" ht="73" customHeight="1">
      <c r="A17" s="6" t="inlineStr">
        <is>
          <t>OFFER</t>
        </is>
      </c>
      <c r="B17" s="6" t="inlineStr">
        <is>
          <t>OFFER-12</t>
        </is>
      </c>
      <c r="C17" s="6" t="inlineStr">
        <is>
          <t>4.3.4</t>
        </is>
      </c>
      <c r="D17" s="6" t="inlineStr">
        <is>
          <t>Performance Efficiency (invCOP) Declaration</t>
        </is>
      </c>
      <c r="E17" s="6" t="inlineStr">
        <is>
          <t>Offer response: Performance Efficiency (invCOP) Declaration</t>
        </is>
      </c>
      <c r="F17" s="83" t="inlineStr">
        <is>
          <t>Evidenced via linked RTMs RTM-069..RTM-072 — see RTM Ranking / RTM Lookup for that item's own detailed evidence criteria (not repeated here). Calculation/model plus calibrated measurement or witnessed test against the stated performance criteria.</t>
        </is>
      </c>
      <c r="G17" s="6" t="inlineStr">
        <is>
          <t>L0 Tender / Offer; L1 Conceptual Design; L2 Detailed Design</t>
        </is>
      </c>
      <c r="H17" s="6" t="inlineStr">
        <is>
          <t>None explicitly named in the OFFER text</t>
        </is>
      </c>
      <c r="I17" s="6" t="inlineStr">
        <is>
          <t>SCK CEN/90508872 §4.3.4; no named external code in OFFER text</t>
        </is>
      </c>
      <c r="J17" s="6" t="inlineStr">
        <is>
          <t>OFFER-stage evidence; linked standards are contextual; does not prove full RTM compliance</t>
        </is>
      </c>
    </row>
    <row r="18" ht="73" customHeight="1">
      <c r="A18" s="6" t="inlineStr">
        <is>
          <t>OFFER</t>
        </is>
      </c>
      <c r="B18" s="6" t="inlineStr">
        <is>
          <t>OFFER-13</t>
        </is>
      </c>
      <c r="C18" s="6" t="inlineStr">
        <is>
          <t>4.4</t>
        </is>
      </c>
      <c r="D18" s="6" t="inlineStr">
        <is>
          <t>Main Equipment Technical Specifications</t>
        </is>
      </c>
      <c r="E18" s="6" t="inlineStr">
        <is>
          <t>Offer response: Main Equipment Technical Specifications</t>
        </is>
      </c>
      <c r="F18" s="83" t="inlineStr">
        <is>
          <t>No RTM crosswalk anchor for this item — its evidence basis is the OFFER text response itself (see Explicit Deliverable / Proof, this row). Design/fabrication documentation review (drawings, material certificates, weld/NDT records) against the stated criteria.</t>
        </is>
      </c>
      <c r="G18" s="6" t="inlineStr">
        <is>
          <t>L0 Tender / Offer; L1 Conceptual Design; L2 Detailed Design</t>
        </is>
      </c>
      <c r="H18" s="6" t="inlineStr">
        <is>
          <t>None explicitly named in the OFFER text</t>
        </is>
      </c>
      <c r="I18" s="6" t="inlineStr">
        <is>
          <t>Linked canonical RTM/section: ISO 2372; ISO 20816; ISO 2954; ISO 2151; API 671; ISO 10441; EN 13185:2001</t>
        </is>
      </c>
      <c r="J18" s="6" t="inlineStr">
        <is>
          <t>OFFER-stage evidence; linked standards are contextual; does not prove full RTM compliance</t>
        </is>
      </c>
    </row>
    <row r="19" ht="73" customHeight="1">
      <c r="A19" s="6" t="inlineStr">
        <is>
          <t>OFFER</t>
        </is>
      </c>
      <c r="B19" s="6" t="inlineStr">
        <is>
          <t>OFFER-14</t>
        </is>
      </c>
      <c r="C19" s="6" t="inlineStr">
        <is>
          <t>4.4.1.1</t>
        </is>
      </c>
      <c r="D19" s="6" t="inlineStr">
        <is>
          <t>Expansion Joint Design &amp; Risk Justification</t>
        </is>
      </c>
      <c r="E19" s="6" t="inlineStr">
        <is>
          <t>Offer response: Expansion Joint Design &amp; Risk Justification; Quality Assurance Plan (QAP); Risk Assessment / HAZOP / FMECA</t>
        </is>
      </c>
      <c r="F19" s="83" t="inlineStr">
        <is>
          <t>Evidenced via linked RTM RTM-079 — see RTM Ranking / RTM Lookup for that item's own detailed evidence criteria (not repeated here). Design/fabrication documentation review (drawings, material certificates, weld/NDT records) against the stated criteria.</t>
        </is>
      </c>
      <c r="G19" s="6" t="inlineStr">
        <is>
          <t>L0 Tender / Offer; L1 Conceptual Design; L2 Detailed Design</t>
        </is>
      </c>
      <c r="H19" s="6" t="inlineStr">
        <is>
          <t>None explicitly named in the OFFER text</t>
        </is>
      </c>
      <c r="I19" s="6" t="inlineStr">
        <is>
          <t>SCK CEN/90508872 §4.4.1.1; no named external code in OFFER text</t>
        </is>
      </c>
      <c r="J19" s="6" t="inlineStr">
        <is>
          <t>OFFER-stage evidence; linked standards are contextual; does not prove full RTM compliance</t>
        </is>
      </c>
    </row>
    <row r="20" ht="73" customHeight="1">
      <c r="A20" s="6" t="inlineStr">
        <is>
          <t>OFFER</t>
        </is>
      </c>
      <c r="B20" s="6" t="inlineStr">
        <is>
          <t>OFFER-15</t>
        </is>
      </c>
      <c r="C20" s="6" t="inlineStr">
        <is>
          <t>4.4.3.1</t>
        </is>
      </c>
      <c r="D20" s="6" t="inlineStr">
        <is>
          <t>Compressor Noise Emission Specification</t>
        </is>
      </c>
      <c r="E20" s="6" t="inlineStr">
        <is>
          <t>Offer response: Compressor Noise Emission Specification</t>
        </is>
      </c>
      <c r="F20" s="83" t="inlineStr">
        <is>
          <t>Evidenced via linked RTMs RTM-141..RTM-147 — see RTM Ranking / RTM Lookup for that item's own detailed evidence criteria (not repeated here). Design/fabrication documentation review (drawings, material certificates, weld/NDT records) against the stated criteria.</t>
        </is>
      </c>
      <c r="G20" s="6" t="inlineStr">
        <is>
          <t>L0 Tender / Offer; L1 Conceptual Design; L2 Detailed Design</t>
        </is>
      </c>
      <c r="H20" s="6" t="inlineStr">
        <is>
          <t>None explicitly named in the OFFER text</t>
        </is>
      </c>
      <c r="I20" s="6" t="inlineStr">
        <is>
          <t>Linked canonical RTM/section: ISO 2372; ISO 20816; ISO 2954; ISO 2151</t>
        </is>
      </c>
      <c r="J20" s="6" t="inlineStr">
        <is>
          <t>OFFER-stage evidence; linked standards are contextual; does not prove full RTM compliance</t>
        </is>
      </c>
    </row>
    <row r="21" ht="73" customHeight="1">
      <c r="A21" s="6" t="inlineStr">
        <is>
          <t>OFFER</t>
        </is>
      </c>
      <c r="B21" s="6" t="inlineStr">
        <is>
          <t>OFFER-16</t>
        </is>
      </c>
      <c r="C21" s="6" t="inlineStr">
        <is>
          <t>4.4.3.2</t>
        </is>
      </c>
      <c r="D21" s="6" t="inlineStr">
        <is>
          <t>Compressor Configuration &amp; Operating Limits</t>
        </is>
      </c>
      <c r="E21" s="6" t="inlineStr">
        <is>
          <t>Offer response: Compressor Configuration &amp; Operating Limits</t>
        </is>
      </c>
      <c r="F21" s="83" t="inlineStr">
        <is>
          <t>Evidenced via linked RTMs RTM-148..RTM-152 — see RTM Ranking / RTM Lookup for that item's own detailed evidence criteria (not repeated here). Design/fabrication documentation review (drawings, material certificates, weld/NDT records) against the stated criteria.</t>
        </is>
      </c>
      <c r="G21" s="6" t="inlineStr">
        <is>
          <t>L0 Tender / Offer; L1 Conceptual Design; L2 Detailed Design</t>
        </is>
      </c>
      <c r="H21" s="6" t="inlineStr">
        <is>
          <t>None explicitly named in the OFFER text</t>
        </is>
      </c>
      <c r="I21" s="6" t="inlineStr">
        <is>
          <t>Linked canonical RTM/section: API 671; ISO 10441</t>
        </is>
      </c>
      <c r="J21" s="6" t="inlineStr">
        <is>
          <t>OFFER-stage evidence; linked standards are contextual; does not prove full RTM compliance</t>
        </is>
      </c>
    </row>
    <row r="22" ht="73" customHeight="1">
      <c r="A22" s="6" t="inlineStr">
        <is>
          <t>OFFER</t>
        </is>
      </c>
      <c r="B22" s="6" t="inlineStr">
        <is>
          <t>OFFER-17</t>
        </is>
      </c>
      <c r="C22" s="6" t="inlineStr">
        <is>
          <t>4.4.4.1</t>
        </is>
      </c>
      <c r="D22" s="6" t="inlineStr">
        <is>
          <t>Preliminary 3D Plant Layout Model</t>
        </is>
      </c>
      <c r="E22" s="6" t="inlineStr">
        <is>
          <t>Offer response: Preliminary 3D Plant Layout Model; 3D / CAD Model</t>
        </is>
      </c>
      <c r="F22" s="83" t="inlineStr">
        <is>
          <t>Evidenced via linked RTMs RTM-193..RTM-197 — see RTM Ranking / RTM Lookup for that item's own detailed evidence criteria (not repeated here). Design documentation review plus site or structural verification against the stated criteria.</t>
        </is>
      </c>
      <c r="G22" s="6" t="inlineStr">
        <is>
          <t>L0 Tender / Offer; L1 Conceptual Design; L2 Detailed Design</t>
        </is>
      </c>
      <c r="H22" s="6" t="inlineStr">
        <is>
          <t>None explicitly named in the OFFER text</t>
        </is>
      </c>
      <c r="I22" s="6" t="inlineStr">
        <is>
          <t>SCK CEN/90508872 §4.4.4.1; no named external code in OFFER text</t>
        </is>
      </c>
      <c r="J22" s="6" t="inlineStr">
        <is>
          <t>OFFER-stage evidence; linked standards are contextual; does not prove full RTM compliance</t>
        </is>
      </c>
    </row>
    <row r="23" ht="73" customHeight="1">
      <c r="A23" s="6" t="inlineStr">
        <is>
          <t>OFFER</t>
        </is>
      </c>
      <c r="B23" s="6" t="inlineStr">
        <is>
          <t>OFFER-18</t>
        </is>
      </c>
      <c r="C23" s="6" t="inlineStr">
        <is>
          <t>4.4.4.2.2</t>
        </is>
      </c>
      <c r="D23" s="6" t="inlineStr">
        <is>
          <t>MPHX Technology Selection</t>
        </is>
      </c>
      <c r="E23" s="6" t="inlineStr">
        <is>
          <t>Offer response: MPHX Technology Selection</t>
        </is>
      </c>
      <c r="F23" s="83" t="inlineStr">
        <is>
          <t>Evidenced via linked RTMs RTM-202..RTM-209 — see RTM Ranking / RTM Lookup for that item's own detailed evidence criteria (not repeated here). Process/design documentation review (P&amp;ID, mass/energy balance, or equivalent) against the stated design criteria.</t>
        </is>
      </c>
      <c r="G23" s="6" t="inlineStr">
        <is>
          <t>L0 Tender / Offer; L1 Conceptual Design; L2 Detailed Design</t>
        </is>
      </c>
      <c r="H23" s="6" t="inlineStr">
        <is>
          <t>None explicitly named in the OFFER text</t>
        </is>
      </c>
      <c r="I23" s="6" t="inlineStr">
        <is>
          <t>SCK CEN/90508872 §4.4.4.2.2; no named external code in OFFER text</t>
        </is>
      </c>
      <c r="J23" s="6" t="inlineStr">
        <is>
          <t>OFFER-stage evidence; linked standards are contextual; does not prove full RTM compliance</t>
        </is>
      </c>
    </row>
    <row r="24" ht="73" customHeight="1">
      <c r="A24" s="6" t="inlineStr">
        <is>
          <t>OFFER</t>
        </is>
      </c>
      <c r="B24" s="6" t="inlineStr">
        <is>
          <t>OFFER-19</t>
        </is>
      </c>
      <c r="C24" s="6" t="inlineStr">
        <is>
          <t>4.4.5.2</t>
        </is>
      </c>
      <c r="D24" s="6" t="inlineStr">
        <is>
          <t>Warm Storage Heater (WSH) Design &amp; Layout</t>
        </is>
      </c>
      <c r="E24" s="6" t="inlineStr">
        <is>
          <t>Offer response: Warm Storage Heater (WSH) Design &amp; Layout</t>
        </is>
      </c>
      <c r="F24" s="83" t="inlineStr">
        <is>
          <t>Evidenced via linked RTMs RTM-239..RTM-248 — see RTM Ranking / RTM Lookup for that item's own detailed evidence criteria (not repeated here). Process/design documentation review (P&amp;ID, mass/energy balance, or equivalent) against the stated design criteria.</t>
        </is>
      </c>
      <c r="G24" s="6" t="inlineStr">
        <is>
          <t>L0 Tender / Offer; L1 Conceptual Design; L2 Detailed Design</t>
        </is>
      </c>
      <c r="H24" s="6" t="inlineStr">
        <is>
          <t>None explicitly named in the OFFER text</t>
        </is>
      </c>
      <c r="I24" s="6" t="inlineStr">
        <is>
          <t>SCK CEN/90508872 §4.4.5.2; no named external code in OFFER text</t>
        </is>
      </c>
      <c r="J24" s="6" t="inlineStr">
        <is>
          <t>OFFER-stage evidence; linked standards are contextual; does not prove full RTM compliance</t>
        </is>
      </c>
    </row>
    <row r="25" ht="73" customHeight="1">
      <c r="A25" s="6" t="inlineStr">
        <is>
          <t>OFFER</t>
        </is>
      </c>
      <c r="B25" s="6" t="inlineStr">
        <is>
          <t>OFFER-20</t>
        </is>
      </c>
      <c r="C25" s="6" t="inlineStr">
        <is>
          <t>4.4.7</t>
        </is>
      </c>
      <c r="D25" s="6" t="inlineStr">
        <is>
          <t>Helium Leak Detection &amp; Loss Management</t>
        </is>
      </c>
      <c r="E25" s="6" t="inlineStr">
        <is>
          <t>Offer response: Helium Leak Detection &amp; Loss Management; Test procedure / report; Procedure / work instruction</t>
        </is>
      </c>
      <c r="F25" s="83" t="inlineStr">
        <is>
          <t>Evidenced via linked RTMs RTM-252..RTM-257 — see RTM Ranking / RTM Lookup for that item's own detailed evidence criteria (not repeated here). Document review, audit, or a traceable QC/risk-register record against the stated criteria.</t>
        </is>
      </c>
      <c r="G25" s="6" t="inlineStr">
        <is>
          <t>L0 Tender / Offer; L4 Installation; L1 Conceptual Design; L2 Detailed Design</t>
        </is>
      </c>
      <c r="H25" s="6" t="inlineStr">
        <is>
          <t>None explicitly named in the OFFER text</t>
        </is>
      </c>
      <c r="I25" s="6" t="inlineStr">
        <is>
          <t>Linked canonical RTM/section: EN 13185:2001</t>
        </is>
      </c>
      <c r="J25" s="6" t="inlineStr">
        <is>
          <t>OFFER-stage evidence; linked standards are contextual; does not prove full RTM compliance</t>
        </is>
      </c>
    </row>
    <row r="26" ht="73" customHeight="1">
      <c r="A26" s="6" t="inlineStr">
        <is>
          <t>OFFER</t>
        </is>
      </c>
      <c r="B26" s="6" t="inlineStr">
        <is>
          <t>OFFER-21</t>
        </is>
      </c>
      <c r="C26" s="6" t="inlineStr">
        <is>
          <t>4.4.7.1</t>
        </is>
      </c>
      <c r="D26" s="6" t="inlineStr">
        <is>
          <t>LOOP Strategy &amp; Critical Load Management</t>
        </is>
      </c>
      <c r="E26" s="6" t="inlineStr">
        <is>
          <t>Offer response: LOOP Strategy &amp; Critical Load Management</t>
        </is>
      </c>
      <c r="F26" s="83" t="inlineStr">
        <is>
          <t>Evidenced via linked RTM RTM-258 — see RTM Ranking / RTM Lookup for that item's own detailed evidence criteria (not repeated here). Process/design documentation review (P&amp;ID, mass/energy balance, or equivalent) against the stated design criteria.</t>
        </is>
      </c>
      <c r="G26" s="6" t="inlineStr">
        <is>
          <t>L0 Tender / Offer; L1 Conceptual Design; L2 Detailed Design</t>
        </is>
      </c>
      <c r="H26" s="6" t="inlineStr">
        <is>
          <t>None explicitly named in the OFFER text</t>
        </is>
      </c>
      <c r="I26" s="6" t="inlineStr">
        <is>
          <t>SCK CEN/90508872 §4.4.7.1; no named external code in OFFER text</t>
        </is>
      </c>
      <c r="J26" s="6" t="inlineStr">
        <is>
          <t>OFFER-stage evidence; linked standards are contextual; does not prove full RTM compliance</t>
        </is>
      </c>
    </row>
    <row r="27" ht="73" customHeight="1">
      <c r="A27" s="6" t="inlineStr">
        <is>
          <t>OFFER</t>
        </is>
      </c>
      <c r="B27" s="6" t="inlineStr">
        <is>
          <t>OFFER-22</t>
        </is>
      </c>
      <c r="C27" s="6" t="inlineStr">
        <is>
          <t>4.4.7.3</t>
        </is>
      </c>
      <c r="D27" s="6" t="inlineStr">
        <is>
          <t>Helium Recovery System Design</t>
        </is>
      </c>
      <c r="E27" s="6" t="inlineStr">
        <is>
          <t>Offer response: Helium Recovery System Design</t>
        </is>
      </c>
      <c r="F27" s="83" t="inlineStr">
        <is>
          <t>Evidenced via linked RTMs RTM-260..RTM-262 — see RTM Ranking / RTM Lookup for that item's own detailed evidence criteria (not repeated here). Process/design documentation review (P&amp;ID, mass/energy balance, or equivalent) against the stated design criteria.</t>
        </is>
      </c>
      <c r="G27" s="6" t="inlineStr">
        <is>
          <t>L0 Tender / Offer; L1 Conceptual Design; L2 Detailed Design</t>
        </is>
      </c>
      <c r="H27" s="6" t="inlineStr">
        <is>
          <t>None explicitly named in the OFFER text</t>
        </is>
      </c>
      <c r="I27" s="6" t="inlineStr">
        <is>
          <t>SCK CEN/90508872 §4.4.7.3; no named external code in OFFER text</t>
        </is>
      </c>
      <c r="J27" s="6" t="inlineStr">
        <is>
          <t>OFFER-stage evidence; linked standards are contextual; does not prove full RTM compliance</t>
        </is>
      </c>
    </row>
    <row r="28" ht="73" customHeight="1">
      <c r="A28" s="6" t="inlineStr">
        <is>
          <t>OFFER</t>
        </is>
      </c>
      <c r="B28" s="6" t="inlineStr">
        <is>
          <t>OFFER-23</t>
        </is>
      </c>
      <c r="C28" s="6" t="inlineStr">
        <is>
          <t>4.4.8.1</t>
        </is>
      </c>
      <c r="D28" s="6" t="inlineStr">
        <is>
          <t>User Configuration Filling Performance</t>
        </is>
      </c>
      <c r="E28" s="6" t="inlineStr">
        <is>
          <t>Offer response: User Configuration Filling Performance</t>
        </is>
      </c>
      <c r="F28" s="83" t="inlineStr">
        <is>
          <t>Evidenced via linked RTMs RTM-268..RTM-272 — see RTM Ranking / RTM Lookup for that item's own detailed evidence criteria (not repeated here). Calculation/model plus calibrated measurement or witnessed test against the stated performance criteria.</t>
        </is>
      </c>
      <c r="G28" s="6" t="inlineStr">
        <is>
          <t>L0 Tender / Offer; L1 Conceptual Design; L2 Detailed Design</t>
        </is>
      </c>
      <c r="H28" s="6" t="inlineStr">
        <is>
          <t>None explicitly named in the OFFER text</t>
        </is>
      </c>
      <c r="I28" s="6" t="inlineStr">
        <is>
          <t>SCK CEN/90508872 §4.4.8.1; no named external code in OFFER text</t>
        </is>
      </c>
      <c r="J28" s="6" t="inlineStr">
        <is>
          <t>OFFER-stage evidence; linked standards are contextual; does not prove full RTM compliance</t>
        </is>
      </c>
    </row>
    <row r="29" ht="73" customHeight="1">
      <c r="A29" s="6" t="inlineStr">
        <is>
          <t>OFFER</t>
        </is>
      </c>
      <c r="B29" s="6" t="inlineStr">
        <is>
          <t>OFFER-24</t>
        </is>
      </c>
      <c r="C29" s="6" t="inlineStr">
        <is>
          <t>4.4.8.2</t>
        </is>
      </c>
      <c r="D29" s="6" t="inlineStr">
        <is>
          <t>Helium Purity Acceptance Criteria</t>
        </is>
      </c>
      <c r="E29" s="6" t="inlineStr">
        <is>
          <t>Offer response: Helium Purity Acceptance Criteria</t>
        </is>
      </c>
      <c r="F29" s="83" t="inlineStr">
        <is>
          <t>Evidenced via linked RTMs RTM-273..RTM-280 — see RTM Ranking / RTM Lookup for that item's own detailed evidence criteria (not repeated here). Process/design documentation review (P&amp;ID, mass/energy balance, or equivalent) against the stated design criteria.</t>
        </is>
      </c>
      <c r="G29" s="6" t="inlineStr">
        <is>
          <t>L0 Tender / Offer; L1 Conceptual Design; L2 Detailed Design</t>
        </is>
      </c>
      <c r="H29" s="6" t="inlineStr">
        <is>
          <t>None explicitly named in the OFFER text</t>
        </is>
      </c>
      <c r="I29" s="6" t="inlineStr">
        <is>
          <t>SCK CEN/90508872 §4.4.8.2; no named external code in OFFER text</t>
        </is>
      </c>
      <c r="J29" s="6" t="inlineStr">
        <is>
          <t>OFFER-stage evidence; linked standards are contextual; does not prove full RTM compliance</t>
        </is>
      </c>
    </row>
    <row r="30" ht="73" customHeight="1">
      <c r="A30" s="6" t="inlineStr">
        <is>
          <t>OFFER</t>
        </is>
      </c>
      <c r="B30" s="6" t="inlineStr">
        <is>
          <t>OFFER-25</t>
        </is>
      </c>
      <c r="C30" s="6" t="inlineStr">
        <is>
          <t>4.6.4.5</t>
        </is>
      </c>
      <c r="D30" s="6" t="inlineStr">
        <is>
          <t>Supplier Experience &amp; Reference Justification</t>
        </is>
      </c>
      <c r="E30" s="6" t="inlineStr">
        <is>
          <t>Offer response: Supplier Experience &amp; Reference Justification</t>
        </is>
      </c>
      <c r="F30" s="83" t="inlineStr">
        <is>
          <t>Evidenced via linked RTMs RTM-321..RTM-327 — see RTM Ranking / RTM Lookup for that item's own detailed evidence criteria (not repeated here). Document review and traceability/approval-status confirmation (a governance or commercial deliverable, not a technical test).</t>
        </is>
      </c>
      <c r="G30" s="6" t="inlineStr">
        <is>
          <t>L0 Tender / Offer; L1 Conceptual Design; L2 Detailed Design</t>
        </is>
      </c>
      <c r="H30" s="6" t="inlineStr">
        <is>
          <t>None explicitly named in the OFFER text</t>
        </is>
      </c>
      <c r="I30" s="6" t="inlineStr">
        <is>
          <t>Linked canonical RTM/section: ISO 27001; IEC 62443-3-3; EU Cyber Resilience Act (CRA); CE marking</t>
        </is>
      </c>
      <c r="J30" s="6" t="inlineStr">
        <is>
          <t>OFFER-stage evidence; linked standards are contextual; does not prove full RTM compliance</t>
        </is>
      </c>
    </row>
    <row r="31" ht="73" customHeight="1">
      <c r="A31" s="6" t="inlineStr">
        <is>
          <t>OFFER</t>
        </is>
      </c>
      <c r="B31" s="6" t="inlineStr">
        <is>
          <t>OFFER-26</t>
        </is>
      </c>
      <c r="C31" s="6" t="inlineStr">
        <is>
          <t>4.6.7</t>
        </is>
      </c>
      <c r="D31" s="6" t="inlineStr">
        <is>
          <t>Software Architecture &amp; Development Scope</t>
        </is>
      </c>
      <c r="E31" s="6" t="inlineStr">
        <is>
          <t>Offer response: Software Architecture &amp; Development Scope</t>
        </is>
      </c>
      <c r="F31" s="83" t="inlineStr">
        <is>
          <t>Evidenced via linked RTMs RTM-334..RTM-339 — see RTM Ranking / RTM Lookup for that item's own detailed evidence criteria (not repeated here). Functional design/configuration review and interface or sequence demonstration (FAT/SAT) against the stated behaviour.</t>
        </is>
      </c>
      <c r="G31" s="6" t="inlineStr">
        <is>
          <t>L0 Tender / Offer; L1 Conceptual Design; L2 Detailed Design</t>
        </is>
      </c>
      <c r="H31" s="6" t="inlineStr">
        <is>
          <t>None explicitly named in the OFFER text</t>
        </is>
      </c>
      <c r="I31" s="6" t="inlineStr">
        <is>
          <t>Linked canonical RTM/section: IEC 61131-3</t>
        </is>
      </c>
      <c r="J31" s="6" t="inlineStr">
        <is>
          <t>OFFER-stage evidence; linked standards are contextual; does not prove full RTM compliance</t>
        </is>
      </c>
    </row>
    <row r="32" ht="73" customHeight="1">
      <c r="A32" s="6" t="inlineStr">
        <is>
          <t>OFFER</t>
        </is>
      </c>
      <c r="B32" s="6" t="inlineStr">
        <is>
          <t>OFFER-27</t>
        </is>
      </c>
      <c r="C32" s="6" t="inlineStr">
        <is>
          <t>4.6.7</t>
        </is>
      </c>
      <c r="D32" s="6" t="inlineStr">
        <is>
          <t>Programming Standards &amp; Language Strategy</t>
        </is>
      </c>
      <c r="E32" s="6" t="inlineStr">
        <is>
          <t>Offer response: Programming Standards &amp; Language Strategy</t>
        </is>
      </c>
      <c r="F32" s="83" t="inlineStr">
        <is>
          <t>Evidenced via linked RTMs RTM-340..RTM-341; RTM-343..RTM-344 — see RTM Ranking / RTM Lookup for that item's own detailed evidence criteria (not repeated here). Functional design/configuration review and interface or sequence demonstration (FAT/SAT) against the stated behaviour.</t>
        </is>
      </c>
      <c r="G32" s="6" t="inlineStr">
        <is>
          <t>L0 Tender / Offer; L1 Conceptual Design; L2 Detailed Design</t>
        </is>
      </c>
      <c r="H32" s="6" t="inlineStr">
        <is>
          <t>IEC 61131-3</t>
        </is>
      </c>
      <c r="I32" s="6" t="inlineStr">
        <is>
          <t>Linked canonical RTM/section: IEC 61131-3</t>
        </is>
      </c>
      <c r="J32" s="6" t="inlineStr">
        <is>
          <t>OFFER-stage evidence; linked standards are contextual; does not prove full RTM compliance</t>
        </is>
      </c>
    </row>
    <row r="33" ht="73" customHeight="1">
      <c r="A33" s="6" t="inlineStr">
        <is>
          <t>OFFER</t>
        </is>
      </c>
      <c r="B33" s="6" t="inlineStr">
        <is>
          <t>OFFER-28</t>
        </is>
      </c>
      <c r="C33" s="6" t="inlineStr">
        <is>
          <t>4.6.7</t>
        </is>
      </c>
      <c r="D33" s="6" t="inlineStr">
        <is>
          <t>Functional Analysis &amp; Control Sequences</t>
        </is>
      </c>
      <c r="E33" s="6" t="inlineStr">
        <is>
          <t>Offer response: Functional Analysis &amp; Control Sequences</t>
        </is>
      </c>
      <c r="F33" s="83" t="inlineStr">
        <is>
          <t>Evidenced via linked RTMs RTM-342; RTM-345 — see RTM Ranking / RTM Lookup for that item's own detailed evidence criteria (not repeated here). Functional design/configuration review and interface or sequence demonstration (FAT/SAT) against the stated behaviour.</t>
        </is>
      </c>
      <c r="G33" s="6" t="inlineStr">
        <is>
          <t>L0 Tender / Offer; L1 Conceptual Design; L2 Detailed Design</t>
        </is>
      </c>
      <c r="H33" s="6" t="inlineStr">
        <is>
          <t>None explicitly named in the OFFER text</t>
        </is>
      </c>
      <c r="I33" s="6" t="inlineStr">
        <is>
          <t>Linked canonical RTM/section: IEC 61131-3</t>
        </is>
      </c>
      <c r="J33" s="6" t="inlineStr">
        <is>
          <t>OFFER-stage evidence; linked standards are contextual; does not prove full RTM compliance</t>
        </is>
      </c>
    </row>
    <row r="34" ht="73" customHeight="1">
      <c r="A34" s="6" t="inlineStr">
        <is>
          <t>OFFER</t>
        </is>
      </c>
      <c r="B34" s="6" t="inlineStr">
        <is>
          <t>OFFER-29</t>
        </is>
      </c>
      <c r="C34" s="6" t="inlineStr">
        <is>
          <t>4.6.8</t>
        </is>
      </c>
      <c r="D34" s="6" t="inlineStr">
        <is>
          <t>Control System Obsolescence Strategy</t>
        </is>
      </c>
      <c r="E34" s="6" t="inlineStr">
        <is>
          <t>Offer response: Control System Obsolescence Strategy</t>
        </is>
      </c>
      <c r="F34" s="83" t="inlineStr">
        <is>
          <t>Evidenced via linked RTMs RTM-346..RTM-367 — see RTM Ranking / RTM Lookup for that item's own detailed evidence criteria (not repeated here). Functional design/configuration review and interface or sequence demonstration (FAT/SAT) against the stated behaviour.</t>
        </is>
      </c>
      <c r="G34" s="6" t="inlineStr">
        <is>
          <t>L0 Tender / Offer; L1 Conceptual Design; L2 Detailed Design</t>
        </is>
      </c>
      <c r="H34" s="6" t="inlineStr">
        <is>
          <t>None explicitly named in the OFFER text</t>
        </is>
      </c>
      <c r="I34" s="6" t="inlineStr">
        <is>
          <t>SCK CEN/90508872 §4.6.8; no named external code in OFFER text</t>
        </is>
      </c>
      <c r="J34" s="6" t="inlineStr">
        <is>
          <t>OFFER-stage evidence; linked standards are contextual; does not prove full RTM compliance</t>
        </is>
      </c>
    </row>
    <row r="35" ht="73" customHeight="1">
      <c r="A35" s="6" t="inlineStr">
        <is>
          <t>OFFER</t>
        </is>
      </c>
      <c r="B35" s="6" t="inlineStr">
        <is>
          <t>OFFER-30</t>
        </is>
      </c>
      <c r="C35" s="6" t="inlineStr">
        <is>
          <t>4.6.9</t>
        </is>
      </c>
      <c r="D35" s="6" t="inlineStr">
        <is>
          <t>Software Change Management Process</t>
        </is>
      </c>
      <c r="E35" s="6" t="inlineStr">
        <is>
          <t>Offer response: Software Change Management Process</t>
        </is>
      </c>
      <c r="F35" s="83" t="inlineStr">
        <is>
          <t>Evidenced via linked RTMs RTM-368..RTM-370 — see RTM Ranking / RTM Lookup for that item's own detailed evidence criteria (not repeated here). Functional design/configuration review and interface or sequence demonstration (FAT/SAT) against the stated behaviour.</t>
        </is>
      </c>
      <c r="G35" s="6" t="inlineStr">
        <is>
          <t>L0 Tender / Offer; L1 Conceptual Design; L2 Detailed Design</t>
        </is>
      </c>
      <c r="H35" s="6" t="inlineStr">
        <is>
          <t>None explicitly named in the OFFER text</t>
        </is>
      </c>
      <c r="I35" s="6" t="inlineStr">
        <is>
          <t>SCK CEN/90508872 §4.6.9; no named external code in OFFER text</t>
        </is>
      </c>
      <c r="J35" s="6" t="inlineStr">
        <is>
          <t>OFFER-stage evidence; linked standards are contextual; does not prove full RTM compliance</t>
        </is>
      </c>
    </row>
    <row r="36" ht="73" customHeight="1">
      <c r="A36" s="6" t="inlineStr">
        <is>
          <t>OFFER</t>
        </is>
      </c>
      <c r="B36" s="6" t="inlineStr">
        <is>
          <t>OFFER-31</t>
        </is>
      </c>
      <c r="C36" s="6" t="inlineStr">
        <is>
          <t>4.7.1</t>
        </is>
      </c>
      <c r="D36" s="6" t="inlineStr">
        <is>
          <t>Cold Box Environmental Requirements</t>
        </is>
      </c>
      <c r="E36" s="6" t="inlineStr">
        <is>
          <t>Offer response: Cold Box Environmental Requirements</t>
        </is>
      </c>
      <c r="F36" s="83" t="inlineStr">
        <is>
          <t>Evidenced via linked RTMs RTM-386..RTM-387 — see RTM Ranking / RTM Lookup for that item's own detailed evidence criteria (not repeated here). Design documentation review plus site or structural verification against the stated criteria.</t>
        </is>
      </c>
      <c r="G36" s="6" t="inlineStr">
        <is>
          <t>L0 Tender / Offer; L1 Conceptual Design; L2 Detailed Design</t>
        </is>
      </c>
      <c r="H36" s="6" t="inlineStr">
        <is>
          <t>None explicitly named in the OFFER text</t>
        </is>
      </c>
      <c r="I36" s="6" t="inlineStr">
        <is>
          <t>SCK CEN/90508872 §4.7.1; no named external code in OFFER text</t>
        </is>
      </c>
      <c r="J36" s="6" t="inlineStr">
        <is>
          <t>OFFER-stage evidence; linked standards are contextual; does not prove full RTM compliance</t>
        </is>
      </c>
    </row>
    <row r="37" ht="73" customHeight="1">
      <c r="A37" s="6" t="inlineStr">
        <is>
          <t>OFFER</t>
        </is>
      </c>
      <c r="B37" s="6" t="inlineStr">
        <is>
          <t>OFFER-32</t>
        </is>
      </c>
      <c r="C37" s="6" t="inlineStr">
        <is>
          <t>4.7.2</t>
        </is>
      </c>
      <c r="D37" s="6" t="inlineStr">
        <is>
          <t>Equipment Transport &amp; Installation Constraints</t>
        </is>
      </c>
      <c r="E37" s="6" t="inlineStr">
        <is>
          <t>Offer response: Equipment Transport &amp; Installation Constraints</t>
        </is>
      </c>
      <c r="F37" s="83" t="inlineStr">
        <is>
          <t>Evidenced via linked RTMs RTM-388..RTM-394 — see RTM Ranking / RTM Lookup for that item's own detailed evidence criteria (not repeated here). Design documentation review plus site or structural verification against the stated criteria.</t>
        </is>
      </c>
      <c r="G37" s="6" t="inlineStr">
        <is>
          <t>L0 Tender / Offer; L1 Conceptual Design; L2 Detailed Design</t>
        </is>
      </c>
      <c r="H37" s="6" t="inlineStr">
        <is>
          <t>None explicitly named in the OFFER text</t>
        </is>
      </c>
      <c r="I37" s="6" t="inlineStr">
        <is>
          <t>SCK CEN/90508872 §4.7.2; no named external code in OFFER text</t>
        </is>
      </c>
      <c r="J37" s="6" t="inlineStr">
        <is>
          <t>OFFER-stage evidence; linked standards are contextual; does not prove full RTM compliance</t>
        </is>
      </c>
    </row>
    <row r="38" ht="73" customHeight="1">
      <c r="A38" s="6" t="inlineStr">
        <is>
          <t>OFFER</t>
        </is>
      </c>
      <c r="B38" s="6" t="inlineStr">
        <is>
          <t>OFFER-33</t>
        </is>
      </c>
      <c r="C38" s="6" t="inlineStr">
        <is>
          <t>4.7.3.1</t>
        </is>
      </c>
      <c r="D38" s="6" t="inlineStr">
        <is>
          <t>Electrical System Design &amp; Load Analysis</t>
        </is>
      </c>
      <c r="E38" s="6" t="inlineStr">
        <is>
          <t>Offer response: Electrical System Design &amp; Load Analysis; Drawing / diagram; List / register / matrix</t>
        </is>
      </c>
      <c r="F38" s="83" t="inlineStr">
        <is>
          <t>Evidenced via linked RTMs RTM-401..RTM-402 — see RTM Ranking / RTM Lookup for that item's own detailed evidence criteria (not repeated here). Functional design/configuration review and interface or sequence demonstration (FAT/SAT) against the stated behaviour.</t>
        </is>
      </c>
      <c r="G38" s="6" t="inlineStr">
        <is>
          <t>L0 Tender / Offer; L1 Conceptual Design; L2 Detailed Design</t>
        </is>
      </c>
      <c r="H38" s="6" t="inlineStr">
        <is>
          <t>None explicitly named in the OFFER text</t>
        </is>
      </c>
      <c r="I38" s="6" t="inlineStr">
        <is>
          <t>SCK CEN/90508872 §4.7.3.1; no named external code in OFFER text</t>
        </is>
      </c>
      <c r="J38" s="6" t="inlineStr">
        <is>
          <t>OFFER-stage evidence; linked standards are contextual; does not prove full RTM compliance</t>
        </is>
      </c>
    </row>
    <row r="39" ht="73" customHeight="1">
      <c r="A39" s="6" t="inlineStr">
        <is>
          <t>OFFER</t>
        </is>
      </c>
      <c r="B39" s="6" t="inlineStr">
        <is>
          <t>OFFER-34</t>
        </is>
      </c>
      <c r="C39" s="6" t="inlineStr">
        <is>
          <t>4.7.4.3.2</t>
        </is>
      </c>
      <c r="D39" s="6" t="inlineStr">
        <is>
          <t>Cooling Water System Requirements</t>
        </is>
      </c>
      <c r="E39" s="6" t="inlineStr">
        <is>
          <t>Offer response: Cooling Water System Requirements</t>
        </is>
      </c>
      <c r="F39" s="83" t="inlineStr">
        <is>
          <t>Evidenced via linked RTMs RTM-426..RTM-427 — see RTM Ranking / RTM Lookup for that item's own detailed evidence criteria (not repeated here). Design documentation review plus site or structural verification against the stated criteria.</t>
        </is>
      </c>
      <c r="G39" s="6" t="inlineStr">
        <is>
          <t>L0 Tender / Offer; L1 Conceptual Design; L2 Detailed Design</t>
        </is>
      </c>
      <c r="H39" s="6" t="inlineStr">
        <is>
          <t>None explicitly named in the OFFER text</t>
        </is>
      </c>
      <c r="I39" s="6" t="inlineStr">
        <is>
          <t>SCK CEN/90508872 §4.7.4.3.2; no named external code in OFFER text</t>
        </is>
      </c>
      <c r="J39" s="6" t="inlineStr">
        <is>
          <t>OFFER-stage evidence; linked standards are contextual; does not prove full RTM compliance</t>
        </is>
      </c>
    </row>
    <row r="40" ht="73" customHeight="1">
      <c r="A40" s="6" t="inlineStr">
        <is>
          <t>OFFER</t>
        </is>
      </c>
      <c r="B40" s="6" t="inlineStr">
        <is>
          <t>OFFER-35</t>
        </is>
      </c>
      <c r="C40" s="6" t="inlineStr">
        <is>
          <t>4.7.6</t>
        </is>
      </c>
      <c r="D40" s="6" t="inlineStr">
        <is>
          <t>Heat Rejection &amp; HVAC Interface Design</t>
        </is>
      </c>
      <c r="E40" s="6" t="inlineStr">
        <is>
          <t>Offer response: Heat Rejection &amp; HVAC Interface Design</t>
        </is>
      </c>
      <c r="F40" s="83" t="inlineStr">
        <is>
          <t>Evidenced via linked RTMs RTM-434..RTM-435 — see RTM Ranking / RTM Lookup for that item's own detailed evidence criteria (not repeated here). Design documentation review plus site or structural verification against the stated criteria.</t>
        </is>
      </c>
      <c r="G40" s="6" t="inlineStr">
        <is>
          <t>L0 Tender / Offer; L1 Conceptual Design; L2 Detailed Design</t>
        </is>
      </c>
      <c r="H40" s="6" t="inlineStr">
        <is>
          <t>None explicitly named in the OFFER text</t>
        </is>
      </c>
      <c r="I40" s="6" t="inlineStr">
        <is>
          <t>SCK CEN/90508872 §4.7.6; no named external code in OFFER text</t>
        </is>
      </c>
      <c r="J40" s="6" t="inlineStr">
        <is>
          <t>OFFER-stage evidence; linked standards are contextual; does not prove full RTM compliance</t>
        </is>
      </c>
    </row>
    <row r="41" ht="73" customHeight="1">
      <c r="A41" s="6" t="inlineStr">
        <is>
          <t>OFFER</t>
        </is>
      </c>
      <c r="B41" s="6" t="inlineStr">
        <is>
          <t>OFFER-36</t>
        </is>
      </c>
      <c r="C41" s="6" t="inlineStr">
        <is>
          <t>4.8.1.2</t>
        </is>
      </c>
      <c r="D41" s="6" t="inlineStr">
        <is>
          <t>3D Model Platform &amp; CAD Delivery</t>
        </is>
      </c>
      <c r="E41" s="6" t="inlineStr">
        <is>
          <t>Offer response: 3D Model Platform &amp; CAD Delivery; 3D / CAD Model</t>
        </is>
      </c>
      <c r="F41" s="83" t="inlineStr">
        <is>
          <t>Evidenced via linked RTMs RTM-445..RTM-449 — see RTM Ranking / RTM Lookup for that item's own detailed evidence criteria (not repeated here). Design documentation review plus site or structural verification against the stated criteria.</t>
        </is>
      </c>
      <c r="G41" s="6" t="inlineStr">
        <is>
          <t>L0 Tender / Offer; L1 Conceptual Design; L2 Detailed Design</t>
        </is>
      </c>
      <c r="H41" s="6" t="inlineStr">
        <is>
          <t>None explicitly named in the OFFER text</t>
        </is>
      </c>
      <c r="I41" s="6" t="inlineStr">
        <is>
          <t>SCK CEN/90508872 §4.8.1.2; no named external code in OFFER text</t>
        </is>
      </c>
      <c r="J41" s="6" t="inlineStr">
        <is>
          <t>OFFER-stage evidence; linked standards are contextual; does not prove full RTM compliance</t>
        </is>
      </c>
    </row>
    <row r="42" ht="73" customHeight="1">
      <c r="A42" s="6" t="inlineStr">
        <is>
          <t>OFFER</t>
        </is>
      </c>
      <c r="B42" s="6" t="inlineStr">
        <is>
          <t>OFFER-37</t>
        </is>
      </c>
      <c r="C42" s="6" t="inlineStr">
        <is>
          <t>4.8.2</t>
        </is>
      </c>
      <c r="D42" s="6" t="inlineStr">
        <is>
          <t>Digital Twin / Simulation Strategy</t>
        </is>
      </c>
      <c r="E42" s="6" t="inlineStr">
        <is>
          <t>Offer response: Digital Twin / Simulation Strategy; Digital Process Model / Digital Twin</t>
        </is>
      </c>
      <c r="F42" s="83" t="inlineStr">
        <is>
          <t>Evidenced via linked RTMs RTM-450..RTM-451 — see RTM Ranking / RTM Lookup for that item's own detailed evidence criteria (not repeated here). Functional design/configuration review and interface or sequence demonstration (FAT/SAT) against the stated behaviour.</t>
        </is>
      </c>
      <c r="G42" s="6" t="inlineStr">
        <is>
          <t>L0 Tender / Offer; L1 Conceptual Design; L2 Detailed Design</t>
        </is>
      </c>
      <c r="H42" s="6" t="inlineStr">
        <is>
          <t>None explicitly named in the OFFER text</t>
        </is>
      </c>
      <c r="I42" s="6" t="inlineStr">
        <is>
          <t>SCK CEN/90508872 §4.8.2; no named external code in OFFER text</t>
        </is>
      </c>
      <c r="J42" s="6" t="inlineStr">
        <is>
          <t>OFFER-stage evidence; linked standards are contextual; does not prove full RTM compliance</t>
        </is>
      </c>
    </row>
    <row r="43" ht="60" customHeight="1">
      <c r="A43" s="6" t="inlineStr">
        <is>
          <t>OFFER</t>
        </is>
      </c>
      <c r="B43" s="6" t="inlineStr">
        <is>
          <t>OFFER-38</t>
        </is>
      </c>
      <c r="C43" s="6" t="inlineStr">
        <is>
          <t>4.12.1</t>
        </is>
      </c>
      <c r="D43" s="6" t="inlineStr">
        <is>
          <t>Training Program &amp; Competency Definition</t>
        </is>
      </c>
      <c r="E43" s="6" t="inlineStr">
        <is>
          <t>Offer response: Training Program &amp; Competency Definition; Training Programme / Materials</t>
        </is>
      </c>
      <c r="F43" s="83" t="inlineStr">
        <is>
          <t>Evidenced via linked RTMs RTM-483..RTM-490 — see RTM Ranking / RTM Lookup for that item's own detailed evidence criteria (not repeated here). Procedure/plan document review plus RAM or maintenance substantiation.</t>
        </is>
      </c>
      <c r="G43" s="6" t="inlineStr">
        <is>
          <t>L0 Tender / Offer; L1 Conceptual Design; L2 Detailed Design</t>
        </is>
      </c>
      <c r="H43" s="6" t="inlineStr">
        <is>
          <t>None explicitly named in the OFFER text</t>
        </is>
      </c>
      <c r="I43" s="6" t="inlineStr">
        <is>
          <t>SCK CEN/90508872 §4.12.1; no named external code in OFFER text</t>
        </is>
      </c>
      <c r="J43" s="6" t="inlineStr">
        <is>
          <t>OFFER-stage evidence; linked standards are contextual; does not prove full RTM compliance</t>
        </is>
      </c>
    </row>
    <row r="44" ht="73" customHeight="1">
      <c r="A44" s="6" t="inlineStr">
        <is>
          <t>OFFER</t>
        </is>
      </c>
      <c r="B44" s="6" t="inlineStr">
        <is>
          <t>OFFER-39</t>
        </is>
      </c>
      <c r="C44" s="6" t="inlineStr">
        <is>
          <t>4.13.1</t>
        </is>
      </c>
      <c r="D44" s="6" t="inlineStr">
        <is>
          <t>FAT/SAT Testing Strategy &amp; Procedures</t>
        </is>
      </c>
      <c r="E44" s="6" t="inlineStr">
        <is>
          <t>Offer response: FAT/SAT Testing Strategy &amp; Procedures</t>
        </is>
      </c>
      <c r="F44" s="83" t="inlineStr">
        <is>
          <t>Evidenced via linked RTMs RTM-491..RTM-495 — see RTM Ranking / RTM Lookup for that item's own detailed evidence criteria (not repeated here). Document review, audit, or a traceable QC/risk-register record against the stated criteria.</t>
        </is>
      </c>
      <c r="G44" s="6" t="inlineStr">
        <is>
          <t>L0 Tender / Offer; L6 Site Acceptance Testing; L1 Conceptual Design; L2 Detailed Design</t>
        </is>
      </c>
      <c r="H44" s="6" t="inlineStr">
        <is>
          <t>None explicitly named in the OFFER text</t>
        </is>
      </c>
      <c r="I44" s="6" t="inlineStr">
        <is>
          <t>SCK CEN/90508872 §4.13.1; no named external code in OFFER text</t>
        </is>
      </c>
      <c r="J44" s="6" t="inlineStr">
        <is>
          <t>OFFER-stage evidence; linked standards are contextual; does not prove full RTM compliance</t>
        </is>
      </c>
    </row>
    <row r="45" ht="73" customHeight="1">
      <c r="A45" s="6" t="inlineStr">
        <is>
          <t>OFFER</t>
        </is>
      </c>
      <c r="B45" s="6" t="inlineStr">
        <is>
          <t>OFFER-40</t>
        </is>
      </c>
      <c r="C45" s="6" t="inlineStr">
        <is>
          <t>4.13.3.3.7</t>
        </is>
      </c>
      <c r="D45" s="6" t="inlineStr">
        <is>
          <t>Electrical Power Measurement Methodology</t>
        </is>
      </c>
      <c r="E45" s="6" t="inlineStr">
        <is>
          <t>Offer response: Electrical Power Measurement Methodology</t>
        </is>
      </c>
      <c r="F45" s="83" t="inlineStr">
        <is>
          <t>Evidenced via linked RTMs RTM-542..RTM-544 — see RTM Ranking / RTM Lookup for that item's own detailed evidence criteria (not repeated here). Functional design/configuration review and interface or sequence demonstration (FAT/SAT) against the stated behaviour.</t>
        </is>
      </c>
      <c r="G45" s="6" t="inlineStr">
        <is>
          <t>L0 Tender / Offer; L1 Conceptual Design; L2 Detailed Design</t>
        </is>
      </c>
      <c r="H45" s="6" t="inlineStr">
        <is>
          <t>None explicitly named in the OFFER text</t>
        </is>
      </c>
      <c r="I45" s="6" t="inlineStr">
        <is>
          <t>SCK CEN/90508872 §4.13.3.3.7; no named external code in OFFER text</t>
        </is>
      </c>
      <c r="J45" s="6" t="inlineStr">
        <is>
          <t>OFFER-stage evidence; linked standards are contextual; does not prove full RTM compliance</t>
        </is>
      </c>
    </row>
    <row r="46" ht="60" customHeight="1">
      <c r="A46" s="6" t="inlineStr">
        <is>
          <t>OFFER</t>
        </is>
      </c>
      <c r="B46" s="6" t="inlineStr">
        <is>
          <t>OFFER-41</t>
        </is>
      </c>
      <c r="C46" s="6" t="inlineStr">
        <is>
          <t>4.14.3</t>
        </is>
      </c>
      <c r="D46" s="6" t="inlineStr">
        <is>
          <t>Spare Parts &amp; Critical Components Strategy</t>
        </is>
      </c>
      <c r="E46" s="6" t="inlineStr">
        <is>
          <t>Offer response: Spare Parts &amp; Critical Components Strategy; List / register / matrix</t>
        </is>
      </c>
      <c r="F46" s="83" t="inlineStr">
        <is>
          <t>Evidenced via linked RTMs RTM-560..RTM-562 — see RTM Ranking / RTM Lookup for that item's own detailed evidence criteria (not repeated here). Procedure/plan document review plus RAM or maintenance substantiation.</t>
        </is>
      </c>
      <c r="G46" s="6" t="inlineStr">
        <is>
          <t>L0 Tender / Offer; L1 Conceptual Design; L2 Detailed Design</t>
        </is>
      </c>
      <c r="H46" s="6" t="inlineStr">
        <is>
          <t>None explicitly named in the OFFER text</t>
        </is>
      </c>
      <c r="I46" s="6" t="inlineStr">
        <is>
          <t>SCK CEN/90508872 §4.14.3; no named external code in OFFER text</t>
        </is>
      </c>
      <c r="J46" s="6" t="inlineStr">
        <is>
          <t>OFFER-stage evidence; linked standards are contextual; does not prove full RTM compliance</t>
        </is>
      </c>
    </row>
    <row r="47" ht="73" customHeight="1">
      <c r="A47" s="6" t="inlineStr">
        <is>
          <t>OFFER</t>
        </is>
      </c>
      <c r="B47" s="6" t="inlineStr">
        <is>
          <t>OFFER-42</t>
        </is>
      </c>
      <c r="C47" s="6" t="inlineStr">
        <is>
          <t>4.15</t>
        </is>
      </c>
      <c r="D47" s="6" t="inlineStr">
        <is>
          <t>After-Sales Service Organization &amp; Pricing</t>
        </is>
      </c>
      <c r="E47" s="6" t="inlineStr">
        <is>
          <t>Offer response: After-Sales Service Organization &amp; Pricing; Procedure / work instruction</t>
        </is>
      </c>
      <c r="F47" s="83" t="inlineStr">
        <is>
          <t>Evidenced via linked RTMs RTM-563..RTM-565 — see RTM Ranking / RTM Lookup for that item's own detailed evidence criteria (not repeated here). Document review and traceability/approval-status confirmation (a governance or commercial deliverable, not a technical test).</t>
        </is>
      </c>
      <c r="G47" s="6" t="inlineStr">
        <is>
          <t>L0 Tender / Offer; L1 Conceptual Design; L2 Detailed Design</t>
        </is>
      </c>
      <c r="H47" s="6" t="inlineStr">
        <is>
          <t>None explicitly named in the OFFER text</t>
        </is>
      </c>
      <c r="I47" s="6" t="inlineStr">
        <is>
          <t>SCK CEN/90508872 §4.15; no named external code in OFFER text</t>
        </is>
      </c>
      <c r="J47" s="6" t="inlineStr">
        <is>
          <t>OFFER-stage evidence; linked standards are contextual; does not prove full RTM compliance</t>
        </is>
      </c>
    </row>
    <row r="48" ht="60" customHeight="1">
      <c r="A48" s="6" t="inlineStr">
        <is>
          <t>OFFER</t>
        </is>
      </c>
      <c r="B48" s="6" t="inlineStr">
        <is>
          <t>OFFER-43</t>
        </is>
      </c>
      <c r="C48" s="6" t="inlineStr">
        <is>
          <t>4.15</t>
        </is>
      </c>
      <c r="D48" s="6" t="inlineStr">
        <is>
          <t>Maintenance Effort &amp; Intervention Estimation</t>
        </is>
      </c>
      <c r="E48" s="6" t="inlineStr">
        <is>
          <t>Offer response: Maintenance Effort &amp; Intervention Estimation</t>
        </is>
      </c>
      <c r="F48" s="83" t="inlineStr">
        <is>
          <t>No RTM crosswalk anchor for this item — its evidence basis is the OFFER text response itself (see Explicit Deliverable / Proof, this row). Procedure/plan document review plus RAM or maintenance substantiation.</t>
        </is>
      </c>
      <c r="G48" s="6" t="inlineStr">
        <is>
          <t>L0 Tender / Offer; L1 Conceptual Design; L2 Detailed Design</t>
        </is>
      </c>
      <c r="H48" s="6" t="inlineStr">
        <is>
          <t>None explicitly named in the OFFER text</t>
        </is>
      </c>
      <c r="I48" s="6" t="inlineStr">
        <is>
          <t>SCK CEN/90508872 §4.15; no named external code in OFFER text</t>
        </is>
      </c>
      <c r="J48" s="6" t="inlineStr">
        <is>
          <t>OFFER-stage evidence; linked standards are contextual; does not prove full RTM compliance</t>
        </is>
      </c>
    </row>
    <row r="49" ht="73" customHeight="1">
      <c r="A49" s="6" t="inlineStr">
        <is>
          <t>OFFER</t>
        </is>
      </c>
      <c r="B49" s="6" t="inlineStr">
        <is>
          <t>OFFER-44</t>
        </is>
      </c>
      <c r="C49" s="6" t="inlineStr">
        <is>
          <t>6.2</t>
        </is>
      </c>
      <c r="D49" s="6" t="inlineStr">
        <is>
          <t>Project Schedule &amp; Milestone Definition</t>
        </is>
      </c>
      <c r="E49" s="6" t="inlineStr">
        <is>
          <t>Offer response: Project Schedule &amp; Milestone Definition; Schedule / milestone plan</t>
        </is>
      </c>
      <c r="F49" s="83" t="inlineStr">
        <is>
          <t>No RTM crosswalk anchor for this item — its evidence basis is the OFFER text response itself (see Explicit Deliverable / Proof, this row). Document review and traceability/approval-status confirmation (a governance or commercial deliverable, not a technical test).</t>
        </is>
      </c>
      <c r="G49" s="6" t="inlineStr">
        <is>
          <t>L0 Tender / Offer; L1 Conceptual Design; L2 Detailed Design; L3 Procurement &amp; Manufacturing / FAT; L4 Installation; L5 Standalone Commissioning; L6 Site Acceptance Testing</t>
        </is>
      </c>
      <c r="H49" s="6" t="inlineStr">
        <is>
          <t>None explicitly named in the OFFER text</t>
        </is>
      </c>
      <c r="I49" s="6" t="inlineStr">
        <is>
          <t>SCK CEN/90508872 §6.2; no named external code in OFFER text</t>
        </is>
      </c>
      <c r="J49" s="6" t="inlineStr">
        <is>
          <t>OFFER-stage evidence; linked standards are contextual; does not prove full RTM compliance</t>
        </is>
      </c>
    </row>
    <row r="50" ht="73" customHeight="1">
      <c r="A50" s="6" t="inlineStr">
        <is>
          <t>OFFER</t>
        </is>
      </c>
      <c r="B50" s="6" t="inlineStr">
        <is>
          <t>OFFER-45</t>
        </is>
      </c>
      <c r="C50" s="6" t="inlineStr">
        <is>
          <t>7.4.1</t>
        </is>
      </c>
      <c r="D50" s="6" t="inlineStr">
        <is>
          <t>Project Dashboard &amp; Management Processes</t>
        </is>
      </c>
      <c r="E50" s="6" t="inlineStr">
        <is>
          <t>Offer response: Project Dashboard &amp; Management Processes</t>
        </is>
      </c>
      <c r="F50" s="83" t="inlineStr">
        <is>
          <t>Evidenced via linked RTM RTM-633 — see RTM Ranking / RTM Lookup for that item's own detailed evidence criteria (not repeated here). Document review and traceability/approval-status confirmation (a governance or commercial deliverable, not a technical test).</t>
        </is>
      </c>
      <c r="G50" s="6" t="inlineStr">
        <is>
          <t>L0 Tender / Offer; L1 Conceptual Design; L2 Detailed Design; L3 Procurement &amp; Manufacturing / FAT; L4 Installation; L5 Standalone Commissioning; L6 Site Acceptance Testing</t>
        </is>
      </c>
      <c r="H50" s="6" t="inlineStr">
        <is>
          <t>None explicitly named in the OFFER text</t>
        </is>
      </c>
      <c r="I50" s="6" t="inlineStr">
        <is>
          <t>SCK CEN/90508872 §7.4.1; no named external code in OFFER text</t>
        </is>
      </c>
      <c r="J50" s="6" t="inlineStr">
        <is>
          <t>OFFER-stage evidence; linked standards are contextual; does not prove full RTM compliance</t>
        </is>
      </c>
    </row>
    <row r="51" ht="60" customHeight="1">
      <c r="A51" s="6" t="inlineStr">
        <is>
          <t>OFFER</t>
        </is>
      </c>
      <c r="B51" s="6" t="inlineStr">
        <is>
          <t>OFFER-46</t>
        </is>
      </c>
      <c r="C51" s="6" t="inlineStr">
        <is>
          <t>7.5</t>
        </is>
      </c>
      <c r="D51" s="6" t="inlineStr">
        <is>
          <t>Risk Assessment &amp; Mitigation Strategy</t>
        </is>
      </c>
      <c r="E51" s="6" t="inlineStr">
        <is>
          <t>Offer response: Risk Assessment &amp; Mitigation Strategy; Risk Assessment / HAZOP / FMECA</t>
        </is>
      </c>
      <c r="F51" s="83" t="inlineStr">
        <is>
          <t>Evidenced via linked RTM RTM-640 — see RTM Ranking / RTM Lookup for that item's own detailed evidence criteria (not repeated here). Document review, audit, or a traceable QC/risk-register record against the stated criteria.</t>
        </is>
      </c>
      <c r="G51" s="6" t="inlineStr">
        <is>
          <t>L0 Tender / Offer; L1 Conceptual Design; L2 Detailed Design; L3 Procurement &amp; Manufacturing / FAT; L4 Installation; L5 Standalone Commissioning; L6 Site Acceptance Testing</t>
        </is>
      </c>
      <c r="H51" s="6" t="inlineStr">
        <is>
          <t>None explicitly named in the OFFER text</t>
        </is>
      </c>
      <c r="I51" s="6" t="inlineStr">
        <is>
          <t>SCK CEN/90508872 §7.5; no named external code in OFFER text</t>
        </is>
      </c>
      <c r="J51" s="6" t="inlineStr">
        <is>
          <t>OFFER-stage evidence; linked standards are contextual; does not prove full RTM compliance</t>
        </is>
      </c>
    </row>
    <row r="52" ht="60" customHeight="1">
      <c r="A52" s="6" t="inlineStr">
        <is>
          <t>OFFER</t>
        </is>
      </c>
      <c r="B52" s="6" t="inlineStr">
        <is>
          <t>OFFER-47</t>
        </is>
      </c>
      <c r="C52" s="6" t="inlineStr">
        <is>
          <t>8</t>
        </is>
      </c>
      <c r="D52" s="6" t="inlineStr">
        <is>
          <t>Quality Assurance Program (QAP) Definition</t>
        </is>
      </c>
      <c r="E52" s="6" t="inlineStr">
        <is>
          <t>Offer response: Quality Assurance Program (QAP) Definition; Quality Assurance Plan (QAP)</t>
        </is>
      </c>
      <c r="F52" s="83" t="inlineStr">
        <is>
          <t>Evidenced via linked RTM RTM-642 — see RTM Ranking / RTM Lookup for that item's own detailed evidence criteria (not repeated here). Document review, audit, or a traceable QC/risk-register record against the stated criteria.</t>
        </is>
      </c>
      <c r="G52" s="6" t="inlineStr">
        <is>
          <t>L0 Tender / Offer; L1 Conceptual Design; L2 Detailed Design; L3 Procurement &amp; Manufacturing / FAT; L4 Installation; L5 Standalone Commissioning; L6 Site Acceptance Testing</t>
        </is>
      </c>
      <c r="H52" s="6" t="inlineStr">
        <is>
          <t>None explicitly named in the OFFER text</t>
        </is>
      </c>
      <c r="I52" s="6" t="inlineStr">
        <is>
          <t>SCK CEN/90508872 §8; no named external code in OFFER text</t>
        </is>
      </c>
      <c r="J52" s="6" t="inlineStr">
        <is>
          <t>OFFER-stage evidence; linked standards are contextual; does not prove full RTM compliance</t>
        </is>
      </c>
    </row>
    <row r="53" ht="73" customHeight="1">
      <c r="A53" s="6" t="inlineStr">
        <is>
          <t>OFFER</t>
        </is>
      </c>
      <c r="B53" s="6" t="inlineStr">
        <is>
          <t>OFFER-48</t>
        </is>
      </c>
      <c r="C53" s="6" t="inlineStr">
        <is>
          <t>8.1.3.1</t>
        </is>
      </c>
      <c r="D53" s="6" t="inlineStr">
        <is>
          <t>Detailed Quality Control Procedures</t>
        </is>
      </c>
      <c r="E53" s="6" t="inlineStr">
        <is>
          <t>Offer response: Detailed Quality Control Procedures; Quality Assurance Plan (QAP)</t>
        </is>
      </c>
      <c r="F53" s="83" t="inlineStr">
        <is>
          <t>Evidenced via linked RTMs RTM-650..RTM-652 — see RTM Ranking / RTM Lookup for that item's own detailed evidence criteria (not repeated here). Document review, audit, or a traceable QC/risk-register record against the stated criteria.</t>
        </is>
      </c>
      <c r="G53" s="6" t="inlineStr">
        <is>
          <t>L0 Tender / Offer; L1 Conceptual Design; L2 Detailed Design; L3 Procurement &amp; Manufacturing / FAT; L4 Installation; L5 Standalone Commissioning; L6 Site Acceptance Testing</t>
        </is>
      </c>
      <c r="H53" s="6" t="inlineStr">
        <is>
          <t>None explicitly named in the OFFER text</t>
        </is>
      </c>
      <c r="I53" s="6" t="inlineStr">
        <is>
          <t>SCK CEN/90508872 §8.1.3.1; no named external code in OFFER text</t>
        </is>
      </c>
      <c r="J53" s="6" t="inlineStr">
        <is>
          <t>OFFER-stage evidence; linked standards are contextual; does not prove full RTM compliance</t>
        </is>
      </c>
    </row>
    <row r="54" ht="73" customHeight="1">
      <c r="A54" s="6" t="inlineStr">
        <is>
          <t>OFFER</t>
        </is>
      </c>
      <c r="B54" s="6" t="inlineStr">
        <is>
          <t>OFFER-49</t>
        </is>
      </c>
      <c r="C54" s="6" t="inlineStr">
        <is>
          <t>9</t>
        </is>
      </c>
      <c r="D54" s="6" t="inlineStr">
        <is>
          <t>Codes, Standards &amp; Compliance Framework</t>
        </is>
      </c>
      <c r="E54" s="6" t="inlineStr">
        <is>
          <t>Offer response: Codes, Standards &amp; Compliance Framework; List / register / matrix</t>
        </is>
      </c>
      <c r="F54" s="83" t="inlineStr">
        <is>
          <t>Evidenced via linked RTMs RTM-687..RTM-688 — see RTM Ranking / RTM Lookup for that item's own detailed evidence criteria (not repeated here). Document review, audit, or a traceable QC/risk-register record against the stated criteria.</t>
        </is>
      </c>
      <c r="G54" s="6" t="inlineStr">
        <is>
          <t>L0 Tender / Offer; L3 Procurement &amp; Manufacturing / FAT; L1 Conceptual Design; L2 Detailed Design; L4 Installation; L5 Standalone Commissioning; L6 Site Acceptance Testing</t>
        </is>
      </c>
      <c r="H54" s="6" t="inlineStr">
        <is>
          <t>No individual standard named; Applicant must submit the complete applied list</t>
        </is>
      </c>
      <c r="I54" s="6" t="inlineStr">
        <is>
          <t>Linked canonical RTM/section: ISO 9001; EN 13480; EN 13445; PED; EU declaration of conformity; CE marking; Low Voltage Directive 2014/35/EU; Machinery Directive 2006/42/EC; EMC Directive 2014/30/EU; Pressure Equipment Directive 2014/68/EU; EU Eco-design Directive 2009/125/EC; VLAREM II; IEC 60300-3-3 (Reliability-Centered Maintenance); ISO 20815; IEC 60300-3-11; IEC 60300-3-12 (Life-cycle costing); ISO 55000 / 55001 / 55002 (Asset Management); ISO 14224 (Reliability &amp; maintenance data); EN 61000-6-2; EN 61000-6-4; PED 2014/68/EU; ASME VIII-1; API 520/521; EN ISO 4126; ISO 21013-1/2; IEC 61508; IEC 61511; IEC 60204-1 / 61439; IEC 60300-3-3; IEC 62061; ISO 13849-1; ISO 8573-1 Class 0; ASTM D5464</t>
        </is>
      </c>
      <c r="J54" s="6" t="inlineStr">
        <is>
          <t>OFFER-stage evidence; linked standards are contextual; does not prove full RTM compliance</t>
        </is>
      </c>
    </row>
    <row r="55" ht="73" customHeight="1">
      <c r="A55" s="6" t="inlineStr">
        <is>
          <t>OFFER</t>
        </is>
      </c>
      <c r="B55" s="6" t="inlineStr">
        <is>
          <t>OFFER-50</t>
        </is>
      </c>
      <c r="C55" s="6" t="inlineStr">
        <is>
          <t>10.2</t>
        </is>
      </c>
      <c r="D55" s="6" t="inlineStr">
        <is>
          <t>Warranty Extension Commercial Terms</t>
        </is>
      </c>
      <c r="E55" s="6" t="inlineStr">
        <is>
          <t>Offer response: Warranty Extension Commercial Terms</t>
        </is>
      </c>
      <c r="F55" s="83" t="inlineStr">
        <is>
          <t>Evidenced via linked RTM RTM-708 — see RTM Ranking / RTM Lookup for that item's own detailed evidence criteria (not repeated here). Document review and traceability/approval-status confirmation (a governance or commercial deliverable, not a technical test).</t>
        </is>
      </c>
      <c r="G55" s="6" t="inlineStr">
        <is>
          <t>L0 Tender / Offer; Warranty; PAC / Handover; FAC</t>
        </is>
      </c>
      <c r="H55" s="6" t="inlineStr">
        <is>
          <t>None explicitly named in the OFFER text</t>
        </is>
      </c>
      <c r="I55" s="6" t="inlineStr">
        <is>
          <t>SCK CEN/90508872 §10.2; no named external code in OFFER text</t>
        </is>
      </c>
      <c r="J55" s="6" t="inlineStr">
        <is>
          <t>OFFER-stage evidence; linked standards are contextual; does not prove full RTM compliance</t>
        </is>
      </c>
    </row>
    <row r="57" ht="75" customHeight="1">
      <c r="A57" s="94" t="inlineStr">
        <is>
          <t>Column F methodology (Phase 8): rule-derived from OFFER_CANONICAL, not hand-authored per row. The first clause is a real RTM cross-reference (from primary_rtm_ids) pointing to that item's own detailed evidence in RTM_RANKING/RTM_LOOKUP -- evidence is not restated here to avoid a second, driftable copy. The second clause is picked from the EPIC-keyed vocabulary defined once in TAXONOMY ('OFFER evidence-type vocabulary') and reused verbatim here, not redefined. Shown in italic blue, the same convention used for every other rule-derived (vs. hand-reviewed) field in this workbook.</t>
        </is>
      </c>
    </row>
  </sheetData>
  <mergeCells count="3">
    <mergeCell ref="A57:G57"/>
    <mergeCell ref="A2:L2"/>
    <mergeCell ref="A1:L1"/>
  </mergeCells>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tabColor rgb="00A64CA6"/>
    <outlinePr summaryBelow="1" summaryRight="1"/>
    <pageSetUpPr/>
  </sheetPr>
  <dimension ref="A1:J25"/>
  <sheetViews>
    <sheetView topLeftCell="A1" zoomScale="90" zoomScaleNormal="90" workbookViewId="0">
      <selection activeCell="A1" sqref="A1"/>
    </sheetView>
  </sheetViews>
  <sheetFormatPr baseColWidth="8" defaultRowHeight="14.25"/>
  <cols>
    <col width="34" customWidth="1" min="1" max="1"/>
    <col width="56" customWidth="1" min="2" max="2"/>
    <col width="24" customWidth="1" min="3" max="3"/>
    <col width="16" customWidth="1" min="4" max="4"/>
    <col width="13" customWidth="1" min="5" max="5"/>
    <col width="13" customWidth="1" min="6" max="6"/>
    <col width="13" customWidth="1" min="7" max="7"/>
    <col width="13" customWidth="1" min="8" max="8"/>
    <col width="40" customWidth="1" min="10" max="10"/>
  </cols>
  <sheetData>
    <row r="1" ht="32.1" customHeight="1">
      <c r="A1" s="28" t="inlineStr">
        <is>
          <t>Quality checks — workbook health and review readiness</t>
        </is>
      </c>
    </row>
    <row r="2" ht="33.95" customHeight="1">
      <c r="A2" s="29" t="inlineStr">
        <is>
          <t>Use before sharing the workbook or before a review meeting. Green means structurally ready; yellow means reviewer action remains.</t>
        </is>
      </c>
    </row>
    <row r="3" ht="21.95" customHeight="1">
      <c r="A3" s="186">
        <f>HYPERLINK("#START_HERE!A1","Start")</f>
        <v/>
      </c>
      <c r="B3" s="186">
        <f>HYPERLINK("#DASHBOARD!A1","Dashboard")</f>
        <v/>
      </c>
      <c r="C3" s="186">
        <f>HYPERLINK("#EVALUATION_WORKSPACE!A1","Workspace")</f>
        <v/>
      </c>
      <c r="D3" s="186">
        <f>HYPERLINK("#NEGOTIATION_AGENDA!A1","Agenda")</f>
        <v/>
      </c>
      <c r="E3" s="186">
        <f>HYPERLINK("#OFFER_RANKING!A1","Ranking")</f>
        <v/>
      </c>
      <c r="F3" s="186">
        <f>HYPERLINK("#RTM_CROSSWALK!A1","Crosswalk")</f>
        <v/>
      </c>
      <c r="G3" s="186">
        <f>HYPERLINK("#QUALITY_CHECKS!A1","Quality")</f>
        <v/>
      </c>
      <c r="H3" s="186">
        <f>HYPERLINK("#DMAIC_AUDIT!A1","DMAIC")</f>
        <v/>
      </c>
      <c r="I3">
        <f>HYPERLINK("#CODING_HANDOVER!A1","Handover")</f>
        <v/>
      </c>
    </row>
    <row r="5" ht="33.95" customHeight="1">
      <c r="A5" s="200" t="inlineStr">
        <is>
          <t>Check</t>
        </is>
      </c>
      <c r="B5" s="200" t="inlineStr">
        <is>
          <t>Rule / expectation</t>
        </is>
      </c>
      <c r="C5" s="200" t="inlineStr">
        <is>
          <t>Result</t>
        </is>
      </c>
      <c r="D5" s="200" t="inlineStr">
        <is>
          <t>Status</t>
        </is>
      </c>
      <c r="J5" s="196" t="inlineStr">
        <is>
          <t>Comment</t>
        </is>
      </c>
    </row>
    <row r="6" ht="33.95" customHeight="1">
      <c r="A6" s="198" t="inlineStr">
        <is>
          <t>Canonical OFFER count</t>
        </is>
      </c>
      <c r="B6" s="198" t="inlineStr">
        <is>
          <t>Expected 50</t>
        </is>
      </c>
      <c r="C6" s="198">
        <f>COUNTA(OFFER_RANKING!B6:B55)</f>
        <v/>
      </c>
      <c r="D6" s="198">
        <f>IF(C6=50,"OK","CHECK")</f>
        <v/>
      </c>
      <c r="J6" s="214" t="n"/>
    </row>
    <row r="7" ht="33.95" customHeight="1">
      <c r="A7" s="198" t="inlineStr">
        <is>
          <t>Canonical RTM sequence</t>
        </is>
      </c>
      <c r="B7" s="198" t="inlineStr">
        <is>
          <t>Expected RTM-001…RTM-722</t>
        </is>
      </c>
      <c r="C7" s="198" t="inlineStr">
        <is>
          <t>722</t>
        </is>
      </c>
      <c r="D7" s="198" t="inlineStr">
        <is>
          <t>OK</t>
        </is>
      </c>
      <c r="J7" s="214" t="n"/>
    </row>
    <row r="8" ht="33.95" customHeight="1">
      <c r="A8" s="198" t="inlineStr">
        <is>
          <t>OFFER↔RTM crosswalk rows</t>
        </is>
      </c>
      <c r="B8" s="198" t="inlineStr">
        <is>
          <t>Relationships excluding header/title rows</t>
        </is>
      </c>
      <c r="C8" s="198">
        <f>COUNTA(RTM_CROSSWALK!A5:A383)</f>
        <v/>
      </c>
      <c r="D8" s="198">
        <f>IF(C8&gt;=370,"OK","CHECK")</f>
        <v/>
      </c>
      <c r="J8" s="214" t="n"/>
    </row>
    <row r="9" ht="33.95" customHeight="1">
      <c r="A9" s="198" t="inlineStr">
        <is>
          <t>All OFFER items have at least one RTM link</t>
        </is>
      </c>
      <c r="B9" s="198" t="inlineStr">
        <is>
          <t>Min total link count from canonical register</t>
        </is>
      </c>
      <c r="C9" s="198">
        <f>MIN(OFFER_CANONICAL!M6:M55)</f>
        <v/>
      </c>
      <c r="D9" s="198">
        <f>IF(C9&gt;=1,"OK","CHECK")</f>
        <v/>
      </c>
      <c r="J9" s="214" t="n"/>
    </row>
    <row r="10" ht="33.95" customHeight="1">
      <c r="A10" s="198" t="inlineStr">
        <is>
          <t>Bidder A not evaluated</t>
        </is>
      </c>
      <c r="B10" s="198" t="inlineStr">
        <is>
          <t>TBD count</t>
        </is>
      </c>
      <c r="C10" s="198">
        <f>COUNTIF(EVALUATION_WORKSPACE!Q6:Q55,"TBD")</f>
        <v/>
      </c>
      <c r="D10" s="198">
        <f>IF(C10=0,"OK","OPEN")</f>
        <v/>
      </c>
      <c r="J10" s="214" t="n"/>
    </row>
    <row r="11" ht="33.95" customHeight="1">
      <c r="A11" s="198" t="inlineStr">
        <is>
          <t>Bidder B not evaluated</t>
        </is>
      </c>
      <c r="B11" s="198" t="inlineStr">
        <is>
          <t>TBD count</t>
        </is>
      </c>
      <c r="C11" s="198">
        <f>COUNTIF(EVALUATION_WORKSPACE!W6:W55,"TBD")</f>
        <v/>
      </c>
      <c r="D11" s="198">
        <f>IF(C11=0,"OK","OPEN")</f>
        <v/>
      </c>
      <c r="J11" s="214" t="n"/>
    </row>
    <row r="12" ht="33.95" customHeight="1">
      <c r="A12" s="198" t="inlineStr">
        <is>
          <t>A source missing after status selected</t>
        </is>
      </c>
      <c r="B12" s="198" t="inlineStr">
        <is>
          <t>Source needed if status is not TBD</t>
        </is>
      </c>
      <c r="C12" s="198">
        <f>COUNTIFS(EVALUATION_WORKSPACE!Q6:Q55,"&lt;&gt;TBD",EVALUATION_WORKSPACE!S6:S55,"")</f>
        <v/>
      </c>
      <c r="D12" s="198">
        <f>IF(C12=0,"OK","OPEN")</f>
        <v/>
      </c>
      <c r="J12" s="214" t="n"/>
    </row>
    <row r="13" ht="33.95" customHeight="1">
      <c r="A13" s="198" t="inlineStr">
        <is>
          <t>B source missing after status selected</t>
        </is>
      </c>
      <c r="B13" s="198" t="inlineStr">
        <is>
          <t>Source needed if status is not TBD</t>
        </is>
      </c>
      <c r="C13" s="198">
        <f>COUNTIFS(EVALUATION_WORKSPACE!W6:W55,"&lt;&gt;TBD",EVALUATION_WORKSPACE!Y6:Y55,"")</f>
        <v/>
      </c>
      <c r="D13" s="198">
        <f>IF(C13=0,"OK","OPEN")</f>
        <v/>
      </c>
      <c r="J13" s="214" t="n"/>
    </row>
    <row r="14" ht="33.95" customHeight="1">
      <c r="A14" s="198" t="inlineStr">
        <is>
          <t>A negotiation flags</t>
        </is>
      </c>
      <c r="B14" s="198" t="inlineStr">
        <is>
          <t>Open agenda topics</t>
        </is>
      </c>
      <c r="C14" s="198">
        <f>COUNTIF(EVALUATION_WORKSPACE!T6:T55,"Negotiation item")+COUNTIF(EVALUATION_WORKSPACE!T6:T55,"RFI - info missing")+COUNTIF(EVALUATION_WORKSPACE!T6:T55,"Not available")+COUNTIF(EVALUATION_WORKSPACE!T6:T55,"Clarification only")</f>
        <v/>
      </c>
      <c r="D14" s="198">
        <f>IF(C14=0,"OK","OPEN")</f>
        <v/>
      </c>
      <c r="J14" s="214" t="n"/>
    </row>
    <row r="15" ht="33.95" customHeight="1">
      <c r="A15" s="198" t="inlineStr">
        <is>
          <t>B negotiation flags</t>
        </is>
      </c>
      <c r="B15" s="198" t="inlineStr">
        <is>
          <t>Open agenda topics</t>
        </is>
      </c>
      <c r="C15" s="198">
        <f>COUNTIF(EVALUATION_WORKSPACE!Z6:Z55,"Negotiation item")+COUNTIF(EVALUATION_WORKSPACE!Z6:Z55,"RFI - info missing")+COUNTIF(EVALUATION_WORKSPACE!Z6:Z55,"Not available")+COUNTIF(EVALUATION_WORKSPACE!Z6:Z55,"Clarification only")</f>
        <v/>
      </c>
      <c r="D15" s="198">
        <f>IF(C15=0,"OK","OPEN")</f>
        <v/>
      </c>
      <c r="J15" s="214" t="n"/>
    </row>
    <row r="16" ht="33.95" customHeight="1">
      <c r="A16" s="198" t="inlineStr">
        <is>
          <t>Formula error scan</t>
        </is>
      </c>
      <c r="B16" s="198" t="inlineStr">
        <is>
          <t>Done by build script</t>
        </is>
      </c>
      <c r="C16" s="198" t="inlineStr">
        <is>
          <t>No formula errors found</t>
        </is>
      </c>
      <c r="D16" s="198" t="inlineStr">
        <is>
          <t>OK</t>
        </is>
      </c>
      <c r="J16" s="214" t="n"/>
    </row>
    <row r="17" ht="33.95" customHeight="1">
      <c r="A17" s="198" t="inlineStr">
        <is>
          <t>Canonical source control</t>
        </is>
      </c>
      <c r="B17" s="198" t="inlineStr">
        <is>
          <t>PDF controls page/RTM anchors; DOCX controls clean text</t>
        </is>
      </c>
      <c r="C17" s="198" t="inlineStr">
        <is>
          <t>RTM-001…RTM-722</t>
        </is>
      </c>
      <c r="D17" s="198" t="inlineStr">
        <is>
          <t>OK</t>
        </is>
      </c>
      <c r="J17" s="214" t="n"/>
    </row>
    <row r="18">
      <c r="J18" s="214" t="n"/>
    </row>
    <row r="19">
      <c r="J19" s="214" t="n"/>
    </row>
    <row r="20">
      <c r="J20" s="214" t="n"/>
    </row>
    <row r="21">
      <c r="A21" s="38" t="inlineStr">
        <is>
          <t>Review readiness definition: the workbook is structurally ready when the canonical counts and crosswalk checks are OK. It is evaluation-ready when both bidders have no TBD statuses, no missing source/location for evaluated items, and all negotiation flags are intentionally reviewed.</t>
        </is>
      </c>
      <c r="J21" s="214" t="n"/>
    </row>
    <row r="22">
      <c r="J22" s="214" t="n"/>
    </row>
    <row r="23">
      <c r="J23" s="214" t="n"/>
    </row>
    <row r="24">
      <c r="J24" s="214" t="n"/>
    </row>
    <row r="25">
      <c r="J25" s="214" t="n"/>
    </row>
  </sheetData>
  <mergeCells count="3">
    <mergeCell ref="A21:H25"/>
    <mergeCell ref="A2:H2"/>
    <mergeCell ref="A1:H1"/>
  </mergeCells>
  <conditionalFormatting sqref="D6:D17">
    <cfRule type="expression" priority="1" dxfId="7">
      <formula>D6="OK"</formula>
    </cfRule>
    <cfRule type="expression" priority="2" dxfId="6">
      <formula>D6="OK/Minor"</formula>
    </cfRule>
    <cfRule type="expression" priority="3" dxfId="5">
      <formula>D6="NOK"</formula>
    </cfRule>
    <cfRule type="expression" priority="4" dxfId="4">
      <formula>D6="MISS"</formula>
    </cfRule>
    <cfRule type="expression" priority="5" dxfId="3">
      <formula>D6="Minor disc."</formula>
    </cfRule>
    <cfRule type="expression" priority="6" dxfId="2">
      <formula>D6="Major disc."</formula>
    </cfRule>
    <cfRule type="expression" priority="7" dxfId="1">
      <formula>D6="ERROR"</formula>
    </cfRule>
    <cfRule type="expression" priority="8" dxfId="0">
      <formula>D6="TBD"</formula>
    </cfRule>
    <cfRule type="expression" priority="9" dxfId="93">
      <formula>D6="OPEN"</formula>
    </cfRule>
    <cfRule type="expression" priority="10" dxfId="93">
      <formula>D6="CHECK"</formula>
    </cfRule>
  </conditionalFormatting>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tabColor rgb="00A64CA6"/>
    <outlinePr summaryBelow="1" summaryRight="1"/>
    <pageSetUpPr/>
  </sheetPr>
  <dimension ref="A1:L23"/>
  <sheetViews>
    <sheetView topLeftCell="A1" zoomScale="90" zoomScaleNormal="90" workbookViewId="0">
      <selection activeCell="A1" sqref="A1"/>
    </sheetView>
  </sheetViews>
  <sheetFormatPr baseColWidth="8" defaultRowHeight="14.25"/>
  <cols>
    <col width="20" bestFit="1" customWidth="1" min="1" max="1"/>
    <col width="38.75" bestFit="1" customWidth="1" min="2" max="2"/>
    <col width="40.25" bestFit="1" customWidth="1" min="3" max="3"/>
    <col width="46.75" bestFit="1" customWidth="1" min="4" max="4"/>
    <col width="12" bestFit="1" customWidth="1" min="5" max="5"/>
    <col width="19" bestFit="1" customWidth="1" min="6" max="6"/>
    <col width="37.75" bestFit="1" customWidth="1" min="7" max="7"/>
    <col width="48.25" bestFit="1" customWidth="1" min="8" max="8"/>
  </cols>
  <sheetData>
    <row r="1" ht="32.1" customHeight="1">
      <c r="A1" s="35" t="inlineStr">
        <is>
          <t>Audit notes and canonical controls</t>
        </is>
      </c>
    </row>
    <row r="2" ht="30" customHeight="1">
      <c r="A2" s="36" t="inlineStr">
        <is>
          <t>Canonical baseline is SCK CEN/90508872: OFFER-01…50 and RTM-001…722.</t>
        </is>
      </c>
    </row>
    <row r="3" ht="21.95" customHeight="1">
      <c r="A3" s="188">
        <f>HYPERLINK("#START_HERE!A1","Start")</f>
        <v/>
      </c>
      <c r="B3" s="188">
        <f>HYPERLINK("#DASHBOARD!A1","Dashboard")</f>
        <v/>
      </c>
      <c r="C3" s="188">
        <f>HYPERLINK("#OFFER_RANKING!A1","Ranking")</f>
        <v/>
      </c>
      <c r="D3" s="188">
        <f>HYPERLINK("#EVALUATION_INPUT!A1","Evaluate")</f>
        <v/>
      </c>
      <c r="E3" s="188">
        <f>HYPERLINK("#OFFER_CANONICAL!A1","Canonical")</f>
        <v/>
      </c>
      <c r="F3" s="188">
        <f>HYPERLINK("#RTM_CROSSWALK!A1","Crosswalk")</f>
        <v/>
      </c>
      <c r="G3" s="188">
        <f>HYPERLINK("#WEIGHTS_METHOD!A1","Method")</f>
        <v/>
      </c>
      <c r="H3" s="1" t="n"/>
      <c r="I3" s="1" t="n"/>
      <c r="J3" s="1" t="n"/>
      <c r="K3" s="1" t="n"/>
      <c r="L3" s="1" t="n"/>
    </row>
    <row r="5" ht="38.1" customHeight="1">
      <c r="A5" s="2" t="inlineStr">
        <is>
          <t>Canonical RTM / OFFER audit — v3.3</t>
        </is>
      </c>
      <c r="B5" s="2" t="n"/>
      <c r="C5" s="2" t="n"/>
      <c r="D5" s="2" t="n"/>
      <c r="F5" s="2" t="inlineStr">
        <is>
          <t>Issue</t>
        </is>
      </c>
      <c r="G5" s="2" t="inlineStr">
        <is>
          <t>Current state</t>
        </is>
      </c>
      <c r="H5" s="2" t="inlineStr">
        <is>
          <t>Corrected state</t>
        </is>
      </c>
    </row>
    <row r="6" ht="38.1" customHeight="1">
      <c r="A6" s="4" t="inlineStr">
        <is>
          <t>Source baseline</t>
        </is>
      </c>
      <c r="B6" s="4" t="inlineStr">
        <is>
          <t>SCK CEN/90508872 — Addendum II Technical Requirements (saved 08-Apr-2026)</t>
        </is>
      </c>
      <c r="C6" s="4" t="n"/>
      <c r="D6" s="4" t="n"/>
      <c r="F6" s="4" t="inlineStr">
        <is>
          <t>Missing requirement after 8.7</t>
        </is>
      </c>
      <c r="G6" s="4" t="n"/>
      <c r="H6" s="4" t="inlineStr">
        <is>
          <t>Inserted new 8.8 for §4.2.2.4.1 / OFFER-05: type of procedure (automatic vs manual).</t>
        </is>
      </c>
    </row>
    <row r="7" ht="38.1" customHeight="1">
      <c r="A7" s="4" t="n"/>
      <c r="B7" s="4" t="n"/>
      <c r="C7" s="4" t="n"/>
      <c r="D7" s="4" t="n"/>
      <c r="F7" s="4" t="inlineStr">
        <is>
          <t>Shift in Section 8 numbering</t>
        </is>
      </c>
      <c r="G7" s="4" t="inlineStr">
        <is>
          <t>Current 8.8–8.52</t>
        </is>
      </c>
      <c r="H7" s="4" t="inlineStr">
        <is>
          <t>Shifted to 8.9–8.53 after insertion of new 8.8.</t>
        </is>
      </c>
    </row>
    <row r="8" ht="38.1" customHeight="1">
      <c r="A8" s="4" t="inlineStr">
        <is>
          <t>Metric</t>
        </is>
      </c>
      <c r="B8" s="4" t="inlineStr">
        <is>
          <t>Result</t>
        </is>
      </c>
      <c r="C8" s="4" t="inlineStr">
        <is>
          <t>Assessment</t>
        </is>
      </c>
      <c r="D8" s="4" t="inlineStr">
        <is>
          <t>Evidence / action</t>
        </is>
      </c>
      <c r="F8" s="4" t="inlineStr">
        <is>
          <t>Shift in offer IDs</t>
        </is>
      </c>
      <c r="G8" s="4" t="inlineStr">
        <is>
          <t>Current OFFER-05–OFFER-49</t>
        </is>
      </c>
      <c r="H8" s="4" t="inlineStr">
        <is>
          <t>Shifted to OFFER-06–OFFER-50 after insertion of new OFFER-05.</t>
        </is>
      </c>
    </row>
    <row r="9" ht="38.1" customHeight="1">
      <c r="A9" s="4" t="inlineStr">
        <is>
          <t>Canonical RTM rows</t>
        </is>
      </c>
      <c r="B9" s="4" t="n">
        <v>722</v>
      </c>
      <c r="C9" s="4" t="inlineStr">
        <is>
          <t>PASS</t>
        </is>
      </c>
      <c r="D9" s="4" t="inlineStr">
        <is>
          <t>RTM-001 through RTM-722 extracted from the canonical PDF; no gaps or duplicates.</t>
        </is>
      </c>
      <c r="F9" s="4" t="inlineStr">
        <is>
          <t>Warranty item</t>
        </is>
      </c>
      <c r="G9" s="4" t="inlineStr">
        <is>
          <t>Current 8.52 / OFFER-49</t>
        </is>
      </c>
      <c r="H9" s="4" t="inlineStr">
        <is>
          <t>Corrected to 8.53 / OFFER-50 under §10.2.</t>
        </is>
      </c>
    </row>
    <row r="10" ht="38.1" customHeight="1">
      <c r="A10" s="4" t="inlineStr">
        <is>
          <t>Canonical OFFER items</t>
        </is>
      </c>
      <c r="B10" s="4" t="n">
        <v>50</v>
      </c>
      <c r="C10" s="4" t="inlineStr">
        <is>
          <t>PASS</t>
        </is>
      </c>
      <c r="D10" s="4" t="inlineStr">
        <is>
          <t>OFFER-01 through OFFER-50 extracted from the canonical PDF; no gaps or duplicates.</t>
        </is>
      </c>
      <c r="F10" s="4" t="inlineStr">
        <is>
          <t>Software development RTM link</t>
        </is>
      </c>
      <c r="G10" s="4" t="inlineStr">
        <is>
          <t>RTM-321 / RTM-323 were linked to OFFER-26</t>
        </is>
      </c>
      <c r="H10" s="4" t="inlineStr">
        <is>
          <t>Those RTMs are §4.6.4.2 network/IP requirements. OFFER-26 is now anchored to §4.6.7 / RTM-345..356.</t>
        </is>
      </c>
    </row>
    <row r="11" ht="38.1" customHeight="1">
      <c r="A11" s="4" t="inlineStr">
        <is>
          <t>First / last RTM</t>
        </is>
      </c>
      <c r="B11" s="4" t="inlineStr">
        <is>
          <t>RTM-001 / RTM-722</t>
        </is>
      </c>
      <c r="C11" s="4" t="inlineStr">
        <is>
          <t>PASS</t>
        </is>
      </c>
      <c r="D11" s="4" t="inlineStr">
        <is>
          <t>RTM-722 is the final numbered requirement in §10.3 on PDF page 133.</t>
        </is>
      </c>
      <c r="F11" s="4" t="inlineStr">
        <is>
          <t>Canonical RTM total</t>
        </is>
      </c>
      <c r="G11" s="4" t="inlineStr">
        <is>
          <t>README stated 723</t>
        </is>
      </c>
      <c r="H11" s="4" t="inlineStr">
        <is>
          <t>Canonical package contains sequential RTM-001..RTM-735; README corrected to 735.</t>
        </is>
      </c>
    </row>
    <row r="12" ht="38.1" customHeight="1">
      <c r="A12" s="4" t="inlineStr">
        <is>
          <t>First / last OFFER</t>
        </is>
      </c>
      <c r="B12" s="4" t="inlineStr">
        <is>
          <t>OFFER-01 / OFFER-50</t>
        </is>
      </c>
      <c r="C12" s="4" t="inlineStr">
        <is>
          <t>PASS</t>
        </is>
      </c>
      <c r="D12" s="4" t="inlineStr">
        <is>
          <t>OFFER-01 in §4.1; OFFER-50 in §10.2.</t>
        </is>
      </c>
      <c r="F12" s="4" t="inlineStr">
        <is>
          <t>Inherited OFFER overlay</t>
        </is>
      </c>
      <c r="G12" s="4" t="inlineStr">
        <is>
          <t>405 RTM rows linked, but old numbering/taxonomy and mixed serialization</t>
        </is>
      </c>
      <c r="H12" s="4" t="inlineStr">
        <is>
          <t>Deprecated as an operational overlay; current-taxonomy crosswalk rebuilt for OFFER-01..50.</t>
        </is>
      </c>
    </row>
    <row r="13" ht="38.1" customHeight="1">
      <c r="A13" s="4" t="inlineStr">
        <is>
          <t>PDF / DOCX alignment</t>
        </is>
      </c>
      <c r="B13" s="4" t="inlineStr">
        <is>
          <t>722 RTM + 50 OFFER IDs aligned to DOCX styled requirement/offer paragraphs</t>
        </is>
      </c>
      <c r="C13" s="4" t="inlineStr">
        <is>
          <t>PASS</t>
        </is>
      </c>
      <c r="D13" s="4" t="inlineStr">
        <is>
          <t>PDF controls numbering/page; DOCX controls clean verbatim paragraph and bullet text.</t>
        </is>
      </c>
      <c r="F13" s="4" t="inlineStr">
        <is>
          <t>OFFER coverage</t>
        </is>
      </c>
      <c r="G13" s="4" t="inlineStr">
        <is>
          <t>Inherited overlay covers 47 of its 50 IDs</t>
        </is>
      </c>
      <c r="H13" s="4" t="inlineStr">
        <is>
          <t>Current provisional crosswalk covers all 50 OFFER items.</t>
        </is>
      </c>
    </row>
    <row r="14" ht="38.1" customHeight="1">
      <c r="A14" s="4" t="inlineStr">
        <is>
          <t>Prior 735 package</t>
        </is>
      </c>
      <c r="B14" s="4" t="inlineStr">
        <is>
          <t>Superseded for this contract revision</t>
        </is>
      </c>
      <c r="C14" s="4" t="inlineStr">
        <is>
          <t>FAIL as canonical input</t>
        </is>
      </c>
      <c r="D14" s="4" t="inlineStr">
        <is>
          <t>Do not use RTM-723..735. The previous RTM-735 wording is current RTM-722.</t>
        </is>
      </c>
      <c r="F14" s="4" t="inlineStr">
        <is>
          <t>OFFER-40 section reference</t>
        </is>
      </c>
      <c r="G14" s="4" t="inlineStr">
        <is>
          <t>Applicant DocList cites §4.13.3.2.7; no canonical RTM section has that number</t>
        </is>
      </c>
      <c r="H14" s="4" t="inlineStr">
        <is>
          <t>Linked provisionally to RTM-543 (primary) and RTM-105/107 (supporting); source section needs confirmation.</t>
        </is>
      </c>
    </row>
    <row r="15" ht="38.1" customHeight="1">
      <c r="A15" s="4" t="inlineStr">
        <is>
          <t>OFFER coverage</t>
        </is>
      </c>
      <c r="B15" s="4" t="inlineStr">
        <is>
          <t>50 / 50 represented</t>
        </is>
      </c>
      <c r="C15" s="4" t="inlineStr">
        <is>
          <t>PASS</t>
        </is>
      </c>
      <c r="D15" s="4" t="inlineStr">
        <is>
          <t>Every OFFER item has a canonical source row and a link classification, including OFFER-03 and OFFER-50.</t>
        </is>
      </c>
      <c r="F15" s="4" t="inlineStr">
        <is>
          <t>OFFER-44 section reference</t>
        </is>
      </c>
      <c r="G15" s="4" t="inlineStr">
        <is>
          <t>Applicant DocList cites §6.2; no canonical RTM section has that number</t>
        </is>
      </c>
      <c r="H15" s="4" t="inlineStr">
        <is>
          <t>Linked provisionally to RTM-627..633 plus RTM-641 and RTM-651; source section needs confirmation.</t>
        </is>
      </c>
    </row>
    <row r="16" ht="38.1" customHeight="1">
      <c r="A16" s="4" t="inlineStr">
        <is>
          <t>RTM coverage</t>
        </is>
      </c>
      <c r="B16" s="4" t="inlineStr">
        <is>
          <t>722 / 722 represented</t>
        </is>
      </c>
      <c r="C16" s="4" t="inlineStr">
        <is>
          <t>PASS</t>
        </is>
      </c>
      <c r="D16" s="4" t="inlineStr">
        <is>
          <t>RTM_Offer includes linked and unlinked RTMs; no filtering loss.</t>
        </is>
      </c>
      <c r="F16" s="4" t="inlineStr">
        <is>
          <t>Broad/shared sections</t>
        </is>
      </c>
      <c r="G16" s="4" t="inlineStr">
        <is>
          <t>Some OFFER items intentionally share or umbrella whole sections</t>
        </is>
      </c>
      <c r="H16" s="4" t="inlineStr">
        <is>
          <t>Treat as scope traceability; refine primary subject-level RTMs during engineering review.</t>
        </is>
      </c>
    </row>
    <row r="17" ht="38.1" customHeight="1">
      <c r="A17" s="4" t="n"/>
      <c r="B17" s="4" t="n"/>
      <c r="C17" s="4" t="n"/>
      <c r="D17" s="4" t="n"/>
    </row>
    <row r="18" ht="38.1" customHeight="1">
      <c r="A18" s="4" t="inlineStr">
        <is>
          <t>Control finding</t>
        </is>
      </c>
      <c r="B18" s="4" t="inlineStr">
        <is>
          <t>Why it matters</t>
        </is>
      </c>
      <c r="C18" s="4" t="inlineStr">
        <is>
          <t>Implemented correction</t>
        </is>
      </c>
      <c r="D18" s="4" t="inlineStr">
        <is>
          <t>Residual review</t>
        </is>
      </c>
    </row>
    <row r="19" ht="38.1" customHeight="1">
      <c r="A19" s="4" t="inlineStr">
        <is>
          <t>Old OFFER numbering / missing items</t>
        </is>
      </c>
      <c r="B19" s="4" t="inlineStr">
        <is>
          <t>The 405-row workbook covered only 47 OFFER IDs and ended at old OFFER-49.</t>
        </is>
      </c>
      <c r="C19" s="4" t="inlineStr">
        <is>
          <t>Rebuilt from canonical OFFER-01..50; no blind +1 shift applied.</t>
        </is>
      </c>
      <c r="D19" s="4" t="inlineStr">
        <is>
          <t>Subject allocation remains reviewable in Format_Pivot.</t>
        </is>
      </c>
    </row>
    <row r="20" ht="38.1" customHeight="1">
      <c r="A20" s="4" t="inlineStr">
        <is>
          <t>Section-only links can overstate coverage</t>
        </is>
      </c>
      <c r="B20" s="4" t="inlineStr">
        <is>
          <t>An OFFER response is bid-stage evidence, not proof of every RTM in a section.</t>
        </is>
      </c>
      <c r="C20" s="4" t="inlineStr">
        <is>
          <t>Added relation type and coverage limitation per link.</t>
        </is>
      </c>
      <c r="D20" s="4" t="inlineStr">
        <is>
          <t>Broad items OFFER-13, 39, 44, 47 and 49 are visibly flagged.</t>
        </is>
      </c>
    </row>
    <row r="21" ht="38.1" customHeight="1">
      <c r="A21" s="4" t="inlineStr">
        <is>
          <t>OFFER-44 direct source is Table 22</t>
        </is>
      </c>
      <c r="B21" s="4" t="inlineStr">
        <is>
          <t>§6.2 contains a schedule table but no numbered RTM.</t>
        </is>
      </c>
      <c r="C21" s="4" t="inlineStr">
        <is>
          <t>Added Table 22 note and linked §6.1 phase RTMs as supporting only.</t>
        </is>
      </c>
      <c r="D21" s="4" t="inlineStr">
        <is>
          <t>No artificial RTM was created.</t>
        </is>
      </c>
    </row>
    <row r="22" ht="38.1" customHeight="1">
      <c r="A22" s="4" t="inlineStr">
        <is>
          <t>OFFER-50 is present</t>
        </is>
      </c>
      <c r="B22" s="4" t="inlineStr">
        <is>
          <t>Warranty-extension price appears in §10.2 after RTM-708..710.</t>
        </is>
      </c>
      <c r="C22" s="4" t="inlineStr">
        <is>
          <t>Added OFFER-50 and warranty context links.</t>
        </is>
      </c>
      <c r="D22" s="4" t="inlineStr">
        <is>
          <t>Price evidence remains OFFER-only; technical RTMs do not define the price.</t>
        </is>
      </c>
    </row>
    <row r="23" ht="38.1" customHeight="1">
      <c r="A23" s="4" t="inlineStr">
        <is>
          <t>Full verbatim column</t>
        </is>
      </c>
      <c r="B23" s="4" t="inlineStr">
        <is>
          <t>The prior file was broadly correct but based on the 735 sequence.</t>
        </is>
      </c>
      <c r="C23" s="4" t="inlineStr">
        <is>
          <t>Rebuilt column J from current DOCX main requirement plus requirement bullets/equations.</t>
        </is>
      </c>
      <c r="D23" s="4" t="inlineStr">
        <is>
          <t>Tables referenced by RTMs remain separate source objects, not duplicated into each cell.</t>
        </is>
      </c>
    </row>
  </sheetData>
  <mergeCells count="2">
    <mergeCell ref="A2:L2"/>
    <mergeCell ref="A1:L1"/>
  </mergeCells>
  <pageMargins left="0.7" right="0.7" top="0.75" bottom="0.75" header="0.3" footer="0.3"/>
</worksheet>
</file>

<file path=xl/worksheets/sheet22.xml><?xml version="1.0" encoding="utf-8"?>
<worksheet xmlns="http://schemas.openxmlformats.org/spreadsheetml/2006/main">
  <sheetPr>
    <tabColor rgb="00A64CA6"/>
    <outlinePr summaryBelow="1" summaryRight="1"/>
    <pageSetUpPr/>
  </sheetPr>
  <dimension ref="A1:I15"/>
  <sheetViews>
    <sheetView topLeftCell="A1" zoomScale="90" zoomScaleNormal="90" workbookViewId="0">
      <selection activeCell="A1" sqref="A1"/>
    </sheetView>
  </sheetViews>
  <sheetFormatPr baseColWidth="8" defaultRowHeight="14.25"/>
  <cols>
    <col width="14" customWidth="1" min="1" max="1"/>
    <col width="24" customWidth="1" min="2" max="2"/>
    <col width="76" customWidth="1" min="3" max="3"/>
    <col width="56" customWidth="1" min="4" max="4"/>
    <col width="13" customWidth="1" min="5" max="5"/>
    <col width="13" customWidth="1" min="6" max="6"/>
    <col width="13" customWidth="1" min="7" max="7"/>
    <col width="13" customWidth="1" min="8" max="8"/>
  </cols>
  <sheetData>
    <row r="1" ht="32.1" customHeight="1">
      <c r="A1" s="28" t="inlineStr">
        <is>
          <t>DMAIC iteration record — OFFER evaluation workbook</t>
        </is>
      </c>
    </row>
    <row r="2" ht="33.95" customHeight="1">
      <c r="A2" s="29" t="inlineStr">
        <is>
          <t>Defines the workbook purpose, validates canonical inputs, records improvements, and locks reproduction controls.</t>
        </is>
      </c>
    </row>
    <row r="3" ht="21.95" customHeight="1">
      <c r="A3" s="186">
        <f>HYPERLINK("#START_HERE!A1","Start")</f>
        <v/>
      </c>
      <c r="B3" s="186">
        <f>HYPERLINK("#DASHBOARD!A1","Dashboard")</f>
        <v/>
      </c>
      <c r="C3" s="186">
        <f>HYPERLINK("#EVALUATION_WORKSPACE!A1","Workspace")</f>
        <v/>
      </c>
      <c r="D3" s="186">
        <f>HYPERLINK("#NEGOTIATION_AGENDA!A1","Agenda")</f>
        <v/>
      </c>
      <c r="E3" s="186">
        <f>HYPERLINK("#OFFER_RANKING!A1","Ranking")</f>
        <v/>
      </c>
      <c r="F3" s="186">
        <f>HYPERLINK("#RTM_CROSSWALK!A1","Crosswalk")</f>
        <v/>
      </c>
      <c r="G3" s="186">
        <f>HYPERLINK("#QUALITY_CHECKS!A1","Quality")</f>
        <v/>
      </c>
      <c r="H3" s="186">
        <f>HYPERLINK("#DMAIC_AUDIT!A1","DMAIC")</f>
        <v/>
      </c>
      <c r="I3">
        <f>HYPERLINK("#CODING_HANDOVER!A1","Handover")</f>
        <v/>
      </c>
    </row>
    <row r="5" ht="33.95" customHeight="1">
      <c r="A5" s="25" t="inlineStr">
        <is>
          <t>DMAIC</t>
        </is>
      </c>
      <c r="B5" s="25" t="inlineStr">
        <is>
          <t>Item</t>
        </is>
      </c>
      <c r="C5" s="25" t="inlineStr">
        <is>
          <t>Finding / decision</t>
        </is>
      </c>
      <c r="D5" s="25" t="inlineStr">
        <is>
          <t>Control / change made</t>
        </is>
      </c>
    </row>
    <row r="6" ht="45.95" customHeight="1">
      <c r="A6" s="6" t="inlineStr">
        <is>
          <t>DEFINE</t>
        </is>
      </c>
      <c r="B6" s="6" t="inlineStr">
        <is>
          <t>Purpose</t>
        </is>
      </c>
      <c r="C6" s="6" t="inlineStr">
        <is>
          <t>Offer-evaluation tool for fixed OFFER-01…OFFER-50 using canonical Addendum II sources and a static/cold BT importance ranking.</t>
        </is>
      </c>
      <c r="D6" s="6" t="inlineStr">
        <is>
          <t>Ranking is bidder-independent; live reviewer inputs are separate.</t>
        </is>
      </c>
    </row>
    <row r="7" ht="45.95" customHeight="1">
      <c r="A7" s="6" t="inlineStr">
        <is>
          <t>DEFINE</t>
        </is>
      </c>
      <c r="B7" s="6" t="inlineStr">
        <is>
          <t>Users</t>
        </is>
      </c>
      <c r="C7" s="6" t="inlineStr">
        <is>
          <t>Technical reviewers, tender board support, negotiation/RFI preparation.</t>
        </is>
      </c>
      <c r="D7" s="6" t="inlineStr">
        <is>
          <t>Primary editing is in EVALUATION_WORKSPACE only.</t>
        </is>
      </c>
    </row>
    <row r="8" ht="45.95" customHeight="1">
      <c r="A8" s="6" t="inlineStr">
        <is>
          <t>MEASURE</t>
        </is>
      </c>
      <c r="B8" s="6" t="inlineStr">
        <is>
          <t>Canonical source checks</t>
        </is>
      </c>
      <c r="C8" s="6" t="inlineStr">
        <is>
          <t>Contract source gives 50 OFFER items and 722 RTM requirements; previous 735 extraction superseded.</t>
        </is>
      </c>
      <c r="D8" s="6" t="inlineStr">
        <is>
          <t>PDF controls pages/RTM numbering; DOCX supports clean text.</t>
        </is>
      </c>
    </row>
    <row r="9" ht="45.95" customHeight="1">
      <c r="A9" s="6" t="inlineStr">
        <is>
          <t>MEASURE</t>
        </is>
      </c>
      <c r="B9" s="6" t="inlineStr">
        <is>
          <t>Workbook checks</t>
        </is>
      </c>
      <c r="C9" s="6" t="inlineStr">
        <is>
          <t>OFFER count, crosswalk coverage, status completeness, source-location completeness and flags added to QUALITY_CHECKS.</t>
        </is>
      </c>
      <c r="D9" s="6" t="inlineStr">
        <is>
          <t>Workbook can be self-checked before sharing.</t>
        </is>
      </c>
    </row>
    <row r="10" ht="45.95" customHeight="1">
      <c r="A10" s="6" t="inlineStr">
        <is>
          <t>ANALYSE</t>
        </is>
      </c>
      <c r="B10" s="6" t="inlineStr">
        <is>
          <t>Key usability issue</t>
        </is>
      </c>
      <c r="C10" s="6" t="inlineStr">
        <is>
          <t>Earlier workbook had charts and rankings, but navigation did not fully explain each sheet and evaluation workflow.</t>
        </is>
      </c>
      <c r="D10" s="6" t="inlineStr">
        <is>
          <t>Added START_HERE rewrite and NAVIGATION_MAP.</t>
        </is>
      </c>
    </row>
    <row r="11" ht="45.95" customHeight="1">
      <c r="A11" s="6" t="inlineStr">
        <is>
          <t>ANALYSE</t>
        </is>
      </c>
      <c r="B11" s="6" t="inlineStr">
        <is>
          <t>Evaluator input issue</t>
        </is>
      </c>
      <c r="C11" s="6" t="inlineStr">
        <is>
          <t>Original EVALUATION_INPUT had per-bidder status/depth/source/negotiation but only one common comment and no agenda mirror.</t>
        </is>
      </c>
      <c r="D11" s="6" t="inlineStr">
        <is>
          <t>Added EVALUATION_WORKSPACE and NEGOTIATION_AGENDA.</t>
        </is>
      </c>
    </row>
    <row r="12" ht="45.95" customHeight="1">
      <c r="A12" s="6" t="inlineStr">
        <is>
          <t>IMPROVE</t>
        </is>
      </c>
      <c r="B12" s="6" t="inlineStr">
        <is>
          <t>Readability</t>
        </is>
      </c>
      <c r="C12" s="6" t="inlineStr">
        <is>
          <t>Added explicit sheet map, interpretation table, quality checks, and per-bidder review indices.</t>
        </is>
      </c>
      <c r="D12" s="6" t="inlineStr">
        <is>
          <t>Review index is workflow triage only, not award scoring.</t>
        </is>
      </c>
    </row>
    <row r="13" ht="45.95" customHeight="1">
      <c r="A13" s="6" t="inlineStr">
        <is>
          <t>IMPROVE</t>
        </is>
      </c>
      <c r="B13" s="6" t="inlineStr">
        <is>
          <t>Traceability</t>
        </is>
      </c>
      <c r="C13" s="6" t="inlineStr">
        <is>
          <t>Retained canonical wording, crosswalk, standards, deliverables and static ranking.</t>
        </is>
      </c>
      <c r="D13" s="6" t="inlineStr">
        <is>
          <t>No recalculation of the BT method in this patch.</t>
        </is>
      </c>
    </row>
    <row r="14" ht="45.95" customHeight="1">
      <c r="A14" s="6" t="inlineStr">
        <is>
          <t>CONTROL</t>
        </is>
      </c>
      <c r="B14" s="6" t="inlineStr">
        <is>
          <t>Frozen method</t>
        </is>
      </c>
      <c r="C14" s="6" t="inlineStr">
        <is>
          <t>Weights remain Safety/Legal 20%, Reliability 22%, Performance 20%, Functional 16%, Quality 12%, Lifecycle 7%, Cost 3%.</t>
        </is>
      </c>
      <c r="D14" s="6" t="inlineStr">
        <is>
          <t>Change only via controlled rerun.</t>
        </is>
      </c>
    </row>
    <row r="15" ht="45.95" customHeight="1">
      <c r="A15" s="6" t="inlineStr">
        <is>
          <t>CONTROL</t>
        </is>
      </c>
      <c r="B15" s="6" t="inlineStr">
        <is>
          <t>Rebuild control</t>
        </is>
      </c>
      <c r="C15" s="6" t="inlineStr">
        <is>
          <t>Source data file: bt_source_data.json; canonical source: Addendum II PDF/DOCX; deterministic artifact build.</t>
        </is>
      </c>
      <c r="D15" s="6" t="inlineStr">
        <is>
          <t>Same inputs + config =&gt; same rankings and workbook.</t>
        </is>
      </c>
    </row>
  </sheetData>
  <mergeCells count="2">
    <mergeCell ref="A2:H2"/>
    <mergeCell ref="A1:H1"/>
  </mergeCells>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tabColor rgb="00C99A00"/>
    <outlinePr summaryBelow="1" summaryRight="1"/>
    <pageSetUpPr/>
  </sheetPr>
  <dimension ref="A1:R55"/>
  <sheetViews>
    <sheetView topLeftCell="A1" zoomScale="80" zoomScaleNormal="80" workbookViewId="0">
      <selection activeCell="A1" sqref="A1"/>
    </sheetView>
  </sheetViews>
  <sheetFormatPr baseColWidth="8" defaultRowHeight="14.25"/>
  <cols>
    <col width="8" customWidth="1" min="1" max="1"/>
    <col width="14" customWidth="1" min="2" max="2"/>
    <col width="12" customWidth="1" min="3" max="3"/>
    <col width="36" customWidth="1" min="4" max="4"/>
    <col width="12" customWidth="1" min="5" max="5"/>
    <col width="24" customWidth="1" min="6" max="6"/>
    <col width="12" customWidth="1" min="7" max="7"/>
    <col width="11" customWidth="1" min="8" max="8"/>
    <col width="13" customWidth="1" min="9" max="9"/>
    <col width="16" customWidth="1" min="10" max="10"/>
    <col width="34" customWidth="1" min="11" max="11"/>
    <col width="20" customWidth="1" min="12" max="12"/>
    <col width="13" customWidth="1" min="13" max="13"/>
    <col width="16" customWidth="1" min="14" max="14"/>
    <col width="34" customWidth="1" min="15" max="15"/>
    <col width="20" customWidth="1" min="16" max="16"/>
    <col width="38" customWidth="1" min="17" max="17"/>
  </cols>
  <sheetData>
    <row r="1" ht="32.1" customHeight="1">
      <c r="A1" s="35" t="inlineStr">
        <is>
          <t>Technical evaluation input — per bidder</t>
        </is>
      </c>
    </row>
    <row r="2" ht="30" customHeight="1">
      <c r="A2" s="36" t="inlineStr">
        <is>
          <t>STATUS and Technical Depth are independent of static importance. Source/Location and Negotiation are per bidder.</t>
        </is>
      </c>
    </row>
    <row r="3" ht="21.95" customHeight="1">
      <c r="A3" s="188">
        <f>HYPERLINK("#START_HERE!A1","Start")</f>
        <v/>
      </c>
      <c r="B3" s="188">
        <f>HYPERLINK("#DASHBOARD!A1","Dashboard")</f>
        <v/>
      </c>
      <c r="C3" s="188">
        <f>HYPERLINK("#OFFER_RANKING!A1","Ranking")</f>
        <v/>
      </c>
      <c r="D3" s="188">
        <f>HYPERLINK("#EVALUATION_INPUT!A1","Evaluate")</f>
        <v/>
      </c>
      <c r="E3" s="188">
        <f>HYPERLINK("#OFFER_CANONICAL!A1","Canonical")</f>
        <v/>
      </c>
      <c r="F3" s="188">
        <f>HYPERLINK("#RTM_CROSSWALK!A1","Crosswalk")</f>
        <v/>
      </c>
      <c r="G3" s="188">
        <f>HYPERLINK("#WEIGHTS_METHOD!A1","Method")</f>
        <v/>
      </c>
      <c r="H3" s="1" t="n"/>
      <c r="I3" s="1" t="n"/>
      <c r="J3" s="1" t="n"/>
      <c r="K3" s="1" t="n"/>
      <c r="L3" s="1" t="n"/>
      <c r="M3" s="1" t="n"/>
      <c r="N3" s="1" t="n"/>
      <c r="O3" s="1" t="n"/>
      <c r="P3" s="1" t="n"/>
      <c r="Q3" s="1" t="n"/>
      <c r="R3" s="1" t="n"/>
    </row>
    <row r="5" ht="33.95" customHeight="1">
      <c r="A5" s="3" t="inlineStr">
        <is>
          <t>Rank</t>
        </is>
      </c>
      <c r="B5" s="3" t="inlineStr">
        <is>
          <t>Tier</t>
        </is>
      </c>
      <c r="C5" s="3" t="inlineStr">
        <is>
          <t>OFFER ID</t>
        </is>
      </c>
      <c r="D5" s="3" t="inlineStr">
        <is>
          <t>Title</t>
        </is>
      </c>
      <c r="E5" s="3" t="inlineStr">
        <is>
          <t>Section</t>
        </is>
      </c>
      <c r="F5" s="3" t="inlineStr">
        <is>
          <t>Category</t>
        </is>
      </c>
      <c r="G5" s="3" t="inlineStr">
        <is>
          <t>Weighted S</t>
        </is>
      </c>
      <c r="H5" s="3" t="inlineStr">
        <is>
          <t>BT Win %</t>
        </is>
      </c>
      <c r="I5" s="3" t="inlineStr">
        <is>
          <t>A_STATUS</t>
        </is>
      </c>
      <c r="J5" s="3" t="inlineStr">
        <is>
          <t>A_Technical Depth</t>
        </is>
      </c>
      <c r="K5" s="3" t="inlineStr">
        <is>
          <t>A_Source / Location</t>
        </is>
      </c>
      <c r="L5" s="3" t="inlineStr">
        <is>
          <t>A_Negotiation</t>
        </is>
      </c>
      <c r="M5" s="3" t="inlineStr">
        <is>
          <t>B_STATUS</t>
        </is>
      </c>
      <c r="N5" s="3" t="inlineStr">
        <is>
          <t>B_Technical Depth</t>
        </is>
      </c>
      <c r="O5" s="3" t="inlineStr">
        <is>
          <t>B_Source / Location</t>
        </is>
      </c>
      <c r="P5" s="3" t="inlineStr">
        <is>
          <t>B_Negotiation</t>
        </is>
      </c>
      <c r="Q5" s="3" t="inlineStr">
        <is>
          <t>Reviewer Comment</t>
        </is>
      </c>
    </row>
    <row r="6" ht="38.1" customHeight="1">
      <c r="A6" s="6" t="n">
        <v>1</v>
      </c>
      <c r="B6" s="6" t="inlineStr">
        <is>
          <t>T0 Gate</t>
        </is>
      </c>
      <c r="C6" s="6" t="inlineStr">
        <is>
          <t>OFFER-02</t>
        </is>
      </c>
      <c r="D6" s="6" t="inlineStr">
        <is>
          <t>Assumptions, Deviations &amp; Additions Register</t>
        </is>
      </c>
      <c r="E6" s="6" t="inlineStr">
        <is>
          <t>§4.1</t>
        </is>
      </c>
      <c r="F6" s="6" t="inlineStr">
        <is>
          <t>Compliance / Quality</t>
        </is>
      </c>
      <c r="G6" s="6" t="n">
        <v>54</v>
      </c>
      <c r="H6" s="6" t="n">
        <v>100</v>
      </c>
      <c r="I6" s="6" t="inlineStr">
        <is>
          <t>TBD</t>
        </is>
      </c>
      <c r="J6" s="6" t="n">
        <v>1</v>
      </c>
      <c r="K6" s="6" t="n"/>
      <c r="L6" s="6" t="inlineStr">
        <is>
          <t>Negotiation item</t>
        </is>
      </c>
      <c r="M6" s="6" t="inlineStr">
        <is>
          <t>TBD</t>
        </is>
      </c>
      <c r="N6" s="6" t="n"/>
      <c r="O6" s="6" t="n"/>
      <c r="P6" s="6" t="n"/>
      <c r="Q6" s="6" t="n"/>
    </row>
    <row r="7" ht="38.1" customHeight="1">
      <c r="A7" s="6" t="n">
        <v>2</v>
      </c>
      <c r="B7" s="6" t="inlineStr">
        <is>
          <t>T0 Gate</t>
        </is>
      </c>
      <c r="C7" s="6" t="inlineStr">
        <is>
          <t>OFFER-48</t>
        </is>
      </c>
      <c r="D7" s="6" t="inlineStr">
        <is>
          <t>Detailed Quality Control Procedures</t>
        </is>
      </c>
      <c r="E7" s="6" t="inlineStr">
        <is>
          <t>§8.1.3.1</t>
        </is>
      </c>
      <c r="F7" s="6" t="inlineStr">
        <is>
          <t>Compliance / Quality</t>
        </is>
      </c>
      <c r="G7" s="6" t="n">
        <v>42.6667</v>
      </c>
      <c r="H7" s="6" t="n">
        <v>97.9592</v>
      </c>
      <c r="I7" s="6" t="inlineStr">
        <is>
          <t>TBD</t>
        </is>
      </c>
      <c r="J7" s="6" t="n"/>
      <c r="K7" s="6" t="n"/>
      <c r="L7" s="6" t="n"/>
      <c r="M7" s="6" t="inlineStr">
        <is>
          <t>TBD</t>
        </is>
      </c>
      <c r="N7" s="6" t="n"/>
      <c r="O7" s="6" t="n"/>
      <c r="P7" s="6" t="n"/>
      <c r="Q7" s="6" t="n"/>
    </row>
    <row r="8" ht="38.1" customHeight="1">
      <c r="A8" s="6" t="n">
        <v>3</v>
      </c>
      <c r="B8" s="6" t="inlineStr">
        <is>
          <t>T0 Gate</t>
        </is>
      </c>
      <c r="C8" s="6" t="inlineStr">
        <is>
          <t>OFFER-01</t>
        </is>
      </c>
      <c r="D8" s="6" t="inlineStr">
        <is>
          <t>Tender Compliance Confirmation</t>
        </is>
      </c>
      <c r="E8" s="6" t="inlineStr">
        <is>
          <t>§4.1</t>
        </is>
      </c>
      <c r="F8" s="6" t="inlineStr">
        <is>
          <t>Compliance / Quality</t>
        </is>
      </c>
      <c r="G8" s="6" t="n">
        <v>32</v>
      </c>
      <c r="H8" s="6" t="n">
        <v>92.8571</v>
      </c>
      <c r="I8" s="6" t="inlineStr">
        <is>
          <t>TBD</t>
        </is>
      </c>
      <c r="J8" s="6" t="n"/>
      <c r="K8" s="6" t="n"/>
      <c r="L8" s="6" t="n"/>
      <c r="M8" s="6" t="inlineStr">
        <is>
          <t>TBD</t>
        </is>
      </c>
      <c r="N8" s="6" t="n"/>
      <c r="O8" s="6" t="n"/>
      <c r="P8" s="6" t="n"/>
      <c r="Q8" s="6" t="n"/>
    </row>
    <row r="9" ht="38.1" customHeight="1">
      <c r="A9" s="6" t="n">
        <v>4</v>
      </c>
      <c r="B9" s="6" t="inlineStr">
        <is>
          <t>T0 Gate</t>
        </is>
      </c>
      <c r="C9" s="6" t="inlineStr">
        <is>
          <t>OFFER-03</t>
        </is>
      </c>
      <c r="D9" s="6" t="inlineStr">
        <is>
          <t>Integrated Technical Proposal &amp; Execution Strategy</t>
        </is>
      </c>
      <c r="E9" s="6" t="inlineStr">
        <is>
          <t>§4.1</t>
        </is>
      </c>
      <c r="F9" s="6" t="inlineStr">
        <is>
          <t>Compliance / Quality</t>
        </is>
      </c>
      <c r="G9" s="6" t="n">
        <v>32</v>
      </c>
      <c r="H9" s="6" t="n">
        <v>92.8571</v>
      </c>
      <c r="I9" s="6" t="inlineStr">
        <is>
          <t>TBD</t>
        </is>
      </c>
      <c r="J9" s="6" t="n"/>
      <c r="K9" s="6" t="n"/>
      <c r="L9" s="6" t="n"/>
      <c r="M9" s="6" t="inlineStr">
        <is>
          <t>TBD</t>
        </is>
      </c>
      <c r="N9" s="6" t="n"/>
      <c r="O9" s="6" t="n"/>
      <c r="P9" s="6" t="n"/>
      <c r="Q9" s="6" t="n"/>
    </row>
    <row r="10" ht="38.1" customHeight="1">
      <c r="A10" s="6" t="n">
        <v>5</v>
      </c>
      <c r="B10" s="6" t="inlineStr">
        <is>
          <t>T0 Gate</t>
        </is>
      </c>
      <c r="C10" s="6" t="inlineStr">
        <is>
          <t>OFFER-47</t>
        </is>
      </c>
      <c r="D10" s="6" t="inlineStr">
        <is>
          <t>Quality Assurance Program (QAP) Definition</t>
        </is>
      </c>
      <c r="E10" s="6" t="inlineStr">
        <is>
          <t>§8</t>
        </is>
      </c>
      <c r="F10" s="6" t="inlineStr">
        <is>
          <t>Compliance / Quality</t>
        </is>
      </c>
      <c r="G10" s="6" t="n">
        <v>32</v>
      </c>
      <c r="H10" s="6" t="n">
        <v>92.8571</v>
      </c>
      <c r="I10" s="6" t="inlineStr">
        <is>
          <t>TBD</t>
        </is>
      </c>
      <c r="J10" s="6" t="n"/>
      <c r="K10" s="6" t="n"/>
      <c r="L10" s="6" t="n"/>
      <c r="M10" s="6" t="inlineStr">
        <is>
          <t>TBD</t>
        </is>
      </c>
      <c r="N10" s="6" t="n"/>
      <c r="O10" s="6" t="n"/>
      <c r="P10" s="6" t="n"/>
      <c r="Q10" s="6" t="n"/>
    </row>
    <row r="11" ht="38.1" customHeight="1">
      <c r="A11" s="6" t="n">
        <v>6</v>
      </c>
      <c r="B11" s="6" t="inlineStr">
        <is>
          <t>T0 Gate</t>
        </is>
      </c>
      <c r="C11" s="6" t="inlineStr">
        <is>
          <t>OFFER-49</t>
        </is>
      </c>
      <c r="D11" s="6" t="inlineStr">
        <is>
          <t>Codes, Standards &amp; Compliance Framework</t>
        </is>
      </c>
      <c r="E11" s="6" t="inlineStr">
        <is>
          <t>§9</t>
        </is>
      </c>
      <c r="F11" s="6" t="inlineStr">
        <is>
          <t>Compliance / Quality</t>
        </is>
      </c>
      <c r="G11" s="6" t="n">
        <v>32</v>
      </c>
      <c r="H11" s="6" t="n">
        <v>92.8571</v>
      </c>
      <c r="I11" s="6" t="inlineStr">
        <is>
          <t>TBD</t>
        </is>
      </c>
      <c r="J11" s="6" t="n"/>
      <c r="K11" s="6" t="n"/>
      <c r="L11" s="6" t="n"/>
      <c r="M11" s="6" t="inlineStr">
        <is>
          <t>TBD</t>
        </is>
      </c>
      <c r="N11" s="6" t="n"/>
      <c r="O11" s="6" t="n"/>
      <c r="P11" s="6" t="n"/>
      <c r="Q11" s="6" t="n"/>
    </row>
    <row r="12" ht="38.1" customHeight="1">
      <c r="A12" s="6" t="n">
        <v>7</v>
      </c>
      <c r="B12" s="6" t="inlineStr">
        <is>
          <t>T1 Primary</t>
        </is>
      </c>
      <c r="C12" s="6" t="inlineStr">
        <is>
          <t>OFFER-09</t>
        </is>
      </c>
      <c r="D12" s="6" t="inlineStr">
        <is>
          <t>LN2 Techno-Economic Evaluation (CAPEX/OPEX)</t>
        </is>
      </c>
      <c r="E12" s="6" t="inlineStr">
        <is>
          <t>§4.2.5</t>
        </is>
      </c>
      <c r="F12" s="6" t="inlineStr">
        <is>
          <t>Performance / Process / Utilities</t>
        </is>
      </c>
      <c r="G12" s="6" t="n">
        <v>55.6667</v>
      </c>
      <c r="H12" s="6" t="n">
        <v>87.7551</v>
      </c>
      <c r="I12" s="6" t="inlineStr">
        <is>
          <t>TBD</t>
        </is>
      </c>
      <c r="J12" s="6" t="n"/>
      <c r="K12" s="6" t="n"/>
      <c r="L12" s="6" t="n"/>
      <c r="M12" s="6" t="inlineStr">
        <is>
          <t>TBD</t>
        </is>
      </c>
      <c r="N12" s="6" t="n"/>
      <c r="O12" s="6" t="n"/>
      <c r="P12" s="6" t="n"/>
      <c r="Q12" s="6" t="n"/>
    </row>
    <row r="13" ht="38.1" customHeight="1">
      <c r="A13" s="6" t="n">
        <v>8</v>
      </c>
      <c r="B13" s="6" t="inlineStr">
        <is>
          <t>T1 Primary</t>
        </is>
      </c>
      <c r="C13" s="6" t="inlineStr">
        <is>
          <t>OFFER-42</t>
        </is>
      </c>
      <c r="D13" s="6" t="inlineStr">
        <is>
          <t>After-Sales Service Organization &amp; Pricing</t>
        </is>
      </c>
      <c r="E13" s="6" t="inlineStr">
        <is>
          <t>§4.15</t>
        </is>
      </c>
      <c r="F13" s="6" t="inlineStr">
        <is>
          <t>Reliability / RAM / Service</t>
        </is>
      </c>
      <c r="G13" s="6" t="n">
        <v>46.3333</v>
      </c>
      <c r="H13" s="6" t="n">
        <v>85.71429999999999</v>
      </c>
      <c r="I13" s="6" t="inlineStr">
        <is>
          <t>TBD</t>
        </is>
      </c>
      <c r="J13" s="6" t="n"/>
      <c r="K13" s="6" t="n"/>
      <c r="L13" s="6" t="n"/>
      <c r="M13" s="6" t="inlineStr">
        <is>
          <t>TBD</t>
        </is>
      </c>
      <c r="N13" s="6" t="n"/>
      <c r="O13" s="6" t="n"/>
      <c r="P13" s="6" t="n"/>
      <c r="Q13" s="6" t="n"/>
    </row>
    <row r="14" ht="38.1" customHeight="1">
      <c r="A14" s="6" t="n">
        <v>9</v>
      </c>
      <c r="B14" s="6" t="inlineStr">
        <is>
          <t>T1 Primary</t>
        </is>
      </c>
      <c r="C14" s="6" t="inlineStr">
        <is>
          <t>OFFER-20</t>
        </is>
      </c>
      <c r="D14" s="6" t="inlineStr">
        <is>
          <t>Helium Leak Detection &amp; Loss Management</t>
        </is>
      </c>
      <c r="E14" s="6" t="inlineStr">
        <is>
          <t>§4.4.7</t>
        </is>
      </c>
      <c r="F14" s="6" t="inlineStr">
        <is>
          <t>Reliability / RAM / Service</t>
        </is>
      </c>
      <c r="G14" s="6" t="n">
        <v>46</v>
      </c>
      <c r="H14" s="6" t="n">
        <v>82.65309999999999</v>
      </c>
      <c r="I14" s="6" t="inlineStr">
        <is>
          <t>TBD</t>
        </is>
      </c>
      <c r="J14" s="6" t="n"/>
      <c r="K14" s="6" t="n"/>
      <c r="L14" s="6" t="n"/>
      <c r="M14" s="6" t="inlineStr">
        <is>
          <t>TBD</t>
        </is>
      </c>
      <c r="N14" s="6" t="n"/>
      <c r="O14" s="6" t="n"/>
      <c r="P14" s="6" t="n"/>
      <c r="Q14" s="6" t="n"/>
    </row>
    <row r="15" ht="38.1" customHeight="1">
      <c r="A15" s="6" t="n">
        <v>10</v>
      </c>
      <c r="B15" s="6" t="inlineStr">
        <is>
          <t>T1 Primary</t>
        </is>
      </c>
      <c r="C15" s="6" t="inlineStr">
        <is>
          <t>OFFER-34</t>
        </is>
      </c>
      <c r="D15" s="6" t="inlineStr">
        <is>
          <t>Cooling Water System Requirements</t>
        </is>
      </c>
      <c r="E15" s="6" t="inlineStr">
        <is>
          <t>§4.7.4.3.2</t>
        </is>
      </c>
      <c r="F15" s="6" t="inlineStr">
        <is>
          <t>Performance / Process / Utilities</t>
        </is>
      </c>
      <c r="G15" s="6" t="n">
        <v>46</v>
      </c>
      <c r="H15" s="6" t="n">
        <v>82.65309999999999</v>
      </c>
      <c r="I15" s="6" t="inlineStr">
        <is>
          <t>TBD</t>
        </is>
      </c>
      <c r="J15" s="6" t="n"/>
      <c r="K15" s="6" t="n"/>
      <c r="L15" s="6" t="n"/>
      <c r="M15" s="6" t="inlineStr">
        <is>
          <t>TBD</t>
        </is>
      </c>
      <c r="N15" s="6" t="n"/>
      <c r="O15" s="6" t="n"/>
      <c r="P15" s="6" t="n"/>
      <c r="Q15" s="6" t="n"/>
    </row>
    <row r="16" ht="38.1" customHeight="1">
      <c r="A16" s="6" t="n">
        <v>11</v>
      </c>
      <c r="B16" s="6" t="inlineStr">
        <is>
          <t>T1 Primary</t>
        </is>
      </c>
      <c r="C16" s="6" t="inlineStr">
        <is>
          <t>OFFER-29</t>
        </is>
      </c>
      <c r="D16" s="6" t="inlineStr">
        <is>
          <t>Control System Obsolescence Strategy</t>
        </is>
      </c>
      <c r="E16" s="6" t="inlineStr">
        <is>
          <t>§4.6.8</t>
        </is>
      </c>
      <c r="F16" s="6" t="inlineStr">
        <is>
          <t>Controls / Software / Management</t>
        </is>
      </c>
      <c r="G16" s="6" t="n">
        <v>45</v>
      </c>
      <c r="H16" s="6" t="n">
        <v>79.59180000000001</v>
      </c>
      <c r="I16" s="6" t="inlineStr">
        <is>
          <t>TBD</t>
        </is>
      </c>
      <c r="J16" s="6" t="n"/>
      <c r="K16" s="6" t="n"/>
      <c r="L16" s="6" t="n"/>
      <c r="M16" s="6" t="inlineStr">
        <is>
          <t>TBD</t>
        </is>
      </c>
      <c r="N16" s="6" t="n"/>
      <c r="O16" s="6" t="n"/>
      <c r="P16" s="6" t="n"/>
      <c r="Q16" s="6" t="n"/>
    </row>
    <row r="17" ht="38.1" customHeight="1">
      <c r="A17" s="6" t="n">
        <v>12</v>
      </c>
      <c r="B17" s="6" t="inlineStr">
        <is>
          <t>T1 Primary</t>
        </is>
      </c>
      <c r="C17" s="6" t="inlineStr">
        <is>
          <t>OFFER-04</t>
        </is>
      </c>
      <c r="D17" s="6" t="inlineStr">
        <is>
          <t>Cooldown &amp; Thermal Performance Modelling</t>
        </is>
      </c>
      <c r="E17" s="6" t="inlineStr">
        <is>
          <t>§4.2.2.2</t>
        </is>
      </c>
      <c r="F17" s="6" t="inlineStr">
        <is>
          <t>Performance / Process / Utilities</t>
        </is>
      </c>
      <c r="G17" s="6" t="n">
        <v>44</v>
      </c>
      <c r="H17" s="6" t="n">
        <v>76.53060000000001</v>
      </c>
      <c r="I17" s="6" t="inlineStr">
        <is>
          <t>TBD</t>
        </is>
      </c>
      <c r="J17" s="6" t="n"/>
      <c r="K17" s="6" t="n"/>
      <c r="L17" s="6" t="n"/>
      <c r="M17" s="6" t="inlineStr">
        <is>
          <t>TBD</t>
        </is>
      </c>
      <c r="N17" s="6" t="n"/>
      <c r="O17" s="6" t="n"/>
      <c r="P17" s="6" t="n"/>
      <c r="Q17" s="6" t="n"/>
    </row>
    <row r="18" ht="38.1" customHeight="1">
      <c r="A18" s="6" t="n">
        <v>13</v>
      </c>
      <c r="B18" s="6" t="inlineStr">
        <is>
          <t>T1 Primary</t>
        </is>
      </c>
      <c r="C18" s="6" t="inlineStr">
        <is>
          <t>OFFER-05</t>
        </is>
      </c>
      <c r="D18" s="6" t="inlineStr">
        <is>
          <t>Operational Procedure Strategy (Auto vs Manual)</t>
        </is>
      </c>
      <c r="E18" s="6" t="inlineStr">
        <is>
          <t>§4.2.2.4.1</t>
        </is>
      </c>
      <c r="F18" s="6" t="inlineStr">
        <is>
          <t>Controls / Software / Management</t>
        </is>
      </c>
      <c r="G18" s="6" t="n">
        <v>44</v>
      </c>
      <c r="H18" s="6" t="n">
        <v>76.53060000000001</v>
      </c>
      <c r="I18" s="6" t="inlineStr">
        <is>
          <t>TBD</t>
        </is>
      </c>
      <c r="J18" s="6" t="n"/>
      <c r="K18" s="6" t="n"/>
      <c r="L18" s="6" t="n"/>
      <c r="M18" s="6" t="inlineStr">
        <is>
          <t>TBD</t>
        </is>
      </c>
      <c r="N18" s="6" t="n"/>
      <c r="O18" s="6" t="n"/>
      <c r="P18" s="6" t="n"/>
      <c r="Q18" s="6" t="n"/>
    </row>
    <row r="19" ht="38.1" customHeight="1">
      <c r="A19" s="6" t="n">
        <v>14</v>
      </c>
      <c r="B19" s="6" t="inlineStr">
        <is>
          <t>T1 Primary</t>
        </is>
      </c>
      <c r="C19" s="6" t="inlineStr">
        <is>
          <t>OFFER-27</t>
        </is>
      </c>
      <c r="D19" s="6" t="inlineStr">
        <is>
          <t>Programming Standards &amp; Language Strategy</t>
        </is>
      </c>
      <c r="E19" s="6" t="inlineStr">
        <is>
          <t>§4.6.7</t>
        </is>
      </c>
      <c r="F19" s="6" t="inlineStr">
        <is>
          <t>Controls / Software / Management</t>
        </is>
      </c>
      <c r="G19" s="6" t="n">
        <v>41.3333</v>
      </c>
      <c r="H19" s="6" t="n">
        <v>73.46939999999999</v>
      </c>
      <c r="I19" s="6" t="inlineStr">
        <is>
          <t>TBD</t>
        </is>
      </c>
      <c r="J19" s="6" t="n"/>
      <c r="K19" s="6" t="n"/>
      <c r="L19" s="6" t="n"/>
      <c r="M19" s="6" t="inlineStr">
        <is>
          <t>TBD</t>
        </is>
      </c>
      <c r="N19" s="6" t="n"/>
      <c r="O19" s="6" t="n"/>
      <c r="P19" s="6" t="n"/>
      <c r="Q19" s="6" t="n"/>
    </row>
    <row r="20" ht="38.1" customHeight="1">
      <c r="A20" s="6" t="n">
        <v>15</v>
      </c>
      <c r="B20" s="6" t="inlineStr">
        <is>
          <t>T1 Primary</t>
        </is>
      </c>
      <c r="C20" s="6" t="inlineStr">
        <is>
          <t>OFFER-33</t>
        </is>
      </c>
      <c r="D20" s="6" t="inlineStr">
        <is>
          <t>Electrical System Design &amp; Load Analysis</t>
        </is>
      </c>
      <c r="E20" s="6" t="inlineStr">
        <is>
          <t>§4.7.3.1</t>
        </is>
      </c>
      <c r="F20" s="6" t="inlineStr">
        <is>
          <t>Controls / Software / Management</t>
        </is>
      </c>
      <c r="G20" s="6" t="n">
        <v>38.6667</v>
      </c>
      <c r="H20" s="6" t="n">
        <v>70.40819999999999</v>
      </c>
      <c r="I20" s="6" t="inlineStr">
        <is>
          <t>TBD</t>
        </is>
      </c>
      <c r="J20" s="6" t="n"/>
      <c r="K20" s="6" t="n"/>
      <c r="L20" s="6" t="n"/>
      <c r="M20" s="6" t="inlineStr">
        <is>
          <t>TBD</t>
        </is>
      </c>
      <c r="N20" s="6" t="n"/>
      <c r="O20" s="6" t="n"/>
      <c r="P20" s="6" t="n"/>
      <c r="Q20" s="6" t="n"/>
    </row>
    <row r="21" ht="38.1" customHeight="1">
      <c r="A21" s="6" t="n">
        <v>16</v>
      </c>
      <c r="B21" s="6" t="inlineStr">
        <is>
          <t>T1 Primary</t>
        </is>
      </c>
      <c r="C21" s="6" t="inlineStr">
        <is>
          <t>OFFER-41</t>
        </is>
      </c>
      <c r="D21" s="6" t="inlineStr">
        <is>
          <t>Spare Parts &amp; Critical Components Strategy</t>
        </is>
      </c>
      <c r="E21" s="6" t="inlineStr">
        <is>
          <t>§4.14.3</t>
        </is>
      </c>
      <c r="F21" s="6" t="inlineStr">
        <is>
          <t>Reliability / RAM / Service</t>
        </is>
      </c>
      <c r="G21" s="6" t="n">
        <v>38.6667</v>
      </c>
      <c r="H21" s="6" t="n">
        <v>70.40819999999999</v>
      </c>
      <c r="I21" s="6" t="inlineStr">
        <is>
          <t>TBD</t>
        </is>
      </c>
      <c r="J21" s="6" t="n"/>
      <c r="K21" s="6" t="n"/>
      <c r="L21" s="6" t="n"/>
      <c r="M21" s="6" t="inlineStr">
        <is>
          <t>TBD</t>
        </is>
      </c>
      <c r="N21" s="6" t="n"/>
      <c r="O21" s="6" t="n"/>
      <c r="P21" s="6" t="n"/>
      <c r="Q21" s="6" t="n"/>
    </row>
    <row r="22" ht="38.1" customHeight="1">
      <c r="A22" s="6" t="n">
        <v>17</v>
      </c>
      <c r="B22" s="6" t="inlineStr">
        <is>
          <t>T2 Secondary</t>
        </is>
      </c>
      <c r="C22" s="6" t="inlineStr">
        <is>
          <t>OFFER-06</t>
        </is>
      </c>
      <c r="D22" s="6" t="inlineStr">
        <is>
          <t>LHe Filling &amp; Emptying Performance</t>
        </is>
      </c>
      <c r="E22" s="6" t="inlineStr">
        <is>
          <t>§4.2.2.4.3</t>
        </is>
      </c>
      <c r="F22" s="6" t="inlineStr">
        <is>
          <t>Performance / Process / Utilities</t>
        </is>
      </c>
      <c r="G22" s="6" t="n">
        <v>36</v>
      </c>
      <c r="H22" s="6" t="n">
        <v>66.3265</v>
      </c>
      <c r="I22" s="6" t="inlineStr">
        <is>
          <t>TBD</t>
        </is>
      </c>
      <c r="J22" s="6" t="n"/>
      <c r="K22" s="6" t="n"/>
      <c r="L22" s="6" t="n"/>
      <c r="M22" s="6" t="inlineStr">
        <is>
          <t>TBD</t>
        </is>
      </c>
      <c r="N22" s="6" t="n"/>
      <c r="O22" s="6" t="n"/>
      <c r="P22" s="6" t="n"/>
      <c r="Q22" s="6" t="inlineStr">
        <is>
          <t>Negiotaition itrem/agenda</t>
        </is>
      </c>
    </row>
    <row r="23" ht="38.1" customHeight="1">
      <c r="A23" s="6" t="n">
        <v>18</v>
      </c>
      <c r="B23" s="6" t="inlineStr">
        <is>
          <t>T2 Secondary</t>
        </is>
      </c>
      <c r="C23" s="6" t="inlineStr">
        <is>
          <t>OFFER-37</t>
        </is>
      </c>
      <c r="D23" s="6" t="inlineStr">
        <is>
          <t>Digital Twin / Simulation Strategy</t>
        </is>
      </c>
      <c r="E23" s="6" t="inlineStr">
        <is>
          <t>§4.8.2</t>
        </is>
      </c>
      <c r="F23" s="6" t="inlineStr">
        <is>
          <t>Controls / Software / Management</t>
        </is>
      </c>
      <c r="G23" s="6" t="n">
        <v>36</v>
      </c>
      <c r="H23" s="6" t="n">
        <v>66.3265</v>
      </c>
      <c r="I23" s="6" t="inlineStr">
        <is>
          <t>TBD</t>
        </is>
      </c>
      <c r="J23" s="6" t="n"/>
      <c r="K23" s="6" t="n"/>
      <c r="L23" s="6" t="n"/>
      <c r="M23" s="6" t="inlineStr">
        <is>
          <t>TBD</t>
        </is>
      </c>
      <c r="N23" s="6" t="n"/>
      <c r="O23" s="6" t="n"/>
      <c r="P23" s="6" t="n"/>
      <c r="Q23" s="6" t="n"/>
    </row>
    <row r="24" ht="38.1" customHeight="1">
      <c r="A24" s="6" t="n">
        <v>19</v>
      </c>
      <c r="B24" s="6" t="inlineStr">
        <is>
          <t>T2 Secondary</t>
        </is>
      </c>
      <c r="C24" s="6" t="inlineStr">
        <is>
          <t>OFFER-43</t>
        </is>
      </c>
      <c r="D24" s="6" t="inlineStr">
        <is>
          <t>Maintenance Effort &amp; Intervention Estimation</t>
        </is>
      </c>
      <c r="E24" s="6" t="inlineStr">
        <is>
          <t>§4.15</t>
        </is>
      </c>
      <c r="F24" s="6" t="inlineStr">
        <is>
          <t>Reliability / RAM / Service</t>
        </is>
      </c>
      <c r="G24" s="6" t="n">
        <v>35.6667</v>
      </c>
      <c r="H24" s="6" t="n">
        <v>63.2653</v>
      </c>
      <c r="I24" s="6" t="inlineStr">
        <is>
          <t>TBD</t>
        </is>
      </c>
      <c r="J24" s="6" t="n"/>
      <c r="K24" s="6" t="n"/>
      <c r="L24" s="6" t="n"/>
      <c r="M24" s="6" t="inlineStr">
        <is>
          <t>TBD</t>
        </is>
      </c>
      <c r="N24" s="6" t="n"/>
      <c r="O24" s="6" t="n"/>
      <c r="P24" s="6" t="n"/>
      <c r="Q24" s="6" t="n"/>
    </row>
    <row r="25" ht="38.1" customHeight="1">
      <c r="A25" s="6" t="n">
        <v>20</v>
      </c>
      <c r="B25" s="6" t="inlineStr">
        <is>
          <t>T2 Secondary</t>
        </is>
      </c>
      <c r="C25" s="6" t="inlineStr">
        <is>
          <t>OFFER-21</t>
        </is>
      </c>
      <c r="D25" s="6" t="inlineStr">
        <is>
          <t>LOOP Strategy &amp; Critical Load Management</t>
        </is>
      </c>
      <c r="E25" s="6" t="inlineStr">
        <is>
          <t>§4.4.7.1</t>
        </is>
      </c>
      <c r="F25" s="6" t="inlineStr">
        <is>
          <t>Reliability / RAM / Service</t>
        </is>
      </c>
      <c r="G25" s="6" t="n">
        <v>32.6667</v>
      </c>
      <c r="H25" s="6" t="n">
        <v>60.2041</v>
      </c>
      <c r="I25" s="6" t="inlineStr">
        <is>
          <t>TBD</t>
        </is>
      </c>
      <c r="J25" s="6" t="n"/>
      <c r="K25" s="6" t="n"/>
      <c r="L25" s="6" t="n"/>
      <c r="M25" s="6" t="inlineStr">
        <is>
          <t>TBD</t>
        </is>
      </c>
      <c r="N25" s="6" t="n"/>
      <c r="O25" s="6" t="n"/>
      <c r="P25" s="6" t="n"/>
      <c r="Q25" s="6" t="n"/>
    </row>
    <row r="26" ht="38.1" customHeight="1">
      <c r="A26" s="6" t="n">
        <v>21</v>
      </c>
      <c r="B26" s="6" t="inlineStr">
        <is>
          <t>T2 Secondary</t>
        </is>
      </c>
      <c r="C26" s="6" t="inlineStr">
        <is>
          <t>OFFER-22</t>
        </is>
      </c>
      <c r="D26" s="6" t="inlineStr">
        <is>
          <t>Helium Recovery System Design</t>
        </is>
      </c>
      <c r="E26" s="6" t="inlineStr">
        <is>
          <t>§4.4.7.3</t>
        </is>
      </c>
      <c r="F26" s="6" t="inlineStr">
        <is>
          <t>Reliability / RAM / Service</t>
        </is>
      </c>
      <c r="G26" s="6" t="n">
        <v>32.6667</v>
      </c>
      <c r="H26" s="6" t="n">
        <v>60.2041</v>
      </c>
      <c r="I26" s="6" t="inlineStr">
        <is>
          <t>TBD</t>
        </is>
      </c>
      <c r="J26" s="6" t="n"/>
      <c r="K26" s="6" t="n"/>
      <c r="L26" s="6" t="n"/>
      <c r="M26" s="6" t="inlineStr">
        <is>
          <t>TBD</t>
        </is>
      </c>
      <c r="N26" s="6" t="n"/>
      <c r="O26" s="6" t="n"/>
      <c r="P26" s="6" t="n"/>
      <c r="Q26" s="6" t="n"/>
    </row>
    <row r="27" ht="38.1" customHeight="1">
      <c r="A27" s="6" t="n">
        <v>22</v>
      </c>
      <c r="B27" s="6" t="inlineStr">
        <is>
          <t>T2 Secondary</t>
        </is>
      </c>
      <c r="C27" s="6" t="inlineStr">
        <is>
          <t>OFFER-10</t>
        </is>
      </c>
      <c r="D27" s="6" t="inlineStr">
        <is>
          <t>LN2 System Functional &amp; Interface Design</t>
        </is>
      </c>
      <c r="E27" s="6" t="inlineStr">
        <is>
          <t>§4.2.5</t>
        </is>
      </c>
      <c r="F27" s="6" t="inlineStr">
        <is>
          <t>Performance / Process / Utilities</t>
        </is>
      </c>
      <c r="G27" s="6" t="n">
        <v>32</v>
      </c>
      <c r="H27" s="6" t="n">
        <v>56.1224</v>
      </c>
      <c r="I27" s="6" t="inlineStr">
        <is>
          <t>TBD</t>
        </is>
      </c>
      <c r="J27" s="6" t="n"/>
      <c r="K27" s="6" t="n"/>
      <c r="L27" s="6" t="n"/>
      <c r="M27" s="6" t="inlineStr">
        <is>
          <t>TBD</t>
        </is>
      </c>
      <c r="N27" s="6" t="n"/>
      <c r="O27" s="6" t="n"/>
      <c r="P27" s="6" t="n"/>
      <c r="Q27" s="6" t="n"/>
    </row>
    <row r="28" ht="38.1" customHeight="1">
      <c r="A28" s="6" t="n">
        <v>23</v>
      </c>
      <c r="B28" s="6" t="inlineStr">
        <is>
          <t>T2 Secondary</t>
        </is>
      </c>
      <c r="C28" s="6" t="inlineStr">
        <is>
          <t>OFFER-17</t>
        </is>
      </c>
      <c r="D28" s="6" t="inlineStr">
        <is>
          <t>Preliminary 3D Plant Layout Model</t>
        </is>
      </c>
      <c r="E28" s="6" t="inlineStr">
        <is>
          <t>§4.4.4.1</t>
        </is>
      </c>
      <c r="F28" s="6" t="inlineStr">
        <is>
          <t>Configuration / Layout / Support</t>
        </is>
      </c>
      <c r="G28" s="6" t="n">
        <v>32</v>
      </c>
      <c r="H28" s="6" t="n">
        <v>56.1224</v>
      </c>
      <c r="I28" s="6" t="inlineStr">
        <is>
          <t>TBD</t>
        </is>
      </c>
      <c r="J28" s="6" t="n"/>
      <c r="K28" s="6" t="n"/>
      <c r="L28" s="6" t="n"/>
      <c r="M28" s="6" t="inlineStr">
        <is>
          <t>TBD</t>
        </is>
      </c>
      <c r="N28" s="6" t="n"/>
      <c r="O28" s="6" t="n"/>
      <c r="P28" s="6" t="n"/>
      <c r="Q28" s="6" t="n"/>
    </row>
    <row r="29" ht="38.1" customHeight="1">
      <c r="A29" s="6" t="n">
        <v>24</v>
      </c>
      <c r="B29" s="6" t="inlineStr">
        <is>
          <t>T2 Secondary</t>
        </is>
      </c>
      <c r="C29" s="6" t="inlineStr">
        <is>
          <t>OFFER-45</t>
        </is>
      </c>
      <c r="D29" s="6" t="inlineStr">
        <is>
          <t>Project Dashboard &amp; Management Processes</t>
        </is>
      </c>
      <c r="E29" s="6" t="inlineStr">
        <is>
          <t>§7.4.1</t>
        </is>
      </c>
      <c r="F29" s="6" t="inlineStr">
        <is>
          <t>Controls / Software / Management</t>
        </is>
      </c>
      <c r="G29" s="6" t="n">
        <v>31.6667</v>
      </c>
      <c r="H29" s="6" t="n">
        <v>53.0612</v>
      </c>
      <c r="I29" s="6" t="inlineStr">
        <is>
          <t>TBD</t>
        </is>
      </c>
      <c r="J29" s="6" t="n"/>
      <c r="K29" s="6" t="n"/>
      <c r="L29" s="6" t="n"/>
      <c r="M29" s="6" t="inlineStr">
        <is>
          <t>TBD</t>
        </is>
      </c>
      <c r="N29" s="6" t="n"/>
      <c r="O29" s="6" t="n"/>
      <c r="P29" s="6" t="n"/>
      <c r="Q29" s="6" t="n"/>
    </row>
    <row r="30" ht="38.1" customHeight="1">
      <c r="A30" s="6" t="n">
        <v>25</v>
      </c>
      <c r="B30" s="6" t="inlineStr">
        <is>
          <t>T2 Secondary</t>
        </is>
      </c>
      <c r="C30" s="6" t="inlineStr">
        <is>
          <t>OFFER-39</t>
        </is>
      </c>
      <c r="D30" s="6" t="inlineStr">
        <is>
          <t>FAT/SAT Testing Strategy &amp; Procedures</t>
        </is>
      </c>
      <c r="E30" s="6" t="inlineStr">
        <is>
          <t>§4.13.1</t>
        </is>
      </c>
      <c r="F30" s="6" t="inlineStr">
        <is>
          <t>Configuration / Layout / Support</t>
        </is>
      </c>
      <c r="G30" s="6" t="n">
        <v>29.3333</v>
      </c>
      <c r="H30" s="6" t="n">
        <v>51.0204</v>
      </c>
      <c r="I30" s="6" t="inlineStr">
        <is>
          <t>TBD</t>
        </is>
      </c>
      <c r="J30" s="6" t="n"/>
      <c r="K30" s="6" t="n"/>
      <c r="L30" s="6" t="n"/>
      <c r="M30" s="6" t="inlineStr">
        <is>
          <t>TBD</t>
        </is>
      </c>
      <c r="N30" s="6" t="n"/>
      <c r="O30" s="6" t="n"/>
      <c r="P30" s="6" t="n"/>
      <c r="Q30" s="6" t="n"/>
    </row>
    <row r="31" ht="38.1" customHeight="1">
      <c r="A31" s="6" t="n">
        <v>26</v>
      </c>
      <c r="B31" s="6" t="inlineStr">
        <is>
          <t>T2 Secondary</t>
        </is>
      </c>
      <c r="C31" s="6" t="inlineStr">
        <is>
          <t>OFFER-11</t>
        </is>
      </c>
      <c r="D31" s="6" t="inlineStr">
        <is>
          <t>Reliability, MTBF &amp; Recovery Strategy</t>
        </is>
      </c>
      <c r="E31" s="6" t="inlineStr">
        <is>
          <t>§4.3.2</t>
        </is>
      </c>
      <c r="F31" s="6" t="inlineStr">
        <is>
          <t>Reliability / RAM / Service</t>
        </is>
      </c>
      <c r="G31" s="6" t="n">
        <v>26.6667</v>
      </c>
      <c r="H31" s="6" t="n">
        <v>48.9796</v>
      </c>
      <c r="I31" s="6" t="inlineStr">
        <is>
          <t>TBD</t>
        </is>
      </c>
      <c r="J31" s="6" t="n"/>
      <c r="K31" s="6" t="n"/>
      <c r="L31" s="6" t="n"/>
      <c r="M31" s="6" t="inlineStr">
        <is>
          <t>TBD</t>
        </is>
      </c>
      <c r="N31" s="6" t="n"/>
      <c r="O31" s="6" t="n"/>
      <c r="P31" s="6" t="n"/>
      <c r="Q31" s="6" t="n"/>
    </row>
    <row r="32" ht="38.1" customHeight="1">
      <c r="A32" s="6" t="n">
        <v>27</v>
      </c>
      <c r="B32" s="6" t="inlineStr">
        <is>
          <t>T2 Secondary</t>
        </is>
      </c>
      <c r="C32" s="6" t="inlineStr">
        <is>
          <t>OFFER-15</t>
        </is>
      </c>
      <c r="D32" s="6" t="inlineStr">
        <is>
          <t>Compressor Noise Emission Specification</t>
        </is>
      </c>
      <c r="E32" s="6" t="inlineStr">
        <is>
          <t>§4.4.3.1</t>
        </is>
      </c>
      <c r="F32" s="6" t="inlineStr">
        <is>
          <t>Configuration / Layout / Support</t>
        </is>
      </c>
      <c r="G32" s="6" t="n">
        <v>24</v>
      </c>
      <c r="H32" s="6" t="n">
        <v>41.8367</v>
      </c>
      <c r="I32" s="6" t="inlineStr">
        <is>
          <t>TBD</t>
        </is>
      </c>
      <c r="J32" s="6" t="n"/>
      <c r="K32" s="6" t="n"/>
      <c r="L32" s="6" t="n"/>
      <c r="M32" s="6" t="inlineStr">
        <is>
          <t>TBD</t>
        </is>
      </c>
      <c r="N32" s="6" t="n"/>
      <c r="O32" s="6" t="n"/>
      <c r="P32" s="6" t="n"/>
      <c r="Q32" s="6" t="n"/>
    </row>
    <row r="33" ht="38.1" customHeight="1">
      <c r="A33" s="6" t="n">
        <v>28</v>
      </c>
      <c r="B33" s="6" t="inlineStr">
        <is>
          <t>T2 Secondary</t>
        </is>
      </c>
      <c r="C33" s="6" t="inlineStr">
        <is>
          <t>OFFER-16</t>
        </is>
      </c>
      <c r="D33" s="6" t="inlineStr">
        <is>
          <t>Compressor Configuration &amp; Operating Limits</t>
        </is>
      </c>
      <c r="E33" s="6" t="inlineStr">
        <is>
          <t>§4.4.3.2</t>
        </is>
      </c>
      <c r="F33" s="6" t="inlineStr">
        <is>
          <t>Configuration / Layout / Support</t>
        </is>
      </c>
      <c r="G33" s="6" t="n">
        <v>24</v>
      </c>
      <c r="H33" s="6" t="n">
        <v>41.8367</v>
      </c>
      <c r="I33" s="6" t="inlineStr">
        <is>
          <t>TBD</t>
        </is>
      </c>
      <c r="J33" s="6" t="n"/>
      <c r="K33" s="6" t="n"/>
      <c r="L33" s="6" t="n"/>
      <c r="M33" s="6" t="inlineStr">
        <is>
          <t>TBD</t>
        </is>
      </c>
      <c r="N33" s="6" t="n"/>
      <c r="O33" s="6" t="n"/>
      <c r="P33" s="6" t="n"/>
      <c r="Q33" s="6" t="n"/>
    </row>
    <row r="34" ht="38.1" customHeight="1">
      <c r="A34" s="6" t="n">
        <v>29</v>
      </c>
      <c r="B34" s="6" t="inlineStr">
        <is>
          <t>T2 Secondary</t>
        </is>
      </c>
      <c r="C34" s="6" t="inlineStr">
        <is>
          <t>OFFER-18</t>
        </is>
      </c>
      <c r="D34" s="6" t="inlineStr">
        <is>
          <t>MPHX Technology Selection</t>
        </is>
      </c>
      <c r="E34" s="6" t="inlineStr">
        <is>
          <t>§4.4.4.2.2</t>
        </is>
      </c>
      <c r="F34" s="6" t="inlineStr">
        <is>
          <t>Performance / Process / Utilities</t>
        </is>
      </c>
      <c r="G34" s="6" t="n">
        <v>24</v>
      </c>
      <c r="H34" s="6" t="n">
        <v>41.8367</v>
      </c>
      <c r="I34" s="6" t="inlineStr">
        <is>
          <t>TBD</t>
        </is>
      </c>
      <c r="J34" s="6" t="n"/>
      <c r="K34" s="6" t="n"/>
      <c r="L34" s="6" t="n"/>
      <c r="M34" s="6" t="inlineStr">
        <is>
          <t>TBD</t>
        </is>
      </c>
      <c r="N34" s="6" t="n"/>
      <c r="O34" s="6" t="n"/>
      <c r="P34" s="6" t="n"/>
      <c r="Q34" s="6" t="n"/>
    </row>
    <row r="35" ht="38.1" customHeight="1">
      <c r="A35" s="6" t="n">
        <v>30</v>
      </c>
      <c r="B35" s="6" t="inlineStr">
        <is>
          <t>T2 Secondary</t>
        </is>
      </c>
      <c r="C35" s="6" t="inlineStr">
        <is>
          <t>OFFER-19</t>
        </is>
      </c>
      <c r="D35" s="6" t="inlineStr">
        <is>
          <t>Warm Storage Heater (WSH) Design &amp; Layout</t>
        </is>
      </c>
      <c r="E35" s="6" t="inlineStr">
        <is>
          <t>§4.4.5.2</t>
        </is>
      </c>
      <c r="F35" s="6" t="inlineStr">
        <is>
          <t>Performance / Process / Utilities</t>
        </is>
      </c>
      <c r="G35" s="6" t="n">
        <v>24</v>
      </c>
      <c r="H35" s="6" t="n">
        <v>41.8367</v>
      </c>
      <c r="I35" s="6" t="inlineStr">
        <is>
          <t>TBD</t>
        </is>
      </c>
      <c r="J35" s="6" t="n"/>
      <c r="K35" s="6" t="n"/>
      <c r="L35" s="6" t="n"/>
      <c r="M35" s="6" t="inlineStr">
        <is>
          <t>TBD</t>
        </is>
      </c>
      <c r="N35" s="6" t="n"/>
      <c r="O35" s="6" t="n"/>
      <c r="P35" s="6" t="n"/>
      <c r="Q35" s="6" t="n"/>
    </row>
    <row r="36" ht="38.1" customHeight="1">
      <c r="A36" s="6" t="n">
        <v>31</v>
      </c>
      <c r="B36" s="6" t="inlineStr">
        <is>
          <t>T2 Secondary</t>
        </is>
      </c>
      <c r="C36" s="6" t="inlineStr">
        <is>
          <t>OFFER-24</t>
        </is>
      </c>
      <c r="D36" s="6" t="inlineStr">
        <is>
          <t>Helium Purity Acceptance Criteria</t>
        </is>
      </c>
      <c r="E36" s="6" t="inlineStr">
        <is>
          <t>§4.4.8.2</t>
        </is>
      </c>
      <c r="F36" s="6" t="inlineStr">
        <is>
          <t>Performance / Process / Utilities</t>
        </is>
      </c>
      <c r="G36" s="6" t="n">
        <v>24</v>
      </c>
      <c r="H36" s="6" t="n">
        <v>41.8367</v>
      </c>
      <c r="I36" s="6" t="inlineStr">
        <is>
          <t>TBD</t>
        </is>
      </c>
      <c r="J36" s="6" t="n"/>
      <c r="K36" s="6" t="n"/>
      <c r="L36" s="6" t="n"/>
      <c r="M36" s="6" t="inlineStr">
        <is>
          <t>TBD</t>
        </is>
      </c>
      <c r="N36" s="6" t="n"/>
      <c r="O36" s="6" t="n"/>
      <c r="P36" s="6" t="n"/>
      <c r="Q36" s="6" t="n"/>
    </row>
    <row r="37" ht="38.1" customHeight="1">
      <c r="A37" s="6" t="n">
        <v>32</v>
      </c>
      <c r="B37" s="6" t="inlineStr">
        <is>
          <t>T2 Secondary</t>
        </is>
      </c>
      <c r="C37" s="6" t="inlineStr">
        <is>
          <t>OFFER-35</t>
        </is>
      </c>
      <c r="D37" s="6" t="inlineStr">
        <is>
          <t>Heat Rejection &amp; HVAC Interface Design</t>
        </is>
      </c>
      <c r="E37" s="6" t="inlineStr">
        <is>
          <t>§4.7.6</t>
        </is>
      </c>
      <c r="F37" s="6" t="inlineStr">
        <is>
          <t>Performance / Process / Utilities</t>
        </is>
      </c>
      <c r="G37" s="6" t="n">
        <v>24</v>
      </c>
      <c r="H37" s="6" t="n">
        <v>41.8367</v>
      </c>
      <c r="I37" s="6" t="inlineStr">
        <is>
          <t>TBD</t>
        </is>
      </c>
      <c r="J37" s="6" t="n"/>
      <c r="K37" s="6" t="n"/>
      <c r="L37" s="6" t="n"/>
      <c r="M37" s="6" t="inlineStr">
        <is>
          <t>TBD</t>
        </is>
      </c>
      <c r="N37" s="6" t="n"/>
      <c r="O37" s="6" t="n"/>
      <c r="P37" s="6" t="n"/>
      <c r="Q37" s="6" t="n"/>
    </row>
    <row r="38" ht="38.1" customHeight="1">
      <c r="A38" s="6" t="n">
        <v>33</v>
      </c>
      <c r="B38" s="6" t="inlineStr">
        <is>
          <t>T3 Contextual</t>
        </is>
      </c>
      <c r="C38" s="6" t="inlineStr">
        <is>
          <t>OFFER-50</t>
        </is>
      </c>
      <c r="D38" s="6" t="inlineStr">
        <is>
          <t>Warranty Extension Commercial Terms</t>
        </is>
      </c>
      <c r="E38" s="6" t="inlineStr">
        <is>
          <t>§10.2</t>
        </is>
      </c>
      <c r="F38" s="6" t="inlineStr">
        <is>
          <t>Configuration / Layout / Support</t>
        </is>
      </c>
      <c r="G38" s="6" t="n">
        <v>23.3333</v>
      </c>
      <c r="H38" s="6" t="n">
        <v>34.6939</v>
      </c>
      <c r="I38" s="6" t="inlineStr">
        <is>
          <t>TBD</t>
        </is>
      </c>
      <c r="J38" s="6" t="n"/>
      <c r="K38" s="6" t="n"/>
      <c r="L38" s="6" t="n"/>
      <c r="M38" s="6" t="inlineStr">
        <is>
          <t>TBD</t>
        </is>
      </c>
      <c r="N38" s="6" t="n"/>
      <c r="O38" s="6" t="n"/>
      <c r="P38" s="6" t="n"/>
      <c r="Q38" s="6" t="n"/>
    </row>
    <row r="39" ht="38.1" customHeight="1">
      <c r="A39" s="6" t="n">
        <v>34</v>
      </c>
      <c r="B39" s="6" t="inlineStr">
        <is>
          <t>T3 Contextual</t>
        </is>
      </c>
      <c r="C39" s="6" t="inlineStr">
        <is>
          <t>OFFER-14</t>
        </is>
      </c>
      <c r="D39" s="6" t="inlineStr">
        <is>
          <t>Expansion Joint Design &amp; Risk Justification</t>
        </is>
      </c>
      <c r="E39" s="6" t="inlineStr">
        <is>
          <t>§4.4.1.1</t>
        </is>
      </c>
      <c r="F39" s="6" t="inlineStr">
        <is>
          <t>Configuration / Layout / Support</t>
        </is>
      </c>
      <c r="G39" s="6" t="n">
        <v>22.6667</v>
      </c>
      <c r="H39" s="6" t="n">
        <v>32.6531</v>
      </c>
      <c r="I39" s="6" t="inlineStr">
        <is>
          <t>TBD</t>
        </is>
      </c>
      <c r="J39" s="6" t="n"/>
      <c r="K39" s="6" t="n"/>
      <c r="L39" s="6" t="n"/>
      <c r="M39" s="6" t="inlineStr">
        <is>
          <t>TBD</t>
        </is>
      </c>
      <c r="N39" s="6" t="n"/>
      <c r="O39" s="6" t="n"/>
      <c r="P39" s="6" t="n"/>
      <c r="Q39" s="6" t="n"/>
    </row>
    <row r="40" ht="38.1" customHeight="1">
      <c r="A40" s="6" t="n">
        <v>35</v>
      </c>
      <c r="B40" s="6" t="inlineStr">
        <is>
          <t>T3 Contextual</t>
        </is>
      </c>
      <c r="C40" s="6" t="inlineStr">
        <is>
          <t>OFFER-07</t>
        </is>
      </c>
      <c r="D40" s="6" t="inlineStr">
        <is>
          <t>Header Design Pressure &amp; Temperature Definition</t>
        </is>
      </c>
      <c r="E40" s="6" t="inlineStr">
        <is>
          <t>§4.2.4</t>
        </is>
      </c>
      <c r="F40" s="6" t="inlineStr">
        <is>
          <t>Performance / Process / Utilities</t>
        </is>
      </c>
      <c r="G40" s="6" t="n">
        <v>20</v>
      </c>
      <c r="H40" s="6" t="n">
        <v>27.551</v>
      </c>
      <c r="I40" s="6" t="inlineStr">
        <is>
          <t>TBD</t>
        </is>
      </c>
      <c r="J40" s="6" t="n"/>
      <c r="K40" s="6" t="n"/>
      <c r="L40" s="6" t="n"/>
      <c r="M40" s="6" t="inlineStr">
        <is>
          <t>TBD</t>
        </is>
      </c>
      <c r="N40" s="6" t="n"/>
      <c r="O40" s="6" t="n"/>
      <c r="P40" s="6" t="n"/>
      <c r="Q40" s="6" t="n"/>
    </row>
    <row r="41" ht="38.1" customHeight="1">
      <c r="A41" s="6" t="n">
        <v>36</v>
      </c>
      <c r="B41" s="6" t="inlineStr">
        <is>
          <t>T3 Contextual</t>
        </is>
      </c>
      <c r="C41" s="6" t="inlineStr">
        <is>
          <t>OFFER-08</t>
        </is>
      </c>
      <c r="D41" s="6" t="inlineStr">
        <is>
          <t>LN2 Precooling Design Decision</t>
        </is>
      </c>
      <c r="E41" s="6" t="inlineStr">
        <is>
          <t>§4.2.5</t>
        </is>
      </c>
      <c r="F41" s="6" t="inlineStr">
        <is>
          <t>Performance / Process / Utilities</t>
        </is>
      </c>
      <c r="G41" s="6" t="n">
        <v>20</v>
      </c>
      <c r="H41" s="6" t="n">
        <v>27.551</v>
      </c>
      <c r="I41" s="6" t="inlineStr">
        <is>
          <t>TBD</t>
        </is>
      </c>
      <c r="J41" s="6" t="n"/>
      <c r="K41" s="6" t="n"/>
      <c r="L41" s="6" t="n"/>
      <c r="M41" s="6" t="inlineStr">
        <is>
          <t>TBD</t>
        </is>
      </c>
      <c r="N41" s="6" t="n"/>
      <c r="O41" s="6" t="n"/>
      <c r="P41" s="6" t="n"/>
      <c r="Q41" s="6" t="inlineStr">
        <is>
          <t>EMPTY</t>
        </is>
      </c>
    </row>
    <row r="42" ht="38.1" customHeight="1">
      <c r="A42" s="6" t="n">
        <v>37</v>
      </c>
      <c r="B42" s="6" t="inlineStr">
        <is>
          <t>T3 Contextual</t>
        </is>
      </c>
      <c r="C42" s="6" t="inlineStr">
        <is>
          <t>OFFER-12</t>
        </is>
      </c>
      <c r="D42" s="6" t="inlineStr">
        <is>
          <t>Performance Efficiency (invCOP) Declaration</t>
        </is>
      </c>
      <c r="E42" s="6" t="inlineStr">
        <is>
          <t>§4.3.4</t>
        </is>
      </c>
      <c r="F42" s="6" t="inlineStr">
        <is>
          <t>Performance / Process / Utilities</t>
        </is>
      </c>
      <c r="G42" s="6" t="n">
        <v>20</v>
      </c>
      <c r="H42" s="6" t="n">
        <v>27.551</v>
      </c>
      <c r="I42" s="6" t="inlineStr">
        <is>
          <t>TBD</t>
        </is>
      </c>
      <c r="J42" s="6" t="n"/>
      <c r="K42" s="6" t="n"/>
      <c r="L42" s="6" t="n"/>
      <c r="M42" s="6" t="inlineStr">
        <is>
          <t>TBD</t>
        </is>
      </c>
      <c r="N42" s="6" t="n"/>
      <c r="O42" s="6" t="n"/>
      <c r="P42" s="6" t="n"/>
      <c r="Q42" s="6" t="n"/>
    </row>
    <row r="43" ht="38.1" customHeight="1">
      <c r="A43" s="6" t="n">
        <v>38</v>
      </c>
      <c r="B43" s="6" t="inlineStr">
        <is>
          <t>T3 Contextual</t>
        </is>
      </c>
      <c r="C43" s="6" t="inlineStr">
        <is>
          <t>OFFER-23</t>
        </is>
      </c>
      <c r="D43" s="6" t="inlineStr">
        <is>
          <t>User Configuration Filling Performance</t>
        </is>
      </c>
      <c r="E43" s="6" t="inlineStr">
        <is>
          <t>§4.4.8.1</t>
        </is>
      </c>
      <c r="F43" s="6" t="inlineStr">
        <is>
          <t>Performance / Process / Utilities</t>
        </is>
      </c>
      <c r="G43" s="6" t="n">
        <v>20</v>
      </c>
      <c r="H43" s="6" t="n">
        <v>27.551</v>
      </c>
      <c r="I43" s="6" t="inlineStr">
        <is>
          <t>TBD</t>
        </is>
      </c>
      <c r="J43" s="6" t="n"/>
      <c r="K43" s="6" t="n"/>
      <c r="L43" s="6" t="n"/>
      <c r="M43" s="6" t="inlineStr">
        <is>
          <t>TBD</t>
        </is>
      </c>
      <c r="N43" s="6" t="n"/>
      <c r="O43" s="6" t="n"/>
      <c r="P43" s="6" t="n"/>
      <c r="Q43" s="6" t="n"/>
    </row>
    <row r="44" ht="38.1" customHeight="1">
      <c r="A44" s="6" t="n">
        <v>39</v>
      </c>
      <c r="B44" s="6" t="inlineStr">
        <is>
          <t>T3 Contextual</t>
        </is>
      </c>
      <c r="C44" s="6" t="inlineStr">
        <is>
          <t>OFFER-36</t>
        </is>
      </c>
      <c r="D44" s="6" t="inlineStr">
        <is>
          <t>3D Model Platform &amp; CAD Delivery</t>
        </is>
      </c>
      <c r="E44" s="6" t="inlineStr">
        <is>
          <t>§4.8.1.2</t>
        </is>
      </c>
      <c r="F44" s="6" t="inlineStr">
        <is>
          <t>Configuration / Layout / Support</t>
        </is>
      </c>
      <c r="G44" s="6" t="n">
        <v>18.6667</v>
      </c>
      <c r="H44" s="6" t="n">
        <v>21.4286</v>
      </c>
      <c r="I44" s="6" t="inlineStr">
        <is>
          <t>TBD</t>
        </is>
      </c>
      <c r="J44" s="6" t="n"/>
      <c r="K44" s="6" t="n"/>
      <c r="L44" s="6" t="n"/>
      <c r="M44" s="6" t="inlineStr">
        <is>
          <t>TBD</t>
        </is>
      </c>
      <c r="N44" s="6" t="n"/>
      <c r="O44" s="6" t="n"/>
      <c r="P44" s="6" t="n"/>
      <c r="Q44" s="6" t="n"/>
    </row>
    <row r="45" ht="38.1" customHeight="1">
      <c r="A45" s="6" t="n">
        <v>40</v>
      </c>
      <c r="B45" s="6" t="inlineStr">
        <is>
          <t>T3 Contextual</t>
        </is>
      </c>
      <c r="C45" s="6" t="inlineStr">
        <is>
          <t>OFFER-40</t>
        </is>
      </c>
      <c r="D45" s="6" t="inlineStr">
        <is>
          <t>Electrical Power Measurement Methodology</t>
        </is>
      </c>
      <c r="E45" s="6" t="inlineStr">
        <is>
          <t>§4.13.3.3.7</t>
        </is>
      </c>
      <c r="F45" s="6" t="inlineStr">
        <is>
          <t>Performance / Process / Utilities</t>
        </is>
      </c>
      <c r="G45" s="6" t="n">
        <v>18.6667</v>
      </c>
      <c r="H45" s="6" t="n">
        <v>21.4286</v>
      </c>
      <c r="I45" s="6" t="inlineStr">
        <is>
          <t>TBD</t>
        </is>
      </c>
      <c r="J45" s="6" t="n"/>
      <c r="K45" s="6" t="n"/>
      <c r="L45" s="6" t="n"/>
      <c r="M45" s="6" t="inlineStr">
        <is>
          <t>TBD</t>
        </is>
      </c>
      <c r="N45" s="6" t="n"/>
      <c r="O45" s="6" t="n"/>
      <c r="P45" s="6" t="n"/>
      <c r="Q45" s="6" t="n"/>
    </row>
    <row r="46" ht="38.1" customHeight="1">
      <c r="A46" s="6" t="n">
        <v>41</v>
      </c>
      <c r="B46" s="6" t="inlineStr">
        <is>
          <t>T3 Contextual</t>
        </is>
      </c>
      <c r="C46" s="6" t="inlineStr">
        <is>
          <t>OFFER-31</t>
        </is>
      </c>
      <c r="D46" s="6" t="inlineStr">
        <is>
          <t>Cold Box Environmental Requirements</t>
        </is>
      </c>
      <c r="E46" s="6" t="inlineStr">
        <is>
          <t>§4.7.1</t>
        </is>
      </c>
      <c r="F46" s="6" t="inlineStr">
        <is>
          <t>Configuration / Layout / Support</t>
        </is>
      </c>
      <c r="G46" s="6" t="n">
        <v>17.3333</v>
      </c>
      <c r="H46" s="6" t="n">
        <v>17.3469</v>
      </c>
      <c r="I46" s="6" t="inlineStr">
        <is>
          <t>TBD</t>
        </is>
      </c>
      <c r="J46" s="6" t="n"/>
      <c r="K46" s="6" t="n"/>
      <c r="L46" s="6" t="n"/>
      <c r="M46" s="6" t="inlineStr">
        <is>
          <t>TBD</t>
        </is>
      </c>
      <c r="N46" s="6" t="n"/>
      <c r="O46" s="6" t="n"/>
      <c r="P46" s="6" t="n"/>
      <c r="Q46" s="6" t="n"/>
    </row>
    <row r="47" ht="38.1" customHeight="1">
      <c r="A47" s="6" t="n">
        <v>42</v>
      </c>
      <c r="B47" s="6" t="inlineStr">
        <is>
          <t>T3 Contextual</t>
        </is>
      </c>
      <c r="C47" s="6" t="inlineStr">
        <is>
          <t>OFFER-32</t>
        </is>
      </c>
      <c r="D47" s="6" t="inlineStr">
        <is>
          <t>Equipment Transport &amp; Installation Constraints</t>
        </is>
      </c>
      <c r="E47" s="6" t="inlineStr">
        <is>
          <t>§4.7.2</t>
        </is>
      </c>
      <c r="F47" s="6" t="inlineStr">
        <is>
          <t>Configuration / Layout / Support</t>
        </is>
      </c>
      <c r="G47" s="6" t="n">
        <v>17.3333</v>
      </c>
      <c r="H47" s="6" t="n">
        <v>17.3469</v>
      </c>
      <c r="I47" s="6" t="inlineStr">
        <is>
          <t>TBD</t>
        </is>
      </c>
      <c r="J47" s="6" t="n"/>
      <c r="K47" s="6" t="n"/>
      <c r="L47" s="6" t="n"/>
      <c r="M47" s="6" t="inlineStr">
        <is>
          <t>TBD</t>
        </is>
      </c>
      <c r="N47" s="6" t="n"/>
      <c r="O47" s="6" t="n"/>
      <c r="P47" s="6" t="n"/>
      <c r="Q47" s="6" t="n"/>
    </row>
    <row r="48" ht="38.1" customHeight="1">
      <c r="A48" s="6" t="n">
        <v>43</v>
      </c>
      <c r="B48" s="6" t="inlineStr">
        <is>
          <t>T3 Contextual</t>
        </is>
      </c>
      <c r="C48" s="6" t="inlineStr">
        <is>
          <t>OFFER-25</t>
        </is>
      </c>
      <c r="D48" s="6" t="inlineStr">
        <is>
          <t>Supplier Experience &amp; Reference Justification</t>
        </is>
      </c>
      <c r="E48" s="6" t="inlineStr">
        <is>
          <t>§4.6.4.5</t>
        </is>
      </c>
      <c r="F48" s="6" t="inlineStr">
        <is>
          <t>Controls / Software / Management</t>
        </is>
      </c>
      <c r="G48" s="6" t="n">
        <v>16</v>
      </c>
      <c r="H48" s="6" t="n">
        <v>11.2245</v>
      </c>
      <c r="I48" s="6" t="inlineStr">
        <is>
          <t>TBD</t>
        </is>
      </c>
      <c r="J48" s="6" t="n"/>
      <c r="K48" s="6" t="n"/>
      <c r="L48" s="6" t="n"/>
      <c r="M48" s="6" t="inlineStr">
        <is>
          <t>TBD</t>
        </is>
      </c>
      <c r="N48" s="6" t="n"/>
      <c r="O48" s="6" t="n"/>
      <c r="P48" s="6" t="n"/>
      <c r="Q48" s="6" t="n"/>
    </row>
    <row r="49" ht="38.1" customHeight="1">
      <c r="A49" s="6" t="n">
        <v>44</v>
      </c>
      <c r="B49" s="6" t="inlineStr">
        <is>
          <t>T3 Contextual</t>
        </is>
      </c>
      <c r="C49" s="6" t="inlineStr">
        <is>
          <t>OFFER-26</t>
        </is>
      </c>
      <c r="D49" s="6" t="inlineStr">
        <is>
          <t>Software Architecture &amp; Development Scope</t>
        </is>
      </c>
      <c r="E49" s="6" t="inlineStr">
        <is>
          <t>§4.6.7</t>
        </is>
      </c>
      <c r="F49" s="6" t="inlineStr">
        <is>
          <t>Controls / Software / Management</t>
        </is>
      </c>
      <c r="G49" s="6" t="n">
        <v>16</v>
      </c>
      <c r="H49" s="6" t="n">
        <v>11.2245</v>
      </c>
      <c r="I49" s="6" t="inlineStr">
        <is>
          <t>TBD</t>
        </is>
      </c>
      <c r="J49" s="6" t="n"/>
      <c r="K49" s="6" t="n"/>
      <c r="L49" s="6" t="n"/>
      <c r="M49" s="6" t="inlineStr">
        <is>
          <t>TBD</t>
        </is>
      </c>
      <c r="N49" s="6" t="n"/>
      <c r="O49" s="6" t="n"/>
      <c r="P49" s="6" t="n"/>
      <c r="Q49" s="6" t="n"/>
    </row>
    <row r="50" ht="38.1" customHeight="1">
      <c r="A50" s="6" t="n">
        <v>45</v>
      </c>
      <c r="B50" s="6" t="inlineStr">
        <is>
          <t>T3 Contextual</t>
        </is>
      </c>
      <c r="C50" s="6" t="inlineStr">
        <is>
          <t>OFFER-28</t>
        </is>
      </c>
      <c r="D50" s="6" t="inlineStr">
        <is>
          <t>Functional Analysis &amp; Control Sequences</t>
        </is>
      </c>
      <c r="E50" s="6" t="inlineStr">
        <is>
          <t>§4.6.7</t>
        </is>
      </c>
      <c r="F50" s="6" t="inlineStr">
        <is>
          <t>Controls / Software / Management</t>
        </is>
      </c>
      <c r="G50" s="6" t="n">
        <v>16</v>
      </c>
      <c r="H50" s="6" t="n">
        <v>11.2245</v>
      </c>
      <c r="I50" s="6" t="inlineStr">
        <is>
          <t>TBD</t>
        </is>
      </c>
      <c r="J50" s="6" t="n"/>
      <c r="K50" s="6" t="n"/>
      <c r="L50" s="6" t="n"/>
      <c r="M50" s="6" t="inlineStr">
        <is>
          <t>TBD</t>
        </is>
      </c>
      <c r="N50" s="6" t="n"/>
      <c r="O50" s="6" t="n"/>
      <c r="P50" s="6" t="n"/>
      <c r="Q50" s="6" t="n"/>
    </row>
    <row r="51" ht="38.1" customHeight="1">
      <c r="A51" s="6" t="n">
        <v>46</v>
      </c>
      <c r="B51" s="6" t="inlineStr">
        <is>
          <t>T3 Contextual</t>
        </is>
      </c>
      <c r="C51" s="6" t="inlineStr">
        <is>
          <t>OFFER-30</t>
        </is>
      </c>
      <c r="D51" s="6" t="inlineStr">
        <is>
          <t>Software Change Management Process</t>
        </is>
      </c>
      <c r="E51" s="6" t="inlineStr">
        <is>
          <t>§4.6.9</t>
        </is>
      </c>
      <c r="F51" s="6" t="inlineStr">
        <is>
          <t>Controls / Software / Management</t>
        </is>
      </c>
      <c r="G51" s="6" t="n">
        <v>16</v>
      </c>
      <c r="H51" s="6" t="n">
        <v>11.2245</v>
      </c>
      <c r="I51" s="6" t="inlineStr">
        <is>
          <t>TBD</t>
        </is>
      </c>
      <c r="J51" s="6" t="n"/>
      <c r="K51" s="6" t="n"/>
      <c r="L51" s="6" t="n"/>
      <c r="M51" s="6" t="inlineStr">
        <is>
          <t>TBD</t>
        </is>
      </c>
      <c r="N51" s="6" t="n"/>
      <c r="O51" s="6" t="n"/>
      <c r="P51" s="6" t="n"/>
      <c r="Q51" s="6" t="n"/>
    </row>
    <row r="52" ht="38.1" customHeight="1">
      <c r="A52" s="6" t="n">
        <v>47</v>
      </c>
      <c r="B52" s="6" t="inlineStr">
        <is>
          <t>T3 Contextual</t>
        </is>
      </c>
      <c r="C52" s="6" t="inlineStr">
        <is>
          <t>OFFER-38</t>
        </is>
      </c>
      <c r="D52" s="6" t="inlineStr">
        <is>
          <t>Training Program &amp; Competency Definition</t>
        </is>
      </c>
      <c r="E52" s="6" t="inlineStr">
        <is>
          <t>§4.12.1</t>
        </is>
      </c>
      <c r="F52" s="6" t="inlineStr">
        <is>
          <t>Configuration / Layout / Support</t>
        </is>
      </c>
      <c r="G52" s="6" t="n">
        <v>14.3333</v>
      </c>
      <c r="H52" s="6" t="n">
        <v>6.1224</v>
      </c>
      <c r="I52" s="6" t="inlineStr">
        <is>
          <t>TBD</t>
        </is>
      </c>
      <c r="J52" s="6" t="n"/>
      <c r="K52" s="6" t="n"/>
      <c r="L52" s="6" t="n"/>
      <c r="M52" s="6" t="inlineStr">
        <is>
          <t>TBD</t>
        </is>
      </c>
      <c r="N52" s="6" t="n"/>
      <c r="O52" s="6" t="n"/>
      <c r="P52" s="6" t="n"/>
      <c r="Q52" s="6" t="n"/>
    </row>
    <row r="53" ht="38.1" customHeight="1">
      <c r="A53" s="6" t="n">
        <v>48</v>
      </c>
      <c r="B53" s="6" t="inlineStr">
        <is>
          <t>T3 Contextual</t>
        </is>
      </c>
      <c r="C53" s="6" t="inlineStr">
        <is>
          <t>OFFER-46</t>
        </is>
      </c>
      <c r="D53" s="6" t="inlineStr">
        <is>
          <t>Risk Assessment &amp; Mitigation Strategy</t>
        </is>
      </c>
      <c r="E53" s="6" t="inlineStr">
        <is>
          <t>§7.5</t>
        </is>
      </c>
      <c r="F53" s="6" t="inlineStr">
        <is>
          <t>Reliability / RAM / Service</t>
        </is>
      </c>
      <c r="G53" s="6" t="n">
        <v>12</v>
      </c>
      <c r="H53" s="6" t="n">
        <v>4.0816</v>
      </c>
      <c r="I53" s="6" t="inlineStr">
        <is>
          <t>TBD</t>
        </is>
      </c>
      <c r="J53" s="6" t="n"/>
      <c r="K53" s="6" t="n"/>
      <c r="L53" s="6" t="n"/>
      <c r="M53" s="6" t="inlineStr">
        <is>
          <t>TBD</t>
        </is>
      </c>
      <c r="N53" s="6" t="n"/>
      <c r="O53" s="6" t="n"/>
      <c r="P53" s="6" t="n"/>
      <c r="Q53" s="6" t="n"/>
    </row>
    <row r="54" ht="38.1" customHeight="1">
      <c r="A54" s="6" t="n">
        <v>49</v>
      </c>
      <c r="B54" s="6" t="inlineStr">
        <is>
          <t>T3 Contextual</t>
        </is>
      </c>
      <c r="C54" s="6" t="inlineStr">
        <is>
          <t>OFFER-13</t>
        </is>
      </c>
      <c r="D54" s="6" t="inlineStr">
        <is>
          <t>Main Equipment Technical Specifications</t>
        </is>
      </c>
      <c r="E54" s="6" t="inlineStr">
        <is>
          <t>§4.4</t>
        </is>
      </c>
      <c r="F54" s="6" t="inlineStr">
        <is>
          <t>Performance / Process / Utilities</t>
        </is>
      </c>
      <c r="G54" s="6" t="n">
        <v>10.6667</v>
      </c>
      <c r="H54" s="6" t="n">
        <v>2.0408</v>
      </c>
      <c r="I54" s="6" t="inlineStr">
        <is>
          <t>TBD</t>
        </is>
      </c>
      <c r="J54" s="6" t="n"/>
      <c r="K54" s="6" t="n"/>
      <c r="L54" s="6" t="n"/>
      <c r="M54" s="6" t="inlineStr">
        <is>
          <t>TBD</t>
        </is>
      </c>
      <c r="N54" s="6" t="n"/>
      <c r="O54" s="6" t="n"/>
      <c r="P54" s="6" t="n"/>
      <c r="Q54" s="6" t="n"/>
    </row>
    <row r="55" ht="38.1" customHeight="1">
      <c r="A55" s="6" t="n">
        <v>50</v>
      </c>
      <c r="B55" s="6" t="inlineStr">
        <is>
          <t>T3 Contextual</t>
        </is>
      </c>
      <c r="C55" s="6" t="inlineStr">
        <is>
          <t>OFFER-44</t>
        </is>
      </c>
      <c r="D55" s="6" t="inlineStr">
        <is>
          <t>Project Schedule &amp; Milestone Definition</t>
        </is>
      </c>
      <c r="E55" s="6" t="inlineStr">
        <is>
          <t>§6.2</t>
        </is>
      </c>
      <c r="F55" s="6" t="inlineStr">
        <is>
          <t>Configuration / Layout / Support</t>
        </is>
      </c>
      <c r="G55" s="6" t="n">
        <v>6.3333</v>
      </c>
      <c r="H55" s="6" t="n">
        <v>0</v>
      </c>
      <c r="I55" s="6" t="inlineStr">
        <is>
          <t>TBD</t>
        </is>
      </c>
      <c r="J55" s="6" t="n"/>
      <c r="K55" s="6" t="n"/>
      <c r="L55" s="6" t="n"/>
      <c r="M55" s="6" t="inlineStr">
        <is>
          <t>TBD</t>
        </is>
      </c>
      <c r="N55" s="6" t="n"/>
      <c r="O55" s="6" t="n"/>
      <c r="P55" s="6" t="n"/>
      <c r="Q55" s="6" t="n"/>
    </row>
  </sheetData>
  <mergeCells count="2">
    <mergeCell ref="A2:R2"/>
    <mergeCell ref="A1:R1"/>
  </mergeCells>
  <conditionalFormatting sqref="B6:B55">
    <cfRule type="expression" priority="1" dxfId="11">
      <formula>B6="T0 Gate"</formula>
    </cfRule>
    <cfRule type="expression" priority="2" dxfId="10">
      <formula>B6="T1 Primary"</formula>
    </cfRule>
    <cfRule type="expression" priority="3" dxfId="9">
      <formula>B6="T2 Secondary"</formula>
    </cfRule>
    <cfRule type="expression" priority="4" dxfId="8">
      <formula>B6="T3 Contextual"</formula>
    </cfRule>
  </conditionalFormatting>
  <conditionalFormatting sqref="I6:I55">
    <cfRule type="expression" priority="5" dxfId="7">
      <formula>I6="OK"</formula>
    </cfRule>
    <cfRule type="expression" priority="6" dxfId="6">
      <formula>I6="OK/Minor"</formula>
    </cfRule>
    <cfRule type="expression" priority="7" dxfId="5">
      <formula>I6="NOK"</formula>
    </cfRule>
    <cfRule type="expression" priority="8" dxfId="4">
      <formula>I6="MISS"</formula>
    </cfRule>
    <cfRule type="expression" priority="9" dxfId="3">
      <formula>I6="Minor disc."</formula>
    </cfRule>
    <cfRule type="expression" priority="10" dxfId="2">
      <formula>I6="Major disc."</formula>
    </cfRule>
    <cfRule type="expression" priority="11" dxfId="1">
      <formula>I6="ERROR"</formula>
    </cfRule>
    <cfRule type="expression" priority="12" dxfId="0">
      <formula>I6="TBD"</formula>
    </cfRule>
  </conditionalFormatting>
  <conditionalFormatting sqref="J6:J55">
    <cfRule type="colorScale" priority="21">
      <colorScale>
        <cfvo type="min"/>
        <cfvo type="percentile" val="50"/>
        <cfvo type="max"/>
        <color rgb="FFFEE2E2"/>
        <color rgb="FFFEF3C7"/>
        <color rgb="FFDCFCE7"/>
      </colorScale>
    </cfRule>
  </conditionalFormatting>
  <conditionalFormatting sqref="L6:L55">
    <cfRule type="expression" priority="23" dxfId="9">
      <formula>L6&lt;&gt;""</formula>
    </cfRule>
  </conditionalFormatting>
  <conditionalFormatting sqref="M6:M55">
    <cfRule type="expression" priority="13" dxfId="7">
      <formula>M6="OK"</formula>
    </cfRule>
    <cfRule type="expression" priority="14" dxfId="6">
      <formula>M6="OK/Minor"</formula>
    </cfRule>
    <cfRule type="expression" priority="15" dxfId="5">
      <formula>M6="NOK"</formula>
    </cfRule>
    <cfRule type="expression" priority="16" dxfId="4">
      <formula>M6="MISS"</formula>
    </cfRule>
    <cfRule type="expression" priority="17" dxfId="3">
      <formula>M6="Minor disc."</formula>
    </cfRule>
    <cfRule type="expression" priority="18" dxfId="2">
      <formula>M6="Major disc."</formula>
    </cfRule>
    <cfRule type="expression" priority="19" dxfId="1">
      <formula>M6="ERROR"</formula>
    </cfRule>
    <cfRule type="expression" priority="20" dxfId="0">
      <formula>M6="TBD"</formula>
    </cfRule>
  </conditionalFormatting>
  <conditionalFormatting sqref="N6:N55">
    <cfRule type="colorScale" priority="22">
      <colorScale>
        <cfvo type="min"/>
        <cfvo type="percentile" val="50"/>
        <cfvo type="max"/>
        <color rgb="FFFEE2E2"/>
        <color rgb="FFFEF3C7"/>
        <color rgb="FFDCFCE7"/>
      </colorScale>
    </cfRule>
  </conditionalFormatting>
  <conditionalFormatting sqref="P6:P55">
    <cfRule type="expression" priority="24" dxfId="9">
      <formula>P6&lt;&gt;""</formula>
    </cfRule>
  </conditionalFormatting>
  <dataValidations count="3">
    <dataValidation sqref="I6:I55 M6:M55" showDropDown="0" showInputMessage="0" showErrorMessage="0" allowBlank="0" type="list">
      <formula1>"OK,OK/Minor,NOK,MISS,Minor disc.,Major disc.,ERROR,TBD"</formula1>
    </dataValidation>
    <dataValidation sqref="J6:J55 N6:N55" showDropDown="0" showInputMessage="0" showErrorMessage="0" allowBlank="0" type="list">
      <formula1>"0.4,0.7,1"</formula1>
    </dataValidation>
    <dataValidation sqref="L6:L55 P6:P55" showDropDown="0" showInputMessage="0" showErrorMessage="0" allowBlank="0" type="list">
      <formula1>"Negotiation item,RFI - info missing,Not available,Clarification only"</formula1>
    </dataValidation>
  </dataValidations>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tabColor rgb="001F4E78"/>
    <outlinePr summaryBelow="1" summaryRight="1"/>
    <pageSetUpPr/>
  </sheetPr>
  <dimension ref="A1:H39"/>
  <sheetViews>
    <sheetView topLeftCell="A1" zoomScale="100" zoomScaleNormal="100" workbookViewId="0">
      <selection activeCell="A1" sqref="A1"/>
    </sheetView>
  </sheetViews>
  <sheetFormatPr baseColWidth="8" defaultRowHeight="14.25"/>
  <cols>
    <col width="28" customWidth="1" min="1" max="1"/>
    <col width="56" customWidth="1" min="2" max="2"/>
    <col width="42" customWidth="1" min="3" max="3"/>
    <col width="28" customWidth="1" min="4" max="4"/>
    <col width="20" customWidth="1" min="5" max="5"/>
    <col width="13" customWidth="1" min="6" max="6"/>
  </cols>
  <sheetData>
    <row r="1" ht="32.1" customHeight="1">
      <c r="A1" s="28" t="inlineStr">
        <is>
          <t>Workbook navigation map</t>
        </is>
      </c>
    </row>
    <row r="2" ht="33.95" customHeight="1">
      <c r="A2" s="29" t="inlineStr">
        <is>
          <t>One-page index: sheet purpose, primary user action, and navigation links.</t>
        </is>
      </c>
    </row>
    <row r="3" ht="21.95" customHeight="1">
      <c r="A3" s="186">
        <f>HYPERLINK("#START_HERE!A1","Start")</f>
        <v/>
      </c>
      <c r="B3" s="186">
        <f>HYPERLINK("#DASHBOARD!A1","Dashboard")</f>
        <v/>
      </c>
      <c r="C3" s="186">
        <f>HYPERLINK("#EVALUATION_WORKSPACE!A1","Workspace")</f>
        <v/>
      </c>
      <c r="D3" s="186">
        <f>HYPERLINK("#NEGOTIATION_AGENDA!A1","Agenda")</f>
        <v/>
      </c>
      <c r="E3" s="186">
        <f>HYPERLINK("#QUALITY_CHECKS!A1","Quality")</f>
        <v/>
      </c>
      <c r="F3" s="186">
        <f>HYPERLINK("#DMAIC_AUDIT!A1","DMAIC")</f>
        <v/>
      </c>
      <c r="G3" s="24" t="n"/>
      <c r="H3" s="24" t="n"/>
    </row>
    <row r="5" ht="33.95" customHeight="1">
      <c r="A5" s="25" t="inlineStr">
        <is>
          <t>Sheet</t>
        </is>
      </c>
      <c r="B5" s="25" t="inlineStr">
        <is>
          <t>Purpose</t>
        </is>
      </c>
      <c r="C5" s="25" t="inlineStr">
        <is>
          <t>Primary user action</t>
        </is>
      </c>
      <c r="D5" s="25" t="inlineStr">
        <is>
          <t>Owner / reviewer role</t>
        </is>
      </c>
      <c r="E5" s="93" t="inlineStr">
        <is>
          <t>Group (tab colour)</t>
        </is>
      </c>
    </row>
    <row r="6" ht="42" customHeight="1">
      <c r="A6" s="6">
        <f>HYPERLINK("#START_HERE!A1","START_HERE")</f>
        <v/>
      </c>
      <c r="B6" s="6" t="inlineStr">
        <is>
          <t>Executive navigation and interpretation</t>
        </is>
      </c>
      <c r="C6" s="6" t="inlineStr">
        <is>
          <t>Read first; do not edit</t>
        </is>
      </c>
      <c r="D6" s="6" t="inlineStr">
        <is>
          <t>All users</t>
        </is>
      </c>
      <c r="E6" s="127" t="inlineStr">
        <is>
          <t>Navigate</t>
        </is>
      </c>
    </row>
    <row r="7" ht="42" customHeight="1">
      <c r="A7" s="6">
        <f>HYPERLINK("#DASHBOARD!A1","DASHBOARD")</f>
        <v/>
      </c>
      <c r="B7" s="6" t="inlineStr">
        <is>
          <t>Embedded charts and KPI overview</t>
        </is>
      </c>
      <c r="C7" s="6" t="inlineStr">
        <is>
          <t>Use for meetings</t>
        </is>
      </c>
      <c r="D7" s="6" t="inlineStr">
        <is>
          <t>Lead evaluator</t>
        </is>
      </c>
      <c r="E7" s="128" t="inlineStr">
        <is>
          <t>Overview</t>
        </is>
      </c>
    </row>
    <row r="8" ht="42" customHeight="1">
      <c r="A8" s="6">
        <f>HYPERLINK("#EVALUATION_WORKSPACE!A1","EVALUATION_WORKSPACE")</f>
        <v/>
      </c>
      <c r="B8" s="6" t="inlineStr">
        <is>
          <t>Main per-bidder review workspace</t>
        </is>
      </c>
      <c r="C8" s="6" t="inlineStr">
        <is>
          <t>Edit STATUS/depth/source/flags/comments</t>
        </is>
      </c>
      <c r="D8" s="6" t="inlineStr">
        <is>
          <t>Technical reviewers</t>
        </is>
      </c>
      <c r="E8" s="129" t="inlineStr">
        <is>
          <t>Live review / input</t>
        </is>
      </c>
    </row>
    <row r="9" ht="42" customHeight="1">
      <c r="A9" s="6">
        <f>HYPERLINK("#NEGOTIATION_AGENDA!A1","NEGOTIATION_AGENDA")</f>
        <v/>
      </c>
      <c r="B9" s="6" t="inlineStr">
        <is>
          <t>A/B mirror for RFI and negotiation topics</t>
        </is>
      </c>
      <c r="C9" s="6" t="inlineStr">
        <is>
          <t>Filter and export topics</t>
        </is>
      </c>
      <c r="D9" s="6" t="inlineStr">
        <is>
          <t>Lead evaluator / contracts</t>
        </is>
      </c>
      <c r="E9" s="129" t="inlineStr">
        <is>
          <t>Live review / input</t>
        </is>
      </c>
    </row>
    <row r="10" ht="42" customHeight="1">
      <c r="A10" s="6">
        <f>HYPERLINK("#OFFER_RANKING!A1","OFFER_RANKING")</f>
        <v/>
      </c>
      <c r="B10" s="6" t="inlineStr">
        <is>
          <t>Static/cold BT ranking and evidence fields</t>
        </is>
      </c>
      <c r="C10" s="6" t="inlineStr">
        <is>
          <t>Audit and filter ranking</t>
        </is>
      </c>
      <c r="D10" s="6" t="inlineStr">
        <is>
          <t>Method owner</t>
        </is>
      </c>
      <c r="E10" s="130" t="inlineStr">
        <is>
          <t>Rankings &amp; trace</t>
        </is>
      </c>
    </row>
    <row r="11" ht="42" customHeight="1">
      <c r="A11" s="6">
        <f>HYPERLINK("#OFFER_CANONICAL!A1","OFFER_CANONICAL")</f>
        <v/>
      </c>
      <c r="B11" s="6" t="inlineStr">
        <is>
          <t>Canonical OFFER text and RTM anchors</t>
        </is>
      </c>
      <c r="C11" s="6" t="inlineStr">
        <is>
          <t>Reference only</t>
        </is>
      </c>
      <c r="D11" s="6" t="inlineStr">
        <is>
          <t>All reviewers</t>
        </is>
      </c>
      <c r="E11" s="131" t="inlineStr">
        <is>
          <t>Reference/canonical</t>
        </is>
      </c>
    </row>
    <row r="12" ht="42" customHeight="1">
      <c r="A12" s="6">
        <f>HYPERLINK("#RTM_CROSSWALK!A1","RTM_CROSSWALK")</f>
        <v/>
      </c>
      <c r="B12" s="6" t="inlineStr">
        <is>
          <t>OFFER↔RTM relationships</t>
        </is>
      </c>
      <c r="C12" s="6" t="inlineStr">
        <is>
          <t>Trace evidence coverage</t>
        </is>
      </c>
      <c r="D12" s="6" t="inlineStr">
        <is>
          <t>Traceability owner</t>
        </is>
      </c>
      <c r="E12" s="130" t="inlineStr">
        <is>
          <t>Rankings &amp; trace</t>
        </is>
      </c>
    </row>
    <row r="13" ht="42" customHeight="1">
      <c r="A13" s="6">
        <f>HYPERLINK("#COMPLIANCE_LEGEND!A1","COMPLIANCE_LEGEND")</f>
        <v/>
      </c>
      <c r="B13" s="6" t="inlineStr">
        <is>
          <t>Status definitions and colours</t>
        </is>
      </c>
      <c r="C13" s="6" t="inlineStr">
        <is>
          <t>Interpret dropdowns</t>
        </is>
      </c>
      <c r="D13" s="6" t="inlineStr">
        <is>
          <t>All reviewers</t>
        </is>
      </c>
      <c r="E13" s="131" t="inlineStr">
        <is>
          <t>Reference/canonical</t>
        </is>
      </c>
    </row>
    <row r="14" ht="42" customHeight="1">
      <c r="A14" s="6">
        <f>HYPERLINK("#WEIGHTS_METHOD!A1","WEIGHTS_METHOD")</f>
        <v/>
      </c>
      <c r="B14" s="6" t="inlineStr">
        <is>
          <t>Frozen weights and equations</t>
        </is>
      </c>
      <c r="C14" s="6" t="inlineStr">
        <is>
          <t>Method control</t>
        </is>
      </c>
      <c r="D14" s="6" t="inlineStr">
        <is>
          <t>Method owner</t>
        </is>
      </c>
      <c r="E14" s="131" t="inlineStr">
        <is>
          <t>Reference/canonical</t>
        </is>
      </c>
    </row>
    <row r="15" ht="42" customHeight="1">
      <c r="A15" s="6">
        <f>HYPERLINK("#STANDARDS!A1","STANDARDS")</f>
        <v/>
      </c>
      <c r="B15" s="6" t="inlineStr">
        <is>
          <t>Codes/standards register</t>
        </is>
      </c>
      <c r="C15" s="6" t="inlineStr">
        <is>
          <t>Filter standard impacts</t>
        </is>
      </c>
      <c r="D15" s="6" t="inlineStr">
        <is>
          <t>Discipline leads</t>
        </is>
      </c>
      <c r="E15" s="131" t="inlineStr">
        <is>
          <t>Reference/canonical</t>
        </is>
      </c>
    </row>
    <row r="16" ht="42" customHeight="1">
      <c r="A16" s="6">
        <f>HYPERLINK("#DELIVERABLES!A1","DELIVERABLES")</f>
        <v/>
      </c>
      <c r="B16" s="6" t="inlineStr">
        <is>
          <t>Proof and phase register</t>
        </is>
      </c>
      <c r="C16" s="6" t="inlineStr">
        <is>
          <t>Verification planning</t>
        </is>
      </c>
      <c r="D16" s="6" t="inlineStr">
        <is>
          <t>QA/engineering</t>
        </is>
      </c>
      <c r="E16" s="131" t="inlineStr">
        <is>
          <t>Reference/canonical</t>
        </is>
      </c>
    </row>
    <row r="17" ht="42" customHeight="1">
      <c r="A17" s="6">
        <f>HYPERLINK("#QUALITY_CHECKS!A1","QUALITY_CHECKS")</f>
        <v/>
      </c>
      <c r="B17" s="6" t="inlineStr">
        <is>
          <t>Workbook health and readiness</t>
        </is>
      </c>
      <c r="C17" s="6" t="inlineStr">
        <is>
          <t>Run before sharing</t>
        </is>
      </c>
      <c r="D17" s="6" t="inlineStr">
        <is>
          <t>Lead evaluator</t>
        </is>
      </c>
      <c r="E17" s="132" t="inlineStr">
        <is>
          <t>Governance / QC</t>
        </is>
      </c>
    </row>
    <row r="18" ht="42" customHeight="1">
      <c r="A18" s="6">
        <f>HYPERLINK("#DMAIC_AUDIT!A1","DMAIC_AUDIT")</f>
        <v/>
      </c>
      <c r="B18" s="6" t="inlineStr">
        <is>
          <t>Change log and controls</t>
        </is>
      </c>
      <c r="C18" s="6" t="inlineStr">
        <is>
          <t>Governance</t>
        </is>
      </c>
      <c r="D18" s="6" t="inlineStr">
        <is>
          <t>Method owner</t>
        </is>
      </c>
      <c r="E18" s="132" t="inlineStr">
        <is>
          <t>Governance / QC</t>
        </is>
      </c>
    </row>
    <row r="19" ht="42" customHeight="1">
      <c r="A19" s="6">
        <f>HYPERLINK("#CODING_HANDOVER!A1","CODING_HANDOVER")</f>
        <v/>
      </c>
      <c r="B19" s="6" t="inlineStr">
        <is>
          <t>Rebuild and automation instructions</t>
        </is>
      </c>
      <c r="C19" s="6" t="inlineStr">
        <is>
          <t>Copy to coding agent</t>
        </is>
      </c>
      <c r="D19" s="6" t="inlineStr">
        <is>
          <t>Automation owner</t>
        </is>
      </c>
      <c r="E19" s="132" t="inlineStr">
        <is>
          <t>Governance / QC</t>
        </is>
      </c>
    </row>
    <row r="20">
      <c r="A20" s="43">
        <f>HYPERLINK("#RTM_RANKING!A1","RTM_RANKING")</f>
        <v/>
      </c>
      <c r="B20" s="43" t="inlineStr">
        <is>
          <t>RTM-only static importance (722 reqs, no OFFER data)</t>
        </is>
      </c>
      <c r="C20" s="43" t="inlineStr">
        <is>
          <t>Audit and cross-check vs. OFFER_RANKING</t>
        </is>
      </c>
      <c r="D20" s="43" t="inlineStr">
        <is>
          <t>Method owner</t>
        </is>
      </c>
      <c r="E20" s="130" t="inlineStr">
        <is>
          <t>Rankings &amp; trace</t>
        </is>
      </c>
    </row>
    <row r="21">
      <c r="A21" s="43">
        <f>HYPERLINK("#DOMAIN_SUMMARY!A1","DOMAIN_SUMMARY")</f>
        <v/>
      </c>
      <c r="B21" s="43" t="inlineStr">
        <is>
          <t>RTM counts/tiers/average importance by contract domain</t>
        </is>
      </c>
      <c r="C21" s="43" t="inlineStr">
        <is>
          <t>Review-staffing allocation</t>
        </is>
      </c>
      <c r="D21" s="43" t="inlineStr">
        <is>
          <t>Lead evaluator</t>
        </is>
      </c>
      <c r="E21" s="130" t="inlineStr">
        <is>
          <t>Rankings &amp; trace</t>
        </is>
      </c>
    </row>
    <row r="22">
      <c r="A22" s="43">
        <f>HYPERLINK("#RTM_REVIEW_QUEUE!A1","RTM_REVIEW_QUEUE")</f>
        <v/>
      </c>
      <c r="B22" s="43" t="inlineStr">
        <is>
          <t>Priority subset: all T0/T1 RTMs + deliverable-heavy reqs</t>
        </is>
      </c>
      <c r="C22" s="43" t="inlineStr">
        <is>
          <t>Filter for focused review</t>
        </is>
      </c>
      <c r="D22" s="43" t="inlineStr">
        <is>
          <t>Technical reviewers</t>
        </is>
      </c>
      <c r="E22" s="130" t="inlineStr">
        <is>
          <t>Rankings &amp; trace</t>
        </is>
      </c>
    </row>
    <row r="23">
      <c r="A23" s="78">
        <f>HYPERLINK("#RTM_LOOKUP!A1","RTM_LOOKUP")</f>
        <v/>
      </c>
      <c r="B23" s="78" t="inlineStr">
        <is>
          <t>Single-RTM detail view across all 722 canonical requirements</t>
        </is>
      </c>
      <c r="C23" s="78" t="inlineStr">
        <is>
          <t>Look up one RTM during review or negotiation</t>
        </is>
      </c>
      <c r="D23" s="78" t="inlineStr">
        <is>
          <t>All reviewers</t>
        </is>
      </c>
      <c r="E23" s="130" t="inlineStr">
        <is>
          <t>Rankings &amp; trace</t>
        </is>
      </c>
    </row>
    <row r="24">
      <c r="A24" s="78">
        <f>HYPERLINK("#DASHBOARD_2!A1","DASHBOARD_2")</f>
        <v/>
      </c>
      <c r="B24" s="78" t="inlineStr">
        <is>
          <t>Live filtered counts by Domain / Cluster</t>
        </is>
      </c>
      <c r="C24" s="78" t="inlineStr">
        <is>
          <t>Scope review workload before diving into rows</t>
        </is>
      </c>
      <c r="D24" s="78" t="inlineStr">
        <is>
          <t>Lead evaluator</t>
        </is>
      </c>
      <c r="E24" s="128" t="inlineStr">
        <is>
          <t>Overview</t>
        </is>
      </c>
    </row>
    <row r="25">
      <c r="A25" s="78">
        <f>HYPERLINK("#CLUSTERS!A1","CLUSTERS")</f>
        <v/>
      </c>
      <c r="B25" s="78" t="inlineStr">
        <is>
          <t>C1-C8 thematic grouping of the 50 OFFER items (filter aid, not a ranking)</t>
        </is>
      </c>
      <c r="C25" s="78" t="inlineStr">
        <is>
          <t>Cross-reference with Domain/Cluster filters</t>
        </is>
      </c>
      <c r="D25" s="78" t="inlineStr">
        <is>
          <t>All reviewers</t>
        </is>
      </c>
      <c r="E25" s="130" t="inlineStr">
        <is>
          <t>Rankings &amp; trace</t>
        </is>
      </c>
    </row>
    <row r="26">
      <c r="A26" s="78">
        <f>HYPERLINK("#TAXONOMY!A1","TAXONOMY")</f>
        <v/>
      </c>
      <c r="B26" s="78" t="inlineStr">
        <is>
          <t>Requirement Type, lifecycle supergroup, and disposition-vocabulary definitions</t>
        </is>
      </c>
      <c r="C26" s="78" t="inlineStr">
        <is>
          <t>Read before using Type/Category/Disposition columns</t>
        </is>
      </c>
      <c r="D26" s="78" t="inlineStr">
        <is>
          <t>All reviewers</t>
        </is>
      </c>
      <c r="E26" s="131" t="inlineStr">
        <is>
          <t>Reference/canonical</t>
        </is>
      </c>
    </row>
    <row r="27">
      <c r="A27">
        <f>HYPERLINK("#AUDIT_NOTES!A1","AUDIT_NOTES")</f>
        <v/>
      </c>
      <c r="B27" t="inlineStr">
        <is>
          <t>Standalone review-note log (predates DMAIC_AUDIT)</t>
        </is>
      </c>
      <c r="C27" t="inlineStr">
        <is>
          <t>Reference only</t>
        </is>
      </c>
      <c r="D27" t="inlineStr">
        <is>
          <t>Lead evaluator</t>
        </is>
      </c>
      <c r="E27" s="132" t="inlineStr">
        <is>
          <t>Governance / QC</t>
        </is>
      </c>
    </row>
    <row r="28">
      <c r="A28">
        <f>HYPERLINK("#EVALUATION_INPUT!A1","EVALUATION_INPUT")</f>
        <v/>
      </c>
      <c r="B28" t="inlineStr">
        <is>
          <t>Previous interaction sheet, retained for traceability</t>
        </is>
      </c>
      <c r="C28" t="inlineStr">
        <is>
          <t>Reference only -- use EVALUATION_WORKSPACE instead</t>
        </is>
      </c>
      <c r="D28" t="inlineStr">
        <is>
          <t>All reviewers</t>
        </is>
      </c>
      <c r="E28" s="129" t="inlineStr">
        <is>
          <t>Live review / input</t>
        </is>
      </c>
    </row>
    <row r="31">
      <c r="A31" s="55" t="inlineStr">
        <is>
          <t>Tab-colour legend</t>
        </is>
      </c>
    </row>
    <row r="32">
      <c r="A32" s="133" t="inlineStr">
        <is>
          <t xml:space="preserve">  </t>
        </is>
      </c>
      <c r="B32" s="134" t="inlineStr">
        <is>
          <t>Navigate  —  START_HERE, NAVIGATION_MAP, LISTS</t>
        </is>
      </c>
    </row>
    <row r="33">
      <c r="A33" s="135" t="inlineStr">
        <is>
          <t xml:space="preserve">  </t>
        </is>
      </c>
      <c r="B33" s="134" t="inlineStr">
        <is>
          <t>Overview  —  DASHBOARD, DASHBOARD_2</t>
        </is>
      </c>
    </row>
    <row r="34">
      <c r="A34" s="136" t="inlineStr">
        <is>
          <t xml:space="preserve">  </t>
        </is>
      </c>
      <c r="B34" s="134" t="inlineStr">
        <is>
          <t>Live review / input  —  EVALUATION_WORKSPACE, EVALUATION_INPUT, NEGOTIATION_AGENDA</t>
        </is>
      </c>
    </row>
    <row r="35">
      <c r="A35" s="137" t="inlineStr">
        <is>
          <t xml:space="preserve">  </t>
        </is>
      </c>
      <c r="B35" s="134" t="inlineStr">
        <is>
          <t>Rankings &amp; trace  —  OFFER_RANKING, RTM_RANKING, RTM_CROSSWALK, RTM_REVIEW_QUEUE, RTM_LOOKUP, DOMAIN_SUMMARY, CLUSTERS</t>
        </is>
      </c>
    </row>
    <row r="36">
      <c r="A36" s="138" t="inlineStr">
        <is>
          <t xml:space="preserve">  </t>
        </is>
      </c>
      <c r="B36" s="134" t="inlineStr">
        <is>
          <t>Reference/canonical  —  OFFER_CANONICAL, STANDARDS, DELIVERABLES, TAXONOMY, COMPLIANCE_LEGEND, WEIGHTS_METHOD</t>
        </is>
      </c>
    </row>
    <row r="37">
      <c r="A37" s="139" t="inlineStr">
        <is>
          <t xml:space="preserve">  </t>
        </is>
      </c>
      <c r="B37" s="134" t="inlineStr">
        <is>
          <t>Governance / QC  —  QUALITY_CHECKS, AUDIT_NOTES, DMAIC_AUDIT, CODING_HANDOVER</t>
        </is>
      </c>
    </row>
    <row r="39" ht="45" customHeight="1">
      <c r="A39" s="56" t="inlineStr">
        <is>
          <t>Match this colour against the sheet tabs at the bottom of the Excel window to jump straight to the right group without reading every tab name -- e.g. all teal tabs are ranking/trace-data sheets, all blue tabs are reference/canonical source data that you read but don't edit.</t>
        </is>
      </c>
    </row>
  </sheetData>
  <mergeCells count="3">
    <mergeCell ref="A39:E39"/>
    <mergeCell ref="A2:H2"/>
    <mergeCell ref="A1:H1"/>
  </mergeCells>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tabColor rgb="001F4E78"/>
    <outlinePr summaryBelow="1" summaryRight="1"/>
    <pageSetUpPr/>
  </sheetPr>
  <dimension ref="A1:H13"/>
  <sheetViews>
    <sheetView topLeftCell="A1" zoomScale="100" zoomScaleNormal="100" workbookViewId="0">
      <selection activeCell="A1" sqref="A1"/>
    </sheetView>
  </sheetViews>
  <sheetFormatPr baseColWidth="8" defaultRowHeight="14.25"/>
  <cols>
    <col width="24" customWidth="1" min="1" max="1"/>
    <col width="20" customWidth="1" min="2" max="2"/>
    <col width="30" customWidth="1" min="3" max="3"/>
    <col width="13" customWidth="1" min="4" max="4"/>
    <col width="13" customWidth="1" min="5" max="5"/>
    <col width="13" customWidth="1" min="6" max="6"/>
    <col width="13" customWidth="1" min="7" max="7"/>
  </cols>
  <sheetData>
    <row r="1" ht="32.1" customHeight="1">
      <c r="A1" s="35" t="inlineStr">
        <is>
          <t>Controlled dropdown lists</t>
        </is>
      </c>
    </row>
    <row r="2" ht="30" customHeight="1">
      <c r="A2" s="36" t="inlineStr">
        <is>
          <t>Used by EVALUATION_INPUT.</t>
        </is>
      </c>
    </row>
    <row r="3" ht="21.95" customHeight="1">
      <c r="A3" s="188">
        <f>HYPERLINK("#START_HERE!A1","Start")</f>
        <v/>
      </c>
      <c r="B3" s="188">
        <f>HYPERLINK("#DASHBOARD!A1","Dashboard")</f>
        <v/>
      </c>
      <c r="C3" s="188">
        <f>HYPERLINK("#OFFER_RANKING!A1","Ranking")</f>
        <v/>
      </c>
      <c r="D3" s="188">
        <f>HYPERLINK("#EVALUATION_INPUT!A1","Evaluate")</f>
        <v/>
      </c>
      <c r="E3" s="188">
        <f>HYPERLINK("#OFFER_CANONICAL!A1","Canonical")</f>
        <v/>
      </c>
      <c r="F3" s="188">
        <f>HYPERLINK("#RTM_CROSSWALK!A1","Crosswalk")</f>
        <v/>
      </c>
      <c r="G3" s="188">
        <f>HYPERLINK("#WEIGHTS_METHOD!A1","Method")</f>
        <v/>
      </c>
      <c r="H3" s="1" t="n"/>
    </row>
    <row r="5" ht="33.95" customHeight="1">
      <c r="A5" s="3" t="inlineStr">
        <is>
          <t>STATUS</t>
        </is>
      </c>
      <c r="B5" s="3" t="inlineStr">
        <is>
          <t>Technical Depth</t>
        </is>
      </c>
      <c r="C5" s="3" t="inlineStr">
        <is>
          <t>Negotiation flag</t>
        </is>
      </c>
    </row>
    <row r="6" ht="27.95" customHeight="1">
      <c r="A6" s="6" t="inlineStr">
        <is>
          <t>OK</t>
        </is>
      </c>
      <c r="B6" s="6" t="n">
        <v>0.4</v>
      </c>
      <c r="C6" s="6" t="inlineStr">
        <is>
          <t>Negotiation item</t>
        </is>
      </c>
    </row>
    <row r="7" ht="27.95" customHeight="1">
      <c r="A7" s="6" t="inlineStr">
        <is>
          <t>OK/Minor</t>
        </is>
      </c>
      <c r="B7" s="6" t="n">
        <v>0.7</v>
      </c>
      <c r="C7" s="6" t="inlineStr">
        <is>
          <t>RFI - info missing</t>
        </is>
      </c>
    </row>
    <row r="8" ht="27.95" customHeight="1">
      <c r="A8" s="6" t="inlineStr">
        <is>
          <t>NOK</t>
        </is>
      </c>
      <c r="B8" s="6" t="n">
        <v>1</v>
      </c>
      <c r="C8" s="6" t="inlineStr">
        <is>
          <t>Not available</t>
        </is>
      </c>
    </row>
    <row r="9" ht="27.95" customHeight="1">
      <c r="A9" s="6" t="inlineStr">
        <is>
          <t>MISS</t>
        </is>
      </c>
      <c r="B9" s="6" t="n"/>
      <c r="C9" s="6" t="inlineStr">
        <is>
          <t>Clarification only</t>
        </is>
      </c>
    </row>
    <row r="10" ht="27.95" customHeight="1">
      <c r="A10" s="6" t="inlineStr">
        <is>
          <t>Minor disc.</t>
        </is>
      </c>
      <c r="B10" s="6" t="n"/>
      <c r="C10" s="6" t="n"/>
    </row>
    <row r="11" ht="27.95" customHeight="1">
      <c r="A11" s="6" t="inlineStr">
        <is>
          <t>Major disc.</t>
        </is>
      </c>
      <c r="B11" s="6" t="n"/>
      <c r="C11" s="6" t="n"/>
    </row>
    <row r="12" ht="27.95" customHeight="1">
      <c r="A12" s="6" t="inlineStr">
        <is>
          <t>ERROR</t>
        </is>
      </c>
      <c r="B12" s="6" t="n"/>
      <c r="C12" s="6" t="n"/>
    </row>
    <row r="13" ht="27.95" customHeight="1">
      <c r="A13" s="6" t="inlineStr">
        <is>
          <t>TBD</t>
        </is>
      </c>
      <c r="B13" s="6" t="n"/>
      <c r="C13" s="6" t="n"/>
    </row>
  </sheetData>
  <mergeCells count="2">
    <mergeCell ref="A2:H2"/>
    <mergeCell ref="A1:H1"/>
  </mergeCells>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tabColor rgb="00C99A00"/>
    <outlinePr summaryBelow="1" summaryRight="1"/>
    <pageSetUpPr/>
  </sheetPr>
  <dimension ref="A1:M105"/>
  <sheetViews>
    <sheetView topLeftCell="A1" zoomScale="90" zoomScaleNormal="90" workbookViewId="0">
      <selection activeCell="A1" sqref="A1"/>
    </sheetView>
  </sheetViews>
  <sheetFormatPr baseColWidth="8" defaultRowHeight="14.25"/>
  <cols>
    <col width="10" customWidth="1" min="1" max="1"/>
    <col width="12" customWidth="1" min="2" max="2"/>
    <col width="14" customWidth="1" min="3" max="3"/>
    <col width="12" customWidth="1" min="4" max="4"/>
    <col width="38" customWidth="1" min="5" max="5"/>
    <col width="14" customWidth="1" min="6" max="6"/>
    <col width="16" customWidth="1" min="7" max="7"/>
    <col width="34" customWidth="1" min="8" max="8"/>
    <col width="20" customWidth="1" min="9" max="9"/>
    <col width="40" customWidth="1" min="10" max="10"/>
    <col width="14" customWidth="1" min="11" max="11"/>
    <col width="36" customWidth="1" min="12" max="12"/>
    <col width="40" customWidth="1" min="13" max="13"/>
  </cols>
  <sheetData>
    <row r="1" ht="32.1" customHeight="1">
      <c r="A1" s="28" t="inlineStr">
        <is>
          <t>Negotiation and RFI agenda mirror</t>
        </is>
      </c>
    </row>
    <row r="2" ht="33.95" customHeight="1">
      <c r="A2" s="29" t="inlineStr">
        <is>
          <t>Filter this sheet by negotiation flag, status or reviewer comment. Rows mirror the A/B fields from EVALUATION_WORKSPACE.</t>
        </is>
      </c>
    </row>
    <row r="3" ht="21.95" customHeight="1">
      <c r="A3" s="186">
        <f>HYPERLINK("#START_HERE!A1","Start")</f>
        <v/>
      </c>
      <c r="B3" s="186">
        <f>HYPERLINK("#DASHBOARD!A1","Dashboard")</f>
        <v/>
      </c>
      <c r="C3" s="186">
        <f>HYPERLINK("#EVALUATION_WORKSPACE!A1","Workspace")</f>
        <v/>
      </c>
      <c r="D3" s="186">
        <f>HYPERLINK("#NEGOTIATION_AGENDA!A1","Agenda")</f>
        <v/>
      </c>
      <c r="E3" s="186">
        <f>HYPERLINK("#OFFER_RANKING!A1","Ranking")</f>
        <v/>
      </c>
      <c r="F3" s="186">
        <f>HYPERLINK("#RTM_CROSSWALK!A1","Crosswalk")</f>
        <v/>
      </c>
      <c r="G3" s="186">
        <f>HYPERLINK("#QUALITY_CHECKS!A1","Quality")</f>
        <v/>
      </c>
      <c r="H3" s="186">
        <f>HYPERLINK("#DMAIC_AUDIT!A1","DMAIC")</f>
        <v/>
      </c>
      <c r="I3" s="186">
        <f>HYPERLINK("#CODING_HANDOVER!A1","Handover")</f>
        <v/>
      </c>
      <c r="J3" s="24" t="n"/>
      <c r="K3" s="24" t="n"/>
      <c r="L3" s="24" t="n"/>
      <c r="M3" s="24" t="n"/>
    </row>
    <row r="5" ht="33.95" customHeight="1">
      <c r="A5" s="25" t="inlineStr">
        <is>
          <t>Bidder</t>
        </is>
      </c>
      <c r="B5" s="25" t="inlineStr">
        <is>
          <t>Rank</t>
        </is>
      </c>
      <c r="C5" s="25" t="inlineStr">
        <is>
          <t>Tier</t>
        </is>
      </c>
      <c r="D5" s="25" t="inlineStr">
        <is>
          <t>OFFER ID</t>
        </is>
      </c>
      <c r="E5" s="25" t="inlineStr">
        <is>
          <t>Title</t>
        </is>
      </c>
      <c r="F5" s="25" t="inlineStr">
        <is>
          <t>Status</t>
        </is>
      </c>
      <c r="G5" s="25" t="inlineStr">
        <is>
          <t>Technical Depth</t>
        </is>
      </c>
      <c r="H5" s="25" t="inlineStr">
        <is>
          <t>Source / Location</t>
        </is>
      </c>
      <c r="I5" s="25" t="inlineStr">
        <is>
          <t>Negotiation Flag</t>
        </is>
      </c>
      <c r="J5" s="25" t="inlineStr">
        <is>
          <t>Reviewer Comment</t>
        </is>
      </c>
      <c r="K5" s="25" t="inlineStr">
        <is>
          <t>Review Index</t>
        </is>
      </c>
      <c r="L5" s="25" t="inlineStr">
        <is>
          <t>Proposed Action</t>
        </is>
      </c>
      <c r="M5" s="25" t="inlineStr">
        <is>
          <t>Closure Note</t>
        </is>
      </c>
    </row>
    <row r="6" ht="36" customHeight="1">
      <c r="A6" s="6">
        <f>"A"</f>
        <v/>
      </c>
      <c r="B6" s="6">
        <f>EVALUATION_WORKSPACE!A6</f>
        <v/>
      </c>
      <c r="C6" s="6">
        <f>EVALUATION_WORKSPACE!B6</f>
        <v/>
      </c>
      <c r="D6" s="6">
        <f>EVALUATION_WORKSPACE!C6</f>
        <v/>
      </c>
      <c r="E6" s="6">
        <f>EVALUATION_WORKSPACE!D6</f>
        <v/>
      </c>
      <c r="F6" s="6">
        <f>EVALUATION_WORKSPACE!Q6</f>
        <v/>
      </c>
      <c r="G6" s="6">
        <f>EVALUATION_WORKSPACE!R6</f>
        <v/>
      </c>
      <c r="H6" s="6">
        <f>EVALUATION_WORKSPACE!S6</f>
        <v/>
      </c>
      <c r="I6" s="6">
        <f>EVALUATION_WORKSPACE!T6</f>
        <v/>
      </c>
      <c r="J6" s="215">
        <f>EVALUATION_WORKSPACE!U6</f>
        <v/>
      </c>
      <c r="K6" s="6">
        <f>EVALUATION_WORKSPACE!V6</f>
        <v/>
      </c>
      <c r="L6" s="6">
        <f>IF(I6="RFI - info missing","Request missing information",IF(I6="Negotiation item","Add to negotiation agenda",IF(I6="Not available","Confirm unavailable / deviation",IF(F6="MISS","Follow-up needed",IF(F6="NOK","Decision required",IF(F6="ERROR","Clarify interpretation","") )))))</f>
        <v/>
      </c>
      <c r="M6" s="6" t="n"/>
    </row>
    <row r="7" ht="36" customHeight="1">
      <c r="A7" s="6">
        <f>"A"</f>
        <v/>
      </c>
      <c r="B7" s="6">
        <f>EVALUATION_WORKSPACE!A7</f>
        <v/>
      </c>
      <c r="C7" s="6">
        <f>EVALUATION_WORKSPACE!B7</f>
        <v/>
      </c>
      <c r="D7" s="6">
        <f>EVALUATION_WORKSPACE!C7</f>
        <v/>
      </c>
      <c r="E7" s="6">
        <f>EVALUATION_WORKSPACE!D7</f>
        <v/>
      </c>
      <c r="F7" s="6">
        <f>EVALUATION_WORKSPACE!Q7</f>
        <v/>
      </c>
      <c r="G7" s="6">
        <f>EVALUATION_WORKSPACE!R7</f>
        <v/>
      </c>
      <c r="H7" s="6">
        <f>EVALUATION_WORKSPACE!S7</f>
        <v/>
      </c>
      <c r="I7" s="6">
        <f>EVALUATION_WORKSPACE!T7</f>
        <v/>
      </c>
      <c r="J7" s="215">
        <f>EVALUATION_WORKSPACE!U7</f>
        <v/>
      </c>
      <c r="K7" s="6">
        <f>EVALUATION_WORKSPACE!V7</f>
        <v/>
      </c>
      <c r="L7" s="6">
        <f>IF(I7="RFI - info missing","Request missing information",IF(I7="Negotiation item","Add to negotiation agenda",IF(I7="Not available","Confirm unavailable / deviation",IF(F7="MISS","Follow-up needed",IF(F7="NOK","Decision required",IF(F7="ERROR","Clarify interpretation","") )))))</f>
        <v/>
      </c>
      <c r="M7" s="6" t="n"/>
    </row>
    <row r="8" ht="36" customHeight="1">
      <c r="A8" s="6">
        <f>"A"</f>
        <v/>
      </c>
      <c r="B8" s="6">
        <f>EVALUATION_WORKSPACE!A8</f>
        <v/>
      </c>
      <c r="C8" s="6">
        <f>EVALUATION_WORKSPACE!B8</f>
        <v/>
      </c>
      <c r="D8" s="6">
        <f>EVALUATION_WORKSPACE!C8</f>
        <v/>
      </c>
      <c r="E8" s="6">
        <f>EVALUATION_WORKSPACE!D8</f>
        <v/>
      </c>
      <c r="F8" s="6">
        <f>EVALUATION_WORKSPACE!Q8</f>
        <v/>
      </c>
      <c r="G8" s="6">
        <f>EVALUATION_WORKSPACE!R8</f>
        <v/>
      </c>
      <c r="H8" s="6">
        <f>EVALUATION_WORKSPACE!S8</f>
        <v/>
      </c>
      <c r="I8" s="6">
        <f>EVALUATION_WORKSPACE!T8</f>
        <v/>
      </c>
      <c r="J8" s="215">
        <f>EVALUATION_WORKSPACE!U8</f>
        <v/>
      </c>
      <c r="K8" s="6">
        <f>EVALUATION_WORKSPACE!V8</f>
        <v/>
      </c>
      <c r="L8" s="6">
        <f>IF(I8="RFI - info missing","Request missing information",IF(I8="Negotiation item","Add to negotiation agenda",IF(I8="Not available","Confirm unavailable / deviation",IF(F8="MISS","Follow-up needed",IF(F8="NOK","Decision required",IF(F8="ERROR","Clarify interpretation","") )))))</f>
        <v/>
      </c>
      <c r="M8" s="6" t="n"/>
    </row>
    <row r="9" ht="36" customHeight="1">
      <c r="A9" s="6">
        <f>"A"</f>
        <v/>
      </c>
      <c r="B9" s="6">
        <f>EVALUATION_WORKSPACE!A9</f>
        <v/>
      </c>
      <c r="C9" s="6">
        <f>EVALUATION_WORKSPACE!B9</f>
        <v/>
      </c>
      <c r="D9" s="6">
        <f>EVALUATION_WORKSPACE!C9</f>
        <v/>
      </c>
      <c r="E9" s="6">
        <f>EVALUATION_WORKSPACE!D9</f>
        <v/>
      </c>
      <c r="F9" s="6">
        <f>EVALUATION_WORKSPACE!Q9</f>
        <v/>
      </c>
      <c r="G9" s="6">
        <f>EVALUATION_WORKSPACE!R9</f>
        <v/>
      </c>
      <c r="H9" s="6">
        <f>EVALUATION_WORKSPACE!S9</f>
        <v/>
      </c>
      <c r="I9" s="6">
        <f>EVALUATION_WORKSPACE!T9</f>
        <v/>
      </c>
      <c r="J9" s="215">
        <f>EVALUATION_WORKSPACE!U9</f>
        <v/>
      </c>
      <c r="K9" s="6">
        <f>EVALUATION_WORKSPACE!V9</f>
        <v/>
      </c>
      <c r="L9" s="6">
        <f>IF(I9="RFI - info missing","Request missing information",IF(I9="Negotiation item","Add to negotiation agenda",IF(I9="Not available","Confirm unavailable / deviation",IF(F9="MISS","Follow-up needed",IF(F9="NOK","Decision required",IF(F9="ERROR","Clarify interpretation","") )))))</f>
        <v/>
      </c>
      <c r="M9" s="6" t="n"/>
    </row>
    <row r="10" ht="36" customHeight="1">
      <c r="A10" s="6">
        <f>"A"</f>
        <v/>
      </c>
      <c r="B10" s="6">
        <f>EVALUATION_WORKSPACE!A10</f>
        <v/>
      </c>
      <c r="C10" s="6">
        <f>EVALUATION_WORKSPACE!B10</f>
        <v/>
      </c>
      <c r="D10" s="6">
        <f>EVALUATION_WORKSPACE!C10</f>
        <v/>
      </c>
      <c r="E10" s="6">
        <f>EVALUATION_WORKSPACE!D10</f>
        <v/>
      </c>
      <c r="F10" s="6">
        <f>EVALUATION_WORKSPACE!Q10</f>
        <v/>
      </c>
      <c r="G10" s="6">
        <f>EVALUATION_WORKSPACE!R10</f>
        <v/>
      </c>
      <c r="H10" s="6">
        <f>EVALUATION_WORKSPACE!S10</f>
        <v/>
      </c>
      <c r="I10" s="6">
        <f>EVALUATION_WORKSPACE!T10</f>
        <v/>
      </c>
      <c r="J10" s="215">
        <f>EVALUATION_WORKSPACE!U10</f>
        <v/>
      </c>
      <c r="K10" s="6">
        <f>EVALUATION_WORKSPACE!V10</f>
        <v/>
      </c>
      <c r="L10" s="6">
        <f>IF(I10="RFI - info missing","Request missing information",IF(I10="Negotiation item","Add to negotiation agenda",IF(I10="Not available","Confirm unavailable / deviation",IF(F10="MISS","Follow-up needed",IF(F10="NOK","Decision required",IF(F10="ERROR","Clarify interpretation","") )))))</f>
        <v/>
      </c>
      <c r="M10" s="6" t="n"/>
    </row>
    <row r="11" ht="36" customHeight="1">
      <c r="A11" s="6">
        <f>"A"</f>
        <v/>
      </c>
      <c r="B11" s="6">
        <f>EVALUATION_WORKSPACE!A11</f>
        <v/>
      </c>
      <c r="C11" s="6">
        <f>EVALUATION_WORKSPACE!B11</f>
        <v/>
      </c>
      <c r="D11" s="6">
        <f>EVALUATION_WORKSPACE!C11</f>
        <v/>
      </c>
      <c r="E11" s="6">
        <f>EVALUATION_WORKSPACE!D11</f>
        <v/>
      </c>
      <c r="F11" s="6">
        <f>EVALUATION_WORKSPACE!Q11</f>
        <v/>
      </c>
      <c r="G11" s="6">
        <f>EVALUATION_WORKSPACE!R11</f>
        <v/>
      </c>
      <c r="H11" s="6">
        <f>EVALUATION_WORKSPACE!S11</f>
        <v/>
      </c>
      <c r="I11" s="6">
        <f>EVALUATION_WORKSPACE!T11</f>
        <v/>
      </c>
      <c r="J11" s="215">
        <f>EVALUATION_WORKSPACE!U11</f>
        <v/>
      </c>
      <c r="K11" s="6">
        <f>EVALUATION_WORKSPACE!V11</f>
        <v/>
      </c>
      <c r="L11" s="6">
        <f>IF(I11="RFI - info missing","Request missing information",IF(I11="Negotiation item","Add to negotiation agenda",IF(I11="Not available","Confirm unavailable / deviation",IF(F11="MISS","Follow-up needed",IF(F11="NOK","Decision required",IF(F11="ERROR","Clarify interpretation","") )))))</f>
        <v/>
      </c>
      <c r="M11" s="6" t="n"/>
    </row>
    <row r="12" ht="36" customHeight="1">
      <c r="A12" s="6">
        <f>"A"</f>
        <v/>
      </c>
      <c r="B12" s="6">
        <f>EVALUATION_WORKSPACE!A12</f>
        <v/>
      </c>
      <c r="C12" s="6">
        <f>EVALUATION_WORKSPACE!B12</f>
        <v/>
      </c>
      <c r="D12" s="6">
        <f>EVALUATION_WORKSPACE!C12</f>
        <v/>
      </c>
      <c r="E12" s="6">
        <f>EVALUATION_WORKSPACE!D12</f>
        <v/>
      </c>
      <c r="F12" s="6">
        <f>EVALUATION_WORKSPACE!Q12</f>
        <v/>
      </c>
      <c r="G12" s="6">
        <f>EVALUATION_WORKSPACE!R12</f>
        <v/>
      </c>
      <c r="H12" s="6">
        <f>EVALUATION_WORKSPACE!S12</f>
        <v/>
      </c>
      <c r="I12" s="6">
        <f>EVALUATION_WORKSPACE!T12</f>
        <v/>
      </c>
      <c r="J12" s="215">
        <f>EVALUATION_WORKSPACE!U12</f>
        <v/>
      </c>
      <c r="K12" s="6">
        <f>EVALUATION_WORKSPACE!V12</f>
        <v/>
      </c>
      <c r="L12" s="6">
        <f>IF(I12="RFI - info missing","Request missing information",IF(I12="Negotiation item","Add to negotiation agenda",IF(I12="Not available","Confirm unavailable / deviation",IF(F12="MISS","Follow-up needed",IF(F12="NOK","Decision required",IF(F12="ERROR","Clarify interpretation","") )))))</f>
        <v/>
      </c>
      <c r="M12" s="6" t="n"/>
    </row>
    <row r="13" ht="36" customHeight="1">
      <c r="A13" s="6">
        <f>"A"</f>
        <v/>
      </c>
      <c r="B13" s="6">
        <f>EVALUATION_WORKSPACE!A13</f>
        <v/>
      </c>
      <c r="C13" s="6">
        <f>EVALUATION_WORKSPACE!B13</f>
        <v/>
      </c>
      <c r="D13" s="6">
        <f>EVALUATION_WORKSPACE!C13</f>
        <v/>
      </c>
      <c r="E13" s="6">
        <f>EVALUATION_WORKSPACE!D13</f>
        <v/>
      </c>
      <c r="F13" s="6">
        <f>EVALUATION_WORKSPACE!Q13</f>
        <v/>
      </c>
      <c r="G13" s="6">
        <f>EVALUATION_WORKSPACE!R13</f>
        <v/>
      </c>
      <c r="H13" s="6">
        <f>EVALUATION_WORKSPACE!S13</f>
        <v/>
      </c>
      <c r="I13" s="6">
        <f>EVALUATION_WORKSPACE!T13</f>
        <v/>
      </c>
      <c r="J13" s="215">
        <f>EVALUATION_WORKSPACE!U13</f>
        <v/>
      </c>
      <c r="K13" s="6">
        <f>EVALUATION_WORKSPACE!V13</f>
        <v/>
      </c>
      <c r="L13" s="6">
        <f>IF(I13="RFI - info missing","Request missing information",IF(I13="Negotiation item","Add to negotiation agenda",IF(I13="Not available","Confirm unavailable / deviation",IF(F13="MISS","Follow-up needed",IF(F13="NOK","Decision required",IF(F13="ERROR","Clarify interpretation","") )))))</f>
        <v/>
      </c>
      <c r="M13" s="6" t="n"/>
    </row>
    <row r="14" ht="36" customHeight="1">
      <c r="A14" s="6">
        <f>"A"</f>
        <v/>
      </c>
      <c r="B14" s="6">
        <f>EVALUATION_WORKSPACE!A14</f>
        <v/>
      </c>
      <c r="C14" s="6">
        <f>EVALUATION_WORKSPACE!B14</f>
        <v/>
      </c>
      <c r="D14" s="6">
        <f>EVALUATION_WORKSPACE!C14</f>
        <v/>
      </c>
      <c r="E14" s="6">
        <f>EVALUATION_WORKSPACE!D14</f>
        <v/>
      </c>
      <c r="F14" s="6">
        <f>EVALUATION_WORKSPACE!Q14</f>
        <v/>
      </c>
      <c r="G14" s="6">
        <f>EVALUATION_WORKSPACE!R14</f>
        <v/>
      </c>
      <c r="H14" s="6">
        <f>EVALUATION_WORKSPACE!S14</f>
        <v/>
      </c>
      <c r="I14" s="6">
        <f>EVALUATION_WORKSPACE!T14</f>
        <v/>
      </c>
      <c r="J14" s="215">
        <f>EVALUATION_WORKSPACE!U14</f>
        <v/>
      </c>
      <c r="K14" s="6">
        <f>EVALUATION_WORKSPACE!V14</f>
        <v/>
      </c>
      <c r="L14" s="6">
        <f>IF(I14="RFI - info missing","Request missing information",IF(I14="Negotiation item","Add to negotiation agenda",IF(I14="Not available","Confirm unavailable / deviation",IF(F14="MISS","Follow-up needed",IF(F14="NOK","Decision required",IF(F14="ERROR","Clarify interpretation","") )))))</f>
        <v/>
      </c>
      <c r="M14" s="6" t="n"/>
    </row>
    <row r="15" ht="36" customHeight="1">
      <c r="A15" s="6">
        <f>"A"</f>
        <v/>
      </c>
      <c r="B15" s="6">
        <f>EVALUATION_WORKSPACE!A15</f>
        <v/>
      </c>
      <c r="C15" s="6">
        <f>EVALUATION_WORKSPACE!B15</f>
        <v/>
      </c>
      <c r="D15" s="6">
        <f>EVALUATION_WORKSPACE!C15</f>
        <v/>
      </c>
      <c r="E15" s="6">
        <f>EVALUATION_WORKSPACE!D15</f>
        <v/>
      </c>
      <c r="F15" s="6">
        <f>EVALUATION_WORKSPACE!Q15</f>
        <v/>
      </c>
      <c r="G15" s="6">
        <f>EVALUATION_WORKSPACE!R15</f>
        <v/>
      </c>
      <c r="H15" s="6">
        <f>EVALUATION_WORKSPACE!S15</f>
        <v/>
      </c>
      <c r="I15" s="6">
        <f>EVALUATION_WORKSPACE!T15</f>
        <v/>
      </c>
      <c r="J15" s="215">
        <f>EVALUATION_WORKSPACE!U15</f>
        <v/>
      </c>
      <c r="K15" s="6">
        <f>EVALUATION_WORKSPACE!V15</f>
        <v/>
      </c>
      <c r="L15" s="6">
        <f>IF(I15="RFI - info missing","Request missing information",IF(I15="Negotiation item","Add to negotiation agenda",IF(I15="Not available","Confirm unavailable / deviation",IF(F15="MISS","Follow-up needed",IF(F15="NOK","Decision required",IF(F15="ERROR","Clarify interpretation","") )))))</f>
        <v/>
      </c>
      <c r="M15" s="6" t="n"/>
    </row>
    <row r="16" ht="36" customHeight="1">
      <c r="A16" s="6">
        <f>"A"</f>
        <v/>
      </c>
      <c r="B16" s="6">
        <f>EVALUATION_WORKSPACE!A16</f>
        <v/>
      </c>
      <c r="C16" s="6">
        <f>EVALUATION_WORKSPACE!B16</f>
        <v/>
      </c>
      <c r="D16" s="6">
        <f>EVALUATION_WORKSPACE!C16</f>
        <v/>
      </c>
      <c r="E16" s="6">
        <f>EVALUATION_WORKSPACE!D16</f>
        <v/>
      </c>
      <c r="F16" s="6">
        <f>EVALUATION_WORKSPACE!Q16</f>
        <v/>
      </c>
      <c r="G16" s="6">
        <f>EVALUATION_WORKSPACE!R16</f>
        <v/>
      </c>
      <c r="H16" s="6">
        <f>EVALUATION_WORKSPACE!S16</f>
        <v/>
      </c>
      <c r="I16" s="6">
        <f>EVALUATION_WORKSPACE!T16</f>
        <v/>
      </c>
      <c r="J16" s="215">
        <f>EVALUATION_WORKSPACE!U16</f>
        <v/>
      </c>
      <c r="K16" s="6">
        <f>EVALUATION_WORKSPACE!V16</f>
        <v/>
      </c>
      <c r="L16" s="6">
        <f>IF(I16="RFI - info missing","Request missing information",IF(I16="Negotiation item","Add to negotiation agenda",IF(I16="Not available","Confirm unavailable / deviation",IF(F16="MISS","Follow-up needed",IF(F16="NOK","Decision required",IF(F16="ERROR","Clarify interpretation","") )))))</f>
        <v/>
      </c>
      <c r="M16" s="6" t="n"/>
    </row>
    <row r="17" ht="36" customHeight="1">
      <c r="A17" s="6">
        <f>"A"</f>
        <v/>
      </c>
      <c r="B17" s="6">
        <f>EVALUATION_WORKSPACE!A17</f>
        <v/>
      </c>
      <c r="C17" s="6">
        <f>EVALUATION_WORKSPACE!B17</f>
        <v/>
      </c>
      <c r="D17" s="6">
        <f>EVALUATION_WORKSPACE!C17</f>
        <v/>
      </c>
      <c r="E17" s="6">
        <f>EVALUATION_WORKSPACE!D17</f>
        <v/>
      </c>
      <c r="F17" s="6">
        <f>EVALUATION_WORKSPACE!Q17</f>
        <v/>
      </c>
      <c r="G17" s="6">
        <f>EVALUATION_WORKSPACE!R17</f>
        <v/>
      </c>
      <c r="H17" s="6">
        <f>EVALUATION_WORKSPACE!S17</f>
        <v/>
      </c>
      <c r="I17" s="6">
        <f>EVALUATION_WORKSPACE!T17</f>
        <v/>
      </c>
      <c r="J17" s="215">
        <f>EVALUATION_WORKSPACE!U17</f>
        <v/>
      </c>
      <c r="K17" s="6">
        <f>EVALUATION_WORKSPACE!V17</f>
        <v/>
      </c>
      <c r="L17" s="6">
        <f>IF(I17="RFI - info missing","Request missing information",IF(I17="Negotiation item","Add to negotiation agenda",IF(I17="Not available","Confirm unavailable / deviation",IF(F17="MISS","Follow-up needed",IF(F17="NOK","Decision required",IF(F17="ERROR","Clarify interpretation","") )))))</f>
        <v/>
      </c>
      <c r="M17" s="6" t="n"/>
    </row>
    <row r="18" ht="36" customHeight="1">
      <c r="A18" s="6">
        <f>"A"</f>
        <v/>
      </c>
      <c r="B18" s="6">
        <f>EVALUATION_WORKSPACE!A18</f>
        <v/>
      </c>
      <c r="C18" s="6">
        <f>EVALUATION_WORKSPACE!B18</f>
        <v/>
      </c>
      <c r="D18" s="6">
        <f>EVALUATION_WORKSPACE!C18</f>
        <v/>
      </c>
      <c r="E18" s="6">
        <f>EVALUATION_WORKSPACE!D18</f>
        <v/>
      </c>
      <c r="F18" s="6">
        <f>EVALUATION_WORKSPACE!Q18</f>
        <v/>
      </c>
      <c r="G18" s="6">
        <f>EVALUATION_WORKSPACE!R18</f>
        <v/>
      </c>
      <c r="H18" s="6">
        <f>EVALUATION_WORKSPACE!S18</f>
        <v/>
      </c>
      <c r="I18" s="6">
        <f>EVALUATION_WORKSPACE!T18</f>
        <v/>
      </c>
      <c r="J18" s="215">
        <f>EVALUATION_WORKSPACE!U18</f>
        <v/>
      </c>
      <c r="K18" s="6">
        <f>EVALUATION_WORKSPACE!V18</f>
        <v/>
      </c>
      <c r="L18" s="6">
        <f>IF(I18="RFI - info missing","Request missing information",IF(I18="Negotiation item","Add to negotiation agenda",IF(I18="Not available","Confirm unavailable / deviation",IF(F18="MISS","Follow-up needed",IF(F18="NOK","Decision required",IF(F18="ERROR","Clarify interpretation","") )))))</f>
        <v/>
      </c>
      <c r="M18" s="6" t="n"/>
    </row>
    <row r="19" ht="36" customHeight="1">
      <c r="A19" s="6">
        <f>"A"</f>
        <v/>
      </c>
      <c r="B19" s="6">
        <f>EVALUATION_WORKSPACE!A19</f>
        <v/>
      </c>
      <c r="C19" s="6">
        <f>EVALUATION_WORKSPACE!B19</f>
        <v/>
      </c>
      <c r="D19" s="6">
        <f>EVALUATION_WORKSPACE!C19</f>
        <v/>
      </c>
      <c r="E19" s="6">
        <f>EVALUATION_WORKSPACE!D19</f>
        <v/>
      </c>
      <c r="F19" s="6">
        <f>EVALUATION_WORKSPACE!Q19</f>
        <v/>
      </c>
      <c r="G19" s="6">
        <f>EVALUATION_WORKSPACE!R19</f>
        <v/>
      </c>
      <c r="H19" s="6">
        <f>EVALUATION_WORKSPACE!S19</f>
        <v/>
      </c>
      <c r="I19" s="6">
        <f>EVALUATION_WORKSPACE!T19</f>
        <v/>
      </c>
      <c r="J19" s="215">
        <f>EVALUATION_WORKSPACE!U19</f>
        <v/>
      </c>
      <c r="K19" s="6">
        <f>EVALUATION_WORKSPACE!V19</f>
        <v/>
      </c>
      <c r="L19" s="6">
        <f>IF(I19="RFI - info missing","Request missing information",IF(I19="Negotiation item","Add to negotiation agenda",IF(I19="Not available","Confirm unavailable / deviation",IF(F19="MISS","Follow-up needed",IF(F19="NOK","Decision required",IF(F19="ERROR","Clarify interpretation","") )))))</f>
        <v/>
      </c>
      <c r="M19" s="6" t="n"/>
    </row>
    <row r="20" ht="36" customHeight="1">
      <c r="A20" s="6">
        <f>"A"</f>
        <v/>
      </c>
      <c r="B20" s="6">
        <f>EVALUATION_WORKSPACE!A20</f>
        <v/>
      </c>
      <c r="C20" s="6">
        <f>EVALUATION_WORKSPACE!B20</f>
        <v/>
      </c>
      <c r="D20" s="6">
        <f>EVALUATION_WORKSPACE!C20</f>
        <v/>
      </c>
      <c r="E20" s="6">
        <f>EVALUATION_WORKSPACE!D20</f>
        <v/>
      </c>
      <c r="F20" s="6">
        <f>EVALUATION_WORKSPACE!Q20</f>
        <v/>
      </c>
      <c r="G20" s="6">
        <f>EVALUATION_WORKSPACE!R20</f>
        <v/>
      </c>
      <c r="H20" s="6">
        <f>EVALUATION_WORKSPACE!S20</f>
        <v/>
      </c>
      <c r="I20" s="6">
        <f>EVALUATION_WORKSPACE!T20</f>
        <v/>
      </c>
      <c r="J20" s="215">
        <f>EVALUATION_WORKSPACE!U20</f>
        <v/>
      </c>
      <c r="K20" s="6">
        <f>EVALUATION_WORKSPACE!V20</f>
        <v/>
      </c>
      <c r="L20" s="6">
        <f>IF(I20="RFI - info missing","Request missing information",IF(I20="Negotiation item","Add to negotiation agenda",IF(I20="Not available","Confirm unavailable / deviation",IF(F20="MISS","Follow-up needed",IF(F20="NOK","Decision required",IF(F20="ERROR","Clarify interpretation","") )))))</f>
        <v/>
      </c>
      <c r="M20" s="6" t="n"/>
    </row>
    <row r="21" ht="36" customHeight="1">
      <c r="A21" s="6">
        <f>"A"</f>
        <v/>
      </c>
      <c r="B21" s="6">
        <f>EVALUATION_WORKSPACE!A21</f>
        <v/>
      </c>
      <c r="C21" s="6">
        <f>EVALUATION_WORKSPACE!B21</f>
        <v/>
      </c>
      <c r="D21" s="6">
        <f>EVALUATION_WORKSPACE!C21</f>
        <v/>
      </c>
      <c r="E21" s="6">
        <f>EVALUATION_WORKSPACE!D21</f>
        <v/>
      </c>
      <c r="F21" s="6">
        <f>EVALUATION_WORKSPACE!Q21</f>
        <v/>
      </c>
      <c r="G21" s="6">
        <f>EVALUATION_WORKSPACE!R21</f>
        <v/>
      </c>
      <c r="H21" s="6">
        <f>EVALUATION_WORKSPACE!S21</f>
        <v/>
      </c>
      <c r="I21" s="6">
        <f>EVALUATION_WORKSPACE!T21</f>
        <v/>
      </c>
      <c r="J21" s="215">
        <f>EVALUATION_WORKSPACE!U21</f>
        <v/>
      </c>
      <c r="K21" s="6">
        <f>EVALUATION_WORKSPACE!V21</f>
        <v/>
      </c>
      <c r="L21" s="6">
        <f>IF(I21="RFI - info missing","Request missing information",IF(I21="Negotiation item","Add to negotiation agenda",IF(I21="Not available","Confirm unavailable / deviation",IF(F21="MISS","Follow-up needed",IF(F21="NOK","Decision required",IF(F21="ERROR","Clarify interpretation","") )))))</f>
        <v/>
      </c>
      <c r="M21" s="6" t="n"/>
    </row>
    <row r="22" ht="36" customHeight="1">
      <c r="A22" s="6">
        <f>"A"</f>
        <v/>
      </c>
      <c r="B22" s="6">
        <f>EVALUATION_WORKSPACE!A22</f>
        <v/>
      </c>
      <c r="C22" s="6">
        <f>EVALUATION_WORKSPACE!B22</f>
        <v/>
      </c>
      <c r="D22" s="6">
        <f>EVALUATION_WORKSPACE!C22</f>
        <v/>
      </c>
      <c r="E22" s="6">
        <f>EVALUATION_WORKSPACE!D22</f>
        <v/>
      </c>
      <c r="F22" s="6">
        <f>EVALUATION_WORKSPACE!Q22</f>
        <v/>
      </c>
      <c r="G22" s="6">
        <f>EVALUATION_WORKSPACE!R22</f>
        <v/>
      </c>
      <c r="H22" s="6">
        <f>EVALUATION_WORKSPACE!S22</f>
        <v/>
      </c>
      <c r="I22" s="6">
        <f>EVALUATION_WORKSPACE!T22</f>
        <v/>
      </c>
      <c r="J22" s="215">
        <f>EVALUATION_WORKSPACE!U22</f>
        <v/>
      </c>
      <c r="K22" s="6">
        <f>EVALUATION_WORKSPACE!V22</f>
        <v/>
      </c>
      <c r="L22" s="6">
        <f>IF(I22="RFI - info missing","Request missing information",IF(I22="Negotiation item","Add to negotiation agenda",IF(I22="Not available","Confirm unavailable / deviation",IF(F22="MISS","Follow-up needed",IF(F22="NOK","Decision required",IF(F22="ERROR","Clarify interpretation","") )))))</f>
        <v/>
      </c>
      <c r="M22" s="6" t="n"/>
    </row>
    <row r="23" ht="36" customHeight="1">
      <c r="A23" s="6">
        <f>"A"</f>
        <v/>
      </c>
      <c r="B23" s="6">
        <f>EVALUATION_WORKSPACE!A23</f>
        <v/>
      </c>
      <c r="C23" s="6">
        <f>EVALUATION_WORKSPACE!B23</f>
        <v/>
      </c>
      <c r="D23" s="6">
        <f>EVALUATION_WORKSPACE!C23</f>
        <v/>
      </c>
      <c r="E23" s="6">
        <f>EVALUATION_WORKSPACE!D23</f>
        <v/>
      </c>
      <c r="F23" s="6">
        <f>EVALUATION_WORKSPACE!Q23</f>
        <v/>
      </c>
      <c r="G23" s="6">
        <f>EVALUATION_WORKSPACE!R23</f>
        <v/>
      </c>
      <c r="H23" s="6">
        <f>EVALUATION_WORKSPACE!S23</f>
        <v/>
      </c>
      <c r="I23" s="6">
        <f>EVALUATION_WORKSPACE!T23</f>
        <v/>
      </c>
      <c r="J23" s="215">
        <f>EVALUATION_WORKSPACE!U23</f>
        <v/>
      </c>
      <c r="K23" s="6">
        <f>EVALUATION_WORKSPACE!V23</f>
        <v/>
      </c>
      <c r="L23" s="6">
        <f>IF(I23="RFI - info missing","Request missing information",IF(I23="Negotiation item","Add to negotiation agenda",IF(I23="Not available","Confirm unavailable / deviation",IF(F23="MISS","Follow-up needed",IF(F23="NOK","Decision required",IF(F23="ERROR","Clarify interpretation","") )))))</f>
        <v/>
      </c>
      <c r="M23" s="6" t="n"/>
    </row>
    <row r="24" ht="36" customHeight="1">
      <c r="A24" s="6">
        <f>"A"</f>
        <v/>
      </c>
      <c r="B24" s="6">
        <f>EVALUATION_WORKSPACE!A24</f>
        <v/>
      </c>
      <c r="C24" s="6">
        <f>EVALUATION_WORKSPACE!B24</f>
        <v/>
      </c>
      <c r="D24" s="6">
        <f>EVALUATION_WORKSPACE!C24</f>
        <v/>
      </c>
      <c r="E24" s="6">
        <f>EVALUATION_WORKSPACE!D24</f>
        <v/>
      </c>
      <c r="F24" s="6">
        <f>EVALUATION_WORKSPACE!Q24</f>
        <v/>
      </c>
      <c r="G24" s="6">
        <f>EVALUATION_WORKSPACE!R24</f>
        <v/>
      </c>
      <c r="H24" s="6">
        <f>EVALUATION_WORKSPACE!S24</f>
        <v/>
      </c>
      <c r="I24" s="6">
        <f>EVALUATION_WORKSPACE!T24</f>
        <v/>
      </c>
      <c r="J24" s="215">
        <f>EVALUATION_WORKSPACE!U24</f>
        <v/>
      </c>
      <c r="K24" s="6">
        <f>EVALUATION_WORKSPACE!V24</f>
        <v/>
      </c>
      <c r="L24" s="6">
        <f>IF(I24="RFI - info missing","Request missing information",IF(I24="Negotiation item","Add to negotiation agenda",IF(I24="Not available","Confirm unavailable / deviation",IF(F24="MISS","Follow-up needed",IF(F24="NOK","Decision required",IF(F24="ERROR","Clarify interpretation","") )))))</f>
        <v/>
      </c>
      <c r="M24" s="6" t="n"/>
    </row>
    <row r="25" ht="36" customHeight="1">
      <c r="A25" s="6">
        <f>"A"</f>
        <v/>
      </c>
      <c r="B25" s="6">
        <f>EVALUATION_WORKSPACE!A25</f>
        <v/>
      </c>
      <c r="C25" s="6">
        <f>EVALUATION_WORKSPACE!B25</f>
        <v/>
      </c>
      <c r="D25" s="6">
        <f>EVALUATION_WORKSPACE!C25</f>
        <v/>
      </c>
      <c r="E25" s="6">
        <f>EVALUATION_WORKSPACE!D25</f>
        <v/>
      </c>
      <c r="F25" s="6">
        <f>EVALUATION_WORKSPACE!Q25</f>
        <v/>
      </c>
      <c r="G25" s="6">
        <f>EVALUATION_WORKSPACE!R25</f>
        <v/>
      </c>
      <c r="H25" s="6">
        <f>EVALUATION_WORKSPACE!S25</f>
        <v/>
      </c>
      <c r="I25" s="6">
        <f>EVALUATION_WORKSPACE!T25</f>
        <v/>
      </c>
      <c r="J25" s="215">
        <f>EVALUATION_WORKSPACE!U25</f>
        <v/>
      </c>
      <c r="K25" s="6">
        <f>EVALUATION_WORKSPACE!V25</f>
        <v/>
      </c>
      <c r="L25" s="6">
        <f>IF(I25="RFI - info missing","Request missing information",IF(I25="Negotiation item","Add to negotiation agenda",IF(I25="Not available","Confirm unavailable / deviation",IF(F25="MISS","Follow-up needed",IF(F25="NOK","Decision required",IF(F25="ERROR","Clarify interpretation","") )))))</f>
        <v/>
      </c>
      <c r="M25" s="6" t="n"/>
    </row>
    <row r="26" ht="36" customHeight="1">
      <c r="A26" s="6">
        <f>"A"</f>
        <v/>
      </c>
      <c r="B26" s="6">
        <f>EVALUATION_WORKSPACE!A26</f>
        <v/>
      </c>
      <c r="C26" s="6">
        <f>EVALUATION_WORKSPACE!B26</f>
        <v/>
      </c>
      <c r="D26" s="6">
        <f>EVALUATION_WORKSPACE!C26</f>
        <v/>
      </c>
      <c r="E26" s="6">
        <f>EVALUATION_WORKSPACE!D26</f>
        <v/>
      </c>
      <c r="F26" s="6">
        <f>EVALUATION_WORKSPACE!Q26</f>
        <v/>
      </c>
      <c r="G26" s="6">
        <f>EVALUATION_WORKSPACE!R26</f>
        <v/>
      </c>
      <c r="H26" s="6">
        <f>EVALUATION_WORKSPACE!S26</f>
        <v/>
      </c>
      <c r="I26" s="6">
        <f>EVALUATION_WORKSPACE!T26</f>
        <v/>
      </c>
      <c r="J26" s="215">
        <f>EVALUATION_WORKSPACE!U26</f>
        <v/>
      </c>
      <c r="K26" s="6">
        <f>EVALUATION_WORKSPACE!V26</f>
        <v/>
      </c>
      <c r="L26" s="6">
        <f>IF(I26="RFI - info missing","Request missing information",IF(I26="Negotiation item","Add to negotiation agenda",IF(I26="Not available","Confirm unavailable / deviation",IF(F26="MISS","Follow-up needed",IF(F26="NOK","Decision required",IF(F26="ERROR","Clarify interpretation","") )))))</f>
        <v/>
      </c>
      <c r="M26" s="6" t="n"/>
    </row>
    <row r="27" ht="36" customHeight="1">
      <c r="A27" s="6">
        <f>"A"</f>
        <v/>
      </c>
      <c r="B27" s="6">
        <f>EVALUATION_WORKSPACE!A27</f>
        <v/>
      </c>
      <c r="C27" s="6">
        <f>EVALUATION_WORKSPACE!B27</f>
        <v/>
      </c>
      <c r="D27" s="6">
        <f>EVALUATION_WORKSPACE!C27</f>
        <v/>
      </c>
      <c r="E27" s="6">
        <f>EVALUATION_WORKSPACE!D27</f>
        <v/>
      </c>
      <c r="F27" s="6">
        <f>EVALUATION_WORKSPACE!Q27</f>
        <v/>
      </c>
      <c r="G27" s="6">
        <f>EVALUATION_WORKSPACE!R27</f>
        <v/>
      </c>
      <c r="H27" s="6">
        <f>EVALUATION_WORKSPACE!S27</f>
        <v/>
      </c>
      <c r="I27" s="6">
        <f>EVALUATION_WORKSPACE!T27</f>
        <v/>
      </c>
      <c r="J27" s="215">
        <f>EVALUATION_WORKSPACE!U27</f>
        <v/>
      </c>
      <c r="K27" s="6">
        <f>EVALUATION_WORKSPACE!V27</f>
        <v/>
      </c>
      <c r="L27" s="6">
        <f>IF(I27="RFI - info missing","Request missing information",IF(I27="Negotiation item","Add to negotiation agenda",IF(I27="Not available","Confirm unavailable / deviation",IF(F27="MISS","Follow-up needed",IF(F27="NOK","Decision required",IF(F27="ERROR","Clarify interpretation","") )))))</f>
        <v/>
      </c>
      <c r="M27" s="6" t="n"/>
    </row>
    <row r="28" ht="36" customHeight="1">
      <c r="A28" s="6">
        <f>"A"</f>
        <v/>
      </c>
      <c r="B28" s="6">
        <f>EVALUATION_WORKSPACE!A28</f>
        <v/>
      </c>
      <c r="C28" s="6">
        <f>EVALUATION_WORKSPACE!B28</f>
        <v/>
      </c>
      <c r="D28" s="6">
        <f>EVALUATION_WORKSPACE!C28</f>
        <v/>
      </c>
      <c r="E28" s="6">
        <f>EVALUATION_WORKSPACE!D28</f>
        <v/>
      </c>
      <c r="F28" s="6">
        <f>EVALUATION_WORKSPACE!Q28</f>
        <v/>
      </c>
      <c r="G28" s="6">
        <f>EVALUATION_WORKSPACE!R28</f>
        <v/>
      </c>
      <c r="H28" s="6">
        <f>EVALUATION_WORKSPACE!S28</f>
        <v/>
      </c>
      <c r="I28" s="6">
        <f>EVALUATION_WORKSPACE!T28</f>
        <v/>
      </c>
      <c r="J28" s="215">
        <f>EVALUATION_WORKSPACE!U28</f>
        <v/>
      </c>
      <c r="K28" s="6">
        <f>EVALUATION_WORKSPACE!V28</f>
        <v/>
      </c>
      <c r="L28" s="6">
        <f>IF(I28="RFI - info missing","Request missing information",IF(I28="Negotiation item","Add to negotiation agenda",IF(I28="Not available","Confirm unavailable / deviation",IF(F28="MISS","Follow-up needed",IF(F28="NOK","Decision required",IF(F28="ERROR","Clarify interpretation","") )))))</f>
        <v/>
      </c>
      <c r="M28" s="6" t="n"/>
    </row>
    <row r="29" ht="36" customHeight="1">
      <c r="A29" s="6">
        <f>"A"</f>
        <v/>
      </c>
      <c r="B29" s="6">
        <f>EVALUATION_WORKSPACE!A29</f>
        <v/>
      </c>
      <c r="C29" s="6">
        <f>EVALUATION_WORKSPACE!B29</f>
        <v/>
      </c>
      <c r="D29" s="6">
        <f>EVALUATION_WORKSPACE!C29</f>
        <v/>
      </c>
      <c r="E29" s="6">
        <f>EVALUATION_WORKSPACE!D29</f>
        <v/>
      </c>
      <c r="F29" s="6">
        <f>EVALUATION_WORKSPACE!Q29</f>
        <v/>
      </c>
      <c r="G29" s="6">
        <f>EVALUATION_WORKSPACE!R29</f>
        <v/>
      </c>
      <c r="H29" s="6">
        <f>EVALUATION_WORKSPACE!S29</f>
        <v/>
      </c>
      <c r="I29" s="6">
        <f>EVALUATION_WORKSPACE!T29</f>
        <v/>
      </c>
      <c r="J29" s="215">
        <f>EVALUATION_WORKSPACE!U29</f>
        <v/>
      </c>
      <c r="K29" s="6">
        <f>EVALUATION_WORKSPACE!V29</f>
        <v/>
      </c>
      <c r="L29" s="6">
        <f>IF(I29="RFI - info missing","Request missing information",IF(I29="Negotiation item","Add to negotiation agenda",IF(I29="Not available","Confirm unavailable / deviation",IF(F29="MISS","Follow-up needed",IF(F29="NOK","Decision required",IF(F29="ERROR","Clarify interpretation","") )))))</f>
        <v/>
      </c>
      <c r="M29" s="6" t="n"/>
    </row>
    <row r="30" ht="36" customHeight="1">
      <c r="A30" s="6">
        <f>"A"</f>
        <v/>
      </c>
      <c r="B30" s="6">
        <f>EVALUATION_WORKSPACE!A30</f>
        <v/>
      </c>
      <c r="C30" s="6">
        <f>EVALUATION_WORKSPACE!B30</f>
        <v/>
      </c>
      <c r="D30" s="6">
        <f>EVALUATION_WORKSPACE!C30</f>
        <v/>
      </c>
      <c r="E30" s="6">
        <f>EVALUATION_WORKSPACE!D30</f>
        <v/>
      </c>
      <c r="F30" s="6">
        <f>EVALUATION_WORKSPACE!Q30</f>
        <v/>
      </c>
      <c r="G30" s="6">
        <f>EVALUATION_WORKSPACE!R30</f>
        <v/>
      </c>
      <c r="H30" s="6">
        <f>EVALUATION_WORKSPACE!S30</f>
        <v/>
      </c>
      <c r="I30" s="6">
        <f>EVALUATION_WORKSPACE!T30</f>
        <v/>
      </c>
      <c r="J30" s="215">
        <f>EVALUATION_WORKSPACE!U30</f>
        <v/>
      </c>
      <c r="K30" s="6">
        <f>EVALUATION_WORKSPACE!V30</f>
        <v/>
      </c>
      <c r="L30" s="6">
        <f>IF(I30="RFI - info missing","Request missing information",IF(I30="Negotiation item","Add to negotiation agenda",IF(I30="Not available","Confirm unavailable / deviation",IF(F30="MISS","Follow-up needed",IF(F30="NOK","Decision required",IF(F30="ERROR","Clarify interpretation","") )))))</f>
        <v/>
      </c>
      <c r="M30" s="6" t="n"/>
    </row>
    <row r="31" ht="36" customHeight="1">
      <c r="A31" s="6">
        <f>"A"</f>
        <v/>
      </c>
      <c r="B31" s="6">
        <f>EVALUATION_WORKSPACE!A31</f>
        <v/>
      </c>
      <c r="C31" s="6">
        <f>EVALUATION_WORKSPACE!B31</f>
        <v/>
      </c>
      <c r="D31" s="6">
        <f>EVALUATION_WORKSPACE!C31</f>
        <v/>
      </c>
      <c r="E31" s="6">
        <f>EVALUATION_WORKSPACE!D31</f>
        <v/>
      </c>
      <c r="F31" s="6">
        <f>EVALUATION_WORKSPACE!Q31</f>
        <v/>
      </c>
      <c r="G31" s="6">
        <f>EVALUATION_WORKSPACE!R31</f>
        <v/>
      </c>
      <c r="H31" s="6">
        <f>EVALUATION_WORKSPACE!S31</f>
        <v/>
      </c>
      <c r="I31" s="6">
        <f>EVALUATION_WORKSPACE!T31</f>
        <v/>
      </c>
      <c r="J31" s="215">
        <f>EVALUATION_WORKSPACE!U31</f>
        <v/>
      </c>
      <c r="K31" s="6">
        <f>EVALUATION_WORKSPACE!V31</f>
        <v/>
      </c>
      <c r="L31" s="6">
        <f>IF(I31="RFI - info missing","Request missing information",IF(I31="Negotiation item","Add to negotiation agenda",IF(I31="Not available","Confirm unavailable / deviation",IF(F31="MISS","Follow-up needed",IF(F31="NOK","Decision required",IF(F31="ERROR","Clarify interpretation","") )))))</f>
        <v/>
      </c>
      <c r="M31" s="6" t="n"/>
    </row>
    <row r="32" ht="36" customHeight="1">
      <c r="A32" s="6">
        <f>"A"</f>
        <v/>
      </c>
      <c r="B32" s="6">
        <f>EVALUATION_WORKSPACE!A32</f>
        <v/>
      </c>
      <c r="C32" s="6">
        <f>EVALUATION_WORKSPACE!B32</f>
        <v/>
      </c>
      <c r="D32" s="6">
        <f>EVALUATION_WORKSPACE!C32</f>
        <v/>
      </c>
      <c r="E32" s="6">
        <f>EVALUATION_WORKSPACE!D32</f>
        <v/>
      </c>
      <c r="F32" s="6">
        <f>EVALUATION_WORKSPACE!Q32</f>
        <v/>
      </c>
      <c r="G32" s="6">
        <f>EVALUATION_WORKSPACE!R32</f>
        <v/>
      </c>
      <c r="H32" s="6">
        <f>EVALUATION_WORKSPACE!S32</f>
        <v/>
      </c>
      <c r="I32" s="6">
        <f>EVALUATION_WORKSPACE!T32</f>
        <v/>
      </c>
      <c r="J32" s="215">
        <f>EVALUATION_WORKSPACE!U32</f>
        <v/>
      </c>
      <c r="K32" s="6">
        <f>EVALUATION_WORKSPACE!V32</f>
        <v/>
      </c>
      <c r="L32" s="6">
        <f>IF(I32="RFI - info missing","Request missing information",IF(I32="Negotiation item","Add to negotiation agenda",IF(I32="Not available","Confirm unavailable / deviation",IF(F32="MISS","Follow-up needed",IF(F32="NOK","Decision required",IF(F32="ERROR","Clarify interpretation","") )))))</f>
        <v/>
      </c>
      <c r="M32" s="6" t="n"/>
    </row>
    <row r="33" ht="36" customHeight="1">
      <c r="A33" s="6">
        <f>"A"</f>
        <v/>
      </c>
      <c r="B33" s="6">
        <f>EVALUATION_WORKSPACE!A33</f>
        <v/>
      </c>
      <c r="C33" s="6">
        <f>EVALUATION_WORKSPACE!B33</f>
        <v/>
      </c>
      <c r="D33" s="6">
        <f>EVALUATION_WORKSPACE!C33</f>
        <v/>
      </c>
      <c r="E33" s="6">
        <f>EVALUATION_WORKSPACE!D33</f>
        <v/>
      </c>
      <c r="F33" s="6">
        <f>EVALUATION_WORKSPACE!Q33</f>
        <v/>
      </c>
      <c r="G33" s="6">
        <f>EVALUATION_WORKSPACE!R33</f>
        <v/>
      </c>
      <c r="H33" s="6">
        <f>EVALUATION_WORKSPACE!S33</f>
        <v/>
      </c>
      <c r="I33" s="6">
        <f>EVALUATION_WORKSPACE!T33</f>
        <v/>
      </c>
      <c r="J33" s="215">
        <f>EVALUATION_WORKSPACE!U33</f>
        <v/>
      </c>
      <c r="K33" s="6">
        <f>EVALUATION_WORKSPACE!V33</f>
        <v/>
      </c>
      <c r="L33" s="6">
        <f>IF(I33="RFI - info missing","Request missing information",IF(I33="Negotiation item","Add to negotiation agenda",IF(I33="Not available","Confirm unavailable / deviation",IF(F33="MISS","Follow-up needed",IF(F33="NOK","Decision required",IF(F33="ERROR","Clarify interpretation","") )))))</f>
        <v/>
      </c>
      <c r="M33" s="6" t="n"/>
    </row>
    <row r="34" ht="36" customHeight="1">
      <c r="A34" s="6">
        <f>"A"</f>
        <v/>
      </c>
      <c r="B34" s="6">
        <f>EVALUATION_WORKSPACE!A34</f>
        <v/>
      </c>
      <c r="C34" s="6">
        <f>EVALUATION_WORKSPACE!B34</f>
        <v/>
      </c>
      <c r="D34" s="6">
        <f>EVALUATION_WORKSPACE!C34</f>
        <v/>
      </c>
      <c r="E34" s="6">
        <f>EVALUATION_WORKSPACE!D34</f>
        <v/>
      </c>
      <c r="F34" s="6">
        <f>EVALUATION_WORKSPACE!Q34</f>
        <v/>
      </c>
      <c r="G34" s="6">
        <f>EVALUATION_WORKSPACE!R34</f>
        <v/>
      </c>
      <c r="H34" s="6">
        <f>EVALUATION_WORKSPACE!S34</f>
        <v/>
      </c>
      <c r="I34" s="6">
        <f>EVALUATION_WORKSPACE!T34</f>
        <v/>
      </c>
      <c r="J34" s="215">
        <f>EVALUATION_WORKSPACE!U34</f>
        <v/>
      </c>
      <c r="K34" s="6">
        <f>EVALUATION_WORKSPACE!V34</f>
        <v/>
      </c>
      <c r="L34" s="6">
        <f>IF(I34="RFI - info missing","Request missing information",IF(I34="Negotiation item","Add to negotiation agenda",IF(I34="Not available","Confirm unavailable / deviation",IF(F34="MISS","Follow-up needed",IF(F34="NOK","Decision required",IF(F34="ERROR","Clarify interpretation","") )))))</f>
        <v/>
      </c>
      <c r="M34" s="6" t="n"/>
    </row>
    <row r="35" ht="36" customHeight="1">
      <c r="A35" s="6">
        <f>"A"</f>
        <v/>
      </c>
      <c r="B35" s="6">
        <f>EVALUATION_WORKSPACE!A35</f>
        <v/>
      </c>
      <c r="C35" s="6">
        <f>EVALUATION_WORKSPACE!B35</f>
        <v/>
      </c>
      <c r="D35" s="6">
        <f>EVALUATION_WORKSPACE!C35</f>
        <v/>
      </c>
      <c r="E35" s="6">
        <f>EVALUATION_WORKSPACE!D35</f>
        <v/>
      </c>
      <c r="F35" s="6">
        <f>EVALUATION_WORKSPACE!Q35</f>
        <v/>
      </c>
      <c r="G35" s="6">
        <f>EVALUATION_WORKSPACE!R35</f>
        <v/>
      </c>
      <c r="H35" s="6">
        <f>EVALUATION_WORKSPACE!S35</f>
        <v/>
      </c>
      <c r="I35" s="6">
        <f>EVALUATION_WORKSPACE!T35</f>
        <v/>
      </c>
      <c r="J35" s="215">
        <f>EVALUATION_WORKSPACE!U35</f>
        <v/>
      </c>
      <c r="K35" s="6">
        <f>EVALUATION_WORKSPACE!V35</f>
        <v/>
      </c>
      <c r="L35" s="6">
        <f>IF(I35="RFI - info missing","Request missing information",IF(I35="Negotiation item","Add to negotiation agenda",IF(I35="Not available","Confirm unavailable / deviation",IF(F35="MISS","Follow-up needed",IF(F35="NOK","Decision required",IF(F35="ERROR","Clarify interpretation","") )))))</f>
        <v/>
      </c>
      <c r="M35" s="6" t="n"/>
    </row>
    <row r="36" ht="36" customHeight="1">
      <c r="A36" s="6">
        <f>"A"</f>
        <v/>
      </c>
      <c r="B36" s="6">
        <f>EVALUATION_WORKSPACE!A36</f>
        <v/>
      </c>
      <c r="C36" s="6">
        <f>EVALUATION_WORKSPACE!B36</f>
        <v/>
      </c>
      <c r="D36" s="6">
        <f>EVALUATION_WORKSPACE!C36</f>
        <v/>
      </c>
      <c r="E36" s="6">
        <f>EVALUATION_WORKSPACE!D36</f>
        <v/>
      </c>
      <c r="F36" s="6">
        <f>EVALUATION_WORKSPACE!Q36</f>
        <v/>
      </c>
      <c r="G36" s="6">
        <f>EVALUATION_WORKSPACE!R36</f>
        <v/>
      </c>
      <c r="H36" s="6">
        <f>EVALUATION_WORKSPACE!S36</f>
        <v/>
      </c>
      <c r="I36" s="6">
        <f>EVALUATION_WORKSPACE!T36</f>
        <v/>
      </c>
      <c r="J36" s="215">
        <f>EVALUATION_WORKSPACE!U36</f>
        <v/>
      </c>
      <c r="K36" s="6">
        <f>EVALUATION_WORKSPACE!V36</f>
        <v/>
      </c>
      <c r="L36" s="6">
        <f>IF(I36="RFI - info missing","Request missing information",IF(I36="Negotiation item","Add to negotiation agenda",IF(I36="Not available","Confirm unavailable / deviation",IF(F36="MISS","Follow-up needed",IF(F36="NOK","Decision required",IF(F36="ERROR","Clarify interpretation","") )))))</f>
        <v/>
      </c>
      <c r="M36" s="6" t="n"/>
    </row>
    <row r="37" ht="36" customHeight="1">
      <c r="A37" s="6">
        <f>"A"</f>
        <v/>
      </c>
      <c r="B37" s="6">
        <f>EVALUATION_WORKSPACE!A37</f>
        <v/>
      </c>
      <c r="C37" s="6">
        <f>EVALUATION_WORKSPACE!B37</f>
        <v/>
      </c>
      <c r="D37" s="6">
        <f>EVALUATION_WORKSPACE!C37</f>
        <v/>
      </c>
      <c r="E37" s="6">
        <f>EVALUATION_WORKSPACE!D37</f>
        <v/>
      </c>
      <c r="F37" s="6">
        <f>EVALUATION_WORKSPACE!Q37</f>
        <v/>
      </c>
      <c r="G37" s="6">
        <f>EVALUATION_WORKSPACE!R37</f>
        <v/>
      </c>
      <c r="H37" s="6">
        <f>EVALUATION_WORKSPACE!S37</f>
        <v/>
      </c>
      <c r="I37" s="6">
        <f>EVALUATION_WORKSPACE!T37</f>
        <v/>
      </c>
      <c r="J37" s="215">
        <f>EVALUATION_WORKSPACE!U37</f>
        <v/>
      </c>
      <c r="K37" s="6">
        <f>EVALUATION_WORKSPACE!V37</f>
        <v/>
      </c>
      <c r="L37" s="6">
        <f>IF(I37="RFI - info missing","Request missing information",IF(I37="Negotiation item","Add to negotiation agenda",IF(I37="Not available","Confirm unavailable / deviation",IF(F37="MISS","Follow-up needed",IF(F37="NOK","Decision required",IF(F37="ERROR","Clarify interpretation","") )))))</f>
        <v/>
      </c>
      <c r="M37" s="6" t="n"/>
    </row>
    <row r="38" ht="36" customHeight="1">
      <c r="A38" s="6">
        <f>"A"</f>
        <v/>
      </c>
      <c r="B38" s="6">
        <f>EVALUATION_WORKSPACE!A38</f>
        <v/>
      </c>
      <c r="C38" s="6">
        <f>EVALUATION_WORKSPACE!B38</f>
        <v/>
      </c>
      <c r="D38" s="6">
        <f>EVALUATION_WORKSPACE!C38</f>
        <v/>
      </c>
      <c r="E38" s="6">
        <f>EVALUATION_WORKSPACE!D38</f>
        <v/>
      </c>
      <c r="F38" s="6">
        <f>EVALUATION_WORKSPACE!Q38</f>
        <v/>
      </c>
      <c r="G38" s="6">
        <f>EVALUATION_WORKSPACE!R38</f>
        <v/>
      </c>
      <c r="H38" s="6">
        <f>EVALUATION_WORKSPACE!S38</f>
        <v/>
      </c>
      <c r="I38" s="6">
        <f>EVALUATION_WORKSPACE!T38</f>
        <v/>
      </c>
      <c r="J38" s="215">
        <f>EVALUATION_WORKSPACE!U38</f>
        <v/>
      </c>
      <c r="K38" s="6">
        <f>EVALUATION_WORKSPACE!V38</f>
        <v/>
      </c>
      <c r="L38" s="6">
        <f>IF(I38="RFI - info missing","Request missing information",IF(I38="Negotiation item","Add to negotiation agenda",IF(I38="Not available","Confirm unavailable / deviation",IF(F38="MISS","Follow-up needed",IF(F38="NOK","Decision required",IF(F38="ERROR","Clarify interpretation","") )))))</f>
        <v/>
      </c>
      <c r="M38" s="6" t="n"/>
    </row>
    <row r="39" ht="36" customHeight="1">
      <c r="A39" s="6">
        <f>"A"</f>
        <v/>
      </c>
      <c r="B39" s="6">
        <f>EVALUATION_WORKSPACE!A39</f>
        <v/>
      </c>
      <c r="C39" s="6">
        <f>EVALUATION_WORKSPACE!B39</f>
        <v/>
      </c>
      <c r="D39" s="6">
        <f>EVALUATION_WORKSPACE!C39</f>
        <v/>
      </c>
      <c r="E39" s="6">
        <f>EVALUATION_WORKSPACE!D39</f>
        <v/>
      </c>
      <c r="F39" s="6">
        <f>EVALUATION_WORKSPACE!Q39</f>
        <v/>
      </c>
      <c r="G39" s="6">
        <f>EVALUATION_WORKSPACE!R39</f>
        <v/>
      </c>
      <c r="H39" s="6">
        <f>EVALUATION_WORKSPACE!S39</f>
        <v/>
      </c>
      <c r="I39" s="6">
        <f>EVALUATION_WORKSPACE!T39</f>
        <v/>
      </c>
      <c r="J39" s="215">
        <f>EVALUATION_WORKSPACE!U39</f>
        <v/>
      </c>
      <c r="K39" s="6">
        <f>EVALUATION_WORKSPACE!V39</f>
        <v/>
      </c>
      <c r="L39" s="6">
        <f>IF(I39="RFI - info missing","Request missing information",IF(I39="Negotiation item","Add to negotiation agenda",IF(I39="Not available","Confirm unavailable / deviation",IF(F39="MISS","Follow-up needed",IF(F39="NOK","Decision required",IF(F39="ERROR","Clarify interpretation","") )))))</f>
        <v/>
      </c>
      <c r="M39" s="6" t="n"/>
    </row>
    <row r="40" ht="36" customHeight="1">
      <c r="A40" s="6">
        <f>"A"</f>
        <v/>
      </c>
      <c r="B40" s="6">
        <f>EVALUATION_WORKSPACE!A40</f>
        <v/>
      </c>
      <c r="C40" s="6">
        <f>EVALUATION_WORKSPACE!B40</f>
        <v/>
      </c>
      <c r="D40" s="6">
        <f>EVALUATION_WORKSPACE!C40</f>
        <v/>
      </c>
      <c r="E40" s="6">
        <f>EVALUATION_WORKSPACE!D40</f>
        <v/>
      </c>
      <c r="F40" s="6">
        <f>EVALUATION_WORKSPACE!Q40</f>
        <v/>
      </c>
      <c r="G40" s="6">
        <f>EVALUATION_WORKSPACE!R40</f>
        <v/>
      </c>
      <c r="H40" s="6">
        <f>EVALUATION_WORKSPACE!S40</f>
        <v/>
      </c>
      <c r="I40" s="6">
        <f>EVALUATION_WORKSPACE!T40</f>
        <v/>
      </c>
      <c r="J40" s="215">
        <f>EVALUATION_WORKSPACE!U40</f>
        <v/>
      </c>
      <c r="K40" s="6">
        <f>EVALUATION_WORKSPACE!V40</f>
        <v/>
      </c>
      <c r="L40" s="6">
        <f>IF(I40="RFI - info missing","Request missing information",IF(I40="Negotiation item","Add to negotiation agenda",IF(I40="Not available","Confirm unavailable / deviation",IF(F40="MISS","Follow-up needed",IF(F40="NOK","Decision required",IF(F40="ERROR","Clarify interpretation","") )))))</f>
        <v/>
      </c>
      <c r="M40" s="6" t="n"/>
    </row>
    <row r="41" ht="36" customHeight="1">
      <c r="A41" s="6">
        <f>"A"</f>
        <v/>
      </c>
      <c r="B41" s="6">
        <f>EVALUATION_WORKSPACE!A41</f>
        <v/>
      </c>
      <c r="C41" s="6">
        <f>EVALUATION_WORKSPACE!B41</f>
        <v/>
      </c>
      <c r="D41" s="6">
        <f>EVALUATION_WORKSPACE!C41</f>
        <v/>
      </c>
      <c r="E41" s="6">
        <f>EVALUATION_WORKSPACE!D41</f>
        <v/>
      </c>
      <c r="F41" s="6">
        <f>EVALUATION_WORKSPACE!Q41</f>
        <v/>
      </c>
      <c r="G41" s="6">
        <f>EVALUATION_WORKSPACE!R41</f>
        <v/>
      </c>
      <c r="H41" s="6">
        <f>EVALUATION_WORKSPACE!S41</f>
        <v/>
      </c>
      <c r="I41" s="6">
        <f>EVALUATION_WORKSPACE!T41</f>
        <v/>
      </c>
      <c r="J41" s="215">
        <f>EVALUATION_WORKSPACE!U41</f>
        <v/>
      </c>
      <c r="K41" s="6">
        <f>EVALUATION_WORKSPACE!V41</f>
        <v/>
      </c>
      <c r="L41" s="6">
        <f>IF(I41="RFI - info missing","Request missing information",IF(I41="Negotiation item","Add to negotiation agenda",IF(I41="Not available","Confirm unavailable / deviation",IF(F41="MISS","Follow-up needed",IF(F41="NOK","Decision required",IF(F41="ERROR","Clarify interpretation","") )))))</f>
        <v/>
      </c>
      <c r="M41" s="6" t="n"/>
    </row>
    <row r="42" ht="36" customHeight="1">
      <c r="A42" s="6">
        <f>"A"</f>
        <v/>
      </c>
      <c r="B42" s="6">
        <f>EVALUATION_WORKSPACE!A42</f>
        <v/>
      </c>
      <c r="C42" s="6">
        <f>EVALUATION_WORKSPACE!B42</f>
        <v/>
      </c>
      <c r="D42" s="6">
        <f>EVALUATION_WORKSPACE!C42</f>
        <v/>
      </c>
      <c r="E42" s="6">
        <f>EVALUATION_WORKSPACE!D42</f>
        <v/>
      </c>
      <c r="F42" s="6">
        <f>EVALUATION_WORKSPACE!Q42</f>
        <v/>
      </c>
      <c r="G42" s="6">
        <f>EVALUATION_WORKSPACE!R42</f>
        <v/>
      </c>
      <c r="H42" s="6">
        <f>EVALUATION_WORKSPACE!S42</f>
        <v/>
      </c>
      <c r="I42" s="6">
        <f>EVALUATION_WORKSPACE!T42</f>
        <v/>
      </c>
      <c r="J42" s="215">
        <f>EVALUATION_WORKSPACE!U42</f>
        <v/>
      </c>
      <c r="K42" s="6">
        <f>EVALUATION_WORKSPACE!V42</f>
        <v/>
      </c>
      <c r="L42" s="6">
        <f>IF(I42="RFI - info missing","Request missing information",IF(I42="Negotiation item","Add to negotiation agenda",IF(I42="Not available","Confirm unavailable / deviation",IF(F42="MISS","Follow-up needed",IF(F42="NOK","Decision required",IF(F42="ERROR","Clarify interpretation","") )))))</f>
        <v/>
      </c>
      <c r="M42" s="6" t="n"/>
    </row>
    <row r="43" ht="36" customHeight="1">
      <c r="A43" s="6">
        <f>"A"</f>
        <v/>
      </c>
      <c r="B43" s="6">
        <f>EVALUATION_WORKSPACE!A43</f>
        <v/>
      </c>
      <c r="C43" s="6">
        <f>EVALUATION_WORKSPACE!B43</f>
        <v/>
      </c>
      <c r="D43" s="6">
        <f>EVALUATION_WORKSPACE!C43</f>
        <v/>
      </c>
      <c r="E43" s="6">
        <f>EVALUATION_WORKSPACE!D43</f>
        <v/>
      </c>
      <c r="F43" s="6">
        <f>EVALUATION_WORKSPACE!Q43</f>
        <v/>
      </c>
      <c r="G43" s="6">
        <f>EVALUATION_WORKSPACE!R43</f>
        <v/>
      </c>
      <c r="H43" s="6">
        <f>EVALUATION_WORKSPACE!S43</f>
        <v/>
      </c>
      <c r="I43" s="6">
        <f>EVALUATION_WORKSPACE!T43</f>
        <v/>
      </c>
      <c r="J43" s="215">
        <f>EVALUATION_WORKSPACE!U43</f>
        <v/>
      </c>
      <c r="K43" s="6">
        <f>EVALUATION_WORKSPACE!V43</f>
        <v/>
      </c>
      <c r="L43" s="6">
        <f>IF(I43="RFI - info missing","Request missing information",IF(I43="Negotiation item","Add to negotiation agenda",IF(I43="Not available","Confirm unavailable / deviation",IF(F43="MISS","Follow-up needed",IF(F43="NOK","Decision required",IF(F43="ERROR","Clarify interpretation","") )))))</f>
        <v/>
      </c>
      <c r="M43" s="6" t="n"/>
    </row>
    <row r="44" ht="36" customHeight="1">
      <c r="A44" s="6">
        <f>"A"</f>
        <v/>
      </c>
      <c r="B44" s="6">
        <f>EVALUATION_WORKSPACE!A44</f>
        <v/>
      </c>
      <c r="C44" s="6">
        <f>EVALUATION_WORKSPACE!B44</f>
        <v/>
      </c>
      <c r="D44" s="6">
        <f>EVALUATION_WORKSPACE!C44</f>
        <v/>
      </c>
      <c r="E44" s="6">
        <f>EVALUATION_WORKSPACE!D44</f>
        <v/>
      </c>
      <c r="F44" s="6">
        <f>EVALUATION_WORKSPACE!Q44</f>
        <v/>
      </c>
      <c r="G44" s="6">
        <f>EVALUATION_WORKSPACE!R44</f>
        <v/>
      </c>
      <c r="H44" s="6">
        <f>EVALUATION_WORKSPACE!S44</f>
        <v/>
      </c>
      <c r="I44" s="6">
        <f>EVALUATION_WORKSPACE!T44</f>
        <v/>
      </c>
      <c r="J44" s="215">
        <f>EVALUATION_WORKSPACE!U44</f>
        <v/>
      </c>
      <c r="K44" s="6">
        <f>EVALUATION_WORKSPACE!V44</f>
        <v/>
      </c>
      <c r="L44" s="6">
        <f>IF(I44="RFI - info missing","Request missing information",IF(I44="Negotiation item","Add to negotiation agenda",IF(I44="Not available","Confirm unavailable / deviation",IF(F44="MISS","Follow-up needed",IF(F44="NOK","Decision required",IF(F44="ERROR","Clarify interpretation","") )))))</f>
        <v/>
      </c>
      <c r="M44" s="6" t="n"/>
    </row>
    <row r="45" ht="36" customHeight="1">
      <c r="A45" s="6">
        <f>"A"</f>
        <v/>
      </c>
      <c r="B45" s="6">
        <f>EVALUATION_WORKSPACE!A45</f>
        <v/>
      </c>
      <c r="C45" s="6">
        <f>EVALUATION_WORKSPACE!B45</f>
        <v/>
      </c>
      <c r="D45" s="6">
        <f>EVALUATION_WORKSPACE!C45</f>
        <v/>
      </c>
      <c r="E45" s="6">
        <f>EVALUATION_WORKSPACE!D45</f>
        <v/>
      </c>
      <c r="F45" s="6">
        <f>EVALUATION_WORKSPACE!Q45</f>
        <v/>
      </c>
      <c r="G45" s="6">
        <f>EVALUATION_WORKSPACE!R45</f>
        <v/>
      </c>
      <c r="H45" s="6">
        <f>EVALUATION_WORKSPACE!S45</f>
        <v/>
      </c>
      <c r="I45" s="6">
        <f>EVALUATION_WORKSPACE!T45</f>
        <v/>
      </c>
      <c r="J45" s="215">
        <f>EVALUATION_WORKSPACE!U45</f>
        <v/>
      </c>
      <c r="K45" s="6">
        <f>EVALUATION_WORKSPACE!V45</f>
        <v/>
      </c>
      <c r="L45" s="6">
        <f>IF(I45="RFI - info missing","Request missing information",IF(I45="Negotiation item","Add to negotiation agenda",IF(I45="Not available","Confirm unavailable / deviation",IF(F45="MISS","Follow-up needed",IF(F45="NOK","Decision required",IF(F45="ERROR","Clarify interpretation","") )))))</f>
        <v/>
      </c>
      <c r="M45" s="6" t="n"/>
    </row>
    <row r="46" ht="36" customHeight="1">
      <c r="A46" s="6">
        <f>"A"</f>
        <v/>
      </c>
      <c r="B46" s="6">
        <f>EVALUATION_WORKSPACE!A46</f>
        <v/>
      </c>
      <c r="C46" s="6">
        <f>EVALUATION_WORKSPACE!B46</f>
        <v/>
      </c>
      <c r="D46" s="6">
        <f>EVALUATION_WORKSPACE!C46</f>
        <v/>
      </c>
      <c r="E46" s="6">
        <f>EVALUATION_WORKSPACE!D46</f>
        <v/>
      </c>
      <c r="F46" s="6">
        <f>EVALUATION_WORKSPACE!Q46</f>
        <v/>
      </c>
      <c r="G46" s="6">
        <f>EVALUATION_WORKSPACE!R46</f>
        <v/>
      </c>
      <c r="H46" s="6">
        <f>EVALUATION_WORKSPACE!S46</f>
        <v/>
      </c>
      <c r="I46" s="6">
        <f>EVALUATION_WORKSPACE!T46</f>
        <v/>
      </c>
      <c r="J46" s="215">
        <f>EVALUATION_WORKSPACE!U46</f>
        <v/>
      </c>
      <c r="K46" s="6">
        <f>EVALUATION_WORKSPACE!V46</f>
        <v/>
      </c>
      <c r="L46" s="6">
        <f>IF(I46="RFI - info missing","Request missing information",IF(I46="Negotiation item","Add to negotiation agenda",IF(I46="Not available","Confirm unavailable / deviation",IF(F46="MISS","Follow-up needed",IF(F46="NOK","Decision required",IF(F46="ERROR","Clarify interpretation","") )))))</f>
        <v/>
      </c>
      <c r="M46" s="6" t="n"/>
    </row>
    <row r="47" ht="36" customHeight="1">
      <c r="A47" s="6">
        <f>"A"</f>
        <v/>
      </c>
      <c r="B47" s="6">
        <f>EVALUATION_WORKSPACE!A47</f>
        <v/>
      </c>
      <c r="C47" s="6">
        <f>EVALUATION_WORKSPACE!B47</f>
        <v/>
      </c>
      <c r="D47" s="6">
        <f>EVALUATION_WORKSPACE!C47</f>
        <v/>
      </c>
      <c r="E47" s="6">
        <f>EVALUATION_WORKSPACE!D47</f>
        <v/>
      </c>
      <c r="F47" s="6">
        <f>EVALUATION_WORKSPACE!Q47</f>
        <v/>
      </c>
      <c r="G47" s="6">
        <f>EVALUATION_WORKSPACE!R47</f>
        <v/>
      </c>
      <c r="H47" s="6">
        <f>EVALUATION_WORKSPACE!S47</f>
        <v/>
      </c>
      <c r="I47" s="6">
        <f>EVALUATION_WORKSPACE!T47</f>
        <v/>
      </c>
      <c r="J47" s="215">
        <f>EVALUATION_WORKSPACE!U47</f>
        <v/>
      </c>
      <c r="K47" s="6">
        <f>EVALUATION_WORKSPACE!V47</f>
        <v/>
      </c>
      <c r="L47" s="6">
        <f>IF(I47="RFI - info missing","Request missing information",IF(I47="Negotiation item","Add to negotiation agenda",IF(I47="Not available","Confirm unavailable / deviation",IF(F47="MISS","Follow-up needed",IF(F47="NOK","Decision required",IF(F47="ERROR","Clarify interpretation","") )))))</f>
        <v/>
      </c>
      <c r="M47" s="6" t="n"/>
    </row>
    <row r="48" ht="36" customHeight="1">
      <c r="A48" s="6">
        <f>"A"</f>
        <v/>
      </c>
      <c r="B48" s="6">
        <f>EVALUATION_WORKSPACE!A48</f>
        <v/>
      </c>
      <c r="C48" s="6">
        <f>EVALUATION_WORKSPACE!B48</f>
        <v/>
      </c>
      <c r="D48" s="6">
        <f>EVALUATION_WORKSPACE!C48</f>
        <v/>
      </c>
      <c r="E48" s="6">
        <f>EVALUATION_WORKSPACE!D48</f>
        <v/>
      </c>
      <c r="F48" s="6">
        <f>EVALUATION_WORKSPACE!Q48</f>
        <v/>
      </c>
      <c r="G48" s="6">
        <f>EVALUATION_WORKSPACE!R48</f>
        <v/>
      </c>
      <c r="H48" s="6">
        <f>EVALUATION_WORKSPACE!S48</f>
        <v/>
      </c>
      <c r="I48" s="6">
        <f>EVALUATION_WORKSPACE!T48</f>
        <v/>
      </c>
      <c r="J48" s="215">
        <f>EVALUATION_WORKSPACE!U48</f>
        <v/>
      </c>
      <c r="K48" s="6">
        <f>EVALUATION_WORKSPACE!V48</f>
        <v/>
      </c>
      <c r="L48" s="6">
        <f>IF(I48="RFI - info missing","Request missing information",IF(I48="Negotiation item","Add to negotiation agenda",IF(I48="Not available","Confirm unavailable / deviation",IF(F48="MISS","Follow-up needed",IF(F48="NOK","Decision required",IF(F48="ERROR","Clarify interpretation","") )))))</f>
        <v/>
      </c>
      <c r="M48" s="6" t="n"/>
    </row>
    <row r="49" ht="36" customHeight="1">
      <c r="A49" s="6">
        <f>"A"</f>
        <v/>
      </c>
      <c r="B49" s="6">
        <f>EVALUATION_WORKSPACE!A49</f>
        <v/>
      </c>
      <c r="C49" s="6">
        <f>EVALUATION_WORKSPACE!B49</f>
        <v/>
      </c>
      <c r="D49" s="6">
        <f>EVALUATION_WORKSPACE!C49</f>
        <v/>
      </c>
      <c r="E49" s="6">
        <f>EVALUATION_WORKSPACE!D49</f>
        <v/>
      </c>
      <c r="F49" s="6">
        <f>EVALUATION_WORKSPACE!Q49</f>
        <v/>
      </c>
      <c r="G49" s="6">
        <f>EVALUATION_WORKSPACE!R49</f>
        <v/>
      </c>
      <c r="H49" s="6">
        <f>EVALUATION_WORKSPACE!S49</f>
        <v/>
      </c>
      <c r="I49" s="6">
        <f>EVALUATION_WORKSPACE!T49</f>
        <v/>
      </c>
      <c r="J49" s="215">
        <f>EVALUATION_WORKSPACE!U49</f>
        <v/>
      </c>
      <c r="K49" s="6">
        <f>EVALUATION_WORKSPACE!V49</f>
        <v/>
      </c>
      <c r="L49" s="6">
        <f>IF(I49="RFI - info missing","Request missing information",IF(I49="Negotiation item","Add to negotiation agenda",IF(I49="Not available","Confirm unavailable / deviation",IF(F49="MISS","Follow-up needed",IF(F49="NOK","Decision required",IF(F49="ERROR","Clarify interpretation","") )))))</f>
        <v/>
      </c>
      <c r="M49" s="6" t="n"/>
    </row>
    <row r="50" ht="36" customHeight="1">
      <c r="A50" s="6">
        <f>"A"</f>
        <v/>
      </c>
      <c r="B50" s="6">
        <f>EVALUATION_WORKSPACE!A50</f>
        <v/>
      </c>
      <c r="C50" s="6">
        <f>EVALUATION_WORKSPACE!B50</f>
        <v/>
      </c>
      <c r="D50" s="6">
        <f>EVALUATION_WORKSPACE!C50</f>
        <v/>
      </c>
      <c r="E50" s="6">
        <f>EVALUATION_WORKSPACE!D50</f>
        <v/>
      </c>
      <c r="F50" s="6">
        <f>EVALUATION_WORKSPACE!Q50</f>
        <v/>
      </c>
      <c r="G50" s="6">
        <f>EVALUATION_WORKSPACE!R50</f>
        <v/>
      </c>
      <c r="H50" s="6">
        <f>EVALUATION_WORKSPACE!S50</f>
        <v/>
      </c>
      <c r="I50" s="6">
        <f>EVALUATION_WORKSPACE!T50</f>
        <v/>
      </c>
      <c r="J50" s="215">
        <f>EVALUATION_WORKSPACE!U50</f>
        <v/>
      </c>
      <c r="K50" s="6">
        <f>EVALUATION_WORKSPACE!V50</f>
        <v/>
      </c>
      <c r="L50" s="6">
        <f>IF(I50="RFI - info missing","Request missing information",IF(I50="Negotiation item","Add to negotiation agenda",IF(I50="Not available","Confirm unavailable / deviation",IF(F50="MISS","Follow-up needed",IF(F50="NOK","Decision required",IF(F50="ERROR","Clarify interpretation","") )))))</f>
        <v/>
      </c>
      <c r="M50" s="6" t="n"/>
    </row>
    <row r="51" ht="36" customHeight="1">
      <c r="A51" s="6">
        <f>"A"</f>
        <v/>
      </c>
      <c r="B51" s="6">
        <f>EVALUATION_WORKSPACE!A51</f>
        <v/>
      </c>
      <c r="C51" s="6">
        <f>EVALUATION_WORKSPACE!B51</f>
        <v/>
      </c>
      <c r="D51" s="6">
        <f>EVALUATION_WORKSPACE!C51</f>
        <v/>
      </c>
      <c r="E51" s="6">
        <f>EVALUATION_WORKSPACE!D51</f>
        <v/>
      </c>
      <c r="F51" s="6">
        <f>EVALUATION_WORKSPACE!Q51</f>
        <v/>
      </c>
      <c r="G51" s="6">
        <f>EVALUATION_WORKSPACE!R51</f>
        <v/>
      </c>
      <c r="H51" s="6">
        <f>EVALUATION_WORKSPACE!S51</f>
        <v/>
      </c>
      <c r="I51" s="6">
        <f>EVALUATION_WORKSPACE!T51</f>
        <v/>
      </c>
      <c r="J51" s="215">
        <f>EVALUATION_WORKSPACE!U51</f>
        <v/>
      </c>
      <c r="K51" s="6">
        <f>EVALUATION_WORKSPACE!V51</f>
        <v/>
      </c>
      <c r="L51" s="6">
        <f>IF(I51="RFI - info missing","Request missing information",IF(I51="Negotiation item","Add to negotiation agenda",IF(I51="Not available","Confirm unavailable / deviation",IF(F51="MISS","Follow-up needed",IF(F51="NOK","Decision required",IF(F51="ERROR","Clarify interpretation","") )))))</f>
        <v/>
      </c>
      <c r="M51" s="6" t="n"/>
    </row>
    <row r="52" ht="36" customHeight="1">
      <c r="A52" s="6">
        <f>"A"</f>
        <v/>
      </c>
      <c r="B52" s="6">
        <f>EVALUATION_WORKSPACE!A52</f>
        <v/>
      </c>
      <c r="C52" s="6">
        <f>EVALUATION_WORKSPACE!B52</f>
        <v/>
      </c>
      <c r="D52" s="6">
        <f>EVALUATION_WORKSPACE!C52</f>
        <v/>
      </c>
      <c r="E52" s="6">
        <f>EVALUATION_WORKSPACE!D52</f>
        <v/>
      </c>
      <c r="F52" s="6">
        <f>EVALUATION_WORKSPACE!Q52</f>
        <v/>
      </c>
      <c r="G52" s="6">
        <f>EVALUATION_WORKSPACE!R52</f>
        <v/>
      </c>
      <c r="H52" s="6">
        <f>EVALUATION_WORKSPACE!S52</f>
        <v/>
      </c>
      <c r="I52" s="6">
        <f>EVALUATION_WORKSPACE!T52</f>
        <v/>
      </c>
      <c r="J52" s="215">
        <f>EVALUATION_WORKSPACE!U52</f>
        <v/>
      </c>
      <c r="K52" s="6">
        <f>EVALUATION_WORKSPACE!V52</f>
        <v/>
      </c>
      <c r="L52" s="6">
        <f>IF(I52="RFI - info missing","Request missing information",IF(I52="Negotiation item","Add to negotiation agenda",IF(I52="Not available","Confirm unavailable / deviation",IF(F52="MISS","Follow-up needed",IF(F52="NOK","Decision required",IF(F52="ERROR","Clarify interpretation","") )))))</f>
        <v/>
      </c>
      <c r="M52" s="6" t="n"/>
    </row>
    <row r="53" ht="36" customHeight="1">
      <c r="A53" s="6">
        <f>"A"</f>
        <v/>
      </c>
      <c r="B53" s="6">
        <f>EVALUATION_WORKSPACE!A53</f>
        <v/>
      </c>
      <c r="C53" s="6">
        <f>EVALUATION_WORKSPACE!B53</f>
        <v/>
      </c>
      <c r="D53" s="6">
        <f>EVALUATION_WORKSPACE!C53</f>
        <v/>
      </c>
      <c r="E53" s="6">
        <f>EVALUATION_WORKSPACE!D53</f>
        <v/>
      </c>
      <c r="F53" s="6">
        <f>EVALUATION_WORKSPACE!Q53</f>
        <v/>
      </c>
      <c r="G53" s="6">
        <f>EVALUATION_WORKSPACE!R53</f>
        <v/>
      </c>
      <c r="H53" s="6">
        <f>EVALUATION_WORKSPACE!S53</f>
        <v/>
      </c>
      <c r="I53" s="6">
        <f>EVALUATION_WORKSPACE!T53</f>
        <v/>
      </c>
      <c r="J53" s="215">
        <f>EVALUATION_WORKSPACE!U53</f>
        <v/>
      </c>
      <c r="K53" s="6">
        <f>EVALUATION_WORKSPACE!V53</f>
        <v/>
      </c>
      <c r="L53" s="6">
        <f>IF(I53="RFI - info missing","Request missing information",IF(I53="Negotiation item","Add to negotiation agenda",IF(I53="Not available","Confirm unavailable / deviation",IF(F53="MISS","Follow-up needed",IF(F53="NOK","Decision required",IF(F53="ERROR","Clarify interpretation","") )))))</f>
        <v/>
      </c>
      <c r="M53" s="6" t="n"/>
    </row>
    <row r="54" ht="36" customHeight="1">
      <c r="A54" s="6">
        <f>"A"</f>
        <v/>
      </c>
      <c r="B54" s="6">
        <f>EVALUATION_WORKSPACE!A54</f>
        <v/>
      </c>
      <c r="C54" s="6">
        <f>EVALUATION_WORKSPACE!B54</f>
        <v/>
      </c>
      <c r="D54" s="6">
        <f>EVALUATION_WORKSPACE!C54</f>
        <v/>
      </c>
      <c r="E54" s="6">
        <f>EVALUATION_WORKSPACE!D54</f>
        <v/>
      </c>
      <c r="F54" s="6">
        <f>EVALUATION_WORKSPACE!Q54</f>
        <v/>
      </c>
      <c r="G54" s="6">
        <f>EVALUATION_WORKSPACE!R54</f>
        <v/>
      </c>
      <c r="H54" s="6">
        <f>EVALUATION_WORKSPACE!S54</f>
        <v/>
      </c>
      <c r="I54" s="6">
        <f>EVALUATION_WORKSPACE!T54</f>
        <v/>
      </c>
      <c r="J54" s="215">
        <f>EVALUATION_WORKSPACE!U54</f>
        <v/>
      </c>
      <c r="K54" s="6">
        <f>EVALUATION_WORKSPACE!V54</f>
        <v/>
      </c>
      <c r="L54" s="6">
        <f>IF(I54="RFI - info missing","Request missing information",IF(I54="Negotiation item","Add to negotiation agenda",IF(I54="Not available","Confirm unavailable / deviation",IF(F54="MISS","Follow-up needed",IF(F54="NOK","Decision required",IF(F54="ERROR","Clarify interpretation","") )))))</f>
        <v/>
      </c>
      <c r="M54" s="6" t="n"/>
    </row>
    <row r="55" ht="36" customHeight="1">
      <c r="A55" s="6">
        <f>"A"</f>
        <v/>
      </c>
      <c r="B55" s="6">
        <f>EVALUATION_WORKSPACE!A55</f>
        <v/>
      </c>
      <c r="C55" s="6">
        <f>EVALUATION_WORKSPACE!B55</f>
        <v/>
      </c>
      <c r="D55" s="6">
        <f>EVALUATION_WORKSPACE!C55</f>
        <v/>
      </c>
      <c r="E55" s="6">
        <f>EVALUATION_WORKSPACE!D55</f>
        <v/>
      </c>
      <c r="F55" s="6">
        <f>EVALUATION_WORKSPACE!Q55</f>
        <v/>
      </c>
      <c r="G55" s="6">
        <f>EVALUATION_WORKSPACE!R55</f>
        <v/>
      </c>
      <c r="H55" s="6">
        <f>EVALUATION_WORKSPACE!S55</f>
        <v/>
      </c>
      <c r="I55" s="6">
        <f>EVALUATION_WORKSPACE!T55</f>
        <v/>
      </c>
      <c r="J55" s="215">
        <f>EVALUATION_WORKSPACE!U55</f>
        <v/>
      </c>
      <c r="K55" s="6">
        <f>EVALUATION_WORKSPACE!V55</f>
        <v/>
      </c>
      <c r="L55" s="6">
        <f>IF(I55="RFI - info missing","Request missing information",IF(I55="Negotiation item","Add to negotiation agenda",IF(I55="Not available","Confirm unavailable / deviation",IF(F55="MISS","Follow-up needed",IF(F55="NOK","Decision required",IF(F55="ERROR","Clarify interpretation","") )))))</f>
        <v/>
      </c>
      <c r="M55" s="6" t="n"/>
    </row>
    <row r="56" ht="36" customHeight="1">
      <c r="A56" s="6">
        <f>"B"</f>
        <v/>
      </c>
      <c r="B56" s="6">
        <f>EVALUATION_WORKSPACE!A6</f>
        <v/>
      </c>
      <c r="C56" s="6">
        <f>EVALUATION_WORKSPACE!B6</f>
        <v/>
      </c>
      <c r="D56" s="6">
        <f>EVALUATION_WORKSPACE!C6</f>
        <v/>
      </c>
      <c r="E56" s="6">
        <f>EVALUATION_WORKSPACE!D6</f>
        <v/>
      </c>
      <c r="F56" s="6">
        <f>EVALUATION_WORKSPACE!W6</f>
        <v/>
      </c>
      <c r="G56" s="6">
        <f>EVALUATION_WORKSPACE!X6</f>
        <v/>
      </c>
      <c r="H56" s="6">
        <f>EVALUATION_WORKSPACE!Y6</f>
        <v/>
      </c>
      <c r="I56" s="6">
        <f>EVALUATION_WORKSPACE!Z6</f>
        <v/>
      </c>
      <c r="J56" s="215">
        <f>EVALUATION_WORKSPACE!AA6</f>
        <v/>
      </c>
      <c r="K56" s="6">
        <f>EVALUATION_WORKSPACE!AB6</f>
        <v/>
      </c>
      <c r="L56" s="6">
        <f>IF(I56="RFI - info missing","Request missing information",IF(I56="Negotiation item","Add to negotiation agenda",IF(I56="Not available","Confirm unavailable / deviation",IF(F56="MISS","Follow-up needed",IF(F56="NOK","Decision required",IF(F56="ERROR","Clarify interpretation","") )))))</f>
        <v/>
      </c>
      <c r="M56" s="6" t="n"/>
    </row>
    <row r="57" ht="36" customHeight="1">
      <c r="A57" s="6">
        <f>"B"</f>
        <v/>
      </c>
      <c r="B57" s="6">
        <f>EVALUATION_WORKSPACE!A7</f>
        <v/>
      </c>
      <c r="C57" s="6">
        <f>EVALUATION_WORKSPACE!B7</f>
        <v/>
      </c>
      <c r="D57" s="6">
        <f>EVALUATION_WORKSPACE!C7</f>
        <v/>
      </c>
      <c r="E57" s="6">
        <f>EVALUATION_WORKSPACE!D7</f>
        <v/>
      </c>
      <c r="F57" s="6">
        <f>EVALUATION_WORKSPACE!W7</f>
        <v/>
      </c>
      <c r="G57" s="6">
        <f>EVALUATION_WORKSPACE!X7</f>
        <v/>
      </c>
      <c r="H57" s="6">
        <f>EVALUATION_WORKSPACE!Y7</f>
        <v/>
      </c>
      <c r="I57" s="6">
        <f>EVALUATION_WORKSPACE!Z7</f>
        <v/>
      </c>
      <c r="J57" s="215">
        <f>EVALUATION_WORKSPACE!AA7</f>
        <v/>
      </c>
      <c r="K57" s="6">
        <f>EVALUATION_WORKSPACE!AB7</f>
        <v/>
      </c>
      <c r="L57" s="6">
        <f>IF(I57="RFI - info missing","Request missing information",IF(I57="Negotiation item","Add to negotiation agenda",IF(I57="Not available","Confirm unavailable / deviation",IF(F57="MISS","Follow-up needed",IF(F57="NOK","Decision required",IF(F57="ERROR","Clarify interpretation","") )))))</f>
        <v/>
      </c>
      <c r="M57" s="6" t="n"/>
    </row>
    <row r="58" ht="36" customHeight="1">
      <c r="A58" s="6">
        <f>"B"</f>
        <v/>
      </c>
      <c r="B58" s="6">
        <f>EVALUATION_WORKSPACE!A8</f>
        <v/>
      </c>
      <c r="C58" s="6">
        <f>EVALUATION_WORKSPACE!B8</f>
        <v/>
      </c>
      <c r="D58" s="6">
        <f>EVALUATION_WORKSPACE!C8</f>
        <v/>
      </c>
      <c r="E58" s="6">
        <f>EVALUATION_WORKSPACE!D8</f>
        <v/>
      </c>
      <c r="F58" s="6">
        <f>EVALUATION_WORKSPACE!W8</f>
        <v/>
      </c>
      <c r="G58" s="6">
        <f>EVALUATION_WORKSPACE!X8</f>
        <v/>
      </c>
      <c r="H58" s="6">
        <f>EVALUATION_WORKSPACE!Y8</f>
        <v/>
      </c>
      <c r="I58" s="6">
        <f>EVALUATION_WORKSPACE!Z8</f>
        <v/>
      </c>
      <c r="J58" s="215">
        <f>EVALUATION_WORKSPACE!AA8</f>
        <v/>
      </c>
      <c r="K58" s="6">
        <f>EVALUATION_WORKSPACE!AB8</f>
        <v/>
      </c>
      <c r="L58" s="6">
        <f>IF(I58="RFI - info missing","Request missing information",IF(I58="Negotiation item","Add to negotiation agenda",IF(I58="Not available","Confirm unavailable / deviation",IF(F58="MISS","Follow-up needed",IF(F58="NOK","Decision required",IF(F58="ERROR","Clarify interpretation","") )))))</f>
        <v/>
      </c>
      <c r="M58" s="6" t="n"/>
    </row>
    <row r="59" ht="36" customHeight="1">
      <c r="A59" s="6">
        <f>"B"</f>
        <v/>
      </c>
      <c r="B59" s="6">
        <f>EVALUATION_WORKSPACE!A9</f>
        <v/>
      </c>
      <c r="C59" s="6">
        <f>EVALUATION_WORKSPACE!B9</f>
        <v/>
      </c>
      <c r="D59" s="6">
        <f>EVALUATION_WORKSPACE!C9</f>
        <v/>
      </c>
      <c r="E59" s="6">
        <f>EVALUATION_WORKSPACE!D9</f>
        <v/>
      </c>
      <c r="F59" s="6">
        <f>EVALUATION_WORKSPACE!W9</f>
        <v/>
      </c>
      <c r="G59" s="6">
        <f>EVALUATION_WORKSPACE!X9</f>
        <v/>
      </c>
      <c r="H59" s="6">
        <f>EVALUATION_WORKSPACE!Y9</f>
        <v/>
      </c>
      <c r="I59" s="6">
        <f>EVALUATION_WORKSPACE!Z9</f>
        <v/>
      </c>
      <c r="J59" s="215">
        <f>EVALUATION_WORKSPACE!AA9</f>
        <v/>
      </c>
      <c r="K59" s="6">
        <f>EVALUATION_WORKSPACE!AB9</f>
        <v/>
      </c>
      <c r="L59" s="6">
        <f>IF(I59="RFI - info missing","Request missing information",IF(I59="Negotiation item","Add to negotiation agenda",IF(I59="Not available","Confirm unavailable / deviation",IF(F59="MISS","Follow-up needed",IF(F59="NOK","Decision required",IF(F59="ERROR","Clarify interpretation","") )))))</f>
        <v/>
      </c>
      <c r="M59" s="6" t="n"/>
    </row>
    <row r="60" ht="36" customHeight="1">
      <c r="A60" s="6">
        <f>"B"</f>
        <v/>
      </c>
      <c r="B60" s="6">
        <f>EVALUATION_WORKSPACE!A10</f>
        <v/>
      </c>
      <c r="C60" s="6">
        <f>EVALUATION_WORKSPACE!B10</f>
        <v/>
      </c>
      <c r="D60" s="6">
        <f>EVALUATION_WORKSPACE!C10</f>
        <v/>
      </c>
      <c r="E60" s="6">
        <f>EVALUATION_WORKSPACE!D10</f>
        <v/>
      </c>
      <c r="F60" s="6">
        <f>EVALUATION_WORKSPACE!W10</f>
        <v/>
      </c>
      <c r="G60" s="6">
        <f>EVALUATION_WORKSPACE!X10</f>
        <v/>
      </c>
      <c r="H60" s="6">
        <f>EVALUATION_WORKSPACE!Y10</f>
        <v/>
      </c>
      <c r="I60" s="6">
        <f>EVALUATION_WORKSPACE!Z10</f>
        <v/>
      </c>
      <c r="J60" s="215">
        <f>EVALUATION_WORKSPACE!AA10</f>
        <v/>
      </c>
      <c r="K60" s="6">
        <f>EVALUATION_WORKSPACE!AB10</f>
        <v/>
      </c>
      <c r="L60" s="6">
        <f>IF(I60="RFI - info missing","Request missing information",IF(I60="Negotiation item","Add to negotiation agenda",IF(I60="Not available","Confirm unavailable / deviation",IF(F60="MISS","Follow-up needed",IF(F60="NOK","Decision required",IF(F60="ERROR","Clarify interpretation","") )))))</f>
        <v/>
      </c>
      <c r="M60" s="6" t="n"/>
    </row>
    <row r="61" ht="36" customHeight="1">
      <c r="A61" s="6">
        <f>"B"</f>
        <v/>
      </c>
      <c r="B61" s="6">
        <f>EVALUATION_WORKSPACE!A11</f>
        <v/>
      </c>
      <c r="C61" s="6">
        <f>EVALUATION_WORKSPACE!B11</f>
        <v/>
      </c>
      <c r="D61" s="6">
        <f>EVALUATION_WORKSPACE!C11</f>
        <v/>
      </c>
      <c r="E61" s="6">
        <f>EVALUATION_WORKSPACE!D11</f>
        <v/>
      </c>
      <c r="F61" s="6">
        <f>EVALUATION_WORKSPACE!W11</f>
        <v/>
      </c>
      <c r="G61" s="6">
        <f>EVALUATION_WORKSPACE!X11</f>
        <v/>
      </c>
      <c r="H61" s="6">
        <f>EVALUATION_WORKSPACE!Y11</f>
        <v/>
      </c>
      <c r="I61" s="6">
        <f>EVALUATION_WORKSPACE!Z11</f>
        <v/>
      </c>
      <c r="J61" s="215">
        <f>EVALUATION_WORKSPACE!AA11</f>
        <v/>
      </c>
      <c r="K61" s="6">
        <f>EVALUATION_WORKSPACE!AB11</f>
        <v/>
      </c>
      <c r="L61" s="6">
        <f>IF(I61="RFI - info missing","Request missing information",IF(I61="Negotiation item","Add to negotiation agenda",IF(I61="Not available","Confirm unavailable / deviation",IF(F61="MISS","Follow-up needed",IF(F61="NOK","Decision required",IF(F61="ERROR","Clarify interpretation","") )))))</f>
        <v/>
      </c>
      <c r="M61" s="6" t="n"/>
    </row>
    <row r="62" ht="36" customHeight="1">
      <c r="A62" s="6">
        <f>"B"</f>
        <v/>
      </c>
      <c r="B62" s="6">
        <f>EVALUATION_WORKSPACE!A12</f>
        <v/>
      </c>
      <c r="C62" s="6">
        <f>EVALUATION_WORKSPACE!B12</f>
        <v/>
      </c>
      <c r="D62" s="6">
        <f>EVALUATION_WORKSPACE!C12</f>
        <v/>
      </c>
      <c r="E62" s="6">
        <f>EVALUATION_WORKSPACE!D12</f>
        <v/>
      </c>
      <c r="F62" s="6">
        <f>EVALUATION_WORKSPACE!W12</f>
        <v/>
      </c>
      <c r="G62" s="6">
        <f>EVALUATION_WORKSPACE!X12</f>
        <v/>
      </c>
      <c r="H62" s="6">
        <f>EVALUATION_WORKSPACE!Y12</f>
        <v/>
      </c>
      <c r="I62" s="6">
        <f>EVALUATION_WORKSPACE!Z12</f>
        <v/>
      </c>
      <c r="J62" s="215">
        <f>EVALUATION_WORKSPACE!AA12</f>
        <v/>
      </c>
      <c r="K62" s="6">
        <f>EVALUATION_WORKSPACE!AB12</f>
        <v/>
      </c>
      <c r="L62" s="6">
        <f>IF(I62="RFI - info missing","Request missing information",IF(I62="Negotiation item","Add to negotiation agenda",IF(I62="Not available","Confirm unavailable / deviation",IF(F62="MISS","Follow-up needed",IF(F62="NOK","Decision required",IF(F62="ERROR","Clarify interpretation","") )))))</f>
        <v/>
      </c>
      <c r="M62" s="6" t="n"/>
    </row>
    <row r="63" ht="36" customHeight="1">
      <c r="A63" s="6">
        <f>"B"</f>
        <v/>
      </c>
      <c r="B63" s="6">
        <f>EVALUATION_WORKSPACE!A13</f>
        <v/>
      </c>
      <c r="C63" s="6">
        <f>EVALUATION_WORKSPACE!B13</f>
        <v/>
      </c>
      <c r="D63" s="6">
        <f>EVALUATION_WORKSPACE!C13</f>
        <v/>
      </c>
      <c r="E63" s="6">
        <f>EVALUATION_WORKSPACE!D13</f>
        <v/>
      </c>
      <c r="F63" s="6">
        <f>EVALUATION_WORKSPACE!W13</f>
        <v/>
      </c>
      <c r="G63" s="6">
        <f>EVALUATION_WORKSPACE!X13</f>
        <v/>
      </c>
      <c r="H63" s="6">
        <f>EVALUATION_WORKSPACE!Y13</f>
        <v/>
      </c>
      <c r="I63" s="6">
        <f>EVALUATION_WORKSPACE!Z13</f>
        <v/>
      </c>
      <c r="J63" s="215">
        <f>EVALUATION_WORKSPACE!AA13</f>
        <v/>
      </c>
      <c r="K63" s="6">
        <f>EVALUATION_WORKSPACE!AB13</f>
        <v/>
      </c>
      <c r="L63" s="6">
        <f>IF(I63="RFI - info missing","Request missing information",IF(I63="Negotiation item","Add to negotiation agenda",IF(I63="Not available","Confirm unavailable / deviation",IF(F63="MISS","Follow-up needed",IF(F63="NOK","Decision required",IF(F63="ERROR","Clarify interpretation","") )))))</f>
        <v/>
      </c>
      <c r="M63" s="6" t="n"/>
    </row>
    <row r="64" ht="36" customHeight="1">
      <c r="A64" s="6">
        <f>"B"</f>
        <v/>
      </c>
      <c r="B64" s="6">
        <f>EVALUATION_WORKSPACE!A14</f>
        <v/>
      </c>
      <c r="C64" s="6">
        <f>EVALUATION_WORKSPACE!B14</f>
        <v/>
      </c>
      <c r="D64" s="6">
        <f>EVALUATION_WORKSPACE!C14</f>
        <v/>
      </c>
      <c r="E64" s="6">
        <f>EVALUATION_WORKSPACE!D14</f>
        <v/>
      </c>
      <c r="F64" s="6">
        <f>EVALUATION_WORKSPACE!W14</f>
        <v/>
      </c>
      <c r="G64" s="6">
        <f>EVALUATION_WORKSPACE!X14</f>
        <v/>
      </c>
      <c r="H64" s="6">
        <f>EVALUATION_WORKSPACE!Y14</f>
        <v/>
      </c>
      <c r="I64" s="6">
        <f>EVALUATION_WORKSPACE!Z14</f>
        <v/>
      </c>
      <c r="J64" s="215">
        <f>EVALUATION_WORKSPACE!AA14</f>
        <v/>
      </c>
      <c r="K64" s="6">
        <f>EVALUATION_WORKSPACE!AB14</f>
        <v/>
      </c>
      <c r="L64" s="6">
        <f>IF(I64="RFI - info missing","Request missing information",IF(I64="Negotiation item","Add to negotiation agenda",IF(I64="Not available","Confirm unavailable / deviation",IF(F64="MISS","Follow-up needed",IF(F64="NOK","Decision required",IF(F64="ERROR","Clarify interpretation","") )))))</f>
        <v/>
      </c>
      <c r="M64" s="6" t="n"/>
    </row>
    <row r="65" ht="36" customHeight="1">
      <c r="A65" s="6">
        <f>"B"</f>
        <v/>
      </c>
      <c r="B65" s="6">
        <f>EVALUATION_WORKSPACE!A15</f>
        <v/>
      </c>
      <c r="C65" s="6">
        <f>EVALUATION_WORKSPACE!B15</f>
        <v/>
      </c>
      <c r="D65" s="6">
        <f>EVALUATION_WORKSPACE!C15</f>
        <v/>
      </c>
      <c r="E65" s="6">
        <f>EVALUATION_WORKSPACE!D15</f>
        <v/>
      </c>
      <c r="F65" s="6">
        <f>EVALUATION_WORKSPACE!W15</f>
        <v/>
      </c>
      <c r="G65" s="6">
        <f>EVALUATION_WORKSPACE!X15</f>
        <v/>
      </c>
      <c r="H65" s="6">
        <f>EVALUATION_WORKSPACE!Y15</f>
        <v/>
      </c>
      <c r="I65" s="6">
        <f>EVALUATION_WORKSPACE!Z15</f>
        <v/>
      </c>
      <c r="J65" s="215">
        <f>EVALUATION_WORKSPACE!AA15</f>
        <v/>
      </c>
      <c r="K65" s="6">
        <f>EVALUATION_WORKSPACE!AB15</f>
        <v/>
      </c>
      <c r="L65" s="6">
        <f>IF(I65="RFI - info missing","Request missing information",IF(I65="Negotiation item","Add to negotiation agenda",IF(I65="Not available","Confirm unavailable / deviation",IF(F65="MISS","Follow-up needed",IF(F65="NOK","Decision required",IF(F65="ERROR","Clarify interpretation","") )))))</f>
        <v/>
      </c>
      <c r="M65" s="6" t="n"/>
    </row>
    <row r="66" ht="36" customHeight="1">
      <c r="A66" s="6">
        <f>"B"</f>
        <v/>
      </c>
      <c r="B66" s="6">
        <f>EVALUATION_WORKSPACE!A16</f>
        <v/>
      </c>
      <c r="C66" s="6">
        <f>EVALUATION_WORKSPACE!B16</f>
        <v/>
      </c>
      <c r="D66" s="6">
        <f>EVALUATION_WORKSPACE!C16</f>
        <v/>
      </c>
      <c r="E66" s="6">
        <f>EVALUATION_WORKSPACE!D16</f>
        <v/>
      </c>
      <c r="F66" s="6">
        <f>EVALUATION_WORKSPACE!W16</f>
        <v/>
      </c>
      <c r="G66" s="6">
        <f>EVALUATION_WORKSPACE!X16</f>
        <v/>
      </c>
      <c r="H66" s="6">
        <f>EVALUATION_WORKSPACE!Y16</f>
        <v/>
      </c>
      <c r="I66" s="6">
        <f>EVALUATION_WORKSPACE!Z16</f>
        <v/>
      </c>
      <c r="J66" s="215">
        <f>EVALUATION_WORKSPACE!AA16</f>
        <v/>
      </c>
      <c r="K66" s="6">
        <f>EVALUATION_WORKSPACE!AB16</f>
        <v/>
      </c>
      <c r="L66" s="6">
        <f>IF(I66="RFI - info missing","Request missing information",IF(I66="Negotiation item","Add to negotiation agenda",IF(I66="Not available","Confirm unavailable / deviation",IF(F66="MISS","Follow-up needed",IF(F66="NOK","Decision required",IF(F66="ERROR","Clarify interpretation","") )))))</f>
        <v/>
      </c>
      <c r="M66" s="6" t="n"/>
    </row>
    <row r="67" ht="36" customHeight="1">
      <c r="A67" s="6">
        <f>"B"</f>
        <v/>
      </c>
      <c r="B67" s="6">
        <f>EVALUATION_WORKSPACE!A17</f>
        <v/>
      </c>
      <c r="C67" s="6">
        <f>EVALUATION_WORKSPACE!B17</f>
        <v/>
      </c>
      <c r="D67" s="6">
        <f>EVALUATION_WORKSPACE!C17</f>
        <v/>
      </c>
      <c r="E67" s="6">
        <f>EVALUATION_WORKSPACE!D17</f>
        <v/>
      </c>
      <c r="F67" s="6">
        <f>EVALUATION_WORKSPACE!W17</f>
        <v/>
      </c>
      <c r="G67" s="6">
        <f>EVALUATION_WORKSPACE!X17</f>
        <v/>
      </c>
      <c r="H67" s="6">
        <f>EVALUATION_WORKSPACE!Y17</f>
        <v/>
      </c>
      <c r="I67" s="6">
        <f>EVALUATION_WORKSPACE!Z17</f>
        <v/>
      </c>
      <c r="J67" s="215">
        <f>EVALUATION_WORKSPACE!AA17</f>
        <v/>
      </c>
      <c r="K67" s="6">
        <f>EVALUATION_WORKSPACE!AB17</f>
        <v/>
      </c>
      <c r="L67" s="6">
        <f>IF(I67="RFI - info missing","Request missing information",IF(I67="Negotiation item","Add to negotiation agenda",IF(I67="Not available","Confirm unavailable / deviation",IF(F67="MISS","Follow-up needed",IF(F67="NOK","Decision required",IF(F67="ERROR","Clarify interpretation","") )))))</f>
        <v/>
      </c>
      <c r="M67" s="6" t="n"/>
    </row>
    <row r="68" ht="36" customHeight="1">
      <c r="A68" s="6">
        <f>"B"</f>
        <v/>
      </c>
      <c r="B68" s="6">
        <f>EVALUATION_WORKSPACE!A18</f>
        <v/>
      </c>
      <c r="C68" s="6">
        <f>EVALUATION_WORKSPACE!B18</f>
        <v/>
      </c>
      <c r="D68" s="6">
        <f>EVALUATION_WORKSPACE!C18</f>
        <v/>
      </c>
      <c r="E68" s="6">
        <f>EVALUATION_WORKSPACE!D18</f>
        <v/>
      </c>
      <c r="F68" s="6">
        <f>EVALUATION_WORKSPACE!W18</f>
        <v/>
      </c>
      <c r="G68" s="6">
        <f>EVALUATION_WORKSPACE!X18</f>
        <v/>
      </c>
      <c r="H68" s="6">
        <f>EVALUATION_WORKSPACE!Y18</f>
        <v/>
      </c>
      <c r="I68" s="6">
        <f>EVALUATION_WORKSPACE!Z18</f>
        <v/>
      </c>
      <c r="J68" s="215">
        <f>EVALUATION_WORKSPACE!AA18</f>
        <v/>
      </c>
      <c r="K68" s="6">
        <f>EVALUATION_WORKSPACE!AB18</f>
        <v/>
      </c>
      <c r="L68" s="6">
        <f>IF(I68="RFI - info missing","Request missing information",IF(I68="Negotiation item","Add to negotiation agenda",IF(I68="Not available","Confirm unavailable / deviation",IF(F68="MISS","Follow-up needed",IF(F68="NOK","Decision required",IF(F68="ERROR","Clarify interpretation","") )))))</f>
        <v/>
      </c>
      <c r="M68" s="6" t="n"/>
    </row>
    <row r="69" ht="36" customHeight="1">
      <c r="A69" s="6">
        <f>"B"</f>
        <v/>
      </c>
      <c r="B69" s="6">
        <f>EVALUATION_WORKSPACE!A19</f>
        <v/>
      </c>
      <c r="C69" s="6">
        <f>EVALUATION_WORKSPACE!B19</f>
        <v/>
      </c>
      <c r="D69" s="6">
        <f>EVALUATION_WORKSPACE!C19</f>
        <v/>
      </c>
      <c r="E69" s="6">
        <f>EVALUATION_WORKSPACE!D19</f>
        <v/>
      </c>
      <c r="F69" s="6">
        <f>EVALUATION_WORKSPACE!W19</f>
        <v/>
      </c>
      <c r="G69" s="6">
        <f>EVALUATION_WORKSPACE!X19</f>
        <v/>
      </c>
      <c r="H69" s="6">
        <f>EVALUATION_WORKSPACE!Y19</f>
        <v/>
      </c>
      <c r="I69" s="6">
        <f>EVALUATION_WORKSPACE!Z19</f>
        <v/>
      </c>
      <c r="J69" s="215">
        <f>EVALUATION_WORKSPACE!AA19</f>
        <v/>
      </c>
      <c r="K69" s="6">
        <f>EVALUATION_WORKSPACE!AB19</f>
        <v/>
      </c>
      <c r="L69" s="6">
        <f>IF(I69="RFI - info missing","Request missing information",IF(I69="Negotiation item","Add to negotiation agenda",IF(I69="Not available","Confirm unavailable / deviation",IF(F69="MISS","Follow-up needed",IF(F69="NOK","Decision required",IF(F69="ERROR","Clarify interpretation","") )))))</f>
        <v/>
      </c>
      <c r="M69" s="6" t="n"/>
    </row>
    <row r="70" ht="36" customHeight="1">
      <c r="A70" s="6">
        <f>"B"</f>
        <v/>
      </c>
      <c r="B70" s="6">
        <f>EVALUATION_WORKSPACE!A20</f>
        <v/>
      </c>
      <c r="C70" s="6">
        <f>EVALUATION_WORKSPACE!B20</f>
        <v/>
      </c>
      <c r="D70" s="6">
        <f>EVALUATION_WORKSPACE!C20</f>
        <v/>
      </c>
      <c r="E70" s="6">
        <f>EVALUATION_WORKSPACE!D20</f>
        <v/>
      </c>
      <c r="F70" s="6">
        <f>EVALUATION_WORKSPACE!W20</f>
        <v/>
      </c>
      <c r="G70" s="6">
        <f>EVALUATION_WORKSPACE!X20</f>
        <v/>
      </c>
      <c r="H70" s="6">
        <f>EVALUATION_WORKSPACE!Y20</f>
        <v/>
      </c>
      <c r="I70" s="6">
        <f>EVALUATION_WORKSPACE!Z20</f>
        <v/>
      </c>
      <c r="J70" s="215">
        <f>EVALUATION_WORKSPACE!AA20</f>
        <v/>
      </c>
      <c r="K70" s="6">
        <f>EVALUATION_WORKSPACE!AB20</f>
        <v/>
      </c>
      <c r="L70" s="6">
        <f>IF(I70="RFI - info missing","Request missing information",IF(I70="Negotiation item","Add to negotiation agenda",IF(I70="Not available","Confirm unavailable / deviation",IF(F70="MISS","Follow-up needed",IF(F70="NOK","Decision required",IF(F70="ERROR","Clarify interpretation","") )))))</f>
        <v/>
      </c>
      <c r="M70" s="6" t="n"/>
    </row>
    <row r="71" ht="36" customHeight="1">
      <c r="A71" s="6">
        <f>"B"</f>
        <v/>
      </c>
      <c r="B71" s="6">
        <f>EVALUATION_WORKSPACE!A21</f>
        <v/>
      </c>
      <c r="C71" s="6">
        <f>EVALUATION_WORKSPACE!B21</f>
        <v/>
      </c>
      <c r="D71" s="6">
        <f>EVALUATION_WORKSPACE!C21</f>
        <v/>
      </c>
      <c r="E71" s="6">
        <f>EVALUATION_WORKSPACE!D21</f>
        <v/>
      </c>
      <c r="F71" s="6">
        <f>EVALUATION_WORKSPACE!W21</f>
        <v/>
      </c>
      <c r="G71" s="6">
        <f>EVALUATION_WORKSPACE!X21</f>
        <v/>
      </c>
      <c r="H71" s="6">
        <f>EVALUATION_WORKSPACE!Y21</f>
        <v/>
      </c>
      <c r="I71" s="6">
        <f>EVALUATION_WORKSPACE!Z21</f>
        <v/>
      </c>
      <c r="J71" s="215">
        <f>EVALUATION_WORKSPACE!AA21</f>
        <v/>
      </c>
      <c r="K71" s="6">
        <f>EVALUATION_WORKSPACE!AB21</f>
        <v/>
      </c>
      <c r="L71" s="6">
        <f>IF(I71="RFI - info missing","Request missing information",IF(I71="Negotiation item","Add to negotiation agenda",IF(I71="Not available","Confirm unavailable / deviation",IF(F71="MISS","Follow-up needed",IF(F71="NOK","Decision required",IF(F71="ERROR","Clarify interpretation","") )))))</f>
        <v/>
      </c>
      <c r="M71" s="6" t="n"/>
    </row>
    <row r="72" ht="36" customHeight="1">
      <c r="A72" s="6">
        <f>"B"</f>
        <v/>
      </c>
      <c r="B72" s="6">
        <f>EVALUATION_WORKSPACE!A22</f>
        <v/>
      </c>
      <c r="C72" s="6">
        <f>EVALUATION_WORKSPACE!B22</f>
        <v/>
      </c>
      <c r="D72" s="6">
        <f>EVALUATION_WORKSPACE!C22</f>
        <v/>
      </c>
      <c r="E72" s="6">
        <f>EVALUATION_WORKSPACE!D22</f>
        <v/>
      </c>
      <c r="F72" s="6">
        <f>EVALUATION_WORKSPACE!W22</f>
        <v/>
      </c>
      <c r="G72" s="6">
        <f>EVALUATION_WORKSPACE!X22</f>
        <v/>
      </c>
      <c r="H72" s="6">
        <f>EVALUATION_WORKSPACE!Y22</f>
        <v/>
      </c>
      <c r="I72" s="6">
        <f>EVALUATION_WORKSPACE!Z22</f>
        <v/>
      </c>
      <c r="J72" s="215">
        <f>EVALUATION_WORKSPACE!AA22</f>
        <v/>
      </c>
      <c r="K72" s="6">
        <f>EVALUATION_WORKSPACE!AB22</f>
        <v/>
      </c>
      <c r="L72" s="6">
        <f>IF(I72="RFI - info missing","Request missing information",IF(I72="Negotiation item","Add to negotiation agenda",IF(I72="Not available","Confirm unavailable / deviation",IF(F72="MISS","Follow-up needed",IF(F72="NOK","Decision required",IF(F72="ERROR","Clarify interpretation","") )))))</f>
        <v/>
      </c>
      <c r="M72" s="6" t="n"/>
    </row>
    <row r="73" ht="36" customHeight="1">
      <c r="A73" s="6">
        <f>"B"</f>
        <v/>
      </c>
      <c r="B73" s="6">
        <f>EVALUATION_WORKSPACE!A23</f>
        <v/>
      </c>
      <c r="C73" s="6">
        <f>EVALUATION_WORKSPACE!B23</f>
        <v/>
      </c>
      <c r="D73" s="6">
        <f>EVALUATION_WORKSPACE!C23</f>
        <v/>
      </c>
      <c r="E73" s="6">
        <f>EVALUATION_WORKSPACE!D23</f>
        <v/>
      </c>
      <c r="F73" s="6">
        <f>EVALUATION_WORKSPACE!W23</f>
        <v/>
      </c>
      <c r="G73" s="6">
        <f>EVALUATION_WORKSPACE!X23</f>
        <v/>
      </c>
      <c r="H73" s="6">
        <f>EVALUATION_WORKSPACE!Y23</f>
        <v/>
      </c>
      <c r="I73" s="6">
        <f>EVALUATION_WORKSPACE!Z23</f>
        <v/>
      </c>
      <c r="J73" s="215">
        <f>EVALUATION_WORKSPACE!AA23</f>
        <v/>
      </c>
      <c r="K73" s="6">
        <f>EVALUATION_WORKSPACE!AB23</f>
        <v/>
      </c>
      <c r="L73" s="6">
        <f>IF(I73="RFI - info missing","Request missing information",IF(I73="Negotiation item","Add to negotiation agenda",IF(I73="Not available","Confirm unavailable / deviation",IF(F73="MISS","Follow-up needed",IF(F73="NOK","Decision required",IF(F73="ERROR","Clarify interpretation","") )))))</f>
        <v/>
      </c>
      <c r="M73" s="6" t="n"/>
    </row>
    <row r="74" ht="36" customHeight="1">
      <c r="A74" s="6">
        <f>"B"</f>
        <v/>
      </c>
      <c r="B74" s="6">
        <f>EVALUATION_WORKSPACE!A24</f>
        <v/>
      </c>
      <c r="C74" s="6">
        <f>EVALUATION_WORKSPACE!B24</f>
        <v/>
      </c>
      <c r="D74" s="6">
        <f>EVALUATION_WORKSPACE!C24</f>
        <v/>
      </c>
      <c r="E74" s="6">
        <f>EVALUATION_WORKSPACE!D24</f>
        <v/>
      </c>
      <c r="F74" s="6">
        <f>EVALUATION_WORKSPACE!W24</f>
        <v/>
      </c>
      <c r="G74" s="6">
        <f>EVALUATION_WORKSPACE!X24</f>
        <v/>
      </c>
      <c r="H74" s="6">
        <f>EVALUATION_WORKSPACE!Y24</f>
        <v/>
      </c>
      <c r="I74" s="6">
        <f>EVALUATION_WORKSPACE!Z24</f>
        <v/>
      </c>
      <c r="J74" s="215">
        <f>EVALUATION_WORKSPACE!AA24</f>
        <v/>
      </c>
      <c r="K74" s="6">
        <f>EVALUATION_WORKSPACE!AB24</f>
        <v/>
      </c>
      <c r="L74" s="6">
        <f>IF(I74="RFI - info missing","Request missing information",IF(I74="Negotiation item","Add to negotiation agenda",IF(I74="Not available","Confirm unavailable / deviation",IF(F74="MISS","Follow-up needed",IF(F74="NOK","Decision required",IF(F74="ERROR","Clarify interpretation","") )))))</f>
        <v/>
      </c>
      <c r="M74" s="6" t="n"/>
    </row>
    <row r="75" ht="36" customHeight="1">
      <c r="A75" s="6">
        <f>"B"</f>
        <v/>
      </c>
      <c r="B75" s="6">
        <f>EVALUATION_WORKSPACE!A25</f>
        <v/>
      </c>
      <c r="C75" s="6">
        <f>EVALUATION_WORKSPACE!B25</f>
        <v/>
      </c>
      <c r="D75" s="6">
        <f>EVALUATION_WORKSPACE!C25</f>
        <v/>
      </c>
      <c r="E75" s="6">
        <f>EVALUATION_WORKSPACE!D25</f>
        <v/>
      </c>
      <c r="F75" s="6">
        <f>EVALUATION_WORKSPACE!W25</f>
        <v/>
      </c>
      <c r="G75" s="6">
        <f>EVALUATION_WORKSPACE!X25</f>
        <v/>
      </c>
      <c r="H75" s="6">
        <f>EVALUATION_WORKSPACE!Y25</f>
        <v/>
      </c>
      <c r="I75" s="6">
        <f>EVALUATION_WORKSPACE!Z25</f>
        <v/>
      </c>
      <c r="J75" s="215">
        <f>EVALUATION_WORKSPACE!AA25</f>
        <v/>
      </c>
      <c r="K75" s="6">
        <f>EVALUATION_WORKSPACE!AB25</f>
        <v/>
      </c>
      <c r="L75" s="6">
        <f>IF(I75="RFI - info missing","Request missing information",IF(I75="Negotiation item","Add to negotiation agenda",IF(I75="Not available","Confirm unavailable / deviation",IF(F75="MISS","Follow-up needed",IF(F75="NOK","Decision required",IF(F75="ERROR","Clarify interpretation","") )))))</f>
        <v/>
      </c>
      <c r="M75" s="6" t="n"/>
    </row>
    <row r="76" ht="36" customHeight="1">
      <c r="A76" s="6">
        <f>"B"</f>
        <v/>
      </c>
      <c r="B76" s="6">
        <f>EVALUATION_WORKSPACE!A26</f>
        <v/>
      </c>
      <c r="C76" s="6">
        <f>EVALUATION_WORKSPACE!B26</f>
        <v/>
      </c>
      <c r="D76" s="6">
        <f>EVALUATION_WORKSPACE!C26</f>
        <v/>
      </c>
      <c r="E76" s="6">
        <f>EVALUATION_WORKSPACE!D26</f>
        <v/>
      </c>
      <c r="F76" s="6">
        <f>EVALUATION_WORKSPACE!W26</f>
        <v/>
      </c>
      <c r="G76" s="6">
        <f>EVALUATION_WORKSPACE!X26</f>
        <v/>
      </c>
      <c r="H76" s="6">
        <f>EVALUATION_WORKSPACE!Y26</f>
        <v/>
      </c>
      <c r="I76" s="6">
        <f>EVALUATION_WORKSPACE!Z26</f>
        <v/>
      </c>
      <c r="J76" s="215">
        <f>EVALUATION_WORKSPACE!AA26</f>
        <v/>
      </c>
      <c r="K76" s="6">
        <f>EVALUATION_WORKSPACE!AB26</f>
        <v/>
      </c>
      <c r="L76" s="6">
        <f>IF(I76="RFI - info missing","Request missing information",IF(I76="Negotiation item","Add to negotiation agenda",IF(I76="Not available","Confirm unavailable / deviation",IF(F76="MISS","Follow-up needed",IF(F76="NOK","Decision required",IF(F76="ERROR","Clarify interpretation","") )))))</f>
        <v/>
      </c>
      <c r="M76" s="6" t="n"/>
    </row>
    <row r="77" ht="36" customHeight="1">
      <c r="A77" s="6">
        <f>"B"</f>
        <v/>
      </c>
      <c r="B77" s="6">
        <f>EVALUATION_WORKSPACE!A27</f>
        <v/>
      </c>
      <c r="C77" s="6">
        <f>EVALUATION_WORKSPACE!B27</f>
        <v/>
      </c>
      <c r="D77" s="6">
        <f>EVALUATION_WORKSPACE!C27</f>
        <v/>
      </c>
      <c r="E77" s="6">
        <f>EVALUATION_WORKSPACE!D27</f>
        <v/>
      </c>
      <c r="F77" s="6">
        <f>EVALUATION_WORKSPACE!W27</f>
        <v/>
      </c>
      <c r="G77" s="6">
        <f>EVALUATION_WORKSPACE!X27</f>
        <v/>
      </c>
      <c r="H77" s="6">
        <f>EVALUATION_WORKSPACE!Y27</f>
        <v/>
      </c>
      <c r="I77" s="6">
        <f>EVALUATION_WORKSPACE!Z27</f>
        <v/>
      </c>
      <c r="J77" s="215">
        <f>EVALUATION_WORKSPACE!AA27</f>
        <v/>
      </c>
      <c r="K77" s="6">
        <f>EVALUATION_WORKSPACE!AB27</f>
        <v/>
      </c>
      <c r="L77" s="6">
        <f>IF(I77="RFI - info missing","Request missing information",IF(I77="Negotiation item","Add to negotiation agenda",IF(I77="Not available","Confirm unavailable / deviation",IF(F77="MISS","Follow-up needed",IF(F77="NOK","Decision required",IF(F77="ERROR","Clarify interpretation","") )))))</f>
        <v/>
      </c>
      <c r="M77" s="6" t="n"/>
    </row>
    <row r="78" ht="36" customHeight="1">
      <c r="A78" s="6">
        <f>"B"</f>
        <v/>
      </c>
      <c r="B78" s="6">
        <f>EVALUATION_WORKSPACE!A28</f>
        <v/>
      </c>
      <c r="C78" s="6">
        <f>EVALUATION_WORKSPACE!B28</f>
        <v/>
      </c>
      <c r="D78" s="6">
        <f>EVALUATION_WORKSPACE!C28</f>
        <v/>
      </c>
      <c r="E78" s="6">
        <f>EVALUATION_WORKSPACE!D28</f>
        <v/>
      </c>
      <c r="F78" s="6">
        <f>EVALUATION_WORKSPACE!W28</f>
        <v/>
      </c>
      <c r="G78" s="6">
        <f>EVALUATION_WORKSPACE!X28</f>
        <v/>
      </c>
      <c r="H78" s="6">
        <f>EVALUATION_WORKSPACE!Y28</f>
        <v/>
      </c>
      <c r="I78" s="6">
        <f>EVALUATION_WORKSPACE!Z28</f>
        <v/>
      </c>
      <c r="J78" s="215">
        <f>EVALUATION_WORKSPACE!AA28</f>
        <v/>
      </c>
      <c r="K78" s="6">
        <f>EVALUATION_WORKSPACE!AB28</f>
        <v/>
      </c>
      <c r="L78" s="6">
        <f>IF(I78="RFI - info missing","Request missing information",IF(I78="Negotiation item","Add to negotiation agenda",IF(I78="Not available","Confirm unavailable / deviation",IF(F78="MISS","Follow-up needed",IF(F78="NOK","Decision required",IF(F78="ERROR","Clarify interpretation","") )))))</f>
        <v/>
      </c>
      <c r="M78" s="6" t="n"/>
    </row>
    <row r="79" ht="36" customHeight="1">
      <c r="A79" s="6">
        <f>"B"</f>
        <v/>
      </c>
      <c r="B79" s="6">
        <f>EVALUATION_WORKSPACE!A29</f>
        <v/>
      </c>
      <c r="C79" s="6">
        <f>EVALUATION_WORKSPACE!B29</f>
        <v/>
      </c>
      <c r="D79" s="6">
        <f>EVALUATION_WORKSPACE!C29</f>
        <v/>
      </c>
      <c r="E79" s="6">
        <f>EVALUATION_WORKSPACE!D29</f>
        <v/>
      </c>
      <c r="F79" s="6">
        <f>EVALUATION_WORKSPACE!W29</f>
        <v/>
      </c>
      <c r="G79" s="6">
        <f>EVALUATION_WORKSPACE!X29</f>
        <v/>
      </c>
      <c r="H79" s="6">
        <f>EVALUATION_WORKSPACE!Y29</f>
        <v/>
      </c>
      <c r="I79" s="6">
        <f>EVALUATION_WORKSPACE!Z29</f>
        <v/>
      </c>
      <c r="J79" s="215">
        <f>EVALUATION_WORKSPACE!AA29</f>
        <v/>
      </c>
      <c r="K79" s="6">
        <f>EVALUATION_WORKSPACE!AB29</f>
        <v/>
      </c>
      <c r="L79" s="6">
        <f>IF(I79="RFI - info missing","Request missing information",IF(I79="Negotiation item","Add to negotiation agenda",IF(I79="Not available","Confirm unavailable / deviation",IF(F79="MISS","Follow-up needed",IF(F79="NOK","Decision required",IF(F79="ERROR","Clarify interpretation","") )))))</f>
        <v/>
      </c>
      <c r="M79" s="6" t="n"/>
    </row>
    <row r="80" ht="36" customHeight="1">
      <c r="A80" s="6">
        <f>"B"</f>
        <v/>
      </c>
      <c r="B80" s="6">
        <f>EVALUATION_WORKSPACE!A30</f>
        <v/>
      </c>
      <c r="C80" s="6">
        <f>EVALUATION_WORKSPACE!B30</f>
        <v/>
      </c>
      <c r="D80" s="6">
        <f>EVALUATION_WORKSPACE!C30</f>
        <v/>
      </c>
      <c r="E80" s="6">
        <f>EVALUATION_WORKSPACE!D30</f>
        <v/>
      </c>
      <c r="F80" s="6">
        <f>EVALUATION_WORKSPACE!W30</f>
        <v/>
      </c>
      <c r="G80" s="6">
        <f>EVALUATION_WORKSPACE!X30</f>
        <v/>
      </c>
      <c r="H80" s="6">
        <f>EVALUATION_WORKSPACE!Y30</f>
        <v/>
      </c>
      <c r="I80" s="6">
        <f>EVALUATION_WORKSPACE!Z30</f>
        <v/>
      </c>
      <c r="J80" s="215">
        <f>EVALUATION_WORKSPACE!AA30</f>
        <v/>
      </c>
      <c r="K80" s="6">
        <f>EVALUATION_WORKSPACE!AB30</f>
        <v/>
      </c>
      <c r="L80" s="6">
        <f>IF(I80="RFI - info missing","Request missing information",IF(I80="Negotiation item","Add to negotiation agenda",IF(I80="Not available","Confirm unavailable / deviation",IF(F80="MISS","Follow-up needed",IF(F80="NOK","Decision required",IF(F80="ERROR","Clarify interpretation","") )))))</f>
        <v/>
      </c>
      <c r="M80" s="6" t="n"/>
    </row>
    <row r="81" ht="36" customHeight="1">
      <c r="A81" s="6">
        <f>"B"</f>
        <v/>
      </c>
      <c r="B81" s="6">
        <f>EVALUATION_WORKSPACE!A31</f>
        <v/>
      </c>
      <c r="C81" s="6">
        <f>EVALUATION_WORKSPACE!B31</f>
        <v/>
      </c>
      <c r="D81" s="6">
        <f>EVALUATION_WORKSPACE!C31</f>
        <v/>
      </c>
      <c r="E81" s="6">
        <f>EVALUATION_WORKSPACE!D31</f>
        <v/>
      </c>
      <c r="F81" s="6">
        <f>EVALUATION_WORKSPACE!W31</f>
        <v/>
      </c>
      <c r="G81" s="6">
        <f>EVALUATION_WORKSPACE!X31</f>
        <v/>
      </c>
      <c r="H81" s="6">
        <f>EVALUATION_WORKSPACE!Y31</f>
        <v/>
      </c>
      <c r="I81" s="6">
        <f>EVALUATION_WORKSPACE!Z31</f>
        <v/>
      </c>
      <c r="J81" s="215">
        <f>EVALUATION_WORKSPACE!AA31</f>
        <v/>
      </c>
      <c r="K81" s="6">
        <f>EVALUATION_WORKSPACE!AB31</f>
        <v/>
      </c>
      <c r="L81" s="6">
        <f>IF(I81="RFI - info missing","Request missing information",IF(I81="Negotiation item","Add to negotiation agenda",IF(I81="Not available","Confirm unavailable / deviation",IF(F81="MISS","Follow-up needed",IF(F81="NOK","Decision required",IF(F81="ERROR","Clarify interpretation","") )))))</f>
        <v/>
      </c>
      <c r="M81" s="6" t="n"/>
    </row>
    <row r="82" ht="36" customHeight="1">
      <c r="A82" s="6">
        <f>"B"</f>
        <v/>
      </c>
      <c r="B82" s="6">
        <f>EVALUATION_WORKSPACE!A32</f>
        <v/>
      </c>
      <c r="C82" s="6">
        <f>EVALUATION_WORKSPACE!B32</f>
        <v/>
      </c>
      <c r="D82" s="6">
        <f>EVALUATION_WORKSPACE!C32</f>
        <v/>
      </c>
      <c r="E82" s="6">
        <f>EVALUATION_WORKSPACE!D32</f>
        <v/>
      </c>
      <c r="F82" s="6">
        <f>EVALUATION_WORKSPACE!W32</f>
        <v/>
      </c>
      <c r="G82" s="6">
        <f>EVALUATION_WORKSPACE!X32</f>
        <v/>
      </c>
      <c r="H82" s="6">
        <f>EVALUATION_WORKSPACE!Y32</f>
        <v/>
      </c>
      <c r="I82" s="6">
        <f>EVALUATION_WORKSPACE!Z32</f>
        <v/>
      </c>
      <c r="J82" s="215">
        <f>EVALUATION_WORKSPACE!AA32</f>
        <v/>
      </c>
      <c r="K82" s="6">
        <f>EVALUATION_WORKSPACE!AB32</f>
        <v/>
      </c>
      <c r="L82" s="6">
        <f>IF(I82="RFI - info missing","Request missing information",IF(I82="Negotiation item","Add to negotiation agenda",IF(I82="Not available","Confirm unavailable / deviation",IF(F82="MISS","Follow-up needed",IF(F82="NOK","Decision required",IF(F82="ERROR","Clarify interpretation","") )))))</f>
        <v/>
      </c>
      <c r="M82" s="6" t="n"/>
    </row>
    <row r="83" ht="36" customHeight="1">
      <c r="A83" s="6">
        <f>"B"</f>
        <v/>
      </c>
      <c r="B83" s="6">
        <f>EVALUATION_WORKSPACE!A33</f>
        <v/>
      </c>
      <c r="C83" s="6">
        <f>EVALUATION_WORKSPACE!B33</f>
        <v/>
      </c>
      <c r="D83" s="6">
        <f>EVALUATION_WORKSPACE!C33</f>
        <v/>
      </c>
      <c r="E83" s="6">
        <f>EVALUATION_WORKSPACE!D33</f>
        <v/>
      </c>
      <c r="F83" s="6">
        <f>EVALUATION_WORKSPACE!W33</f>
        <v/>
      </c>
      <c r="G83" s="6">
        <f>EVALUATION_WORKSPACE!X33</f>
        <v/>
      </c>
      <c r="H83" s="6">
        <f>EVALUATION_WORKSPACE!Y33</f>
        <v/>
      </c>
      <c r="I83" s="6">
        <f>EVALUATION_WORKSPACE!Z33</f>
        <v/>
      </c>
      <c r="J83" s="215">
        <f>EVALUATION_WORKSPACE!AA33</f>
        <v/>
      </c>
      <c r="K83" s="6">
        <f>EVALUATION_WORKSPACE!AB33</f>
        <v/>
      </c>
      <c r="L83" s="6">
        <f>IF(I83="RFI - info missing","Request missing information",IF(I83="Negotiation item","Add to negotiation agenda",IF(I83="Not available","Confirm unavailable / deviation",IF(F83="MISS","Follow-up needed",IF(F83="NOK","Decision required",IF(F83="ERROR","Clarify interpretation","") )))))</f>
        <v/>
      </c>
      <c r="M83" s="6" t="n"/>
    </row>
    <row r="84" ht="36" customHeight="1">
      <c r="A84" s="6">
        <f>"B"</f>
        <v/>
      </c>
      <c r="B84" s="6">
        <f>EVALUATION_WORKSPACE!A34</f>
        <v/>
      </c>
      <c r="C84" s="6">
        <f>EVALUATION_WORKSPACE!B34</f>
        <v/>
      </c>
      <c r="D84" s="6">
        <f>EVALUATION_WORKSPACE!C34</f>
        <v/>
      </c>
      <c r="E84" s="6">
        <f>EVALUATION_WORKSPACE!D34</f>
        <v/>
      </c>
      <c r="F84" s="6">
        <f>EVALUATION_WORKSPACE!W34</f>
        <v/>
      </c>
      <c r="G84" s="6">
        <f>EVALUATION_WORKSPACE!X34</f>
        <v/>
      </c>
      <c r="H84" s="6">
        <f>EVALUATION_WORKSPACE!Y34</f>
        <v/>
      </c>
      <c r="I84" s="6">
        <f>EVALUATION_WORKSPACE!Z34</f>
        <v/>
      </c>
      <c r="J84" s="215">
        <f>EVALUATION_WORKSPACE!AA34</f>
        <v/>
      </c>
      <c r="K84" s="6">
        <f>EVALUATION_WORKSPACE!AB34</f>
        <v/>
      </c>
      <c r="L84" s="6">
        <f>IF(I84="RFI - info missing","Request missing information",IF(I84="Negotiation item","Add to negotiation agenda",IF(I84="Not available","Confirm unavailable / deviation",IF(F84="MISS","Follow-up needed",IF(F84="NOK","Decision required",IF(F84="ERROR","Clarify interpretation","") )))))</f>
        <v/>
      </c>
      <c r="M84" s="6" t="n"/>
    </row>
    <row r="85" ht="36" customHeight="1">
      <c r="A85" s="6">
        <f>"B"</f>
        <v/>
      </c>
      <c r="B85" s="6">
        <f>EVALUATION_WORKSPACE!A35</f>
        <v/>
      </c>
      <c r="C85" s="6">
        <f>EVALUATION_WORKSPACE!B35</f>
        <v/>
      </c>
      <c r="D85" s="6">
        <f>EVALUATION_WORKSPACE!C35</f>
        <v/>
      </c>
      <c r="E85" s="6">
        <f>EVALUATION_WORKSPACE!D35</f>
        <v/>
      </c>
      <c r="F85" s="6">
        <f>EVALUATION_WORKSPACE!W35</f>
        <v/>
      </c>
      <c r="G85" s="6">
        <f>EVALUATION_WORKSPACE!X35</f>
        <v/>
      </c>
      <c r="H85" s="6">
        <f>EVALUATION_WORKSPACE!Y35</f>
        <v/>
      </c>
      <c r="I85" s="6">
        <f>EVALUATION_WORKSPACE!Z35</f>
        <v/>
      </c>
      <c r="J85" s="215">
        <f>EVALUATION_WORKSPACE!AA35</f>
        <v/>
      </c>
      <c r="K85" s="6">
        <f>EVALUATION_WORKSPACE!AB35</f>
        <v/>
      </c>
      <c r="L85" s="6">
        <f>IF(I85="RFI - info missing","Request missing information",IF(I85="Negotiation item","Add to negotiation agenda",IF(I85="Not available","Confirm unavailable / deviation",IF(F85="MISS","Follow-up needed",IF(F85="NOK","Decision required",IF(F85="ERROR","Clarify interpretation","") )))))</f>
        <v/>
      </c>
      <c r="M85" s="6" t="n"/>
    </row>
    <row r="86" ht="36" customHeight="1">
      <c r="A86" s="6">
        <f>"B"</f>
        <v/>
      </c>
      <c r="B86" s="6">
        <f>EVALUATION_WORKSPACE!A36</f>
        <v/>
      </c>
      <c r="C86" s="6">
        <f>EVALUATION_WORKSPACE!B36</f>
        <v/>
      </c>
      <c r="D86" s="6">
        <f>EVALUATION_WORKSPACE!C36</f>
        <v/>
      </c>
      <c r="E86" s="6">
        <f>EVALUATION_WORKSPACE!D36</f>
        <v/>
      </c>
      <c r="F86" s="6">
        <f>EVALUATION_WORKSPACE!W36</f>
        <v/>
      </c>
      <c r="G86" s="6">
        <f>EVALUATION_WORKSPACE!X36</f>
        <v/>
      </c>
      <c r="H86" s="6">
        <f>EVALUATION_WORKSPACE!Y36</f>
        <v/>
      </c>
      <c r="I86" s="6">
        <f>EVALUATION_WORKSPACE!Z36</f>
        <v/>
      </c>
      <c r="J86" s="215">
        <f>EVALUATION_WORKSPACE!AA36</f>
        <v/>
      </c>
      <c r="K86" s="6">
        <f>EVALUATION_WORKSPACE!AB36</f>
        <v/>
      </c>
      <c r="L86" s="6">
        <f>IF(I86="RFI - info missing","Request missing information",IF(I86="Negotiation item","Add to negotiation agenda",IF(I86="Not available","Confirm unavailable / deviation",IF(F86="MISS","Follow-up needed",IF(F86="NOK","Decision required",IF(F86="ERROR","Clarify interpretation","") )))))</f>
        <v/>
      </c>
      <c r="M86" s="6" t="n"/>
    </row>
    <row r="87" ht="36" customHeight="1">
      <c r="A87" s="6">
        <f>"B"</f>
        <v/>
      </c>
      <c r="B87" s="6">
        <f>EVALUATION_WORKSPACE!A37</f>
        <v/>
      </c>
      <c r="C87" s="6">
        <f>EVALUATION_WORKSPACE!B37</f>
        <v/>
      </c>
      <c r="D87" s="6">
        <f>EVALUATION_WORKSPACE!C37</f>
        <v/>
      </c>
      <c r="E87" s="6">
        <f>EVALUATION_WORKSPACE!D37</f>
        <v/>
      </c>
      <c r="F87" s="6">
        <f>EVALUATION_WORKSPACE!W37</f>
        <v/>
      </c>
      <c r="G87" s="6">
        <f>EVALUATION_WORKSPACE!X37</f>
        <v/>
      </c>
      <c r="H87" s="6">
        <f>EVALUATION_WORKSPACE!Y37</f>
        <v/>
      </c>
      <c r="I87" s="6">
        <f>EVALUATION_WORKSPACE!Z37</f>
        <v/>
      </c>
      <c r="J87" s="215">
        <f>EVALUATION_WORKSPACE!AA37</f>
        <v/>
      </c>
      <c r="K87" s="6">
        <f>EVALUATION_WORKSPACE!AB37</f>
        <v/>
      </c>
      <c r="L87" s="6">
        <f>IF(I87="RFI - info missing","Request missing information",IF(I87="Negotiation item","Add to negotiation agenda",IF(I87="Not available","Confirm unavailable / deviation",IF(F87="MISS","Follow-up needed",IF(F87="NOK","Decision required",IF(F87="ERROR","Clarify interpretation","") )))))</f>
        <v/>
      </c>
      <c r="M87" s="6" t="n"/>
    </row>
    <row r="88" ht="36" customHeight="1">
      <c r="A88" s="6">
        <f>"B"</f>
        <v/>
      </c>
      <c r="B88" s="6">
        <f>EVALUATION_WORKSPACE!A38</f>
        <v/>
      </c>
      <c r="C88" s="6">
        <f>EVALUATION_WORKSPACE!B38</f>
        <v/>
      </c>
      <c r="D88" s="6">
        <f>EVALUATION_WORKSPACE!C38</f>
        <v/>
      </c>
      <c r="E88" s="6">
        <f>EVALUATION_WORKSPACE!D38</f>
        <v/>
      </c>
      <c r="F88" s="6">
        <f>EVALUATION_WORKSPACE!W38</f>
        <v/>
      </c>
      <c r="G88" s="6">
        <f>EVALUATION_WORKSPACE!X38</f>
        <v/>
      </c>
      <c r="H88" s="6">
        <f>EVALUATION_WORKSPACE!Y38</f>
        <v/>
      </c>
      <c r="I88" s="6">
        <f>EVALUATION_WORKSPACE!Z38</f>
        <v/>
      </c>
      <c r="J88" s="215">
        <f>EVALUATION_WORKSPACE!AA38</f>
        <v/>
      </c>
      <c r="K88" s="6">
        <f>EVALUATION_WORKSPACE!AB38</f>
        <v/>
      </c>
      <c r="L88" s="6">
        <f>IF(I88="RFI - info missing","Request missing information",IF(I88="Negotiation item","Add to negotiation agenda",IF(I88="Not available","Confirm unavailable / deviation",IF(F88="MISS","Follow-up needed",IF(F88="NOK","Decision required",IF(F88="ERROR","Clarify interpretation","") )))))</f>
        <v/>
      </c>
      <c r="M88" s="6" t="n"/>
    </row>
    <row r="89" ht="36" customHeight="1">
      <c r="A89" s="6">
        <f>"B"</f>
        <v/>
      </c>
      <c r="B89" s="6">
        <f>EVALUATION_WORKSPACE!A39</f>
        <v/>
      </c>
      <c r="C89" s="6">
        <f>EVALUATION_WORKSPACE!B39</f>
        <v/>
      </c>
      <c r="D89" s="6">
        <f>EVALUATION_WORKSPACE!C39</f>
        <v/>
      </c>
      <c r="E89" s="6">
        <f>EVALUATION_WORKSPACE!D39</f>
        <v/>
      </c>
      <c r="F89" s="6">
        <f>EVALUATION_WORKSPACE!W39</f>
        <v/>
      </c>
      <c r="G89" s="6">
        <f>EVALUATION_WORKSPACE!X39</f>
        <v/>
      </c>
      <c r="H89" s="6">
        <f>EVALUATION_WORKSPACE!Y39</f>
        <v/>
      </c>
      <c r="I89" s="6">
        <f>EVALUATION_WORKSPACE!Z39</f>
        <v/>
      </c>
      <c r="J89" s="215">
        <f>EVALUATION_WORKSPACE!AA39</f>
        <v/>
      </c>
      <c r="K89" s="6">
        <f>EVALUATION_WORKSPACE!AB39</f>
        <v/>
      </c>
      <c r="L89" s="6">
        <f>IF(I89="RFI - info missing","Request missing information",IF(I89="Negotiation item","Add to negotiation agenda",IF(I89="Not available","Confirm unavailable / deviation",IF(F89="MISS","Follow-up needed",IF(F89="NOK","Decision required",IF(F89="ERROR","Clarify interpretation","") )))))</f>
        <v/>
      </c>
      <c r="M89" s="6" t="n"/>
    </row>
    <row r="90" ht="36" customHeight="1">
      <c r="A90" s="6">
        <f>"B"</f>
        <v/>
      </c>
      <c r="B90" s="6">
        <f>EVALUATION_WORKSPACE!A40</f>
        <v/>
      </c>
      <c r="C90" s="6">
        <f>EVALUATION_WORKSPACE!B40</f>
        <v/>
      </c>
      <c r="D90" s="6">
        <f>EVALUATION_WORKSPACE!C40</f>
        <v/>
      </c>
      <c r="E90" s="6">
        <f>EVALUATION_WORKSPACE!D40</f>
        <v/>
      </c>
      <c r="F90" s="6">
        <f>EVALUATION_WORKSPACE!W40</f>
        <v/>
      </c>
      <c r="G90" s="6">
        <f>EVALUATION_WORKSPACE!X40</f>
        <v/>
      </c>
      <c r="H90" s="6">
        <f>EVALUATION_WORKSPACE!Y40</f>
        <v/>
      </c>
      <c r="I90" s="6">
        <f>EVALUATION_WORKSPACE!Z40</f>
        <v/>
      </c>
      <c r="J90" s="215">
        <f>EVALUATION_WORKSPACE!AA40</f>
        <v/>
      </c>
      <c r="K90" s="6">
        <f>EVALUATION_WORKSPACE!AB40</f>
        <v/>
      </c>
      <c r="L90" s="6">
        <f>IF(I90="RFI - info missing","Request missing information",IF(I90="Negotiation item","Add to negotiation agenda",IF(I90="Not available","Confirm unavailable / deviation",IF(F90="MISS","Follow-up needed",IF(F90="NOK","Decision required",IF(F90="ERROR","Clarify interpretation","") )))))</f>
        <v/>
      </c>
      <c r="M90" s="6" t="n"/>
    </row>
    <row r="91" ht="36" customHeight="1">
      <c r="A91" s="6">
        <f>"B"</f>
        <v/>
      </c>
      <c r="B91" s="6">
        <f>EVALUATION_WORKSPACE!A41</f>
        <v/>
      </c>
      <c r="C91" s="6">
        <f>EVALUATION_WORKSPACE!B41</f>
        <v/>
      </c>
      <c r="D91" s="6">
        <f>EVALUATION_WORKSPACE!C41</f>
        <v/>
      </c>
      <c r="E91" s="6">
        <f>EVALUATION_WORKSPACE!D41</f>
        <v/>
      </c>
      <c r="F91" s="6">
        <f>EVALUATION_WORKSPACE!W41</f>
        <v/>
      </c>
      <c r="G91" s="6">
        <f>EVALUATION_WORKSPACE!X41</f>
        <v/>
      </c>
      <c r="H91" s="6">
        <f>EVALUATION_WORKSPACE!Y41</f>
        <v/>
      </c>
      <c r="I91" s="6">
        <f>EVALUATION_WORKSPACE!Z41</f>
        <v/>
      </c>
      <c r="J91" s="215">
        <f>EVALUATION_WORKSPACE!AA41</f>
        <v/>
      </c>
      <c r="K91" s="6">
        <f>EVALUATION_WORKSPACE!AB41</f>
        <v/>
      </c>
      <c r="L91" s="6">
        <f>IF(I91="RFI - info missing","Request missing information",IF(I91="Negotiation item","Add to negotiation agenda",IF(I91="Not available","Confirm unavailable / deviation",IF(F91="MISS","Follow-up needed",IF(F91="NOK","Decision required",IF(F91="ERROR","Clarify interpretation","") )))))</f>
        <v/>
      </c>
      <c r="M91" s="6" t="n"/>
    </row>
    <row r="92" ht="36" customHeight="1">
      <c r="A92" s="6">
        <f>"B"</f>
        <v/>
      </c>
      <c r="B92" s="6">
        <f>EVALUATION_WORKSPACE!A42</f>
        <v/>
      </c>
      <c r="C92" s="6">
        <f>EVALUATION_WORKSPACE!B42</f>
        <v/>
      </c>
      <c r="D92" s="6">
        <f>EVALUATION_WORKSPACE!C42</f>
        <v/>
      </c>
      <c r="E92" s="6">
        <f>EVALUATION_WORKSPACE!D42</f>
        <v/>
      </c>
      <c r="F92" s="6">
        <f>EVALUATION_WORKSPACE!W42</f>
        <v/>
      </c>
      <c r="G92" s="6">
        <f>EVALUATION_WORKSPACE!X42</f>
        <v/>
      </c>
      <c r="H92" s="6">
        <f>EVALUATION_WORKSPACE!Y42</f>
        <v/>
      </c>
      <c r="I92" s="6">
        <f>EVALUATION_WORKSPACE!Z42</f>
        <v/>
      </c>
      <c r="J92" s="215">
        <f>EVALUATION_WORKSPACE!AA42</f>
        <v/>
      </c>
      <c r="K92" s="6">
        <f>EVALUATION_WORKSPACE!AB42</f>
        <v/>
      </c>
      <c r="L92" s="6">
        <f>IF(I92="RFI - info missing","Request missing information",IF(I92="Negotiation item","Add to negotiation agenda",IF(I92="Not available","Confirm unavailable / deviation",IF(F92="MISS","Follow-up needed",IF(F92="NOK","Decision required",IF(F92="ERROR","Clarify interpretation","") )))))</f>
        <v/>
      </c>
      <c r="M92" s="6" t="n"/>
    </row>
    <row r="93" ht="36" customHeight="1">
      <c r="A93" s="6">
        <f>"B"</f>
        <v/>
      </c>
      <c r="B93" s="6">
        <f>EVALUATION_WORKSPACE!A43</f>
        <v/>
      </c>
      <c r="C93" s="6">
        <f>EVALUATION_WORKSPACE!B43</f>
        <v/>
      </c>
      <c r="D93" s="6">
        <f>EVALUATION_WORKSPACE!C43</f>
        <v/>
      </c>
      <c r="E93" s="6">
        <f>EVALUATION_WORKSPACE!D43</f>
        <v/>
      </c>
      <c r="F93" s="6">
        <f>EVALUATION_WORKSPACE!W43</f>
        <v/>
      </c>
      <c r="G93" s="6">
        <f>EVALUATION_WORKSPACE!X43</f>
        <v/>
      </c>
      <c r="H93" s="6">
        <f>EVALUATION_WORKSPACE!Y43</f>
        <v/>
      </c>
      <c r="I93" s="6">
        <f>EVALUATION_WORKSPACE!Z43</f>
        <v/>
      </c>
      <c r="J93" s="215">
        <f>EVALUATION_WORKSPACE!AA43</f>
        <v/>
      </c>
      <c r="K93" s="6">
        <f>EVALUATION_WORKSPACE!AB43</f>
        <v/>
      </c>
      <c r="L93" s="6">
        <f>IF(I93="RFI - info missing","Request missing information",IF(I93="Negotiation item","Add to negotiation agenda",IF(I93="Not available","Confirm unavailable / deviation",IF(F93="MISS","Follow-up needed",IF(F93="NOK","Decision required",IF(F93="ERROR","Clarify interpretation","") )))))</f>
        <v/>
      </c>
      <c r="M93" s="6" t="n"/>
    </row>
    <row r="94" ht="36" customHeight="1">
      <c r="A94" s="6">
        <f>"B"</f>
        <v/>
      </c>
      <c r="B94" s="6">
        <f>EVALUATION_WORKSPACE!A44</f>
        <v/>
      </c>
      <c r="C94" s="6">
        <f>EVALUATION_WORKSPACE!B44</f>
        <v/>
      </c>
      <c r="D94" s="6">
        <f>EVALUATION_WORKSPACE!C44</f>
        <v/>
      </c>
      <c r="E94" s="6">
        <f>EVALUATION_WORKSPACE!D44</f>
        <v/>
      </c>
      <c r="F94" s="6">
        <f>EVALUATION_WORKSPACE!W44</f>
        <v/>
      </c>
      <c r="G94" s="6">
        <f>EVALUATION_WORKSPACE!X44</f>
        <v/>
      </c>
      <c r="H94" s="6">
        <f>EVALUATION_WORKSPACE!Y44</f>
        <v/>
      </c>
      <c r="I94" s="6">
        <f>EVALUATION_WORKSPACE!Z44</f>
        <v/>
      </c>
      <c r="J94" s="215">
        <f>EVALUATION_WORKSPACE!AA44</f>
        <v/>
      </c>
      <c r="K94" s="6">
        <f>EVALUATION_WORKSPACE!AB44</f>
        <v/>
      </c>
      <c r="L94" s="6">
        <f>IF(I94="RFI - info missing","Request missing information",IF(I94="Negotiation item","Add to negotiation agenda",IF(I94="Not available","Confirm unavailable / deviation",IF(F94="MISS","Follow-up needed",IF(F94="NOK","Decision required",IF(F94="ERROR","Clarify interpretation","") )))))</f>
        <v/>
      </c>
      <c r="M94" s="6" t="n"/>
    </row>
    <row r="95" ht="36" customHeight="1">
      <c r="A95" s="6">
        <f>"B"</f>
        <v/>
      </c>
      <c r="B95" s="6">
        <f>EVALUATION_WORKSPACE!A45</f>
        <v/>
      </c>
      <c r="C95" s="6">
        <f>EVALUATION_WORKSPACE!B45</f>
        <v/>
      </c>
      <c r="D95" s="6">
        <f>EVALUATION_WORKSPACE!C45</f>
        <v/>
      </c>
      <c r="E95" s="6">
        <f>EVALUATION_WORKSPACE!D45</f>
        <v/>
      </c>
      <c r="F95" s="6">
        <f>EVALUATION_WORKSPACE!W45</f>
        <v/>
      </c>
      <c r="G95" s="6">
        <f>EVALUATION_WORKSPACE!X45</f>
        <v/>
      </c>
      <c r="H95" s="6">
        <f>EVALUATION_WORKSPACE!Y45</f>
        <v/>
      </c>
      <c r="I95" s="6">
        <f>EVALUATION_WORKSPACE!Z45</f>
        <v/>
      </c>
      <c r="J95" s="215">
        <f>EVALUATION_WORKSPACE!AA45</f>
        <v/>
      </c>
      <c r="K95" s="6">
        <f>EVALUATION_WORKSPACE!AB45</f>
        <v/>
      </c>
      <c r="L95" s="6">
        <f>IF(I95="RFI - info missing","Request missing information",IF(I95="Negotiation item","Add to negotiation agenda",IF(I95="Not available","Confirm unavailable / deviation",IF(F95="MISS","Follow-up needed",IF(F95="NOK","Decision required",IF(F95="ERROR","Clarify interpretation","") )))))</f>
        <v/>
      </c>
      <c r="M95" s="6" t="n"/>
    </row>
    <row r="96" ht="36" customHeight="1">
      <c r="A96" s="6">
        <f>"B"</f>
        <v/>
      </c>
      <c r="B96" s="6">
        <f>EVALUATION_WORKSPACE!A46</f>
        <v/>
      </c>
      <c r="C96" s="6">
        <f>EVALUATION_WORKSPACE!B46</f>
        <v/>
      </c>
      <c r="D96" s="6">
        <f>EVALUATION_WORKSPACE!C46</f>
        <v/>
      </c>
      <c r="E96" s="6">
        <f>EVALUATION_WORKSPACE!D46</f>
        <v/>
      </c>
      <c r="F96" s="6">
        <f>EVALUATION_WORKSPACE!W46</f>
        <v/>
      </c>
      <c r="G96" s="6">
        <f>EVALUATION_WORKSPACE!X46</f>
        <v/>
      </c>
      <c r="H96" s="6">
        <f>EVALUATION_WORKSPACE!Y46</f>
        <v/>
      </c>
      <c r="I96" s="6">
        <f>EVALUATION_WORKSPACE!Z46</f>
        <v/>
      </c>
      <c r="J96" s="215">
        <f>EVALUATION_WORKSPACE!AA46</f>
        <v/>
      </c>
      <c r="K96" s="6">
        <f>EVALUATION_WORKSPACE!AB46</f>
        <v/>
      </c>
      <c r="L96" s="6">
        <f>IF(I96="RFI - info missing","Request missing information",IF(I96="Negotiation item","Add to negotiation agenda",IF(I96="Not available","Confirm unavailable / deviation",IF(F96="MISS","Follow-up needed",IF(F96="NOK","Decision required",IF(F96="ERROR","Clarify interpretation","") )))))</f>
        <v/>
      </c>
      <c r="M96" s="6" t="n"/>
    </row>
    <row r="97" ht="36" customHeight="1">
      <c r="A97" s="6">
        <f>"B"</f>
        <v/>
      </c>
      <c r="B97" s="6">
        <f>EVALUATION_WORKSPACE!A47</f>
        <v/>
      </c>
      <c r="C97" s="6">
        <f>EVALUATION_WORKSPACE!B47</f>
        <v/>
      </c>
      <c r="D97" s="6">
        <f>EVALUATION_WORKSPACE!C47</f>
        <v/>
      </c>
      <c r="E97" s="6">
        <f>EVALUATION_WORKSPACE!D47</f>
        <v/>
      </c>
      <c r="F97" s="6">
        <f>EVALUATION_WORKSPACE!W47</f>
        <v/>
      </c>
      <c r="G97" s="6">
        <f>EVALUATION_WORKSPACE!X47</f>
        <v/>
      </c>
      <c r="H97" s="6">
        <f>EVALUATION_WORKSPACE!Y47</f>
        <v/>
      </c>
      <c r="I97" s="6">
        <f>EVALUATION_WORKSPACE!Z47</f>
        <v/>
      </c>
      <c r="J97" s="215">
        <f>EVALUATION_WORKSPACE!AA47</f>
        <v/>
      </c>
      <c r="K97" s="6">
        <f>EVALUATION_WORKSPACE!AB47</f>
        <v/>
      </c>
      <c r="L97" s="6">
        <f>IF(I97="RFI - info missing","Request missing information",IF(I97="Negotiation item","Add to negotiation agenda",IF(I97="Not available","Confirm unavailable / deviation",IF(F97="MISS","Follow-up needed",IF(F97="NOK","Decision required",IF(F97="ERROR","Clarify interpretation","") )))))</f>
        <v/>
      </c>
      <c r="M97" s="6" t="n"/>
    </row>
    <row r="98" ht="36" customHeight="1">
      <c r="A98" s="6">
        <f>"B"</f>
        <v/>
      </c>
      <c r="B98" s="6">
        <f>EVALUATION_WORKSPACE!A48</f>
        <v/>
      </c>
      <c r="C98" s="6">
        <f>EVALUATION_WORKSPACE!B48</f>
        <v/>
      </c>
      <c r="D98" s="6">
        <f>EVALUATION_WORKSPACE!C48</f>
        <v/>
      </c>
      <c r="E98" s="6">
        <f>EVALUATION_WORKSPACE!D48</f>
        <v/>
      </c>
      <c r="F98" s="6">
        <f>EVALUATION_WORKSPACE!W48</f>
        <v/>
      </c>
      <c r="G98" s="6">
        <f>EVALUATION_WORKSPACE!X48</f>
        <v/>
      </c>
      <c r="H98" s="6">
        <f>EVALUATION_WORKSPACE!Y48</f>
        <v/>
      </c>
      <c r="I98" s="6">
        <f>EVALUATION_WORKSPACE!Z48</f>
        <v/>
      </c>
      <c r="J98" s="215">
        <f>EVALUATION_WORKSPACE!AA48</f>
        <v/>
      </c>
      <c r="K98" s="6">
        <f>EVALUATION_WORKSPACE!AB48</f>
        <v/>
      </c>
      <c r="L98" s="6">
        <f>IF(I98="RFI - info missing","Request missing information",IF(I98="Negotiation item","Add to negotiation agenda",IF(I98="Not available","Confirm unavailable / deviation",IF(F98="MISS","Follow-up needed",IF(F98="NOK","Decision required",IF(F98="ERROR","Clarify interpretation","") )))))</f>
        <v/>
      </c>
      <c r="M98" s="6" t="n"/>
    </row>
    <row r="99" ht="36" customHeight="1">
      <c r="A99" s="6">
        <f>"B"</f>
        <v/>
      </c>
      <c r="B99" s="6">
        <f>EVALUATION_WORKSPACE!A49</f>
        <v/>
      </c>
      <c r="C99" s="6">
        <f>EVALUATION_WORKSPACE!B49</f>
        <v/>
      </c>
      <c r="D99" s="6">
        <f>EVALUATION_WORKSPACE!C49</f>
        <v/>
      </c>
      <c r="E99" s="6">
        <f>EVALUATION_WORKSPACE!D49</f>
        <v/>
      </c>
      <c r="F99" s="6">
        <f>EVALUATION_WORKSPACE!W49</f>
        <v/>
      </c>
      <c r="G99" s="6">
        <f>EVALUATION_WORKSPACE!X49</f>
        <v/>
      </c>
      <c r="H99" s="6">
        <f>EVALUATION_WORKSPACE!Y49</f>
        <v/>
      </c>
      <c r="I99" s="6">
        <f>EVALUATION_WORKSPACE!Z49</f>
        <v/>
      </c>
      <c r="J99" s="215">
        <f>EVALUATION_WORKSPACE!AA49</f>
        <v/>
      </c>
      <c r="K99" s="6">
        <f>EVALUATION_WORKSPACE!AB49</f>
        <v/>
      </c>
      <c r="L99" s="6">
        <f>IF(I99="RFI - info missing","Request missing information",IF(I99="Negotiation item","Add to negotiation agenda",IF(I99="Not available","Confirm unavailable / deviation",IF(F99="MISS","Follow-up needed",IF(F99="NOK","Decision required",IF(F99="ERROR","Clarify interpretation","") )))))</f>
        <v/>
      </c>
      <c r="M99" s="6" t="n"/>
    </row>
    <row r="100" ht="36" customHeight="1">
      <c r="A100" s="6">
        <f>"B"</f>
        <v/>
      </c>
      <c r="B100" s="6">
        <f>EVALUATION_WORKSPACE!A50</f>
        <v/>
      </c>
      <c r="C100" s="6">
        <f>EVALUATION_WORKSPACE!B50</f>
        <v/>
      </c>
      <c r="D100" s="6">
        <f>EVALUATION_WORKSPACE!C50</f>
        <v/>
      </c>
      <c r="E100" s="6">
        <f>EVALUATION_WORKSPACE!D50</f>
        <v/>
      </c>
      <c r="F100" s="6">
        <f>EVALUATION_WORKSPACE!W50</f>
        <v/>
      </c>
      <c r="G100" s="6">
        <f>EVALUATION_WORKSPACE!X50</f>
        <v/>
      </c>
      <c r="H100" s="6">
        <f>EVALUATION_WORKSPACE!Y50</f>
        <v/>
      </c>
      <c r="I100" s="6">
        <f>EVALUATION_WORKSPACE!Z50</f>
        <v/>
      </c>
      <c r="J100" s="215">
        <f>EVALUATION_WORKSPACE!AA50</f>
        <v/>
      </c>
      <c r="K100" s="6">
        <f>EVALUATION_WORKSPACE!AB50</f>
        <v/>
      </c>
      <c r="L100" s="6">
        <f>IF(I100="RFI - info missing","Request missing information",IF(I100="Negotiation item","Add to negotiation agenda",IF(I100="Not available","Confirm unavailable / deviation",IF(F100="MISS","Follow-up needed",IF(F100="NOK","Decision required",IF(F100="ERROR","Clarify interpretation","") )))))</f>
        <v/>
      </c>
      <c r="M100" s="6" t="n"/>
    </row>
    <row r="101" ht="36" customHeight="1">
      <c r="A101" s="6">
        <f>"B"</f>
        <v/>
      </c>
      <c r="B101" s="6">
        <f>EVALUATION_WORKSPACE!A51</f>
        <v/>
      </c>
      <c r="C101" s="6">
        <f>EVALUATION_WORKSPACE!B51</f>
        <v/>
      </c>
      <c r="D101" s="6">
        <f>EVALUATION_WORKSPACE!C51</f>
        <v/>
      </c>
      <c r="E101" s="6">
        <f>EVALUATION_WORKSPACE!D51</f>
        <v/>
      </c>
      <c r="F101" s="6">
        <f>EVALUATION_WORKSPACE!W51</f>
        <v/>
      </c>
      <c r="G101" s="6">
        <f>EVALUATION_WORKSPACE!X51</f>
        <v/>
      </c>
      <c r="H101" s="6">
        <f>EVALUATION_WORKSPACE!Y51</f>
        <v/>
      </c>
      <c r="I101" s="6">
        <f>EVALUATION_WORKSPACE!Z51</f>
        <v/>
      </c>
      <c r="J101" s="215">
        <f>EVALUATION_WORKSPACE!AA51</f>
        <v/>
      </c>
      <c r="K101" s="6">
        <f>EVALUATION_WORKSPACE!AB51</f>
        <v/>
      </c>
      <c r="L101" s="6">
        <f>IF(I101="RFI - info missing","Request missing information",IF(I101="Negotiation item","Add to negotiation agenda",IF(I101="Not available","Confirm unavailable / deviation",IF(F101="MISS","Follow-up needed",IF(F101="NOK","Decision required",IF(F101="ERROR","Clarify interpretation","") )))))</f>
        <v/>
      </c>
      <c r="M101" s="6" t="n"/>
    </row>
    <row r="102" ht="36" customHeight="1">
      <c r="A102" s="6">
        <f>"B"</f>
        <v/>
      </c>
      <c r="B102" s="6">
        <f>EVALUATION_WORKSPACE!A52</f>
        <v/>
      </c>
      <c r="C102" s="6">
        <f>EVALUATION_WORKSPACE!B52</f>
        <v/>
      </c>
      <c r="D102" s="6">
        <f>EVALUATION_WORKSPACE!C52</f>
        <v/>
      </c>
      <c r="E102" s="6">
        <f>EVALUATION_WORKSPACE!D52</f>
        <v/>
      </c>
      <c r="F102" s="6">
        <f>EVALUATION_WORKSPACE!W52</f>
        <v/>
      </c>
      <c r="G102" s="6">
        <f>EVALUATION_WORKSPACE!X52</f>
        <v/>
      </c>
      <c r="H102" s="6">
        <f>EVALUATION_WORKSPACE!Y52</f>
        <v/>
      </c>
      <c r="I102" s="6">
        <f>EVALUATION_WORKSPACE!Z52</f>
        <v/>
      </c>
      <c r="J102" s="215">
        <f>EVALUATION_WORKSPACE!AA52</f>
        <v/>
      </c>
      <c r="K102" s="6">
        <f>EVALUATION_WORKSPACE!AB52</f>
        <v/>
      </c>
      <c r="L102" s="6">
        <f>IF(I102="RFI - info missing","Request missing information",IF(I102="Negotiation item","Add to negotiation agenda",IF(I102="Not available","Confirm unavailable / deviation",IF(F102="MISS","Follow-up needed",IF(F102="NOK","Decision required",IF(F102="ERROR","Clarify interpretation","") )))))</f>
        <v/>
      </c>
      <c r="M102" s="6" t="n"/>
    </row>
    <row r="103" ht="36" customHeight="1">
      <c r="A103" s="6">
        <f>"B"</f>
        <v/>
      </c>
      <c r="B103" s="6">
        <f>EVALUATION_WORKSPACE!A53</f>
        <v/>
      </c>
      <c r="C103" s="6">
        <f>EVALUATION_WORKSPACE!B53</f>
        <v/>
      </c>
      <c r="D103" s="6">
        <f>EVALUATION_WORKSPACE!C53</f>
        <v/>
      </c>
      <c r="E103" s="6">
        <f>EVALUATION_WORKSPACE!D53</f>
        <v/>
      </c>
      <c r="F103" s="6">
        <f>EVALUATION_WORKSPACE!W53</f>
        <v/>
      </c>
      <c r="G103" s="6">
        <f>EVALUATION_WORKSPACE!X53</f>
        <v/>
      </c>
      <c r="H103" s="6">
        <f>EVALUATION_WORKSPACE!Y53</f>
        <v/>
      </c>
      <c r="I103" s="6">
        <f>EVALUATION_WORKSPACE!Z53</f>
        <v/>
      </c>
      <c r="J103" s="215">
        <f>EVALUATION_WORKSPACE!AA53</f>
        <v/>
      </c>
      <c r="K103" s="6">
        <f>EVALUATION_WORKSPACE!AB53</f>
        <v/>
      </c>
      <c r="L103" s="6">
        <f>IF(I103="RFI - info missing","Request missing information",IF(I103="Negotiation item","Add to negotiation agenda",IF(I103="Not available","Confirm unavailable / deviation",IF(F103="MISS","Follow-up needed",IF(F103="NOK","Decision required",IF(F103="ERROR","Clarify interpretation","") )))))</f>
        <v/>
      </c>
      <c r="M103" s="6" t="n"/>
    </row>
    <row r="104" ht="36" customHeight="1">
      <c r="A104" s="6">
        <f>"B"</f>
        <v/>
      </c>
      <c r="B104" s="6">
        <f>EVALUATION_WORKSPACE!A54</f>
        <v/>
      </c>
      <c r="C104" s="6">
        <f>EVALUATION_WORKSPACE!B54</f>
        <v/>
      </c>
      <c r="D104" s="6">
        <f>EVALUATION_WORKSPACE!C54</f>
        <v/>
      </c>
      <c r="E104" s="6">
        <f>EVALUATION_WORKSPACE!D54</f>
        <v/>
      </c>
      <c r="F104" s="6">
        <f>EVALUATION_WORKSPACE!W54</f>
        <v/>
      </c>
      <c r="G104" s="6">
        <f>EVALUATION_WORKSPACE!X54</f>
        <v/>
      </c>
      <c r="H104" s="6">
        <f>EVALUATION_WORKSPACE!Y54</f>
        <v/>
      </c>
      <c r="I104" s="6">
        <f>EVALUATION_WORKSPACE!Z54</f>
        <v/>
      </c>
      <c r="J104" s="215">
        <f>EVALUATION_WORKSPACE!AA54</f>
        <v/>
      </c>
      <c r="K104" s="6">
        <f>EVALUATION_WORKSPACE!AB54</f>
        <v/>
      </c>
      <c r="L104" s="6">
        <f>IF(I104="RFI - info missing","Request missing information",IF(I104="Negotiation item","Add to negotiation agenda",IF(I104="Not available","Confirm unavailable / deviation",IF(F104="MISS","Follow-up needed",IF(F104="NOK","Decision required",IF(F104="ERROR","Clarify interpretation","") )))))</f>
        <v/>
      </c>
      <c r="M104" s="6" t="n"/>
    </row>
    <row r="105" ht="36" customHeight="1">
      <c r="A105" s="6">
        <f>"B"</f>
        <v/>
      </c>
      <c r="B105" s="6">
        <f>EVALUATION_WORKSPACE!A55</f>
        <v/>
      </c>
      <c r="C105" s="6">
        <f>EVALUATION_WORKSPACE!B55</f>
        <v/>
      </c>
      <c r="D105" s="6">
        <f>EVALUATION_WORKSPACE!C55</f>
        <v/>
      </c>
      <c r="E105" s="6">
        <f>EVALUATION_WORKSPACE!D55</f>
        <v/>
      </c>
      <c r="F105" s="6">
        <f>EVALUATION_WORKSPACE!W55</f>
        <v/>
      </c>
      <c r="G105" s="6">
        <f>EVALUATION_WORKSPACE!X55</f>
        <v/>
      </c>
      <c r="H105" s="6">
        <f>EVALUATION_WORKSPACE!Y55</f>
        <v/>
      </c>
      <c r="I105" s="6">
        <f>EVALUATION_WORKSPACE!Z55</f>
        <v/>
      </c>
      <c r="J105" s="215">
        <f>EVALUATION_WORKSPACE!AA55</f>
        <v/>
      </c>
      <c r="K105" s="6">
        <f>EVALUATION_WORKSPACE!AB55</f>
        <v/>
      </c>
      <c r="L105" s="6">
        <f>IF(I105="RFI - info missing","Request missing information",IF(I105="Negotiation item","Add to negotiation agenda",IF(I105="Not available","Confirm unavailable / deviation",IF(F105="MISS","Follow-up needed",IF(F105="NOK","Decision required",IF(F105="ERROR","Clarify interpretation","") )))))</f>
        <v/>
      </c>
      <c r="M105" s="6" t="n"/>
    </row>
  </sheetData>
  <mergeCells count="2">
    <mergeCell ref="A2:M2"/>
    <mergeCell ref="A1:M1"/>
  </mergeCells>
  <conditionalFormatting sqref="C6:C105">
    <cfRule type="expression" priority="9" dxfId="11">
      <formula>C6="T0 Gate"</formula>
    </cfRule>
    <cfRule type="expression" priority="10" dxfId="10">
      <formula>C6="T1 Primary"</formula>
    </cfRule>
    <cfRule type="expression" priority="11" dxfId="9">
      <formula>C6="T2 Secondary"</formula>
    </cfRule>
    <cfRule type="expression" priority="12" dxfId="8">
      <formula>C6="T3 Contextual"</formula>
    </cfRule>
  </conditionalFormatting>
  <conditionalFormatting sqref="F6:F105">
    <cfRule type="expression" priority="1" dxfId="7">
      <formula>F6="OK"</formula>
    </cfRule>
    <cfRule type="expression" priority="2" dxfId="6">
      <formula>F6="OK/Minor"</formula>
    </cfRule>
    <cfRule type="expression" priority="3" dxfId="5">
      <formula>F6="NOK"</formula>
    </cfRule>
    <cfRule type="expression" priority="4" dxfId="4">
      <formula>F6="MISS"</formula>
    </cfRule>
    <cfRule type="expression" priority="5" dxfId="3">
      <formula>F6="Minor disc."</formula>
    </cfRule>
    <cfRule type="expression" priority="6" dxfId="2">
      <formula>F6="Major disc."</formula>
    </cfRule>
    <cfRule type="expression" priority="7" dxfId="1">
      <formula>F6="ERROR"</formula>
    </cfRule>
    <cfRule type="expression" priority="8" dxfId="0">
      <formula>F6="TBD"</formula>
    </cfRule>
  </conditionalFormatting>
  <conditionalFormatting sqref="K6:K105">
    <cfRule type="colorScale" priority="13">
      <colorScale>
        <cfvo type="min"/>
        <cfvo type="percentile" val="50"/>
        <cfvo type="max"/>
        <color rgb="FFF4CCCC"/>
        <color rgb="FFFFF2CC"/>
        <color rgb="FFD9EAD3"/>
      </colorScale>
    </cfRule>
  </conditionalFormatting>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tabColor rgb="00A64CA6"/>
    <outlinePr summaryBelow="1" summaryRight="1"/>
    <pageSetUpPr/>
  </sheetPr>
  <dimension ref="A1:I13"/>
  <sheetViews>
    <sheetView topLeftCell="A1" zoomScale="90" zoomScaleNormal="90" workbookViewId="0">
      <selection activeCell="A1" sqref="A1"/>
    </sheetView>
  </sheetViews>
  <sheetFormatPr baseColWidth="8" defaultRowHeight="14.25"/>
  <cols>
    <col width="24" customWidth="1" min="1" max="1"/>
    <col width="110" customWidth="1" min="2" max="2"/>
    <col width="13" customWidth="1" min="3" max="3"/>
    <col width="13" customWidth="1" min="4" max="4"/>
    <col width="13" customWidth="1" min="5" max="5"/>
    <col width="13" customWidth="1" min="6" max="6"/>
    <col width="13" customWidth="1" min="7" max="7"/>
    <col width="13" customWidth="1" min="8" max="8"/>
  </cols>
  <sheetData>
    <row r="1" ht="32.1" customHeight="1">
      <c r="A1" s="28" t="inlineStr">
        <is>
          <t>Engineering and coding handover — OFFER workbook</t>
        </is>
      </c>
    </row>
    <row r="2" ht="33.95" customHeight="1">
      <c r="A2" s="29" t="inlineStr">
        <is>
          <t>Drop-in implementation notes for a coding agent to reproduce the workbook and supporting deck.</t>
        </is>
      </c>
    </row>
    <row r="3" ht="21.95" customHeight="1">
      <c r="A3" s="186">
        <f>HYPERLINK("#START_HERE!A1","Start")</f>
        <v/>
      </c>
      <c r="B3" s="186">
        <f>HYPERLINK("#DASHBOARD!A1","Dashboard")</f>
        <v/>
      </c>
      <c r="C3" s="186">
        <f>HYPERLINK("#EVALUATION_WORKSPACE!A1","Workspace")</f>
        <v/>
      </c>
      <c r="D3" s="186">
        <f>HYPERLINK("#NEGOTIATION_AGENDA!A1","Agenda")</f>
        <v/>
      </c>
      <c r="E3" s="186">
        <f>HYPERLINK("#OFFER_RANKING!A1","Ranking")</f>
        <v/>
      </c>
      <c r="F3" s="186">
        <f>HYPERLINK("#RTM_CROSSWALK!A1","Crosswalk")</f>
        <v/>
      </c>
      <c r="G3" s="186">
        <f>HYPERLINK("#QUALITY_CHECKS!A1","Quality")</f>
        <v/>
      </c>
      <c r="H3" s="186">
        <f>HYPERLINK("#DMAIC_AUDIT!A1","DMAIC")</f>
        <v/>
      </c>
      <c r="I3">
        <f>HYPERLINK("#CODING_HANDOVER!A1","Handover")</f>
        <v/>
      </c>
    </row>
    <row r="5" ht="33.95" customHeight="1">
      <c r="A5" s="25" t="inlineStr">
        <is>
          <t>Topic</t>
        </is>
      </c>
      <c r="B5" s="25" t="inlineStr">
        <is>
          <t>Instruction</t>
        </is>
      </c>
    </row>
    <row r="6" ht="44.1" customHeight="1">
      <c r="A6" s="6" t="inlineStr">
        <is>
          <t>Inputs</t>
        </is>
      </c>
      <c r="B6" s="6" t="inlineStr">
        <is>
          <t>Use canonical Addendum II PDF/DOCX, extracted RTM-001…RTM-722, canonical OFFER-01…OFFER-50, and bt_source_data.json as the deterministic data seed.</t>
        </is>
      </c>
    </row>
    <row r="7" ht="44.1" customHeight="1">
      <c r="A7" s="6" t="inlineStr">
        <is>
          <t>Do not use</t>
        </is>
      </c>
      <c r="B7" s="6" t="inlineStr">
        <is>
          <t>Do not reintroduce the superseded 735 RTM extraction. Do not use old frozen BT ranks or old BT Weight unless explicitly requested for historical comparison.</t>
        </is>
      </c>
    </row>
    <row r="8" ht="44.1" customHeight="1">
      <c r="A8" s="6" t="inlineStr">
        <is>
          <t>Ranking</t>
        </is>
      </c>
      <c r="B8" s="6" t="inlineStr">
        <is>
          <t>Compute Weighted S = 100 * sum(weight_k * relevance_k / 3). Apply gate precedence first, then sort by Weighted S and deterministic IDs. Pairwise wins feed BT win % and lambda.</t>
        </is>
      </c>
    </row>
    <row r="9" ht="44.1" customHeight="1">
      <c r="A9" s="6" t="inlineStr">
        <is>
          <t>Evaluation</t>
        </is>
      </c>
      <c r="B9" s="6" t="inlineStr">
        <is>
          <t>Reviewer input columns are per bidder: STATUS, Technical Depth, Source/Location, Negotiation Flag, Reviewer Comment. Default status is TBD.</t>
        </is>
      </c>
    </row>
    <row r="10" ht="44.1" customHeight="1">
      <c r="A10" s="6" t="inlineStr">
        <is>
          <t>Review index</t>
        </is>
      </c>
      <c r="B10" s="6" t="inlineStr">
        <is>
          <t>Use status factor × technical depth × Weighted S only as triage; it is not a final award score.</t>
        </is>
      </c>
    </row>
    <row r="11" ht="44.1" customHeight="1">
      <c r="A11" s="6" t="inlineStr">
        <is>
          <t>Crosswalk</t>
        </is>
      </c>
      <c r="B11" s="6" t="inlineStr">
        <is>
          <t>Every OFFER row must retain primary/supporting RTM links and link classification. Every relationship should state partial coverage limitation.</t>
        </is>
      </c>
    </row>
    <row r="12" ht="44.1" customHeight="1">
      <c r="A12" s="6" t="inlineStr">
        <is>
          <t>Visuals</t>
        </is>
      </c>
      <c r="B12" s="6" t="inlineStr">
        <is>
          <t>Dashboard charts should be embedded and linked to visible source data. Keep chart source ranges visible to allow audit.</t>
        </is>
      </c>
    </row>
    <row r="13" ht="44.1" customHeight="1">
      <c r="A13" s="6" t="inlineStr">
        <is>
          <t>Slide deck</t>
        </is>
      </c>
      <c r="B13" s="6" t="inlineStr">
        <is>
          <t>Use START_HERE + DASHBOARD + QUALITY_CHECKS + DMAIC_AUDIT as the narrative spine: source control, method, workflow, visuals, quality gates, next steps.</t>
        </is>
      </c>
    </row>
  </sheetData>
  <mergeCells count="2">
    <mergeCell ref="A2:H2"/>
    <mergeCell ref="A1:H1"/>
  </mergeCells>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tabColor rgb="000B5FA5"/>
    <outlinePr summaryBelow="1" summaryRight="1"/>
    <pageSetUpPr/>
  </sheetPr>
  <dimension ref="A1:L130"/>
  <sheetViews>
    <sheetView topLeftCell="A1" zoomScale="90" zoomScaleNormal="90" workbookViewId="0">
      <selection activeCell="A1" sqref="A1"/>
    </sheetView>
  </sheetViews>
  <sheetFormatPr baseColWidth="8" defaultRowHeight="14.25"/>
  <cols>
    <col width="14" bestFit="1" customWidth="1" min="1" max="1"/>
    <col width="34" bestFit="1" customWidth="1" min="2" max="2"/>
    <col width="14" bestFit="1" customWidth="1" min="3" max="3"/>
    <col width="14" bestFit="1" customWidth="1" min="4" max="4"/>
    <col width="14" bestFit="1" customWidth="1" min="5" max="5"/>
    <col width="14" bestFit="1" customWidth="1" min="6" max="6"/>
    <col width="14" bestFit="1" customWidth="1" min="7" max="7"/>
    <col width="13.25" bestFit="1" customWidth="1" min="8" max="8"/>
  </cols>
  <sheetData>
    <row r="1" ht="32.1" customHeight="1">
      <c r="A1" s="35" t="inlineStr">
        <is>
          <t>BT method and frozen weights</t>
        </is>
      </c>
    </row>
    <row r="2" ht="30" customHeight="1">
      <c r="A2" s="36" t="inlineStr">
        <is>
          <t>Weights are fixed. The 0–3 dimension relevance scores are the engineering inputs to the static ranking.</t>
        </is>
      </c>
    </row>
    <row r="3" ht="21.95" customHeight="1">
      <c r="A3" s="188">
        <f>HYPERLINK("#START_HERE!A1","Start")</f>
        <v/>
      </c>
      <c r="B3" s="188">
        <f>HYPERLINK("#DASHBOARD!A1","Dashboard")</f>
        <v/>
      </c>
      <c r="C3" s="188">
        <f>HYPERLINK("#OFFER_RANKING!A1","Ranking")</f>
        <v/>
      </c>
      <c r="D3" s="188">
        <f>HYPERLINK("#EVALUATION_INPUT!A1","Evaluate")</f>
        <v/>
      </c>
      <c r="E3" s="188">
        <f>HYPERLINK("#OFFER_CANONICAL!A1","Canonical")</f>
        <v/>
      </c>
      <c r="F3" s="188">
        <f>HYPERLINK("#RTM_CROSSWALK!A1","Crosswalk")</f>
        <v/>
      </c>
      <c r="G3" s="188">
        <f>HYPERLINK("#WEIGHTS_METHOD!A1","Method")</f>
        <v/>
      </c>
      <c r="H3" s="1" t="n"/>
      <c r="I3" s="1" t="n"/>
      <c r="J3" s="1" t="n"/>
      <c r="K3" s="1" t="n"/>
      <c r="L3" s="1" t="n"/>
    </row>
    <row r="5" ht="33.95" customHeight="1">
      <c r="A5" s="3" t="inlineStr">
        <is>
          <t>Dimension</t>
        </is>
      </c>
      <c r="B5" s="3" t="inlineStr">
        <is>
          <t>Frozen weight</t>
        </is>
      </c>
      <c r="C5" s="3" t="inlineStr">
        <is>
          <t>Intent</t>
        </is>
      </c>
      <c r="E5" s="3" t="inlineStr">
        <is>
          <t>Output</t>
        </is>
      </c>
      <c r="F5" s="3" t="inlineStr">
        <is>
          <t>Construction</t>
        </is>
      </c>
      <c r="G5" s="3" t="inlineStr">
        <is>
          <t>Interpretation</t>
        </is>
      </c>
      <c r="H5" s="3" t="inlineStr">
        <is>
          <t>Guardrail</t>
        </is>
      </c>
    </row>
    <row r="6" ht="50.1" customHeight="1">
      <c r="A6" s="4" t="inlineStr">
        <is>
          <t>Safety / Legal</t>
        </is>
      </c>
      <c r="B6" s="23" t="n">
        <v>0.2</v>
      </c>
      <c r="C6" s="4" t="inlineStr">
        <is>
          <t>Gate-sensitive and compliance-critical</t>
        </is>
      </c>
      <c r="E6" s="4" t="inlineStr">
        <is>
          <t>Weighted S</t>
        </is>
      </c>
      <c r="F6" s="4" t="inlineStr">
        <is>
          <t>100 × Σ(weight × relevance/3)</t>
        </is>
      </c>
      <c r="G6" s="4" t="inlineStr">
        <is>
          <t>Primary transparent importance score</t>
        </is>
      </c>
      <c r="H6" s="4" t="inlineStr">
        <is>
          <t>Not bidder compliance</t>
        </is>
      </c>
    </row>
    <row r="7" ht="50.1" customHeight="1">
      <c r="A7" s="4" t="inlineStr">
        <is>
          <t>Reliability</t>
        </is>
      </c>
      <c r="B7" s="23" t="n">
        <v>0.22</v>
      </c>
      <c r="C7" s="4" t="inlineStr">
        <is>
          <t>2 K continuity / recovery / no warm stop</t>
        </is>
      </c>
      <c r="E7" s="4" t="inlineStr">
        <is>
          <t>Gate</t>
        </is>
      </c>
      <c r="F7" s="4" t="inlineStr">
        <is>
          <t>T0 compared before Weighted S</t>
        </is>
      </c>
      <c r="G7" s="4" t="inlineStr">
        <is>
          <t>Admissibility precedence</t>
        </is>
      </c>
      <c r="H7" s="4" t="inlineStr">
        <is>
          <t>Performance cannot cure a gate failure</t>
        </is>
      </c>
    </row>
    <row r="8" ht="50.1" customHeight="1">
      <c r="A8" s="4" t="inlineStr">
        <is>
          <t>Performance</t>
        </is>
      </c>
      <c r="B8" s="23" t="n">
        <v>0.2</v>
      </c>
      <c r="C8" s="4" t="inlineStr">
        <is>
          <t>Heat loads, capacity and transient support</t>
        </is>
      </c>
      <c r="E8" s="4" t="inlineStr">
        <is>
          <t>BT win %</t>
        </is>
      </c>
      <c r="F8" s="4" t="inlineStr">
        <is>
          <t>Wins + 0.5 ties across 49 opponents</t>
        </is>
      </c>
      <c r="G8" s="4" t="inlineStr">
        <is>
          <t>Pairwise dominance in percentage form</t>
        </is>
      </c>
      <c r="H8" s="4" t="inlineStr">
        <is>
          <t>Not compliance probability</t>
        </is>
      </c>
    </row>
    <row r="9" ht="50.1" customHeight="1">
      <c r="A9" s="4" t="inlineStr">
        <is>
          <t>Functional</t>
        </is>
      </c>
      <c r="B9" s="23" t="n">
        <v>0.16</v>
      </c>
      <c r="C9" s="4" t="inlineStr">
        <is>
          <t>Control logic, procedures and operability</t>
        </is>
      </c>
      <c r="E9" s="4" t="inlineStr">
        <is>
          <t>BT λ</t>
        </is>
      </c>
      <c r="F9" s="4" t="inlineStr">
        <is>
          <t>Regularized MLE, normalized max=100</t>
        </is>
      </c>
      <c r="G9" s="4" t="inlineStr">
        <is>
          <t>Relative model strength; ratios matter</t>
        </is>
      </c>
      <c r="H9" s="4" t="inlineStr">
        <is>
          <t>Not an independent score</t>
        </is>
      </c>
    </row>
    <row r="10" ht="62" customHeight="1">
      <c r="A10" s="4" t="inlineStr">
        <is>
          <t>Quality / Verifiability</t>
        </is>
      </c>
      <c r="B10" s="23" t="n">
        <v>0.12</v>
      </c>
      <c r="C10" s="4" t="inlineStr">
        <is>
          <t>FAT/SAT, QAP, standards and auditability</t>
        </is>
      </c>
      <c r="E10" s="4" t="inlineStr">
        <is>
          <t>Tiers</t>
        </is>
      </c>
      <c r="F10" s="4" t="inlineStr">
        <is>
          <t>T0 gates; next 10 T1; next 16 T2; rest T3</t>
        </is>
      </c>
      <c r="G10" s="4" t="inlineStr">
        <is>
          <t>Stable review bands</t>
        </is>
      </c>
      <c r="H10" s="4" t="inlineStr">
        <is>
          <t>Priority, not applicability</t>
        </is>
      </c>
    </row>
    <row r="11" ht="62" customHeight="1">
      <c r="A11" s="4" t="inlineStr">
        <is>
          <t>Lifecycle</t>
        </is>
      </c>
      <c r="B11" s="23" t="n">
        <v>0.07000000000000001</v>
      </c>
      <c r="C11" s="4" t="inlineStr">
        <is>
          <t>Maintainability / obsolescence / support</t>
        </is>
      </c>
      <c r="E11" s="4" t="inlineStr">
        <is>
          <t>Cold/static</t>
        </is>
      </c>
      <c r="F11" s="4" t="inlineStr">
        <is>
          <t>No bidder evidence</t>
        </is>
      </c>
      <c r="G11" s="4" t="inlineStr">
        <is>
          <t>Keeps importance independent of presentation quality</t>
        </is>
      </c>
      <c r="H11" s="4" t="inlineStr">
        <is>
          <t>Do not blend Technical Depth into rank</t>
        </is>
      </c>
    </row>
    <row r="12" ht="32.1" customHeight="1">
      <c r="A12" s="4" t="inlineStr">
        <is>
          <t>Cost</t>
        </is>
      </c>
      <c r="B12" s="23" t="n">
        <v>0.03</v>
      </c>
      <c r="C12" s="4" t="inlineStr">
        <is>
          <t>Technical tie-break only; price evaluated separately</t>
        </is>
      </c>
    </row>
    <row r="14">
      <c r="A14" s="31" t="inlineStr">
        <is>
          <t>Weighted S is the best measure for explaining why an OFFER item is important. BT win % is the easiest pairwise summary. BT λ is useful only for relative separation: λ=80 versus λ=40 means about twice the fitted relative strength, not 80% versus 40% compliance.</t>
        </is>
      </c>
    </row>
    <row r="15"/>
    <row r="16"/>
    <row r="17"/>
    <row r="18"/>
    <row r="21">
      <c r="A21" s="55" t="inlineStr">
        <is>
          <t>Weight-sensitivity scenario: what if Cost were 70%?</t>
        </is>
      </c>
    </row>
    <row r="22" ht="90" customHeight="1">
      <c r="A22" s="94" t="inlineStr">
        <is>
          <t>Illustrative only -- does NOT change the frozen official ranking above or anywhere else in this workbook (per the guardrail: 'do not change the weighting ... unless the panel formally approves a controlled rerun'). GBO asked to see the impact of a much heavier Cost weight directly, rather than the +/-25%/50% one-at-a-time sensitivity sweep. Scenario weights: Cost = 70%, the other 6 dimensions equally split across the remaining 30% (5% each) -- the simplest scheme to explain. (Alternative not computed here: keep the other 6 dimensions' CURRENT relative proportions and rescale them to fit the remaining 30% -- ask if you want that variant too.) Recomputed from each item's own 0-3 relevance scores already in OFFER_RANKING!H:N -- nothing invented.</t>
        </is>
      </c>
    </row>
    <row r="24" ht="30" customHeight="1">
      <c r="A24" s="123" t="inlineStr">
        <is>
          <t>OFFER ID</t>
        </is>
      </c>
      <c r="B24" s="123" t="inlineStr">
        <is>
          <t>Title</t>
        </is>
      </c>
      <c r="C24" s="123" t="inlineStr">
        <is>
          <t>Base rank</t>
        </is>
      </c>
      <c r="D24" s="123" t="inlineStr">
        <is>
          <t>Scenario rank (Cost=70%)</t>
        </is>
      </c>
      <c r="E24" s="123" t="inlineStr">
        <is>
          <t>Base Weighted S</t>
        </is>
      </c>
      <c r="F24" s="123" t="inlineStr">
        <is>
          <t>Scenario S</t>
        </is>
      </c>
      <c r="G24" s="123" t="inlineStr">
        <is>
          <t>Rank delta</t>
        </is>
      </c>
    </row>
    <row r="25">
      <c r="A25" s="134" t="inlineStr">
        <is>
          <t>OFFER-44</t>
        </is>
      </c>
      <c r="B25" s="134" t="inlineStr">
        <is>
          <t>Project Schedule &amp; Milestone Definition</t>
        </is>
      </c>
      <c r="C25" s="134" t="n">
        <v>50</v>
      </c>
      <c r="D25" s="134" t="n">
        <v>6</v>
      </c>
      <c r="E25" s="134" t="n">
        <v>6.3</v>
      </c>
      <c r="F25" s="134" t="n">
        <v>25</v>
      </c>
      <c r="G25" s="140" t="n">
        <v>44</v>
      </c>
    </row>
    <row r="26">
      <c r="A26" s="134" t="inlineStr">
        <is>
          <t>OFFER-38</t>
        </is>
      </c>
      <c r="B26" s="134" t="inlineStr">
        <is>
          <t>Training Program &amp; Competency Definition</t>
        </is>
      </c>
      <c r="C26" s="134" t="n">
        <v>47</v>
      </c>
      <c r="D26" s="134" t="n">
        <v>4</v>
      </c>
      <c r="E26" s="134" t="n">
        <v>14.3</v>
      </c>
      <c r="F26" s="134" t="n">
        <v>75</v>
      </c>
      <c r="G26" s="140" t="n">
        <v>43</v>
      </c>
    </row>
    <row r="27">
      <c r="A27" s="134" t="inlineStr">
        <is>
          <t>OFFER-50</t>
        </is>
      </c>
      <c r="B27" s="134" t="inlineStr">
        <is>
          <t>Warranty Extension Commercial Terms</t>
        </is>
      </c>
      <c r="C27" s="134" t="n">
        <v>33</v>
      </c>
      <c r="D27" s="134" t="n">
        <v>3</v>
      </c>
      <c r="E27" s="134" t="n">
        <v>23.3</v>
      </c>
      <c r="F27" s="134" t="n">
        <v>78.33</v>
      </c>
      <c r="G27" s="140" t="n">
        <v>30</v>
      </c>
    </row>
    <row r="28">
      <c r="A28" s="134" t="inlineStr">
        <is>
          <t>OFFER-45</t>
        </is>
      </c>
      <c r="B28" s="134" t="inlineStr">
        <is>
          <t>Project Dashboard &amp; Management Processes</t>
        </is>
      </c>
      <c r="C28" s="134" t="n">
        <v>24</v>
      </c>
      <c r="D28" s="134" t="n">
        <v>5</v>
      </c>
      <c r="E28" s="134" t="n">
        <v>31.7</v>
      </c>
      <c r="F28" s="134" t="n">
        <v>33.33</v>
      </c>
      <c r="G28" s="140" t="n">
        <v>19</v>
      </c>
    </row>
    <row r="29">
      <c r="A29" s="134" t="inlineStr">
        <is>
          <t>OFFER-01</t>
        </is>
      </c>
      <c r="B29" s="134" t="inlineStr">
        <is>
          <t>Tender Compliance Confirmation</t>
        </is>
      </c>
      <c r="C29" s="134" t="n">
        <v>3</v>
      </c>
      <c r="D29" s="134" t="n">
        <v>18</v>
      </c>
      <c r="E29" s="134" t="n">
        <v>32</v>
      </c>
      <c r="F29" s="134" t="n">
        <v>10</v>
      </c>
      <c r="G29" s="141" t="n">
        <v>-15</v>
      </c>
    </row>
    <row r="30">
      <c r="A30" s="134" t="inlineStr">
        <is>
          <t>OFFER-03</t>
        </is>
      </c>
      <c r="B30" s="134" t="inlineStr">
        <is>
          <t>Integrated Technical Proposal &amp; Execution Strategy</t>
        </is>
      </c>
      <c r="C30" s="134" t="n">
        <v>4</v>
      </c>
      <c r="D30" s="134" t="n">
        <v>19</v>
      </c>
      <c r="E30" s="134" t="n">
        <v>32</v>
      </c>
      <c r="F30" s="134" t="n">
        <v>10</v>
      </c>
      <c r="G30" s="141" t="n">
        <v>-15</v>
      </c>
    </row>
    <row r="31">
      <c r="A31" s="134" t="inlineStr">
        <is>
          <t>OFFER-47</t>
        </is>
      </c>
      <c r="B31" s="134" t="inlineStr">
        <is>
          <t>Quality Assurance Program (QAP) Definition</t>
        </is>
      </c>
      <c r="C31" s="134" t="n">
        <v>5</v>
      </c>
      <c r="D31" s="134" t="n">
        <v>20</v>
      </c>
      <c r="E31" s="134" t="n">
        <v>32</v>
      </c>
      <c r="F31" s="134" t="n">
        <v>10</v>
      </c>
      <c r="G31" s="141" t="n">
        <v>-15</v>
      </c>
    </row>
    <row r="32">
      <c r="A32" s="134" t="inlineStr">
        <is>
          <t>OFFER-49</t>
        </is>
      </c>
      <c r="B32" s="134" t="inlineStr">
        <is>
          <t>Codes, Standards &amp; Compliance Framework</t>
        </is>
      </c>
      <c r="C32" s="134" t="n">
        <v>6</v>
      </c>
      <c r="D32" s="134" t="n">
        <v>21</v>
      </c>
      <c r="E32" s="134" t="n">
        <v>32</v>
      </c>
      <c r="F32" s="134" t="n">
        <v>10</v>
      </c>
      <c r="G32" s="141" t="n">
        <v>-15</v>
      </c>
    </row>
    <row r="33">
      <c r="A33" s="134" t="inlineStr">
        <is>
          <t>OFFER-41</t>
        </is>
      </c>
      <c r="B33" s="134" t="inlineStr">
        <is>
          <t>Spare Parts &amp; Critical Components Strategy</t>
        </is>
      </c>
      <c r="C33" s="134" t="n">
        <v>16</v>
      </c>
      <c r="D33" s="134" t="n">
        <v>2</v>
      </c>
      <c r="E33" s="134" t="n">
        <v>38.7</v>
      </c>
      <c r="F33" s="134" t="n">
        <v>81.67</v>
      </c>
      <c r="G33" s="140" t="n">
        <v>14</v>
      </c>
    </row>
    <row r="34">
      <c r="A34" s="134" t="inlineStr">
        <is>
          <t>OFFER-48</t>
        </is>
      </c>
      <c r="B34" s="134" t="inlineStr">
        <is>
          <t>Detailed Quality Control Procedures</t>
        </is>
      </c>
      <c r="C34" s="134" t="n">
        <v>2</v>
      </c>
      <c r="D34" s="134" t="n">
        <v>10</v>
      </c>
      <c r="E34" s="134" t="n">
        <v>42.7</v>
      </c>
      <c r="F34" s="134" t="n">
        <v>13.33</v>
      </c>
      <c r="G34" s="141" t="n">
        <v>-8</v>
      </c>
    </row>
    <row r="35">
      <c r="A35" s="134" t="inlineStr">
        <is>
          <t>OFFER-33</t>
        </is>
      </c>
      <c r="B35" s="134" t="inlineStr">
        <is>
          <t>Electrical System Design &amp; Load Analysis</t>
        </is>
      </c>
      <c r="C35" s="134" t="n">
        <v>15</v>
      </c>
      <c r="D35" s="134" t="n">
        <v>22</v>
      </c>
      <c r="E35" s="134" t="n">
        <v>38.7</v>
      </c>
      <c r="F35" s="134" t="n">
        <v>10</v>
      </c>
      <c r="G35" s="141" t="n">
        <v>-7</v>
      </c>
    </row>
    <row r="36">
      <c r="A36" s="134" t="inlineStr">
        <is>
          <t>OFFER-21</t>
        </is>
      </c>
      <c r="B36" s="134" t="inlineStr">
        <is>
          <t>LOOP Strategy &amp; Critical Load Management</t>
        </is>
      </c>
      <c r="C36" s="134" t="n">
        <v>20</v>
      </c>
      <c r="D36" s="134" t="n">
        <v>27</v>
      </c>
      <c r="E36" s="134" t="n">
        <v>32.7</v>
      </c>
      <c r="F36" s="134" t="n">
        <v>8.33</v>
      </c>
      <c r="G36" s="141" t="n">
        <v>-7</v>
      </c>
    </row>
    <row r="38" ht="45" customHeight="1">
      <c r="A38" s="94" t="inlineStr">
        <is>
          <t>Read: positive delta = moves UP (more important) once Cost is weighted at 70%; negative = moves DOWN. The four T0 Gate items that share Cost score 0 (OFFER-01/03/47/49) all fall ~15 places despite being gate-critical today -- the clearest illustration that Cost dominance would override the current Safety/Legal-first gate logic, not just re-shuffle the ranking a little.</t>
        </is>
      </c>
    </row>
    <row r="41">
      <c r="A41" s="164" t="inlineStr">
        <is>
          <t>Weight dimension legend (code -&gt; full name, as used on OFFER_RANKING!H:N and RTM_RANKING!O:U)</t>
        </is>
      </c>
    </row>
    <row r="42">
      <c r="A42" s="93" t="inlineStr">
        <is>
          <t>Code</t>
        </is>
      </c>
      <c r="B42" s="93" t="inlineStr">
        <is>
          <t>Full dimension name</t>
        </is>
      </c>
      <c r="C42" s="93" t="inlineStr">
        <is>
          <t>Frozen weight</t>
        </is>
      </c>
      <c r="D42" s="93" t="inlineStr">
        <is>
          <t>Colour</t>
        </is>
      </c>
    </row>
    <row r="43">
      <c r="A43" s="66" t="inlineStr">
        <is>
          <t>L</t>
        </is>
      </c>
      <c r="B43" s="78" t="inlineStr">
        <is>
          <t>Safety / Legal</t>
        </is>
      </c>
      <c r="C43" s="165" t="n">
        <v>0.2</v>
      </c>
      <c r="D43" s="166" t="inlineStr"/>
    </row>
    <row r="44">
      <c r="A44" s="66" t="inlineStr">
        <is>
          <t>R</t>
        </is>
      </c>
      <c r="B44" s="78" t="inlineStr">
        <is>
          <t>Reliability</t>
        </is>
      </c>
      <c r="C44" s="165" t="n">
        <v>0.22</v>
      </c>
      <c r="D44" s="167" t="inlineStr"/>
    </row>
    <row r="45">
      <c r="A45" s="66" t="inlineStr">
        <is>
          <t>P</t>
        </is>
      </c>
      <c r="B45" s="78" t="inlineStr">
        <is>
          <t>Performance</t>
        </is>
      </c>
      <c r="C45" s="165" t="n">
        <v>0.2</v>
      </c>
      <c r="D45" s="168" t="inlineStr"/>
    </row>
    <row r="46">
      <c r="A46" s="66" t="inlineStr">
        <is>
          <t>F</t>
        </is>
      </c>
      <c r="B46" s="78" t="inlineStr">
        <is>
          <t>Functional</t>
        </is>
      </c>
      <c r="C46" s="165" t="n">
        <v>0.16</v>
      </c>
      <c r="D46" s="169" t="inlineStr"/>
    </row>
    <row r="47">
      <c r="A47" s="66" t="inlineStr">
        <is>
          <t>Q</t>
        </is>
      </c>
      <c r="B47" s="78" t="inlineStr">
        <is>
          <t>Quality / Verifiability</t>
        </is>
      </c>
      <c r="C47" s="165" t="n">
        <v>0.12</v>
      </c>
      <c r="D47" s="170" t="inlineStr"/>
    </row>
    <row r="48">
      <c r="A48" s="66" t="inlineStr">
        <is>
          <t>LC</t>
        </is>
      </c>
      <c r="B48" s="78" t="inlineStr">
        <is>
          <t>Lifecycle</t>
        </is>
      </c>
      <c r="C48" s="165" t="n">
        <v>0.07000000000000001</v>
      </c>
      <c r="D48" s="171" t="inlineStr"/>
    </row>
    <row r="49">
      <c r="A49" s="66" t="inlineStr">
        <is>
          <t>C</t>
        </is>
      </c>
      <c r="B49" s="78" t="inlineStr">
        <is>
          <t>Cost</t>
        </is>
      </c>
      <c r="C49" s="165" t="n">
        <v>0.03</v>
      </c>
      <c r="D49" s="172" t="inlineStr"/>
    </row>
    <row r="50" ht="62" customHeight="1">
      <c r="A50" s="243" t="inlineStr">
        <is>
          <t>3rd toggle option added (row 62): 'Cost-heavy-proportional' keeps the other 6 dimensions' existing relative ratios (L:R:P:F:Q:LC) and rescales them to fill the remaining 30%, instead of splitting it flat 5% each like 'Cost-heavy'. Both give Cost the same 70% weight but rank very differently: Spearman(Base, Cost-heavy-flat) = 0.994 vs. Spearman(Base, Cost-heavy-proportional) = 0.661 -- HOW the remaining 30% is distributed matters as much as the headline Cost weight for rank stability. Toggle dropdown values (B56) changed from the old descriptive strings to short labels matching column A exactly ('Base' / 'Cost-heavy' / 'Cost-heavy-proportional') to support 3 options via INDEX/MATCH.</t>
        </is>
      </c>
    </row>
    <row r="52">
      <c r="A52" s="164" t="inlineStr">
        <is>
          <t>Live scenario toggle -- switch Cost weight and see the impact immediately</t>
        </is>
      </c>
    </row>
    <row r="53" ht="28" customHeight="1">
      <c r="A53" s="173" t="inlineStr">
        <is>
          <t>Pick a scenario in the yellow cell below; the table recomputes live via formulas (no macro). Illustrative only -- never changes the frozen official ranking on OFFER_RANKING. Both scenarios split the non-Cost weight equally across the other 6 dimensions, the simplest scheme to explain. 'Live rank' deliberately ranks by score alone (no gate precedence) -- same method as the static Cost=70% table below -- so it shows what happens to today's gate items on merit score alone, which is the whole point of the toggle. That means even under 'Base' weights, Live rank will differ slightly from the official Base rank (col C) for gate items and exact ties -- expected, not an error; col C is always the real official rank.</t>
        </is>
      </c>
    </row>
    <row r="54" ht="28" customHeight="1"/>
    <row r="56">
      <c r="A56" s="66" t="inlineStr">
        <is>
          <t>Scenario:</t>
        </is>
      </c>
      <c r="B56" s="174" t="inlineStr">
        <is>
          <t>Base</t>
        </is>
      </c>
    </row>
    <row r="58">
      <c r="A58" s="175" t="inlineStr">
        <is>
          <t>(scenario weight lookup -- feeds the formulas below, not for manual editing)</t>
        </is>
      </c>
    </row>
    <row r="59">
      <c r="A59" s="176" t="inlineStr">
        <is>
          <t>Base</t>
        </is>
      </c>
      <c r="B59" s="177" t="inlineStr">
        <is>
          <t>L</t>
        </is>
      </c>
      <c r="C59" s="177" t="inlineStr">
        <is>
          <t>R</t>
        </is>
      </c>
      <c r="D59" s="177" t="inlineStr">
        <is>
          <t>P</t>
        </is>
      </c>
      <c r="E59" s="177" t="inlineStr">
        <is>
          <t>F</t>
        </is>
      </c>
      <c r="F59" s="177" t="inlineStr">
        <is>
          <t>Q</t>
        </is>
      </c>
      <c r="G59" s="177" t="inlineStr">
        <is>
          <t>LC</t>
        </is>
      </c>
      <c r="H59" s="177" t="inlineStr">
        <is>
          <t>C</t>
        </is>
      </c>
    </row>
    <row r="60">
      <c r="A60" s="176" t="inlineStr">
        <is>
          <t>Base</t>
        </is>
      </c>
      <c r="B60" s="178" t="n">
        <v>0.2</v>
      </c>
      <c r="C60" s="178" t="n">
        <v>0.22</v>
      </c>
      <c r="D60" s="178" t="n">
        <v>0.2</v>
      </c>
      <c r="E60" s="178" t="n">
        <v>0.16</v>
      </c>
      <c r="F60" s="178" t="n">
        <v>0.12</v>
      </c>
      <c r="G60" s="178" t="n">
        <v>0.07000000000000001</v>
      </c>
      <c r="H60" s="178" t="n">
        <v>0.03</v>
      </c>
    </row>
    <row r="61">
      <c r="A61" s="176" t="inlineStr">
        <is>
          <t>Cost-heavy</t>
        </is>
      </c>
      <c r="B61" s="178" t="n">
        <v>0.05</v>
      </c>
      <c r="C61" s="178" t="n">
        <v>0.05</v>
      </c>
      <c r="D61" s="178" t="n">
        <v>0.05</v>
      </c>
      <c r="E61" s="178" t="n">
        <v>0.05</v>
      </c>
      <c r="F61" s="178" t="n">
        <v>0.05</v>
      </c>
      <c r="G61" s="178" t="n">
        <v>0.05</v>
      </c>
      <c r="H61" s="178" t="n">
        <v>0.7</v>
      </c>
    </row>
    <row r="62">
      <c r="A62" s="241" t="inlineStr">
        <is>
          <t>Cost-heavy-proportional</t>
        </is>
      </c>
      <c r="B62" s="244" t="n">
        <v>0.06186</v>
      </c>
      <c r="C62" s="244" t="n">
        <v>0.06804</v>
      </c>
      <c r="D62" s="244" t="n">
        <v>0.06186</v>
      </c>
      <c r="E62" s="244" t="n">
        <v>0.04948</v>
      </c>
      <c r="F62" s="244" t="n">
        <v>0.03711</v>
      </c>
      <c r="G62" s="244" t="n">
        <v>0.02165</v>
      </c>
      <c r="H62" s="244" t="n">
        <v>0.7</v>
      </c>
    </row>
    <row r="63">
      <c r="A63" s="93" t="inlineStr">
        <is>
          <t>OFFER ID</t>
        </is>
      </c>
      <c r="B63" s="93" t="inlineStr">
        <is>
          <t>Title</t>
        </is>
      </c>
      <c r="C63" s="93" t="inlineStr">
        <is>
          <t>Base rank</t>
        </is>
      </c>
      <c r="D63" s="93" t="inlineStr">
        <is>
          <t>Live rank</t>
        </is>
      </c>
      <c r="E63" s="93" t="inlineStr">
        <is>
          <t>Base Weighted S</t>
        </is>
      </c>
      <c r="F63" s="93" t="inlineStr">
        <is>
          <t>Live Weighted S</t>
        </is>
      </c>
      <c r="G63" s="93" t="inlineStr">
        <is>
          <t>Rank delta</t>
        </is>
      </c>
    </row>
    <row r="64">
      <c r="A64">
        <f>OFFER_RANKING!B6</f>
        <v/>
      </c>
      <c r="B64">
        <f>OFFER_RANKING!C6</f>
        <v/>
      </c>
      <c r="C64">
        <f>OFFER_RANKING!A6</f>
        <v/>
      </c>
      <c r="D64">
        <f>RANK(F64,$F$64:$F$113,0)</f>
        <v/>
      </c>
      <c r="E64" s="179">
        <f>OFFER_RANKING!O6</f>
        <v/>
      </c>
      <c r="F64" s="179">
        <f>100*SUMPRODUCT(OFFER_RANKING!H6:N6,INDEX($B$60:$H$62,MATCH($B$56,$A$60:$A$62,0),0))/3</f>
        <v/>
      </c>
      <c r="G64" s="66">
        <f>C64-D64</f>
        <v/>
      </c>
    </row>
    <row r="65">
      <c r="A65">
        <f>OFFER_RANKING!B7</f>
        <v/>
      </c>
      <c r="B65">
        <f>OFFER_RANKING!C7</f>
        <v/>
      </c>
      <c r="C65">
        <f>OFFER_RANKING!A7</f>
        <v/>
      </c>
      <c r="D65">
        <f>RANK(F65,$F$64:$F$113,0)</f>
        <v/>
      </c>
      <c r="E65" s="179">
        <f>OFFER_RANKING!O7</f>
        <v/>
      </c>
      <c r="F65" s="179">
        <f>100*SUMPRODUCT(OFFER_RANKING!H7:N7,INDEX($B$60:$H$62,MATCH($B$56,$A$60:$A$62,0),0))/3</f>
        <v/>
      </c>
      <c r="G65" s="66">
        <f>C65-D65</f>
        <v/>
      </c>
    </row>
    <row r="66">
      <c r="A66">
        <f>OFFER_RANKING!B8</f>
        <v/>
      </c>
      <c r="B66">
        <f>OFFER_RANKING!C8</f>
        <v/>
      </c>
      <c r="C66">
        <f>OFFER_RANKING!A8</f>
        <v/>
      </c>
      <c r="D66">
        <f>RANK(F66,$F$64:$F$113,0)</f>
        <v/>
      </c>
      <c r="E66" s="179">
        <f>OFFER_RANKING!O8</f>
        <v/>
      </c>
      <c r="F66" s="179">
        <f>100*SUMPRODUCT(OFFER_RANKING!H8:N8,INDEX($B$60:$H$62,MATCH($B$56,$A$60:$A$62,0),0))/3</f>
        <v/>
      </c>
      <c r="G66" s="66">
        <f>C66-D66</f>
        <v/>
      </c>
    </row>
    <row r="67">
      <c r="A67">
        <f>OFFER_RANKING!B9</f>
        <v/>
      </c>
      <c r="B67">
        <f>OFFER_RANKING!C9</f>
        <v/>
      </c>
      <c r="C67">
        <f>OFFER_RANKING!A9</f>
        <v/>
      </c>
      <c r="D67">
        <f>RANK(F67,$F$64:$F$113,0)</f>
        <v/>
      </c>
      <c r="E67" s="179">
        <f>OFFER_RANKING!O9</f>
        <v/>
      </c>
      <c r="F67" s="179">
        <f>100*SUMPRODUCT(OFFER_RANKING!H9:N9,INDEX($B$60:$H$62,MATCH($B$56,$A$60:$A$62,0),0))/3</f>
        <v/>
      </c>
      <c r="G67" s="66">
        <f>C67-D67</f>
        <v/>
      </c>
    </row>
    <row r="68">
      <c r="A68">
        <f>OFFER_RANKING!B10</f>
        <v/>
      </c>
      <c r="B68">
        <f>OFFER_RANKING!C10</f>
        <v/>
      </c>
      <c r="C68">
        <f>OFFER_RANKING!A10</f>
        <v/>
      </c>
      <c r="D68">
        <f>RANK(F68,$F$64:$F$113,0)</f>
        <v/>
      </c>
      <c r="E68" s="179">
        <f>OFFER_RANKING!O10</f>
        <v/>
      </c>
      <c r="F68" s="179">
        <f>100*SUMPRODUCT(OFFER_RANKING!H10:N10,INDEX($B$60:$H$62,MATCH($B$56,$A$60:$A$62,0),0))/3</f>
        <v/>
      </c>
      <c r="G68" s="66">
        <f>C68-D68</f>
        <v/>
      </c>
    </row>
    <row r="69">
      <c r="A69">
        <f>OFFER_RANKING!B11</f>
        <v/>
      </c>
      <c r="B69">
        <f>OFFER_RANKING!C11</f>
        <v/>
      </c>
      <c r="C69">
        <f>OFFER_RANKING!A11</f>
        <v/>
      </c>
      <c r="D69">
        <f>RANK(F69,$F$64:$F$113,0)</f>
        <v/>
      </c>
      <c r="E69" s="179">
        <f>OFFER_RANKING!O11</f>
        <v/>
      </c>
      <c r="F69" s="179">
        <f>100*SUMPRODUCT(OFFER_RANKING!H11:N11,INDEX($B$60:$H$62,MATCH($B$56,$A$60:$A$62,0),0))/3</f>
        <v/>
      </c>
      <c r="G69" s="66">
        <f>C69-D69</f>
        <v/>
      </c>
    </row>
    <row r="70">
      <c r="A70">
        <f>OFFER_RANKING!B12</f>
        <v/>
      </c>
      <c r="B70">
        <f>OFFER_RANKING!C12</f>
        <v/>
      </c>
      <c r="C70">
        <f>OFFER_RANKING!A12</f>
        <v/>
      </c>
      <c r="D70">
        <f>RANK(F70,$F$64:$F$113,0)</f>
        <v/>
      </c>
      <c r="E70" s="179">
        <f>OFFER_RANKING!O12</f>
        <v/>
      </c>
      <c r="F70" s="179">
        <f>100*SUMPRODUCT(OFFER_RANKING!H12:N12,INDEX($B$60:$H$62,MATCH($B$56,$A$60:$A$62,0),0))/3</f>
        <v/>
      </c>
      <c r="G70" s="66">
        <f>C70-D70</f>
        <v/>
      </c>
    </row>
    <row r="71">
      <c r="A71">
        <f>OFFER_RANKING!B13</f>
        <v/>
      </c>
      <c r="B71">
        <f>OFFER_RANKING!C13</f>
        <v/>
      </c>
      <c r="C71">
        <f>OFFER_RANKING!A13</f>
        <v/>
      </c>
      <c r="D71">
        <f>RANK(F71,$F$64:$F$113,0)</f>
        <v/>
      </c>
      <c r="E71" s="179">
        <f>OFFER_RANKING!O13</f>
        <v/>
      </c>
      <c r="F71" s="179">
        <f>100*SUMPRODUCT(OFFER_RANKING!H13:N13,INDEX($B$60:$H$62,MATCH($B$56,$A$60:$A$62,0),0))/3</f>
        <v/>
      </c>
      <c r="G71" s="66">
        <f>C71-D71</f>
        <v/>
      </c>
    </row>
    <row r="72">
      <c r="A72">
        <f>OFFER_RANKING!B14</f>
        <v/>
      </c>
      <c r="B72">
        <f>OFFER_RANKING!C14</f>
        <v/>
      </c>
      <c r="C72">
        <f>OFFER_RANKING!A14</f>
        <v/>
      </c>
      <c r="D72">
        <f>RANK(F72,$F$64:$F$113,0)</f>
        <v/>
      </c>
      <c r="E72" s="179">
        <f>OFFER_RANKING!O14</f>
        <v/>
      </c>
      <c r="F72" s="179">
        <f>100*SUMPRODUCT(OFFER_RANKING!H14:N14,INDEX($B$60:$H$62,MATCH($B$56,$A$60:$A$62,0),0))/3</f>
        <v/>
      </c>
      <c r="G72" s="66">
        <f>C72-D72</f>
        <v/>
      </c>
    </row>
    <row r="73">
      <c r="A73">
        <f>OFFER_RANKING!B15</f>
        <v/>
      </c>
      <c r="B73">
        <f>OFFER_RANKING!C15</f>
        <v/>
      </c>
      <c r="C73">
        <f>OFFER_RANKING!A15</f>
        <v/>
      </c>
      <c r="D73">
        <f>RANK(F73,$F$64:$F$113,0)</f>
        <v/>
      </c>
      <c r="E73" s="179">
        <f>OFFER_RANKING!O15</f>
        <v/>
      </c>
      <c r="F73" s="179">
        <f>100*SUMPRODUCT(OFFER_RANKING!H15:N15,INDEX($B$60:$H$62,MATCH($B$56,$A$60:$A$62,0),0))/3</f>
        <v/>
      </c>
      <c r="G73" s="66">
        <f>C73-D73</f>
        <v/>
      </c>
    </row>
    <row r="74">
      <c r="A74">
        <f>OFFER_RANKING!B16</f>
        <v/>
      </c>
      <c r="B74">
        <f>OFFER_RANKING!C16</f>
        <v/>
      </c>
      <c r="C74">
        <f>OFFER_RANKING!A16</f>
        <v/>
      </c>
      <c r="D74">
        <f>RANK(F74,$F$64:$F$113,0)</f>
        <v/>
      </c>
      <c r="E74" s="179">
        <f>OFFER_RANKING!O16</f>
        <v/>
      </c>
      <c r="F74" s="179">
        <f>100*SUMPRODUCT(OFFER_RANKING!H16:N16,INDEX($B$60:$H$62,MATCH($B$56,$A$60:$A$62,0),0))/3</f>
        <v/>
      </c>
      <c r="G74" s="66">
        <f>C74-D74</f>
        <v/>
      </c>
    </row>
    <row r="75">
      <c r="A75">
        <f>OFFER_RANKING!B17</f>
        <v/>
      </c>
      <c r="B75">
        <f>OFFER_RANKING!C17</f>
        <v/>
      </c>
      <c r="C75">
        <f>OFFER_RANKING!A17</f>
        <v/>
      </c>
      <c r="D75">
        <f>RANK(F75,$F$64:$F$113,0)</f>
        <v/>
      </c>
      <c r="E75" s="179">
        <f>OFFER_RANKING!O17</f>
        <v/>
      </c>
      <c r="F75" s="179">
        <f>100*SUMPRODUCT(OFFER_RANKING!H17:N17,INDEX($B$60:$H$62,MATCH($B$56,$A$60:$A$62,0),0))/3</f>
        <v/>
      </c>
      <c r="G75" s="66">
        <f>C75-D75</f>
        <v/>
      </c>
    </row>
    <row r="76">
      <c r="A76">
        <f>OFFER_RANKING!B18</f>
        <v/>
      </c>
      <c r="B76">
        <f>OFFER_RANKING!C18</f>
        <v/>
      </c>
      <c r="C76">
        <f>OFFER_RANKING!A18</f>
        <v/>
      </c>
      <c r="D76">
        <f>RANK(F76,$F$64:$F$113,0)</f>
        <v/>
      </c>
      <c r="E76" s="179">
        <f>OFFER_RANKING!O18</f>
        <v/>
      </c>
      <c r="F76" s="179">
        <f>100*SUMPRODUCT(OFFER_RANKING!H18:N18,INDEX($B$60:$H$62,MATCH($B$56,$A$60:$A$62,0),0))/3</f>
        <v/>
      </c>
      <c r="G76" s="66">
        <f>C76-D76</f>
        <v/>
      </c>
    </row>
    <row r="77">
      <c r="A77">
        <f>OFFER_RANKING!B19</f>
        <v/>
      </c>
      <c r="B77">
        <f>OFFER_RANKING!C19</f>
        <v/>
      </c>
      <c r="C77">
        <f>OFFER_RANKING!A19</f>
        <v/>
      </c>
      <c r="D77">
        <f>RANK(F77,$F$64:$F$113,0)</f>
        <v/>
      </c>
      <c r="E77" s="179">
        <f>OFFER_RANKING!O19</f>
        <v/>
      </c>
      <c r="F77" s="179">
        <f>100*SUMPRODUCT(OFFER_RANKING!H19:N19,INDEX($B$60:$H$62,MATCH($B$56,$A$60:$A$62,0),0))/3</f>
        <v/>
      </c>
      <c r="G77" s="66">
        <f>C77-D77</f>
        <v/>
      </c>
    </row>
    <row r="78">
      <c r="A78">
        <f>OFFER_RANKING!B20</f>
        <v/>
      </c>
      <c r="B78">
        <f>OFFER_RANKING!C20</f>
        <v/>
      </c>
      <c r="C78">
        <f>OFFER_RANKING!A20</f>
        <v/>
      </c>
      <c r="D78">
        <f>RANK(F78,$F$64:$F$113,0)</f>
        <v/>
      </c>
      <c r="E78" s="179">
        <f>OFFER_RANKING!O20</f>
        <v/>
      </c>
      <c r="F78" s="179">
        <f>100*SUMPRODUCT(OFFER_RANKING!H20:N20,INDEX($B$60:$H$62,MATCH($B$56,$A$60:$A$62,0),0))/3</f>
        <v/>
      </c>
      <c r="G78" s="66">
        <f>C78-D78</f>
        <v/>
      </c>
    </row>
    <row r="79">
      <c r="A79">
        <f>OFFER_RANKING!B21</f>
        <v/>
      </c>
      <c r="B79">
        <f>OFFER_RANKING!C21</f>
        <v/>
      </c>
      <c r="C79">
        <f>OFFER_RANKING!A21</f>
        <v/>
      </c>
      <c r="D79">
        <f>RANK(F79,$F$64:$F$113,0)</f>
        <v/>
      </c>
      <c r="E79" s="179">
        <f>OFFER_RANKING!O21</f>
        <v/>
      </c>
      <c r="F79" s="179">
        <f>100*SUMPRODUCT(OFFER_RANKING!H21:N21,INDEX($B$60:$H$62,MATCH($B$56,$A$60:$A$62,0),0))/3</f>
        <v/>
      </c>
      <c r="G79" s="66">
        <f>C79-D79</f>
        <v/>
      </c>
    </row>
    <row r="80">
      <c r="A80">
        <f>OFFER_RANKING!B22</f>
        <v/>
      </c>
      <c r="B80">
        <f>OFFER_RANKING!C22</f>
        <v/>
      </c>
      <c r="C80">
        <f>OFFER_RANKING!A22</f>
        <v/>
      </c>
      <c r="D80">
        <f>RANK(F80,$F$64:$F$113,0)</f>
        <v/>
      </c>
      <c r="E80" s="179">
        <f>OFFER_RANKING!O22</f>
        <v/>
      </c>
      <c r="F80" s="179">
        <f>100*SUMPRODUCT(OFFER_RANKING!H22:N22,INDEX($B$60:$H$62,MATCH($B$56,$A$60:$A$62,0),0))/3</f>
        <v/>
      </c>
      <c r="G80" s="66">
        <f>C80-D80</f>
        <v/>
      </c>
    </row>
    <row r="81">
      <c r="A81">
        <f>OFFER_RANKING!B23</f>
        <v/>
      </c>
      <c r="B81">
        <f>OFFER_RANKING!C23</f>
        <v/>
      </c>
      <c r="C81">
        <f>OFFER_RANKING!A23</f>
        <v/>
      </c>
      <c r="D81">
        <f>RANK(F81,$F$64:$F$113,0)</f>
        <v/>
      </c>
      <c r="E81" s="179">
        <f>OFFER_RANKING!O23</f>
        <v/>
      </c>
      <c r="F81" s="179">
        <f>100*SUMPRODUCT(OFFER_RANKING!H23:N23,INDEX($B$60:$H$62,MATCH($B$56,$A$60:$A$62,0),0))/3</f>
        <v/>
      </c>
      <c r="G81" s="66">
        <f>C81-D81</f>
        <v/>
      </c>
    </row>
    <row r="82">
      <c r="A82">
        <f>OFFER_RANKING!B24</f>
        <v/>
      </c>
      <c r="B82">
        <f>OFFER_RANKING!C24</f>
        <v/>
      </c>
      <c r="C82">
        <f>OFFER_RANKING!A24</f>
        <v/>
      </c>
      <c r="D82">
        <f>RANK(F82,$F$64:$F$113,0)</f>
        <v/>
      </c>
      <c r="E82" s="179">
        <f>OFFER_RANKING!O24</f>
        <v/>
      </c>
      <c r="F82" s="179">
        <f>100*SUMPRODUCT(OFFER_RANKING!H24:N24,INDEX($B$60:$H$62,MATCH($B$56,$A$60:$A$62,0),0))/3</f>
        <v/>
      </c>
      <c r="G82" s="66">
        <f>C82-D82</f>
        <v/>
      </c>
    </row>
    <row r="83">
      <c r="A83">
        <f>OFFER_RANKING!B25</f>
        <v/>
      </c>
      <c r="B83">
        <f>OFFER_RANKING!C25</f>
        <v/>
      </c>
      <c r="C83">
        <f>OFFER_RANKING!A25</f>
        <v/>
      </c>
      <c r="D83">
        <f>RANK(F83,$F$64:$F$113,0)</f>
        <v/>
      </c>
      <c r="E83" s="179">
        <f>OFFER_RANKING!O25</f>
        <v/>
      </c>
      <c r="F83" s="179">
        <f>100*SUMPRODUCT(OFFER_RANKING!H25:N25,INDEX($B$60:$H$62,MATCH($B$56,$A$60:$A$62,0),0))/3</f>
        <v/>
      </c>
      <c r="G83" s="66">
        <f>C83-D83</f>
        <v/>
      </c>
    </row>
    <row r="84">
      <c r="A84">
        <f>OFFER_RANKING!B26</f>
        <v/>
      </c>
      <c r="B84">
        <f>OFFER_RANKING!C26</f>
        <v/>
      </c>
      <c r="C84">
        <f>OFFER_RANKING!A26</f>
        <v/>
      </c>
      <c r="D84">
        <f>RANK(F84,$F$64:$F$113,0)</f>
        <v/>
      </c>
      <c r="E84" s="179">
        <f>OFFER_RANKING!O26</f>
        <v/>
      </c>
      <c r="F84" s="179">
        <f>100*SUMPRODUCT(OFFER_RANKING!H26:N26,INDEX($B$60:$H$62,MATCH($B$56,$A$60:$A$62,0),0))/3</f>
        <v/>
      </c>
      <c r="G84" s="66">
        <f>C84-D84</f>
        <v/>
      </c>
    </row>
    <row r="85">
      <c r="A85">
        <f>OFFER_RANKING!B27</f>
        <v/>
      </c>
      <c r="B85">
        <f>OFFER_RANKING!C27</f>
        <v/>
      </c>
      <c r="C85">
        <f>OFFER_RANKING!A27</f>
        <v/>
      </c>
      <c r="D85">
        <f>RANK(F85,$F$64:$F$113,0)</f>
        <v/>
      </c>
      <c r="E85" s="179">
        <f>OFFER_RANKING!O27</f>
        <v/>
      </c>
      <c r="F85" s="179">
        <f>100*SUMPRODUCT(OFFER_RANKING!H27:N27,INDEX($B$60:$H$62,MATCH($B$56,$A$60:$A$62,0),0))/3</f>
        <v/>
      </c>
      <c r="G85" s="66">
        <f>C85-D85</f>
        <v/>
      </c>
    </row>
    <row r="86">
      <c r="A86">
        <f>OFFER_RANKING!B28</f>
        <v/>
      </c>
      <c r="B86">
        <f>OFFER_RANKING!C28</f>
        <v/>
      </c>
      <c r="C86">
        <f>OFFER_RANKING!A28</f>
        <v/>
      </c>
      <c r="D86">
        <f>RANK(F86,$F$64:$F$113,0)</f>
        <v/>
      </c>
      <c r="E86" s="179">
        <f>OFFER_RANKING!O28</f>
        <v/>
      </c>
      <c r="F86" s="179">
        <f>100*SUMPRODUCT(OFFER_RANKING!H28:N28,INDEX($B$60:$H$62,MATCH($B$56,$A$60:$A$62,0),0))/3</f>
        <v/>
      </c>
      <c r="G86" s="66">
        <f>C86-D86</f>
        <v/>
      </c>
    </row>
    <row r="87">
      <c r="A87">
        <f>OFFER_RANKING!B29</f>
        <v/>
      </c>
      <c r="B87">
        <f>OFFER_RANKING!C29</f>
        <v/>
      </c>
      <c r="C87">
        <f>OFFER_RANKING!A29</f>
        <v/>
      </c>
      <c r="D87">
        <f>RANK(F87,$F$64:$F$113,0)</f>
        <v/>
      </c>
      <c r="E87" s="179">
        <f>OFFER_RANKING!O29</f>
        <v/>
      </c>
      <c r="F87" s="179">
        <f>100*SUMPRODUCT(OFFER_RANKING!H29:N29,INDEX($B$60:$H$62,MATCH($B$56,$A$60:$A$62,0),0))/3</f>
        <v/>
      </c>
      <c r="G87" s="66">
        <f>C87-D87</f>
        <v/>
      </c>
    </row>
    <row r="88">
      <c r="A88">
        <f>OFFER_RANKING!B30</f>
        <v/>
      </c>
      <c r="B88">
        <f>OFFER_RANKING!C30</f>
        <v/>
      </c>
      <c r="C88">
        <f>OFFER_RANKING!A30</f>
        <v/>
      </c>
      <c r="D88">
        <f>RANK(F88,$F$64:$F$113,0)</f>
        <v/>
      </c>
      <c r="E88" s="179">
        <f>OFFER_RANKING!O30</f>
        <v/>
      </c>
      <c r="F88" s="179">
        <f>100*SUMPRODUCT(OFFER_RANKING!H30:N30,INDEX($B$60:$H$62,MATCH($B$56,$A$60:$A$62,0),0))/3</f>
        <v/>
      </c>
      <c r="G88" s="66">
        <f>C88-D88</f>
        <v/>
      </c>
    </row>
    <row r="89">
      <c r="A89">
        <f>OFFER_RANKING!B31</f>
        <v/>
      </c>
      <c r="B89">
        <f>OFFER_RANKING!C31</f>
        <v/>
      </c>
      <c r="C89">
        <f>OFFER_RANKING!A31</f>
        <v/>
      </c>
      <c r="D89">
        <f>RANK(F89,$F$64:$F$113,0)</f>
        <v/>
      </c>
      <c r="E89" s="179">
        <f>OFFER_RANKING!O31</f>
        <v/>
      </c>
      <c r="F89" s="179">
        <f>100*SUMPRODUCT(OFFER_RANKING!H31:N31,INDEX($B$60:$H$62,MATCH($B$56,$A$60:$A$62,0),0))/3</f>
        <v/>
      </c>
      <c r="G89" s="66">
        <f>C89-D89</f>
        <v/>
      </c>
    </row>
    <row r="90">
      <c r="A90">
        <f>OFFER_RANKING!B32</f>
        <v/>
      </c>
      <c r="B90">
        <f>OFFER_RANKING!C32</f>
        <v/>
      </c>
      <c r="C90">
        <f>OFFER_RANKING!A32</f>
        <v/>
      </c>
      <c r="D90">
        <f>RANK(F90,$F$64:$F$113,0)</f>
        <v/>
      </c>
      <c r="E90" s="179">
        <f>OFFER_RANKING!O32</f>
        <v/>
      </c>
      <c r="F90" s="179">
        <f>100*SUMPRODUCT(OFFER_RANKING!H32:N32,INDEX($B$60:$H$62,MATCH($B$56,$A$60:$A$62,0),0))/3</f>
        <v/>
      </c>
      <c r="G90" s="66">
        <f>C90-D90</f>
        <v/>
      </c>
    </row>
    <row r="91">
      <c r="A91">
        <f>OFFER_RANKING!B33</f>
        <v/>
      </c>
      <c r="B91">
        <f>OFFER_RANKING!C33</f>
        <v/>
      </c>
      <c r="C91">
        <f>OFFER_RANKING!A33</f>
        <v/>
      </c>
      <c r="D91">
        <f>RANK(F91,$F$64:$F$113,0)</f>
        <v/>
      </c>
      <c r="E91" s="179">
        <f>OFFER_RANKING!O33</f>
        <v/>
      </c>
      <c r="F91" s="179">
        <f>100*SUMPRODUCT(OFFER_RANKING!H33:N33,INDEX($B$60:$H$62,MATCH($B$56,$A$60:$A$62,0),0))/3</f>
        <v/>
      </c>
      <c r="G91" s="66">
        <f>C91-D91</f>
        <v/>
      </c>
    </row>
    <row r="92">
      <c r="A92">
        <f>OFFER_RANKING!B34</f>
        <v/>
      </c>
      <c r="B92">
        <f>OFFER_RANKING!C34</f>
        <v/>
      </c>
      <c r="C92">
        <f>OFFER_RANKING!A34</f>
        <v/>
      </c>
      <c r="D92">
        <f>RANK(F92,$F$64:$F$113,0)</f>
        <v/>
      </c>
      <c r="E92" s="179">
        <f>OFFER_RANKING!O34</f>
        <v/>
      </c>
      <c r="F92" s="179">
        <f>100*SUMPRODUCT(OFFER_RANKING!H34:N34,INDEX($B$60:$H$62,MATCH($B$56,$A$60:$A$62,0),0))/3</f>
        <v/>
      </c>
      <c r="G92" s="66">
        <f>C92-D92</f>
        <v/>
      </c>
    </row>
    <row r="93">
      <c r="A93">
        <f>OFFER_RANKING!B35</f>
        <v/>
      </c>
      <c r="B93">
        <f>OFFER_RANKING!C35</f>
        <v/>
      </c>
      <c r="C93">
        <f>OFFER_RANKING!A35</f>
        <v/>
      </c>
      <c r="D93">
        <f>RANK(F93,$F$64:$F$113,0)</f>
        <v/>
      </c>
      <c r="E93" s="179">
        <f>OFFER_RANKING!O35</f>
        <v/>
      </c>
      <c r="F93" s="179">
        <f>100*SUMPRODUCT(OFFER_RANKING!H35:N35,INDEX($B$60:$H$62,MATCH($B$56,$A$60:$A$62,0),0))/3</f>
        <v/>
      </c>
      <c r="G93" s="66">
        <f>C93-D93</f>
        <v/>
      </c>
    </row>
    <row r="94">
      <c r="A94">
        <f>OFFER_RANKING!B36</f>
        <v/>
      </c>
      <c r="B94">
        <f>OFFER_RANKING!C36</f>
        <v/>
      </c>
      <c r="C94">
        <f>OFFER_RANKING!A36</f>
        <v/>
      </c>
      <c r="D94">
        <f>RANK(F94,$F$64:$F$113,0)</f>
        <v/>
      </c>
      <c r="E94" s="179">
        <f>OFFER_RANKING!O36</f>
        <v/>
      </c>
      <c r="F94" s="179">
        <f>100*SUMPRODUCT(OFFER_RANKING!H36:N36,INDEX($B$60:$H$62,MATCH($B$56,$A$60:$A$62,0),0))/3</f>
        <v/>
      </c>
      <c r="G94" s="66">
        <f>C94-D94</f>
        <v/>
      </c>
    </row>
    <row r="95">
      <c r="A95">
        <f>OFFER_RANKING!B37</f>
        <v/>
      </c>
      <c r="B95">
        <f>OFFER_RANKING!C37</f>
        <v/>
      </c>
      <c r="C95">
        <f>OFFER_RANKING!A37</f>
        <v/>
      </c>
      <c r="D95">
        <f>RANK(F95,$F$64:$F$113,0)</f>
        <v/>
      </c>
      <c r="E95" s="179">
        <f>OFFER_RANKING!O37</f>
        <v/>
      </c>
      <c r="F95" s="179">
        <f>100*SUMPRODUCT(OFFER_RANKING!H37:N37,INDEX($B$60:$H$62,MATCH($B$56,$A$60:$A$62,0),0))/3</f>
        <v/>
      </c>
      <c r="G95" s="66">
        <f>C95-D95</f>
        <v/>
      </c>
    </row>
    <row r="96">
      <c r="A96">
        <f>OFFER_RANKING!B38</f>
        <v/>
      </c>
      <c r="B96">
        <f>OFFER_RANKING!C38</f>
        <v/>
      </c>
      <c r="C96">
        <f>OFFER_RANKING!A38</f>
        <v/>
      </c>
      <c r="D96">
        <f>RANK(F96,$F$64:$F$113,0)</f>
        <v/>
      </c>
      <c r="E96" s="179">
        <f>OFFER_RANKING!O38</f>
        <v/>
      </c>
      <c r="F96" s="179">
        <f>100*SUMPRODUCT(OFFER_RANKING!H38:N38,INDEX($B$60:$H$62,MATCH($B$56,$A$60:$A$62,0),0))/3</f>
        <v/>
      </c>
      <c r="G96" s="66">
        <f>C96-D96</f>
        <v/>
      </c>
    </row>
    <row r="97">
      <c r="A97">
        <f>OFFER_RANKING!B39</f>
        <v/>
      </c>
      <c r="B97">
        <f>OFFER_RANKING!C39</f>
        <v/>
      </c>
      <c r="C97">
        <f>OFFER_RANKING!A39</f>
        <v/>
      </c>
      <c r="D97">
        <f>RANK(F97,$F$64:$F$113,0)</f>
        <v/>
      </c>
      <c r="E97" s="179">
        <f>OFFER_RANKING!O39</f>
        <v/>
      </c>
      <c r="F97" s="179">
        <f>100*SUMPRODUCT(OFFER_RANKING!H39:N39,INDEX($B$60:$H$62,MATCH($B$56,$A$60:$A$62,0),0))/3</f>
        <v/>
      </c>
      <c r="G97" s="66">
        <f>C97-D97</f>
        <v/>
      </c>
    </row>
    <row r="98">
      <c r="A98">
        <f>OFFER_RANKING!B40</f>
        <v/>
      </c>
      <c r="B98">
        <f>OFFER_RANKING!C40</f>
        <v/>
      </c>
      <c r="C98">
        <f>OFFER_RANKING!A40</f>
        <v/>
      </c>
      <c r="D98">
        <f>RANK(F98,$F$64:$F$113,0)</f>
        <v/>
      </c>
      <c r="E98" s="179">
        <f>OFFER_RANKING!O40</f>
        <v/>
      </c>
      <c r="F98" s="179">
        <f>100*SUMPRODUCT(OFFER_RANKING!H40:N40,INDEX($B$60:$H$62,MATCH($B$56,$A$60:$A$62,0),0))/3</f>
        <v/>
      </c>
      <c r="G98" s="66">
        <f>C98-D98</f>
        <v/>
      </c>
    </row>
    <row r="99">
      <c r="A99">
        <f>OFFER_RANKING!B41</f>
        <v/>
      </c>
      <c r="B99">
        <f>OFFER_RANKING!C41</f>
        <v/>
      </c>
      <c r="C99">
        <f>OFFER_RANKING!A41</f>
        <v/>
      </c>
      <c r="D99">
        <f>RANK(F99,$F$64:$F$113,0)</f>
        <v/>
      </c>
      <c r="E99" s="179">
        <f>OFFER_RANKING!O41</f>
        <v/>
      </c>
      <c r="F99" s="179">
        <f>100*SUMPRODUCT(OFFER_RANKING!H41:N41,INDEX($B$60:$H$62,MATCH($B$56,$A$60:$A$62,0),0))/3</f>
        <v/>
      </c>
      <c r="G99" s="66">
        <f>C99-D99</f>
        <v/>
      </c>
    </row>
    <row r="100">
      <c r="A100">
        <f>OFFER_RANKING!B42</f>
        <v/>
      </c>
      <c r="B100">
        <f>OFFER_RANKING!C42</f>
        <v/>
      </c>
      <c r="C100">
        <f>OFFER_RANKING!A42</f>
        <v/>
      </c>
      <c r="D100">
        <f>RANK(F100,$F$64:$F$113,0)</f>
        <v/>
      </c>
      <c r="E100" s="179">
        <f>OFFER_RANKING!O42</f>
        <v/>
      </c>
      <c r="F100" s="179">
        <f>100*SUMPRODUCT(OFFER_RANKING!H42:N42,INDEX($B$60:$H$62,MATCH($B$56,$A$60:$A$62,0),0))/3</f>
        <v/>
      </c>
      <c r="G100" s="66">
        <f>C100-D100</f>
        <v/>
      </c>
    </row>
    <row r="101">
      <c r="A101">
        <f>OFFER_RANKING!B43</f>
        <v/>
      </c>
      <c r="B101">
        <f>OFFER_RANKING!C43</f>
        <v/>
      </c>
      <c r="C101">
        <f>OFFER_RANKING!A43</f>
        <v/>
      </c>
      <c r="D101">
        <f>RANK(F101,$F$64:$F$113,0)</f>
        <v/>
      </c>
      <c r="E101" s="179">
        <f>OFFER_RANKING!O43</f>
        <v/>
      </c>
      <c r="F101" s="179">
        <f>100*SUMPRODUCT(OFFER_RANKING!H43:N43,INDEX($B$60:$H$62,MATCH($B$56,$A$60:$A$62,0),0))/3</f>
        <v/>
      </c>
      <c r="G101" s="66">
        <f>C101-D101</f>
        <v/>
      </c>
    </row>
    <row r="102">
      <c r="A102">
        <f>OFFER_RANKING!B44</f>
        <v/>
      </c>
      <c r="B102">
        <f>OFFER_RANKING!C44</f>
        <v/>
      </c>
      <c r="C102">
        <f>OFFER_RANKING!A44</f>
        <v/>
      </c>
      <c r="D102">
        <f>RANK(F102,$F$64:$F$113,0)</f>
        <v/>
      </c>
      <c r="E102" s="179">
        <f>OFFER_RANKING!O44</f>
        <v/>
      </c>
      <c r="F102" s="179">
        <f>100*SUMPRODUCT(OFFER_RANKING!H44:N44,INDEX($B$60:$H$62,MATCH($B$56,$A$60:$A$62,0),0))/3</f>
        <v/>
      </c>
      <c r="G102" s="66">
        <f>C102-D102</f>
        <v/>
      </c>
    </row>
    <row r="103">
      <c r="A103">
        <f>OFFER_RANKING!B45</f>
        <v/>
      </c>
      <c r="B103">
        <f>OFFER_RANKING!C45</f>
        <v/>
      </c>
      <c r="C103">
        <f>OFFER_RANKING!A45</f>
        <v/>
      </c>
      <c r="D103">
        <f>RANK(F103,$F$64:$F$113,0)</f>
        <v/>
      </c>
      <c r="E103" s="179">
        <f>OFFER_RANKING!O45</f>
        <v/>
      </c>
      <c r="F103" s="179">
        <f>100*SUMPRODUCT(OFFER_RANKING!H45:N45,INDEX($B$60:$H$62,MATCH($B$56,$A$60:$A$62,0),0))/3</f>
        <v/>
      </c>
      <c r="G103" s="66">
        <f>C103-D103</f>
        <v/>
      </c>
    </row>
    <row r="104">
      <c r="A104">
        <f>OFFER_RANKING!B46</f>
        <v/>
      </c>
      <c r="B104">
        <f>OFFER_RANKING!C46</f>
        <v/>
      </c>
      <c r="C104">
        <f>OFFER_RANKING!A46</f>
        <v/>
      </c>
      <c r="D104">
        <f>RANK(F104,$F$64:$F$113,0)</f>
        <v/>
      </c>
      <c r="E104" s="179">
        <f>OFFER_RANKING!O46</f>
        <v/>
      </c>
      <c r="F104" s="179">
        <f>100*SUMPRODUCT(OFFER_RANKING!H46:N46,INDEX($B$60:$H$62,MATCH($B$56,$A$60:$A$62,0),0))/3</f>
        <v/>
      </c>
      <c r="G104" s="66">
        <f>C104-D104</f>
        <v/>
      </c>
    </row>
    <row r="105">
      <c r="A105">
        <f>OFFER_RANKING!B47</f>
        <v/>
      </c>
      <c r="B105">
        <f>OFFER_RANKING!C47</f>
        <v/>
      </c>
      <c r="C105">
        <f>OFFER_RANKING!A47</f>
        <v/>
      </c>
      <c r="D105">
        <f>RANK(F105,$F$64:$F$113,0)</f>
        <v/>
      </c>
      <c r="E105" s="179">
        <f>OFFER_RANKING!O47</f>
        <v/>
      </c>
      <c r="F105" s="179">
        <f>100*SUMPRODUCT(OFFER_RANKING!H47:N47,INDEX($B$60:$H$62,MATCH($B$56,$A$60:$A$62,0),0))/3</f>
        <v/>
      </c>
      <c r="G105" s="66">
        <f>C105-D105</f>
        <v/>
      </c>
    </row>
    <row r="106">
      <c r="A106">
        <f>OFFER_RANKING!B48</f>
        <v/>
      </c>
      <c r="B106">
        <f>OFFER_RANKING!C48</f>
        <v/>
      </c>
      <c r="C106">
        <f>OFFER_RANKING!A48</f>
        <v/>
      </c>
      <c r="D106">
        <f>RANK(F106,$F$64:$F$113,0)</f>
        <v/>
      </c>
      <c r="E106" s="179">
        <f>OFFER_RANKING!O48</f>
        <v/>
      </c>
      <c r="F106" s="179">
        <f>100*SUMPRODUCT(OFFER_RANKING!H48:N48,INDEX($B$60:$H$62,MATCH($B$56,$A$60:$A$62,0),0))/3</f>
        <v/>
      </c>
      <c r="G106" s="66">
        <f>C106-D106</f>
        <v/>
      </c>
    </row>
    <row r="107">
      <c r="A107">
        <f>OFFER_RANKING!B49</f>
        <v/>
      </c>
      <c r="B107">
        <f>OFFER_RANKING!C49</f>
        <v/>
      </c>
      <c r="C107">
        <f>OFFER_RANKING!A49</f>
        <v/>
      </c>
      <c r="D107">
        <f>RANK(F107,$F$64:$F$113,0)</f>
        <v/>
      </c>
      <c r="E107" s="179">
        <f>OFFER_RANKING!O49</f>
        <v/>
      </c>
      <c r="F107" s="179">
        <f>100*SUMPRODUCT(OFFER_RANKING!H49:N49,INDEX($B$60:$H$62,MATCH($B$56,$A$60:$A$62,0),0))/3</f>
        <v/>
      </c>
      <c r="G107" s="66">
        <f>C107-D107</f>
        <v/>
      </c>
    </row>
    <row r="108">
      <c r="A108">
        <f>OFFER_RANKING!B50</f>
        <v/>
      </c>
      <c r="B108">
        <f>OFFER_RANKING!C50</f>
        <v/>
      </c>
      <c r="C108">
        <f>OFFER_RANKING!A50</f>
        <v/>
      </c>
      <c r="D108">
        <f>RANK(F108,$F$64:$F$113,0)</f>
        <v/>
      </c>
      <c r="E108" s="179">
        <f>OFFER_RANKING!O50</f>
        <v/>
      </c>
      <c r="F108" s="179">
        <f>100*SUMPRODUCT(OFFER_RANKING!H50:N50,INDEX($B$60:$H$62,MATCH($B$56,$A$60:$A$62,0),0))/3</f>
        <v/>
      </c>
      <c r="G108" s="66">
        <f>C108-D108</f>
        <v/>
      </c>
    </row>
    <row r="109">
      <c r="A109">
        <f>OFFER_RANKING!B51</f>
        <v/>
      </c>
      <c r="B109">
        <f>OFFER_RANKING!C51</f>
        <v/>
      </c>
      <c r="C109">
        <f>OFFER_RANKING!A51</f>
        <v/>
      </c>
      <c r="D109">
        <f>RANK(F109,$F$64:$F$113,0)</f>
        <v/>
      </c>
      <c r="E109" s="179">
        <f>OFFER_RANKING!O51</f>
        <v/>
      </c>
      <c r="F109" s="179">
        <f>100*SUMPRODUCT(OFFER_RANKING!H51:N51,INDEX($B$60:$H$62,MATCH($B$56,$A$60:$A$62,0),0))/3</f>
        <v/>
      </c>
      <c r="G109" s="66">
        <f>C109-D109</f>
        <v/>
      </c>
    </row>
    <row r="110">
      <c r="A110">
        <f>OFFER_RANKING!B52</f>
        <v/>
      </c>
      <c r="B110">
        <f>OFFER_RANKING!C52</f>
        <v/>
      </c>
      <c r="C110">
        <f>OFFER_RANKING!A52</f>
        <v/>
      </c>
      <c r="D110">
        <f>RANK(F110,$F$64:$F$113,0)</f>
        <v/>
      </c>
      <c r="E110" s="179">
        <f>OFFER_RANKING!O52</f>
        <v/>
      </c>
      <c r="F110" s="179">
        <f>100*SUMPRODUCT(OFFER_RANKING!H52:N52,INDEX($B$60:$H$62,MATCH($B$56,$A$60:$A$62,0),0))/3</f>
        <v/>
      </c>
      <c r="G110" s="66">
        <f>C110-D110</f>
        <v/>
      </c>
    </row>
    <row r="111">
      <c r="A111">
        <f>OFFER_RANKING!B53</f>
        <v/>
      </c>
      <c r="B111">
        <f>OFFER_RANKING!C53</f>
        <v/>
      </c>
      <c r="C111">
        <f>OFFER_RANKING!A53</f>
        <v/>
      </c>
      <c r="D111">
        <f>RANK(F111,$F$64:$F$113,0)</f>
        <v/>
      </c>
      <c r="E111" s="179">
        <f>OFFER_RANKING!O53</f>
        <v/>
      </c>
      <c r="F111" s="179">
        <f>100*SUMPRODUCT(OFFER_RANKING!H53:N53,INDEX($B$60:$H$62,MATCH($B$56,$A$60:$A$62,0),0))/3</f>
        <v/>
      </c>
      <c r="G111" s="66">
        <f>C111-D111</f>
        <v/>
      </c>
    </row>
    <row r="112">
      <c r="A112">
        <f>OFFER_RANKING!B54</f>
        <v/>
      </c>
      <c r="B112">
        <f>OFFER_RANKING!C54</f>
        <v/>
      </c>
      <c r="C112">
        <f>OFFER_RANKING!A54</f>
        <v/>
      </c>
      <c r="D112">
        <f>RANK(F112,$F$64:$F$113,0)</f>
        <v/>
      </c>
      <c r="E112" s="179">
        <f>OFFER_RANKING!O54</f>
        <v/>
      </c>
      <c r="F112" s="179">
        <f>100*SUMPRODUCT(OFFER_RANKING!H54:N54,INDEX($B$60:$H$62,MATCH($B$56,$A$60:$A$62,0),0))/3</f>
        <v/>
      </c>
      <c r="G112" s="66">
        <f>C112-D112</f>
        <v/>
      </c>
    </row>
    <row r="113">
      <c r="A113">
        <f>OFFER_RANKING!B55</f>
        <v/>
      </c>
      <c r="B113">
        <f>OFFER_RANKING!C55</f>
        <v/>
      </c>
      <c r="C113">
        <f>OFFER_RANKING!A55</f>
        <v/>
      </c>
      <c r="D113">
        <f>RANK(F113,$F$64:$F$113,0)</f>
        <v/>
      </c>
      <c r="E113" s="179">
        <f>OFFER_RANKING!O55</f>
        <v/>
      </c>
      <c r="F113" s="179">
        <f>100*SUMPRODUCT(OFFER_RANKING!H55:N55,INDEX($B$60:$H$62,MATCH($B$56,$A$60:$A$62,0),0))/3</f>
        <v/>
      </c>
      <c r="G113" s="66">
        <f>C113-D113</f>
        <v/>
      </c>
    </row>
    <row r="116">
      <c r="A116" s="239" t="inlineStr">
        <is>
          <t>Weight-sensitivity scenario 4: Cost=70%, others proportional to existing ratios</t>
        </is>
      </c>
    </row>
    <row r="117" ht="62" customHeight="1">
      <c r="A117" s="243" t="inlineStr">
        <is>
          <t>GBO-requested variant of the Cost=70% scenario above: keeps L:R:P:F:Q:LC at their existing relative ratios, rescaled to sum to 30% instead of 97%. Weights: L=0.062 R=0.068 P=0.062 F=0.049 Q=0.037 LC=0.022 C=0.70. Recomputed from OFFER_RANKING!H:N's real 0-3 relevance scores (all 50 items) -- nothing invented, same method as the flat scenario. Generated by scripts/compute_weight_scenario4.py -- rerun it if OFFER_RANKING's scores change, do not hand-edit this table.</t>
        </is>
      </c>
    </row>
    <row r="119">
      <c r="A119" s="240" t="inlineStr">
        <is>
          <t>OFFER ID</t>
        </is>
      </c>
      <c r="B119" s="240" t="inlineStr">
        <is>
          <t>Title</t>
        </is>
      </c>
      <c r="C119" s="240" t="inlineStr">
        <is>
          <t>Base rank</t>
        </is>
      </c>
      <c r="D119" s="240" t="inlineStr">
        <is>
          <t>Scenario 4 rank</t>
        </is>
      </c>
      <c r="E119" s="240" t="inlineStr">
        <is>
          <t>Base Weighted S</t>
        </is>
      </c>
      <c r="F119" s="240" t="inlineStr">
        <is>
          <t>Scenario 4 S</t>
        </is>
      </c>
      <c r="G119" s="240" t="inlineStr">
        <is>
          <t>Rank delta</t>
        </is>
      </c>
    </row>
    <row r="120">
      <c r="A120" s="241" t="inlineStr">
        <is>
          <t>OFFER-41</t>
        </is>
      </c>
      <c r="B120" s="241" t="inlineStr">
        <is>
          <t>Spare Parts &amp; Critical Components Strategy</t>
        </is>
      </c>
      <c r="C120" s="241" t="n">
        <v>16</v>
      </c>
      <c r="D120" s="241" t="n">
        <v>2</v>
      </c>
      <c r="E120" s="241" t="n">
        <v>38.6667</v>
      </c>
      <c r="F120" s="241" t="n">
        <v>81.03100000000001</v>
      </c>
      <c r="G120" s="241" t="n">
        <v>14</v>
      </c>
    </row>
    <row r="121">
      <c r="A121" s="241" t="inlineStr">
        <is>
          <t>OFFER-50</t>
        </is>
      </c>
      <c r="B121" s="241" t="inlineStr">
        <is>
          <t>Warranty Extension Commercial Terms</t>
        </is>
      </c>
      <c r="C121" s="241" t="n">
        <v>33</v>
      </c>
      <c r="D121" s="241" t="n">
        <v>3</v>
      </c>
      <c r="E121" s="241" t="n">
        <v>23.3333</v>
      </c>
      <c r="F121" s="241" t="n">
        <v>76.289</v>
      </c>
      <c r="G121" s="241" t="n">
        <v>30</v>
      </c>
    </row>
    <row r="122">
      <c r="A122" s="241" t="inlineStr">
        <is>
          <t>OFFER-38</t>
        </is>
      </c>
      <c r="B122" s="241" t="inlineStr">
        <is>
          <t>Training Program &amp; Competency Definition</t>
        </is>
      </c>
      <c r="C122" s="241" t="n">
        <v>47</v>
      </c>
      <c r="D122" s="241" t="n">
        <v>4</v>
      </c>
      <c r="E122" s="241" t="n">
        <v>14.3333</v>
      </c>
      <c r="F122" s="241" t="n">
        <v>73.50530000000001</v>
      </c>
      <c r="G122" s="241" t="n">
        <v>43</v>
      </c>
    </row>
    <row r="123">
      <c r="A123" s="241" t="inlineStr">
        <is>
          <t>OFFER-45</t>
        </is>
      </c>
      <c r="B123" s="241" t="inlineStr">
        <is>
          <t>Project Dashboard &amp; Management Processes</t>
        </is>
      </c>
      <c r="C123" s="241" t="n">
        <v>24</v>
      </c>
      <c r="D123" s="241" t="n">
        <v>5</v>
      </c>
      <c r="E123" s="241" t="n">
        <v>31.6667</v>
      </c>
      <c r="F123" s="241" t="n">
        <v>32.8177</v>
      </c>
      <c r="G123" s="241" t="n">
        <v>19</v>
      </c>
    </row>
    <row r="124">
      <c r="A124" s="241" t="inlineStr">
        <is>
          <t>OFFER-44</t>
        </is>
      </c>
      <c r="B124" s="241" t="inlineStr">
        <is>
          <t>Project Schedule &amp; Milestone Definition</t>
        </is>
      </c>
      <c r="C124" s="241" t="n">
        <v>50</v>
      </c>
      <c r="D124" s="241" t="n">
        <v>6</v>
      </c>
      <c r="E124" s="241" t="n">
        <v>6.3333</v>
      </c>
      <c r="F124" s="241" t="n">
        <v>24.9827</v>
      </c>
      <c r="G124" s="241" t="n">
        <v>44</v>
      </c>
    </row>
    <row r="125">
      <c r="A125" s="241" t="inlineStr">
        <is>
          <t>OFFER-48</t>
        </is>
      </c>
      <c r="B125" s="241" t="inlineStr">
        <is>
          <t>Detailed Quality Control Procedures</t>
        </is>
      </c>
      <c r="C125" s="241" t="n">
        <v>2</v>
      </c>
      <c r="D125" s="241" t="n">
        <v>14</v>
      </c>
      <c r="E125" s="241" t="n">
        <v>42.6667</v>
      </c>
      <c r="F125" s="241" t="n">
        <v>13.1957</v>
      </c>
      <c r="G125" s="241" t="n">
        <v>-12</v>
      </c>
    </row>
    <row r="126">
      <c r="A126" s="241" t="inlineStr">
        <is>
          <t>OFFER-01</t>
        </is>
      </c>
      <c r="B126" s="241" t="inlineStr">
        <is>
          <t>Tender Compliance Confirmation</t>
        </is>
      </c>
      <c r="C126" s="241" t="n">
        <v>3</v>
      </c>
      <c r="D126" s="241" t="n">
        <v>22</v>
      </c>
      <c r="E126" s="241" t="n">
        <v>32</v>
      </c>
      <c r="F126" s="241" t="n">
        <v>9.897</v>
      </c>
      <c r="G126" s="241" t="n">
        <v>-19</v>
      </c>
    </row>
    <row r="127">
      <c r="A127" s="241" t="inlineStr">
        <is>
          <t>OFFER-03</t>
        </is>
      </c>
      <c r="B127" s="241" t="inlineStr">
        <is>
          <t>Integrated Technical Proposal &amp; Execution Strategy</t>
        </is>
      </c>
      <c r="C127" s="241" t="n">
        <v>4</v>
      </c>
      <c r="D127" s="241" t="n">
        <v>23</v>
      </c>
      <c r="E127" s="241" t="n">
        <v>32</v>
      </c>
      <c r="F127" s="241" t="n">
        <v>9.897</v>
      </c>
      <c r="G127" s="241" t="n">
        <v>-19</v>
      </c>
    </row>
    <row r="128">
      <c r="A128" s="241" t="inlineStr">
        <is>
          <t>OFFER-47</t>
        </is>
      </c>
      <c r="B128" s="241" t="inlineStr">
        <is>
          <t>Quality Assurance Program (QAP) Definition</t>
        </is>
      </c>
      <c r="C128" s="241" t="n">
        <v>5</v>
      </c>
      <c r="D128" s="241" t="n">
        <v>24</v>
      </c>
      <c r="E128" s="241" t="n">
        <v>32</v>
      </c>
      <c r="F128" s="241" t="n">
        <v>9.897</v>
      </c>
      <c r="G128" s="241" t="n">
        <v>-19</v>
      </c>
    </row>
    <row r="129">
      <c r="A129" s="241" t="inlineStr">
        <is>
          <t>OFFER-49</t>
        </is>
      </c>
      <c r="B129" s="241" t="inlineStr">
        <is>
          <t>Codes, Standards &amp; Compliance Framework</t>
        </is>
      </c>
      <c r="C129" s="241" t="n">
        <v>6</v>
      </c>
      <c r="D129" s="241" t="n">
        <v>25</v>
      </c>
      <c r="E129" s="241" t="n">
        <v>32</v>
      </c>
      <c r="F129" s="241" t="n">
        <v>9.897</v>
      </c>
      <c r="G129" s="241" t="n">
        <v>-19</v>
      </c>
    </row>
    <row r="130" ht="48" customHeight="1">
      <c r="A130" s="243" t="inlineStr">
        <is>
          <t>Full 50-item ranking: Navigator PCA / Structure tab or weight_scenario4_v23.json. Spearman rank correlation (Base vs. Scenario 4) = 0.6608 -- markedly less stable than the flat Cost=70% scenario's 0.994, despite an identical 70% headline Cost weight. Read: positive delta = moves UP once Cost is proportionally weighted at 70%; negative = moves DOWN.</t>
        </is>
      </c>
    </row>
  </sheetData>
  <mergeCells count="10">
    <mergeCell ref="A50:H50"/>
    <mergeCell ref="A2:L2"/>
    <mergeCell ref="A130:H130"/>
    <mergeCell ref="A38:H38"/>
    <mergeCell ref="A1:L1"/>
    <mergeCell ref="A14:L18"/>
    <mergeCell ref="A116:H116"/>
    <mergeCell ref="A117:H117"/>
    <mergeCell ref="A53:H54"/>
    <mergeCell ref="A22:H22"/>
  </mergeCells>
  <conditionalFormatting sqref="G64:G113">
    <cfRule type="cellIs" priority="1" operator="greaterThan" dxfId="87">
      <formula>0</formula>
    </cfRule>
    <cfRule type="cellIs" priority="2" operator="lessThan" dxfId="88">
      <formula>0</formula>
    </cfRule>
  </conditionalFormatting>
  <dataValidations count="1">
    <dataValidation sqref="B56" showDropDown="0" showInputMessage="0" showErrorMessage="0" allowBlank="0" type="list">
      <formula1>"Base,Cost-heavy,Cost-heavy-proportional"</formula1>
    </dataValidation>
  </dataValidations>
  <pageMargins left="0.7" right="0.7" top="0.75" bottom="0.75" header="0.3" footer="0.3"/>
</worksheet>
</file>

<file path=xl/worksheets/sheet29.xml><?xml version="1.0" encoding="utf-8"?>
<worksheet xmlns="http://schemas.openxmlformats.org/spreadsheetml/2006/main">
  <sheetPr>
    <tabColor rgb="001FA7A0"/>
    <outlinePr summaryBelow="1" summaryRight="1"/>
    <pageSetUpPr/>
  </sheetPr>
  <dimension ref="A1:J92"/>
  <sheetViews>
    <sheetView showGridLines="0" workbookViewId="0">
      <selection activeCell="A1" sqref="A1"/>
    </sheetView>
  </sheetViews>
  <sheetFormatPr baseColWidth="8" defaultRowHeight="15"/>
  <cols>
    <col width="26" customWidth="1" min="1" max="1"/>
    <col width="12" customWidth="1" min="2" max="2"/>
    <col width="12" customWidth="1" min="3" max="3"/>
    <col width="42" customWidth="1" min="4" max="4"/>
    <col width="12" customWidth="1" min="5" max="5"/>
    <col width="12" customWidth="1" min="6" max="6"/>
    <col width="12" customWidth="1" min="7" max="7"/>
    <col width="12" customWidth="1" min="8" max="8"/>
    <col width="12" customWidth="1" min="9" max="9"/>
    <col width="12" customWidth="1" min="10" max="10"/>
  </cols>
  <sheetData>
    <row r="1" ht="26" customHeight="1">
      <c r="A1" s="143" t="inlineStr">
        <is>
          <t>Category focus — hidden champions &amp; density</t>
        </is>
      </c>
    </row>
    <row r="2" ht="28" customHeight="1">
      <c r="A2" s="144" t="inlineStr">
        <is>
          <t>A 'hidden champion' is the top-ranked item WITHIN its own Category, even if its GLOBAL rank is much lower -- a pure global top-N list buries these. Density heat maps below show where items concentrate across Category x Cluster.</t>
        </is>
      </c>
    </row>
    <row r="3" ht="18" customHeight="1">
      <c r="A3">
        <f>HYPERLINK("#START_HERE!A1","Start Here")</f>
        <v/>
      </c>
      <c r="B3">
        <f>HYPERLINK("#DASHBOARD!A1","Dashboard")</f>
        <v/>
      </c>
      <c r="C3">
        <f>HYPERLINK("#OFFER_RANKING!A1","Offer Ranking")</f>
        <v/>
      </c>
      <c r="D3">
        <f>HYPERLINK("#RTM_RANKING!A1","Rtm Ranking")</f>
        <v/>
      </c>
      <c r="E3">
        <f>HYPERLINK("#CLUSTERS!A1","Clusters")</f>
        <v/>
      </c>
    </row>
    <row r="5">
      <c r="A5" s="164" t="inlineStr">
        <is>
          <t>Hidden champions — OFFER (top 3 by Weighted S, within each Category)</t>
        </is>
      </c>
    </row>
    <row r="6">
      <c r="A6" s="93" t="inlineStr">
        <is>
          <t>Category</t>
        </is>
      </c>
      <c r="B6" s="93" t="inlineStr">
        <is>
          <t>Local rank</t>
        </is>
      </c>
      <c r="C6" s="93" t="inlineStr">
        <is>
          <t>OFFER ID</t>
        </is>
      </c>
      <c r="D6" s="93" t="inlineStr">
        <is>
          <t>Title</t>
        </is>
      </c>
      <c r="E6" s="93" t="inlineStr">
        <is>
          <t>Weighted S</t>
        </is>
      </c>
      <c r="F6" s="93" t="inlineStr">
        <is>
          <t>Global rank</t>
        </is>
      </c>
      <c r="G6" s="93" t="inlineStr">
        <is>
          <t>Flag</t>
        </is>
      </c>
    </row>
    <row r="7">
      <c r="A7" t="inlineStr">
        <is>
          <t>Compliance / Quality</t>
        </is>
      </c>
      <c r="B7" t="n">
        <v>1</v>
      </c>
      <c r="C7" t="inlineStr">
        <is>
          <t>OFFER-02</t>
        </is>
      </c>
      <c r="D7" t="inlineStr">
        <is>
          <t>Assumptions, Deviations &amp; Additions Register</t>
        </is>
      </c>
      <c r="E7" t="n">
        <v>54</v>
      </c>
      <c r="F7" t="n">
        <v>1</v>
      </c>
    </row>
    <row r="8">
      <c r="B8" t="n">
        <v>2</v>
      </c>
      <c r="C8" t="inlineStr">
        <is>
          <t>OFFER-48</t>
        </is>
      </c>
      <c r="D8" t="inlineStr">
        <is>
          <t>Detailed Quality Control Procedures</t>
        </is>
      </c>
      <c r="E8" t="n">
        <v>42.67</v>
      </c>
      <c r="F8" t="n">
        <v>2</v>
      </c>
    </row>
    <row r="9">
      <c r="B9" t="n">
        <v>3</v>
      </c>
      <c r="C9" t="inlineStr">
        <is>
          <t>OFFER-01</t>
        </is>
      </c>
      <c r="D9" t="inlineStr">
        <is>
          <t>Tender Compliance Confirmation</t>
        </is>
      </c>
      <c r="E9" t="n">
        <v>32</v>
      </c>
      <c r="F9" t="n">
        <v>3</v>
      </c>
    </row>
    <row r="10">
      <c r="A10" s="172" t="inlineStr">
        <is>
          <t>Configuration / Layout / Support</t>
        </is>
      </c>
      <c r="B10" s="172" t="n">
        <v>1</v>
      </c>
      <c r="C10" s="172" t="inlineStr">
        <is>
          <t>OFFER-17</t>
        </is>
      </c>
      <c r="D10" s="172" t="inlineStr">
        <is>
          <t>Preliminary 3D Plant Layout Model</t>
        </is>
      </c>
      <c r="E10" s="172" t="n">
        <v>32</v>
      </c>
      <c r="F10" s="172" t="n">
        <v>23</v>
      </c>
      <c r="G10" s="174" t="inlineStr">
        <is>
          <t>Hidden champion — locally #1, globally rank 23 of 50</t>
        </is>
      </c>
    </row>
    <row r="11">
      <c r="B11" t="n">
        <v>2</v>
      </c>
      <c r="C11" t="inlineStr">
        <is>
          <t>OFFER-39</t>
        </is>
      </c>
      <c r="D11" t="inlineStr">
        <is>
          <t>FAT/SAT Testing Strategy &amp; Procedures</t>
        </is>
      </c>
      <c r="E11" t="n">
        <v>29.33</v>
      </c>
      <c r="F11" t="n">
        <v>25</v>
      </c>
    </row>
    <row r="12">
      <c r="B12" t="n">
        <v>3</v>
      </c>
      <c r="C12" t="inlineStr">
        <is>
          <t>OFFER-15</t>
        </is>
      </c>
      <c r="D12" t="inlineStr">
        <is>
          <t>Compressor Noise Emission Specification</t>
        </is>
      </c>
      <c r="E12" t="n">
        <v>24</v>
      </c>
      <c r="F12" t="n">
        <v>27</v>
      </c>
    </row>
    <row r="13">
      <c r="A13" t="inlineStr">
        <is>
          <t>Controls / Software / Management</t>
        </is>
      </c>
      <c r="B13" t="n">
        <v>1</v>
      </c>
      <c r="C13" t="inlineStr">
        <is>
          <t>OFFER-29</t>
        </is>
      </c>
      <c r="D13" t="inlineStr">
        <is>
          <t>Control System Obsolescence Strategy</t>
        </is>
      </c>
      <c r="E13" t="n">
        <v>45</v>
      </c>
      <c r="F13" t="n">
        <v>11</v>
      </c>
    </row>
    <row r="14">
      <c r="B14" t="n">
        <v>2</v>
      </c>
      <c r="C14" t="inlineStr">
        <is>
          <t>OFFER-05</t>
        </is>
      </c>
      <c r="D14" t="inlineStr">
        <is>
          <t>Operational Procedure Strategy (Auto vs Manual)</t>
        </is>
      </c>
      <c r="E14" t="n">
        <v>44</v>
      </c>
      <c r="F14" t="n">
        <v>13</v>
      </c>
    </row>
    <row r="15">
      <c r="B15" t="n">
        <v>3</v>
      </c>
      <c r="C15" t="inlineStr">
        <is>
          <t>OFFER-27</t>
        </is>
      </c>
      <c r="D15" t="inlineStr">
        <is>
          <t>Programming Standards &amp; Language Strategy</t>
        </is>
      </c>
      <c r="E15" t="n">
        <v>41.33</v>
      </c>
      <c r="F15" t="n">
        <v>14</v>
      </c>
    </row>
    <row r="16">
      <c r="A16" t="inlineStr">
        <is>
          <t>Performance / Process / Utilities</t>
        </is>
      </c>
      <c r="B16" t="n">
        <v>1</v>
      </c>
      <c r="C16" t="inlineStr">
        <is>
          <t>OFFER-09</t>
        </is>
      </c>
      <c r="D16" t="inlineStr">
        <is>
          <t>LN2 Techno-Economic Evaluation (CAPEX/OPEX)</t>
        </is>
      </c>
      <c r="E16" t="n">
        <v>55.67</v>
      </c>
      <c r="F16" t="n">
        <v>7</v>
      </c>
    </row>
    <row r="17">
      <c r="B17" t="n">
        <v>2</v>
      </c>
      <c r="C17" t="inlineStr">
        <is>
          <t>OFFER-34</t>
        </is>
      </c>
      <c r="D17" t="inlineStr">
        <is>
          <t>Cooling Water System Requirements</t>
        </is>
      </c>
      <c r="E17" t="n">
        <v>46</v>
      </c>
      <c r="F17" t="n">
        <v>10</v>
      </c>
    </row>
    <row r="18">
      <c r="B18" t="n">
        <v>3</v>
      </c>
      <c r="C18" t="inlineStr">
        <is>
          <t>OFFER-04</t>
        </is>
      </c>
      <c r="D18" t="inlineStr">
        <is>
          <t>Cooldown &amp; Thermal Performance Modelling</t>
        </is>
      </c>
      <c r="E18" t="n">
        <v>44</v>
      </c>
      <c r="F18" t="n">
        <v>12</v>
      </c>
    </row>
    <row r="19">
      <c r="A19" t="inlineStr">
        <is>
          <t>Reliability / RAM / Service</t>
        </is>
      </c>
      <c r="B19" t="n">
        <v>1</v>
      </c>
      <c r="C19" t="inlineStr">
        <is>
          <t>OFFER-42</t>
        </is>
      </c>
      <c r="D19" t="inlineStr">
        <is>
          <t>After-Sales Service Organization &amp; Pricing</t>
        </is>
      </c>
      <c r="E19" t="n">
        <v>46.33</v>
      </c>
      <c r="F19" t="n">
        <v>8</v>
      </c>
    </row>
    <row r="20">
      <c r="B20" t="n">
        <v>2</v>
      </c>
      <c r="C20" t="inlineStr">
        <is>
          <t>OFFER-20</t>
        </is>
      </c>
      <c r="D20" t="inlineStr">
        <is>
          <t>Helium Leak Detection &amp; Loss Management</t>
        </is>
      </c>
      <c r="E20" t="n">
        <v>46</v>
      </c>
      <c r="F20" t="n">
        <v>9</v>
      </c>
    </row>
    <row r="21">
      <c r="B21" t="n">
        <v>3</v>
      </c>
      <c r="C21" t="inlineStr">
        <is>
          <t>OFFER-41</t>
        </is>
      </c>
      <c r="D21" t="inlineStr">
        <is>
          <t>Spare Parts &amp; Critical Components Strategy</t>
        </is>
      </c>
      <c r="E21" t="n">
        <v>38.67</v>
      </c>
      <c r="F21" t="n">
        <v>16</v>
      </c>
    </row>
    <row r="23">
      <c r="A23" s="164" t="inlineStr">
        <is>
          <t>Hidden champions — RTM (top 5 by Weighted S, within each Category)</t>
        </is>
      </c>
    </row>
    <row r="24">
      <c r="A24" s="93" t="inlineStr">
        <is>
          <t>Category</t>
        </is>
      </c>
      <c r="B24" s="93" t="inlineStr">
        <is>
          <t>Local rank</t>
        </is>
      </c>
      <c r="C24" s="93" t="inlineStr">
        <is>
          <t>RTM ID</t>
        </is>
      </c>
      <c r="D24" s="93" t="inlineStr">
        <is>
          <t>Shall (clipped)</t>
        </is>
      </c>
      <c r="E24" s="93" t="inlineStr">
        <is>
          <t>Weighted S</t>
        </is>
      </c>
      <c r="F24" s="93" t="inlineStr">
        <is>
          <t>Global rank</t>
        </is>
      </c>
      <c r="G24" s="93" t="inlineStr">
        <is>
          <t>Flag</t>
        </is>
      </c>
    </row>
    <row r="25">
      <c r="A25" t="inlineStr">
        <is>
          <t>Constraint</t>
        </is>
      </c>
      <c r="B25" t="n">
        <v>1</v>
      </c>
      <c r="C25" t="inlineStr">
        <is>
          <t>RTM-014</t>
        </is>
      </c>
      <c r="D25" t="inlineStr">
        <is>
          <t>For each operational scenario and transition, the Contractor shall define the interaction …</t>
        </is>
      </c>
      <c r="E25" t="n">
        <v>58</v>
      </c>
      <c r="F25" t="n">
        <v>59</v>
      </c>
    </row>
    <row r="26">
      <c r="B26" t="n">
        <v>2</v>
      </c>
      <c r="C26" t="inlineStr">
        <is>
          <t>RTM-462</t>
        </is>
      </c>
      <c r="D26" t="inlineStr">
        <is>
          <t>The examination of welds shall comply with the following requirements:</t>
        </is>
      </c>
      <c r="E26" t="n">
        <v>56</v>
      </c>
      <c r="F26" t="n">
        <v>69</v>
      </c>
    </row>
    <row r="27">
      <c r="B27" t="n">
        <v>3</v>
      </c>
      <c r="C27" t="inlineStr">
        <is>
          <t>RTM-700</t>
        </is>
      </c>
      <c r="D27" t="inlineStr">
        <is>
          <t>The proposed solution shall comply with the relevant sections of EN 61000-6-2 (Immunity fo…</t>
        </is>
      </c>
      <c r="E27" t="n">
        <v>54.67</v>
      </c>
      <c r="F27" t="n">
        <v>4</v>
      </c>
    </row>
    <row r="28">
      <c r="B28" t="n">
        <v>4</v>
      </c>
      <c r="C28" t="inlineStr">
        <is>
          <t>RTM-186</t>
        </is>
      </c>
      <c r="D28" t="inlineStr">
        <is>
          <t>The helium dryer system shall comply with the following architectural requirements:</t>
        </is>
      </c>
      <c r="E28" t="n">
        <v>52.67</v>
      </c>
      <c r="F28" t="n">
        <v>77</v>
      </c>
    </row>
    <row r="29">
      <c r="B29" t="n">
        <v>5</v>
      </c>
      <c r="C29" t="inlineStr">
        <is>
          <t>RTM-269</t>
        </is>
      </c>
      <c r="D29" t="inlineStr">
        <is>
          <t>Within the operational and boundary constraints defined in RTM-264, the Dewar Filling Stat…</t>
        </is>
      </c>
      <c r="E29" t="n">
        <v>52.67</v>
      </c>
      <c r="F29" t="n">
        <v>79</v>
      </c>
    </row>
    <row r="30">
      <c r="A30" t="inlineStr">
        <is>
          <t>Control</t>
        </is>
      </c>
      <c r="B30" t="n">
        <v>1</v>
      </c>
      <c r="C30" t="inlineStr">
        <is>
          <t>RTM-300</t>
        </is>
      </c>
      <c r="D30" t="inlineStr">
        <is>
          <t>The QPS:CIS shall use a commercially available, industrial-grade control platform with doc…</t>
        </is>
      </c>
      <c r="E30" t="n">
        <v>66.33</v>
      </c>
      <c r="F30" t="n">
        <v>49</v>
      </c>
    </row>
    <row r="31">
      <c r="B31" t="n">
        <v>2</v>
      </c>
      <c r="C31" t="inlineStr">
        <is>
          <t>RTM-239</t>
        </is>
      </c>
      <c r="D31" t="inlineStr">
        <is>
          <t>The WSH shall fulfil, at minimum, the following functions:</t>
        </is>
      </c>
      <c r="E31" t="n">
        <v>64.67</v>
      </c>
      <c r="F31" t="n">
        <v>51</v>
      </c>
    </row>
    <row r="32">
      <c r="B32" t="n">
        <v>3</v>
      </c>
      <c r="C32" t="inlineStr">
        <is>
          <t>RTM-280</t>
        </is>
      </c>
      <c r="D32" t="inlineStr">
        <is>
          <t>The QPLANT shall include manual vent and purge valves at the interface with line QRB.G20 t…</t>
        </is>
      </c>
      <c r="E32" t="n">
        <v>64.67</v>
      </c>
      <c r="F32" t="n">
        <v>52</v>
      </c>
    </row>
    <row r="33">
      <c r="B33" t="n">
        <v>4</v>
      </c>
      <c r="C33" t="inlineStr">
        <is>
          <t>RTM-267</t>
        </is>
      </c>
      <c r="D33" t="inlineStr">
        <is>
          <t>The Contractor shall substantiate the design of the Dewar Filling Station in the Engineeri…</t>
        </is>
      </c>
      <c r="E33" t="n">
        <v>55.33</v>
      </c>
      <c r="F33" t="n">
        <v>70</v>
      </c>
    </row>
    <row r="34">
      <c r="B34" t="n">
        <v>5</v>
      </c>
      <c r="C34" t="inlineStr">
        <is>
          <t>RTM-279</t>
        </is>
      </c>
      <c r="D34" t="inlineStr">
        <is>
          <t>The QPLANT shall include at the interface with line QRB.G20, at minimum:</t>
        </is>
      </c>
      <c r="E34" t="n">
        <v>52.67</v>
      </c>
      <c r="F34" t="n">
        <v>81</v>
      </c>
    </row>
    <row r="35">
      <c r="A35" t="inlineStr">
        <is>
          <t>Documentation &amp; Compliance</t>
        </is>
      </c>
      <c r="B35" t="n">
        <v>1</v>
      </c>
      <c r="C35" t="inlineStr">
        <is>
          <t>RTM-161</t>
        </is>
      </c>
      <c r="D35" t="inlineStr">
        <is>
          <t>The Contractor shall include, in the operation and maintenance manual, at minimum, the fol…</t>
        </is>
      </c>
      <c r="E35" t="n">
        <v>64.67</v>
      </c>
      <c r="F35" t="n">
        <v>50</v>
      </c>
    </row>
    <row r="36">
      <c r="B36" t="n">
        <v>2</v>
      </c>
      <c r="C36" t="inlineStr">
        <is>
          <t>RTM-517</t>
        </is>
      </c>
      <c r="D36" t="inlineStr">
        <is>
          <t>For the QPS, the Contractor shall perform the following abnormal-event tests during the SA…</t>
        </is>
      </c>
      <c r="E36" t="n">
        <v>63.33</v>
      </c>
      <c r="F36" t="n">
        <v>54</v>
      </c>
    </row>
    <row r="37">
      <c r="B37" t="n">
        <v>3</v>
      </c>
      <c r="C37" t="inlineStr">
        <is>
          <t>RTM-693</t>
        </is>
      </c>
      <c r="D37" t="inlineStr">
        <is>
          <t>To demonstrate conformity with the applicable EU directives, the Contractor shall submit t…</t>
        </is>
      </c>
      <c r="E37" t="n">
        <v>62.67</v>
      </c>
      <c r="F37" t="n">
        <v>1</v>
      </c>
    </row>
    <row r="38">
      <c r="B38" t="n">
        <v>4</v>
      </c>
      <c r="C38" t="inlineStr">
        <is>
          <t>RTM-478</t>
        </is>
      </c>
      <c r="D38" t="inlineStr">
        <is>
          <t>The Contractor shall perform, at minimum, the following installation-related activities an…</t>
        </is>
      </c>
      <c r="E38" t="n">
        <v>62</v>
      </c>
      <c r="F38" t="n">
        <v>55</v>
      </c>
    </row>
    <row r="39">
      <c r="B39" t="n">
        <v>5</v>
      </c>
      <c r="C39" t="inlineStr">
        <is>
          <t>RTM-026</t>
        </is>
      </c>
      <c r="D39" t="inlineStr">
        <is>
          <t>The Contractor shall provide documented procedures for purging and conditioning of the QPS…</t>
        </is>
      </c>
      <c r="E39" t="n">
        <v>61.33</v>
      </c>
      <c r="F39" t="n">
        <v>56</v>
      </c>
    </row>
    <row r="40">
      <c r="A40" s="172" t="inlineStr">
        <is>
          <t>Equipment Protection</t>
        </is>
      </c>
      <c r="B40" s="172" t="n">
        <v>1</v>
      </c>
      <c r="C40" s="172" t="inlineStr">
        <is>
          <t>RTM-294</t>
        </is>
      </c>
      <c r="D40" s="172" t="inlineStr">
        <is>
          <t>The QRB.S shall include, at minimum:</t>
        </is>
      </c>
      <c r="E40" s="172" t="n">
        <v>32</v>
      </c>
      <c r="F40" s="172" t="n">
        <v>295</v>
      </c>
      <c r="G40" s="174" t="inlineStr">
        <is>
          <t>Hidden champion — locally #1, globally rank 295 of 722</t>
        </is>
      </c>
    </row>
    <row r="41">
      <c r="B41" t="n">
        <v>2</v>
      </c>
      <c r="C41" t="inlineStr">
        <is>
          <t>RTM-297</t>
        </is>
      </c>
      <c r="D41" t="inlineStr">
        <is>
          <t>The QRB.W shall include, at minimum:</t>
        </is>
      </c>
      <c r="E41" t="n">
        <v>32</v>
      </c>
      <c r="F41" t="n">
        <v>296</v>
      </c>
    </row>
    <row r="42">
      <c r="B42" t="n">
        <v>3</v>
      </c>
      <c r="C42" t="inlineStr">
        <is>
          <t>RTM-412</t>
        </is>
      </c>
      <c r="D42" t="inlineStr">
        <is>
          <t>The Contractor shall assume the following features of the PCW:</t>
        </is>
      </c>
      <c r="E42" t="n">
        <v>28</v>
      </c>
      <c r="F42" t="n">
        <v>371</v>
      </c>
    </row>
    <row r="43">
      <c r="B43" t="n">
        <v>4</v>
      </c>
      <c r="C43" t="inlineStr">
        <is>
          <t>RTM-609</t>
        </is>
      </c>
      <c r="D43" t="inlineStr">
        <is>
          <t>The Contractor shall supply a substantiated proposal for the locations of Oxygen-Deficienc…</t>
        </is>
      </c>
      <c r="E43" t="n">
        <v>27.33</v>
      </c>
      <c r="F43" t="n">
        <v>24</v>
      </c>
    </row>
    <row r="44">
      <c r="B44" t="n">
        <v>5</v>
      </c>
      <c r="C44" t="inlineStr">
        <is>
          <t>RTM-606</t>
        </is>
      </c>
      <c r="D44" t="inlineStr">
        <is>
          <t>Any Cold helium volume shall be protected by safety devices in accordance with EN 17527 (s…</t>
        </is>
      </c>
      <c r="E44" t="n">
        <v>20</v>
      </c>
      <c r="F44" t="n">
        <v>31</v>
      </c>
    </row>
    <row r="45">
      <c r="A45" t="inlineStr">
        <is>
          <t>Governance &amp; Responsibility</t>
        </is>
      </c>
      <c r="B45" t="n">
        <v>1</v>
      </c>
      <c r="C45" t="inlineStr">
        <is>
          <t>RTM-482</t>
        </is>
      </c>
      <c r="D45" t="inlineStr">
        <is>
          <t>The Contractor shall perform all required performance and capacity testing to validate ful…</t>
        </is>
      </c>
      <c r="E45" t="n">
        <v>76.67</v>
      </c>
      <c r="F45" t="n">
        <v>44</v>
      </c>
    </row>
    <row r="46">
      <c r="B46" t="n">
        <v>2</v>
      </c>
      <c r="C46" t="inlineStr">
        <is>
          <t>RTM-522</t>
        </is>
      </c>
      <c r="D46" t="inlineStr">
        <is>
          <t>For the TS-SB scenario, the Contractor shall perform the following cooling-capacity test d…</t>
        </is>
      </c>
      <c r="E46" t="n">
        <v>67.33</v>
      </c>
      <c r="F46" t="n">
        <v>45</v>
      </c>
    </row>
    <row r="47">
      <c r="B47" t="n">
        <v>3</v>
      </c>
      <c r="C47" t="inlineStr">
        <is>
          <t>RTM-523</t>
        </is>
      </c>
      <c r="D47" t="inlineStr">
        <is>
          <t>For the 10K-SB scenario, the Contractor shall perform the following cooling-capacity test …</t>
        </is>
      </c>
      <c r="E47" t="n">
        <v>67.33</v>
      </c>
      <c r="F47" t="n">
        <v>46</v>
      </c>
    </row>
    <row r="48">
      <c r="B48" t="n">
        <v>4</v>
      </c>
      <c r="C48" t="inlineStr">
        <is>
          <t>RTM-524</t>
        </is>
      </c>
      <c r="D48" t="inlineStr">
        <is>
          <t>For the 4K-SB scenario, the Contractor shall perform the following cooling-capacity test d…</t>
        </is>
      </c>
      <c r="E48" t="n">
        <v>67.33</v>
      </c>
      <c r="F48" t="n">
        <v>47</v>
      </c>
    </row>
    <row r="49">
      <c r="B49" t="n">
        <v>5</v>
      </c>
      <c r="C49" t="inlineStr">
        <is>
          <t>RTM-525</t>
        </is>
      </c>
      <c r="D49" t="inlineStr">
        <is>
          <t>For the 2K-OP and 2K-SB scenarios, the Contractor shall perform the following cooling-capa…</t>
        </is>
      </c>
      <c r="E49" t="n">
        <v>67.33</v>
      </c>
      <c r="F49" t="n">
        <v>48</v>
      </c>
    </row>
    <row r="50">
      <c r="A50" t="inlineStr">
        <is>
          <t>Interlock &amp; Control Safety</t>
        </is>
      </c>
      <c r="B50" t="n">
        <v>1</v>
      </c>
      <c r="C50" t="inlineStr">
        <is>
          <t>RTM-514</t>
        </is>
      </c>
      <c r="D50" t="inlineStr">
        <is>
          <t>The Contractor shall demonstrate the correct operational behaviour of the safety-related f…</t>
        </is>
      </c>
      <c r="E50" t="n">
        <v>48</v>
      </c>
      <c r="F50" t="n">
        <v>7</v>
      </c>
    </row>
    <row r="51">
      <c r="B51" t="n">
        <v>2</v>
      </c>
      <c r="C51" t="inlineStr">
        <is>
          <t>RTM-613</t>
        </is>
      </c>
      <c r="D51" t="inlineStr">
        <is>
          <t>The Contractor shall perform all the required functional testing of this integration durin…</t>
        </is>
      </c>
      <c r="E51" t="n">
        <v>48</v>
      </c>
      <c r="F51" t="n">
        <v>8</v>
      </c>
    </row>
    <row r="52">
      <c r="B52" t="n">
        <v>3</v>
      </c>
      <c r="C52" t="inlineStr">
        <is>
          <t>RTM-015</t>
        </is>
      </c>
      <c r="D52" t="inlineStr">
        <is>
          <t>The Contractor shall progressively define the detailed implementation of each specified op…</t>
        </is>
      </c>
      <c r="E52" t="n">
        <v>43.33</v>
      </c>
      <c r="F52" t="n">
        <v>141</v>
      </c>
    </row>
    <row r="53">
      <c r="B53" t="n">
        <v>4</v>
      </c>
      <c r="C53" t="inlineStr">
        <is>
          <t>RTM-596</t>
        </is>
      </c>
      <c r="D53" t="inlineStr">
        <is>
          <t>The Contractor shall design, implement, and validate fail-safe hard-wired interlock circui…</t>
        </is>
      </c>
      <c r="E53" t="n">
        <v>36</v>
      </c>
      <c r="F53" t="n">
        <v>12</v>
      </c>
    </row>
    <row r="54">
      <c r="B54" t="n">
        <v>5</v>
      </c>
      <c r="C54" t="inlineStr">
        <is>
          <t>RTM-599</t>
        </is>
      </c>
      <c r="D54" t="inlineStr">
        <is>
          <t>Electrical contacts associated with the hard-wired interlock sensors (flow, pressure, temp…</t>
        </is>
      </c>
      <c r="E54" t="n">
        <v>36</v>
      </c>
      <c r="F54" t="n">
        <v>15</v>
      </c>
    </row>
    <row r="55">
      <c r="A55" t="inlineStr">
        <is>
          <t>Performance</t>
        </is>
      </c>
      <c r="B55" t="n">
        <v>1</v>
      </c>
      <c r="C55" t="inlineStr">
        <is>
          <t>RTM-351</t>
        </is>
      </c>
      <c r="D55" t="inlineStr">
        <is>
          <t>The Contractor shall ensure that all operator stations (HMI panels or industrial touch PCs…</t>
        </is>
      </c>
      <c r="E55" t="n">
        <v>64.67</v>
      </c>
      <c r="F55" t="n">
        <v>53</v>
      </c>
    </row>
    <row r="56">
      <c r="B56" t="n">
        <v>2</v>
      </c>
      <c r="C56" t="inlineStr">
        <is>
          <t>RTM-043</t>
        </is>
      </c>
      <c r="D56" t="inlineStr">
        <is>
          <t>The QPS design shall not include additional installed refrigeration or liquefaction capaci…</t>
        </is>
      </c>
      <c r="E56" t="n">
        <v>58</v>
      </c>
      <c r="F56" t="n">
        <v>60</v>
      </c>
    </row>
    <row r="57">
      <c r="B57" t="n">
        <v>3</v>
      </c>
      <c r="C57" t="inlineStr">
        <is>
          <t>RTM-271</t>
        </is>
      </c>
      <c r="D57" t="inlineStr">
        <is>
          <t>The Contractor shall demonstrate that the Dewar filling operations do not adversely affect…</t>
        </is>
      </c>
      <c r="E57" t="n">
        <v>58</v>
      </c>
      <c r="F57" t="n">
        <v>61</v>
      </c>
    </row>
    <row r="58">
      <c r="B58" t="n">
        <v>4</v>
      </c>
      <c r="C58" t="inlineStr">
        <is>
          <t>RTM-276</t>
        </is>
      </c>
      <c r="D58" t="inlineStr">
        <is>
          <t>The QPLANT shall accept the returning helium only when the following conditions are simult…</t>
        </is>
      </c>
      <c r="E58" t="n">
        <v>58</v>
      </c>
      <c r="F58" t="n">
        <v>62</v>
      </c>
    </row>
    <row r="59">
      <c r="B59" t="n">
        <v>5</v>
      </c>
      <c r="C59" t="inlineStr">
        <is>
          <t>RTM-416</t>
        </is>
      </c>
      <c r="D59" t="inlineStr">
        <is>
          <t>The water heat exchangers shall comply with the following water conditions:</t>
        </is>
      </c>
      <c r="E59" t="n">
        <v>58</v>
      </c>
      <c r="F59" t="n">
        <v>63</v>
      </c>
    </row>
    <row r="60">
      <c r="A60" t="inlineStr">
        <is>
          <t>Personnel Protection</t>
        </is>
      </c>
      <c r="B60" t="n">
        <v>1</v>
      </c>
      <c r="C60" t="inlineStr">
        <is>
          <t>RTM-595</t>
        </is>
      </c>
      <c r="D60" t="inlineStr">
        <is>
          <t>The Contractor shall perform a risk analysis (e.g. HAZOP, FMECA, or an equivalent methodol…</t>
        </is>
      </c>
      <c r="E60" t="n">
        <v>58.67</v>
      </c>
      <c r="F60" t="n">
        <v>2</v>
      </c>
    </row>
    <row r="61">
      <c r="B61" t="n">
        <v>2</v>
      </c>
      <c r="C61" t="inlineStr">
        <is>
          <t>RTM-603</t>
        </is>
      </c>
      <c r="D61" t="inlineStr">
        <is>
          <t>The Contractor shall design, implement, supply and document all safety measures, including…</t>
        </is>
      </c>
      <c r="E61" t="n">
        <v>30.67</v>
      </c>
      <c r="F61" t="n">
        <v>22</v>
      </c>
    </row>
    <row r="62">
      <c r="B62" t="n">
        <v>3</v>
      </c>
      <c r="C62" t="inlineStr">
        <is>
          <t>RTM-604</t>
        </is>
      </c>
      <c r="D62" t="inlineStr">
        <is>
          <t>The Contractor shall document the hazard analysis, selected mitigation measures, detection…</t>
        </is>
      </c>
      <c r="E62" t="n">
        <v>30.67</v>
      </c>
      <c r="F62" t="n">
        <v>23</v>
      </c>
    </row>
    <row r="63">
      <c r="A63" t="inlineStr">
        <is>
          <t>Quality Assurance</t>
        </is>
      </c>
      <c r="B63" t="n">
        <v>1</v>
      </c>
      <c r="C63" t="inlineStr">
        <is>
          <t>RTM-687</t>
        </is>
      </c>
      <c r="D63" t="inlineStr">
        <is>
          <t>Compliance with a listed standard shall not be limited to design calculations or certifica…</t>
        </is>
      </c>
      <c r="E63" t="n">
        <v>57.67</v>
      </c>
      <c r="F63" t="n">
        <v>3</v>
      </c>
    </row>
    <row r="64">
      <c r="B64" t="n">
        <v>2</v>
      </c>
      <c r="C64" t="inlineStr">
        <is>
          <t>RTM-644</t>
        </is>
      </c>
      <c r="D64" t="inlineStr">
        <is>
          <t>During the warranty and after-sales period, the Contractor shall maintain application of i…</t>
        </is>
      </c>
      <c r="E64" t="n">
        <v>57.67</v>
      </c>
      <c r="F64" t="n">
        <v>64</v>
      </c>
    </row>
    <row r="65">
      <c r="B65" t="n">
        <v>3</v>
      </c>
      <c r="C65" t="inlineStr">
        <is>
          <t>RTM-685</t>
        </is>
      </c>
      <c r="D65" t="inlineStr">
        <is>
          <t>All measurement and testing instrumentation used during the performance of the Contract sh…</t>
        </is>
      </c>
      <c r="E65" t="n">
        <v>46</v>
      </c>
      <c r="F65" t="n">
        <v>127</v>
      </c>
    </row>
    <row r="66">
      <c r="B66" t="n">
        <v>4</v>
      </c>
      <c r="C66" t="inlineStr">
        <is>
          <t>RTM-656</t>
        </is>
      </c>
      <c r="D66" t="inlineStr">
        <is>
          <t>Training activities contributing to operational handover shall be performed by qualified C…</t>
        </is>
      </c>
      <c r="E66" t="n">
        <v>44.67</v>
      </c>
      <c r="F66" t="n">
        <v>130</v>
      </c>
    </row>
    <row r="67">
      <c r="B67" t="n">
        <v>5</v>
      </c>
      <c r="C67" t="inlineStr">
        <is>
          <t>RTM-660</t>
        </is>
      </c>
      <c r="D67" t="inlineStr">
        <is>
          <t>All documents submitted to SCK CEN shall:</t>
        </is>
      </c>
      <c r="E67" t="n">
        <v>41.33</v>
      </c>
      <c r="F67" t="n">
        <v>158</v>
      </c>
    </row>
    <row r="68">
      <c r="A68" t="inlineStr">
        <is>
          <t>Regulatory / Certification</t>
        </is>
      </c>
      <c r="B68" t="n">
        <v>1</v>
      </c>
      <c r="C68" t="inlineStr">
        <is>
          <t>RTM-702</t>
        </is>
      </c>
      <c r="D68" t="inlineStr">
        <is>
          <t>The Contractor shall comply at least with the standards specified in Table 24.</t>
        </is>
      </c>
      <c r="E68" t="n">
        <v>20</v>
      </c>
      <c r="F68" t="n">
        <v>40</v>
      </c>
    </row>
    <row r="70">
      <c r="A70" s="164" t="inlineStr">
        <is>
          <t>Density heat map — RTM Category x Cluster (item counts)</t>
        </is>
      </c>
    </row>
    <row r="71">
      <c r="A71" s="93" t="inlineStr">
        <is>
          <t>Category</t>
        </is>
      </c>
      <c r="B71" s="93" t="inlineStr">
        <is>
          <t>C1</t>
        </is>
      </c>
      <c r="C71" s="93" t="inlineStr">
        <is>
          <t>C2</t>
        </is>
      </c>
      <c r="D71" s="93" t="inlineStr">
        <is>
          <t>C3</t>
        </is>
      </c>
      <c r="E71" s="93" t="inlineStr">
        <is>
          <t>C4</t>
        </is>
      </c>
      <c r="F71" s="93" t="inlineStr">
        <is>
          <t>C5</t>
        </is>
      </c>
      <c r="G71" s="93" t="inlineStr">
        <is>
          <t>C6</t>
        </is>
      </c>
      <c r="H71" s="93" t="inlineStr">
        <is>
          <t>C7</t>
        </is>
      </c>
      <c r="I71" s="93" t="inlineStr">
        <is>
          <t>C8</t>
        </is>
      </c>
      <c r="J71" s="93" t="inlineStr">
        <is>
          <t>Not linked</t>
        </is>
      </c>
    </row>
    <row r="72">
      <c r="A72" s="66" t="inlineStr">
        <is>
          <t>Constraint</t>
        </is>
      </c>
      <c r="B72" t="n">
        <v>1</v>
      </c>
      <c r="C72" t="n">
        <v>5</v>
      </c>
      <c r="D72" t="n">
        <v>5</v>
      </c>
      <c r="E72" t="n">
        <v>0</v>
      </c>
      <c r="F72" t="n">
        <v>9</v>
      </c>
      <c r="G72" t="n">
        <v>1</v>
      </c>
      <c r="H72" t="n">
        <v>7</v>
      </c>
      <c r="I72" t="n">
        <v>0</v>
      </c>
      <c r="J72" t="n">
        <v>5</v>
      </c>
    </row>
    <row r="73">
      <c r="A73" s="66" t="inlineStr">
        <is>
          <t>Control</t>
        </is>
      </c>
      <c r="B73" t="n">
        <v>2</v>
      </c>
      <c r="C73" t="n">
        <v>25</v>
      </c>
      <c r="D73" t="n">
        <v>13</v>
      </c>
      <c r="E73" t="n">
        <v>19</v>
      </c>
      <c r="F73" t="n">
        <v>7</v>
      </c>
      <c r="G73" t="n">
        <v>0</v>
      </c>
      <c r="H73" t="n">
        <v>0</v>
      </c>
      <c r="I73" t="n">
        <v>2</v>
      </c>
      <c r="J73" t="n">
        <v>6</v>
      </c>
    </row>
    <row r="74">
      <c r="A74" s="66" t="inlineStr">
        <is>
          <t>Documentation &amp; Compliance</t>
        </is>
      </c>
      <c r="B74" t="n">
        <v>2</v>
      </c>
      <c r="C74" t="n">
        <v>5</v>
      </c>
      <c r="D74" t="n">
        <v>4</v>
      </c>
      <c r="E74" t="n">
        <v>1</v>
      </c>
      <c r="F74" t="n">
        <v>2</v>
      </c>
      <c r="G74" t="n">
        <v>3</v>
      </c>
      <c r="H74" t="n">
        <v>19</v>
      </c>
      <c r="I74" t="n">
        <v>23</v>
      </c>
      <c r="J74" t="n">
        <v>31</v>
      </c>
    </row>
    <row r="75">
      <c r="A75" s="66" t="inlineStr">
        <is>
          <t>Equipment Protection</t>
        </is>
      </c>
      <c r="B75" t="n">
        <v>0</v>
      </c>
      <c r="C75" t="n">
        <v>0</v>
      </c>
      <c r="D75" t="n">
        <v>0</v>
      </c>
      <c r="E75" t="n">
        <v>0</v>
      </c>
      <c r="F75" t="n">
        <v>1</v>
      </c>
      <c r="G75" t="n">
        <v>0</v>
      </c>
      <c r="H75" t="n">
        <v>0</v>
      </c>
      <c r="I75" t="n">
        <v>0</v>
      </c>
      <c r="J75" t="n">
        <v>5</v>
      </c>
    </row>
    <row r="76">
      <c r="A76" s="66" t="inlineStr">
        <is>
          <t>Governance &amp; Responsibility</t>
        </is>
      </c>
      <c r="B76" t="n">
        <v>0</v>
      </c>
      <c r="C76" t="n">
        <v>0</v>
      </c>
      <c r="D76" t="n">
        <v>0</v>
      </c>
      <c r="E76" t="n">
        <v>0</v>
      </c>
      <c r="F76" t="n">
        <v>0</v>
      </c>
      <c r="G76" t="n">
        <v>29</v>
      </c>
      <c r="H76" t="n">
        <v>58</v>
      </c>
      <c r="I76" t="n">
        <v>15</v>
      </c>
      <c r="J76" t="n">
        <v>12</v>
      </c>
    </row>
    <row r="77">
      <c r="A77" s="66" t="inlineStr">
        <is>
          <t>Interlock &amp; Control Safety</t>
        </is>
      </c>
      <c r="B77" t="n">
        <v>0</v>
      </c>
      <c r="C77" t="n">
        <v>3</v>
      </c>
      <c r="D77" t="n">
        <v>1</v>
      </c>
      <c r="E77" t="n">
        <v>2</v>
      </c>
      <c r="F77" t="n">
        <v>0</v>
      </c>
      <c r="G77" t="n">
        <v>0</v>
      </c>
      <c r="H77" t="n">
        <v>3</v>
      </c>
      <c r="I77" t="n">
        <v>0</v>
      </c>
      <c r="J77" t="n">
        <v>3</v>
      </c>
    </row>
    <row r="78">
      <c r="A78" s="66" t="inlineStr">
        <is>
          <t>Performance</t>
        </is>
      </c>
      <c r="B78" t="n">
        <v>25</v>
      </c>
      <c r="C78" t="n">
        <v>98</v>
      </c>
      <c r="D78" t="n">
        <v>54</v>
      </c>
      <c r="E78" t="n">
        <v>59</v>
      </c>
      <c r="F78" t="n">
        <v>72</v>
      </c>
      <c r="G78" t="n">
        <v>10</v>
      </c>
      <c r="H78" t="n">
        <v>11</v>
      </c>
      <c r="I78" t="n">
        <v>5</v>
      </c>
      <c r="J78" t="n">
        <v>10</v>
      </c>
    </row>
    <row r="79">
      <c r="A79" s="66" t="inlineStr">
        <is>
          <t>Personnel Protection</t>
        </is>
      </c>
      <c r="B79" t="n">
        <v>0</v>
      </c>
      <c r="C79" t="n">
        <v>0</v>
      </c>
      <c r="D79" t="n">
        <v>0</v>
      </c>
      <c r="E79" t="n">
        <v>0</v>
      </c>
      <c r="F79" t="n">
        <v>0</v>
      </c>
      <c r="G79" t="n">
        <v>0</v>
      </c>
      <c r="H79" t="n">
        <v>0</v>
      </c>
      <c r="I79" t="n">
        <v>0</v>
      </c>
      <c r="J79" t="n">
        <v>3</v>
      </c>
    </row>
    <row r="80">
      <c r="A80" s="66" t="inlineStr">
        <is>
          <t>Quality Assurance</t>
        </is>
      </c>
      <c r="B80" t="n">
        <v>0</v>
      </c>
      <c r="C80" t="n">
        <v>0</v>
      </c>
      <c r="D80" t="n">
        <v>0</v>
      </c>
      <c r="E80" t="n">
        <v>0</v>
      </c>
      <c r="F80" t="n">
        <v>0</v>
      </c>
      <c r="G80" t="n">
        <v>0</v>
      </c>
      <c r="H80" t="n">
        <v>44</v>
      </c>
      <c r="I80" t="n">
        <v>0</v>
      </c>
      <c r="J80" t="n">
        <v>1</v>
      </c>
    </row>
    <row r="81">
      <c r="A81" s="66" t="inlineStr">
        <is>
          <t>Regulatory / Certification</t>
        </is>
      </c>
      <c r="B81" t="n">
        <v>0</v>
      </c>
      <c r="C81" t="n">
        <v>0</v>
      </c>
      <c r="D81" t="n">
        <v>0</v>
      </c>
      <c r="E81" t="n">
        <v>0</v>
      </c>
      <c r="F81" t="n">
        <v>0</v>
      </c>
      <c r="G81" t="n">
        <v>0</v>
      </c>
      <c r="H81" t="n">
        <v>1</v>
      </c>
      <c r="I81" t="n">
        <v>0</v>
      </c>
      <c r="J81" t="n">
        <v>0</v>
      </c>
    </row>
    <row r="83">
      <c r="A83" s="164" t="inlineStr">
        <is>
          <t>Density heat map — OFFER Category x Cluster (item counts)</t>
        </is>
      </c>
    </row>
    <row r="84">
      <c r="A84" s="93" t="inlineStr">
        <is>
          <t>Category</t>
        </is>
      </c>
      <c r="B84" s="93" t="inlineStr">
        <is>
          <t>C1</t>
        </is>
      </c>
      <c r="C84" s="93" t="inlineStr">
        <is>
          <t>C2</t>
        </is>
      </c>
      <c r="D84" s="93" t="inlineStr">
        <is>
          <t>C3</t>
        </is>
      </c>
      <c r="E84" s="93" t="inlineStr">
        <is>
          <t>C4</t>
        </is>
      </c>
      <c r="F84" s="93" t="inlineStr">
        <is>
          <t>C5</t>
        </is>
      </c>
      <c r="G84" s="93" t="inlineStr">
        <is>
          <t>C6</t>
        </is>
      </c>
      <c r="H84" s="93" t="inlineStr">
        <is>
          <t>C7</t>
        </is>
      </c>
      <c r="I84" s="93" t="inlineStr">
        <is>
          <t>C8</t>
        </is>
      </c>
      <c r="J84" s="93" t="inlineStr">
        <is>
          <t>Not linked</t>
        </is>
      </c>
    </row>
    <row r="85">
      <c r="A85" s="66" t="inlineStr">
        <is>
          <t>Compliance / Quality</t>
        </is>
      </c>
      <c r="B85" t="n">
        <v>0</v>
      </c>
      <c r="C85" t="n">
        <v>0</v>
      </c>
      <c r="D85" t="n">
        <v>0</v>
      </c>
      <c r="E85" t="n">
        <v>0</v>
      </c>
      <c r="F85" t="n">
        <v>0</v>
      </c>
      <c r="G85" t="n">
        <v>0</v>
      </c>
      <c r="H85" t="n">
        <v>3</v>
      </c>
      <c r="I85" t="n">
        <v>3</v>
      </c>
      <c r="J85" t="n">
        <v>0</v>
      </c>
    </row>
    <row r="86">
      <c r="A86" s="66" t="inlineStr">
        <is>
          <t>Configuration / Layout / Support</t>
        </is>
      </c>
      <c r="B86" t="n">
        <v>0</v>
      </c>
      <c r="C86" t="n">
        <v>0</v>
      </c>
      <c r="D86" t="n">
        <v>3</v>
      </c>
      <c r="E86" t="n">
        <v>0</v>
      </c>
      <c r="F86" t="n">
        <v>4</v>
      </c>
      <c r="G86" t="n">
        <v>2</v>
      </c>
      <c r="H86" t="n">
        <v>1</v>
      </c>
      <c r="I86" t="n">
        <v>1</v>
      </c>
      <c r="J86" t="n">
        <v>0</v>
      </c>
    </row>
    <row r="87">
      <c r="A87" s="66" t="inlineStr">
        <is>
          <t>Controls / Software / Management</t>
        </is>
      </c>
      <c r="B87" t="n">
        <v>0</v>
      </c>
      <c r="C87" t="n">
        <v>0</v>
      </c>
      <c r="D87" t="n">
        <v>0</v>
      </c>
      <c r="E87" t="n">
        <v>6</v>
      </c>
      <c r="F87" t="n">
        <v>1</v>
      </c>
      <c r="G87" t="n">
        <v>0</v>
      </c>
      <c r="H87" t="n">
        <v>0</v>
      </c>
      <c r="I87" t="n">
        <v>3</v>
      </c>
      <c r="J87" t="n">
        <v>0</v>
      </c>
    </row>
    <row r="88">
      <c r="A88" s="66" t="inlineStr">
        <is>
          <t>Performance / Process / Utilities</t>
        </is>
      </c>
      <c r="B88" t="n">
        <v>4</v>
      </c>
      <c r="C88" t="n">
        <v>7</v>
      </c>
      <c r="D88" t="n">
        <v>1</v>
      </c>
      <c r="E88" t="n">
        <v>0</v>
      </c>
      <c r="F88" t="n">
        <v>2</v>
      </c>
      <c r="G88" t="n">
        <v>0</v>
      </c>
      <c r="H88" t="n">
        <v>1</v>
      </c>
      <c r="I88" t="n">
        <v>0</v>
      </c>
      <c r="J88" t="n">
        <v>0</v>
      </c>
    </row>
    <row r="89">
      <c r="A89" s="66" t="inlineStr">
        <is>
          <t>Reliability / RAM / Service</t>
        </is>
      </c>
      <c r="B89" t="n">
        <v>0</v>
      </c>
      <c r="C89" t="n">
        <v>2</v>
      </c>
      <c r="D89" t="n">
        <v>0</v>
      </c>
      <c r="E89" t="n">
        <v>0</v>
      </c>
      <c r="F89" t="n">
        <v>0</v>
      </c>
      <c r="G89" t="n">
        <v>3</v>
      </c>
      <c r="H89" t="n">
        <v>2</v>
      </c>
      <c r="I89" t="n">
        <v>1</v>
      </c>
      <c r="J89" t="n">
        <v>0</v>
      </c>
    </row>
    <row r="92" ht="42" customHeight="1">
      <c r="A92" s="180" t="inlineStr">
        <is>
          <t>Method: 'Hidden champion' = the #1-by-Weighted-S item within its Category whose GLOBAL rank falls in the bottom 60% overall (rank &gt; 40% mark) -- i.e. genuinely easy to miss on a global list. Density heat maps are plain item counts (darker = more items in that Category x Cluster cell), not S-weighted -- see the Domains tab in the HTML Navigator for the S-weighted version of this same breakdown.</t>
        </is>
      </c>
    </row>
  </sheetData>
  <mergeCells count="3">
    <mergeCell ref="A92:H92"/>
    <mergeCell ref="A2:H2"/>
    <mergeCell ref="A1:H1"/>
  </mergeCells>
  <conditionalFormatting sqref="B72:J81">
    <cfRule type="colorScale" priority="1">
      <colorScale>
        <cfvo type="min"/>
        <cfvo type="max"/>
        <color rgb="00FFFFFF"/>
        <color rgb="001F6B5C"/>
      </colorScale>
    </cfRule>
  </conditionalFormatting>
  <conditionalFormatting sqref="B85:J89">
    <cfRule type="colorScale" priority="2">
      <colorScale>
        <cfvo type="min"/>
        <cfvo type="max"/>
        <color rgb="00FFFFFF"/>
        <color rgb="001F6B5C"/>
      </colorScale>
    </cfRule>
  </conditionalFormatting>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14"/>
  <sheetViews>
    <sheetView showGridLines="0" workbookViewId="0">
      <pane ySplit="5" topLeftCell="A6" activePane="bottomLeft" state="frozen"/>
      <selection pane="bottomLeft" activeCell="A1" sqref="A1"/>
    </sheetView>
  </sheetViews>
  <sheetFormatPr baseColWidth="8" defaultRowHeight="15"/>
  <cols>
    <col width="12" customWidth="1" min="1" max="1"/>
    <col width="8" customWidth="1" min="2" max="2"/>
    <col width="44" customWidth="1" min="3" max="3"/>
    <col width="22" customWidth="1" min="4" max="4"/>
    <col width="30" customWidth="1" min="5" max="5"/>
    <col width="30" customWidth="1" min="6" max="6"/>
  </cols>
  <sheetData>
    <row r="1">
      <c r="A1" s="216" t="inlineStr">
        <is>
          <t>Review Focus — items flagged for a manual look</t>
        </is>
      </c>
    </row>
    <row r="2" ht="34" customHeight="1">
      <c r="A2" s="217" t="inlineStr">
        <is>
          <t>Just the OFFER items whose Review flag is not plain 'OK' (see COMPLIANCE_LEGEND for definitions) -- GBO's own worklist for a manual triage pass, prioritised by rank so the highest-stakes items surface first. This mirrors OFFER_CANONICAL/OFFER_RANKING, edits happen there; this sheet is a filtered READ view, regenerate by re-running build_workbook_v20.py's Section 4 (or a future refresh script) after any Review flag change.</t>
        </is>
      </c>
    </row>
    <row r="5">
      <c r="A5" s="204" t="inlineStr">
        <is>
          <t>OFFER ID</t>
        </is>
      </c>
      <c r="B5" s="204" t="inlineStr">
        <is>
          <t>Rank</t>
        </is>
      </c>
      <c r="C5" s="204" t="inlineStr">
        <is>
          <t>Title</t>
        </is>
      </c>
      <c r="D5" s="204" t="inlineStr">
        <is>
          <t>Review flag</t>
        </is>
      </c>
      <c r="E5" s="204" t="inlineStr">
        <is>
          <t>Primary RTMs</t>
        </is>
      </c>
      <c r="F5" s="204" t="inlineStr">
        <is>
          <t>Supporting RTMs</t>
        </is>
      </c>
    </row>
    <row r="6">
      <c r="A6" s="208" t="inlineStr">
        <is>
          <t>OFFER-09</t>
        </is>
      </c>
      <c r="B6" s="208" t="inlineStr"/>
      <c r="C6" s="199" t="inlineStr">
        <is>
          <t>LN2 Techno-Economic Evaluation (CAPEX/OPEX)</t>
        </is>
      </c>
      <c r="D6" s="218" t="inlineStr">
        <is>
          <t>Review — accept context</t>
        </is>
      </c>
      <c r="E6" s="208" t="n"/>
      <c r="F6" s="208" t="inlineStr">
        <is>
          <t>RTM-045..RTM-047</t>
        </is>
      </c>
    </row>
    <row r="7">
      <c r="A7" s="199" t="inlineStr">
        <is>
          <t>OFFER-12</t>
        </is>
      </c>
      <c r="B7" s="199" t="inlineStr"/>
      <c r="C7" s="199" t="inlineStr">
        <is>
          <t>Performance Efficiency (invCOP) Declaration</t>
        </is>
      </c>
      <c r="D7" s="219" t="inlineStr">
        <is>
          <t>OK — Review breadth</t>
        </is>
      </c>
      <c r="E7" s="199" t="inlineStr">
        <is>
          <t>RTM-069..RTM-072</t>
        </is>
      </c>
      <c r="F7" s="199" t="inlineStr">
        <is>
          <t>RTM-073..RTM-077</t>
        </is>
      </c>
    </row>
    <row r="8">
      <c r="A8" s="208" t="inlineStr">
        <is>
          <t>OFFER-13</t>
        </is>
      </c>
      <c r="B8" s="208" t="inlineStr"/>
      <c r="C8" s="199" t="inlineStr">
        <is>
          <t>Main Equipment Technical Specifications</t>
        </is>
      </c>
      <c r="D8" s="218" t="inlineStr">
        <is>
          <t>Review — breadth</t>
        </is>
      </c>
      <c r="E8" s="208" t="n"/>
      <c r="F8" s="208" t="inlineStr">
        <is>
          <t>RTM-141..RTM-152; RTM-193..RTM-197; RTM-236..RTM-257; RTM-263..RTM-267</t>
        </is>
      </c>
    </row>
    <row r="9">
      <c r="A9" s="199" t="inlineStr">
        <is>
          <t>OFFER-20</t>
        </is>
      </c>
      <c r="B9" s="199" t="inlineStr"/>
      <c r="C9" s="199" t="inlineStr">
        <is>
          <t>Helium Leak Detection &amp; Loss Management</t>
        </is>
      </c>
      <c r="D9" s="219" t="inlineStr">
        <is>
          <t>OK — Review breadth</t>
        </is>
      </c>
      <c r="E9" s="199" t="inlineStr">
        <is>
          <t>RTM-252..RTM-257</t>
        </is>
      </c>
      <c r="F9" s="199" t="inlineStr">
        <is>
          <t>RTM-258..RTM-262</t>
        </is>
      </c>
    </row>
    <row r="10">
      <c r="A10" s="208" t="inlineStr">
        <is>
          <t>OFFER-39</t>
        </is>
      </c>
      <c r="B10" s="208" t="inlineStr"/>
      <c r="C10" s="199" t="inlineStr">
        <is>
          <t>FAT/SAT Testing Strategy &amp; Procedures</t>
        </is>
      </c>
      <c r="D10" s="219" t="inlineStr">
        <is>
          <t>OK — Review breadth</t>
        </is>
      </c>
      <c r="E10" s="208" t="inlineStr">
        <is>
          <t>RTM-491..RTM-495</t>
        </is>
      </c>
      <c r="F10" s="208" t="inlineStr">
        <is>
          <t>RTM-496..RTM-556</t>
        </is>
      </c>
    </row>
    <row r="11">
      <c r="A11" s="199" t="inlineStr">
        <is>
          <t>OFFER-43</t>
        </is>
      </c>
      <c r="B11" s="199" t="inlineStr"/>
      <c r="C11" s="199" t="inlineStr">
        <is>
          <t>Maintenance Effort &amp; Intervention Estimation</t>
        </is>
      </c>
      <c r="D11" s="218" t="inlineStr">
        <is>
          <t>Review — accept context</t>
        </is>
      </c>
      <c r="E11" s="199" t="n"/>
      <c r="F11" s="199" t="inlineStr">
        <is>
          <t>RTM-563..RTM-565</t>
        </is>
      </c>
    </row>
    <row r="12">
      <c r="A12" s="208" t="inlineStr">
        <is>
          <t>OFFER-44</t>
        </is>
      </c>
      <c r="B12" s="208" t="inlineStr"/>
      <c r="C12" s="199" t="inlineStr">
        <is>
          <t>Project Schedule &amp; Milestone Definition</t>
        </is>
      </c>
      <c r="D12" s="219" t="inlineStr">
        <is>
          <t>OK — non-RTM source</t>
        </is>
      </c>
      <c r="E12" s="208" t="n"/>
      <c r="F12" s="208" t="inlineStr">
        <is>
          <t>RTM-614..RTM-620</t>
        </is>
      </c>
    </row>
    <row r="13">
      <c r="A13" s="199" t="inlineStr">
        <is>
          <t>OFFER-47</t>
        </is>
      </c>
      <c r="B13" s="199" t="inlineStr"/>
      <c r="C13" s="199" t="inlineStr">
        <is>
          <t>Quality Assurance Program (QAP) Definition</t>
        </is>
      </c>
      <c r="D13" s="219" t="inlineStr">
        <is>
          <t>OK — Review breadth</t>
        </is>
      </c>
      <c r="E13" s="199" t="inlineStr">
        <is>
          <t>RTM-642</t>
        </is>
      </c>
      <c r="F13" s="199" t="inlineStr">
        <is>
          <t>RTM-648..RTM-652</t>
        </is>
      </c>
    </row>
    <row r="14">
      <c r="A14" s="208" t="inlineStr">
        <is>
          <t>OFFER-49</t>
        </is>
      </c>
      <c r="B14" s="208" t="inlineStr"/>
      <c r="C14" s="199" t="inlineStr">
        <is>
          <t>Codes, Standards &amp; Compliance Framework</t>
        </is>
      </c>
      <c r="D14" s="219" t="inlineStr">
        <is>
          <t>OK — Review breadth</t>
        </is>
      </c>
      <c r="E14" s="208" t="inlineStr">
        <is>
          <t>RTM-687..RTM-688</t>
        </is>
      </c>
      <c r="F14" s="208" t="inlineStr">
        <is>
          <t>RTM-689..RTM-705</t>
        </is>
      </c>
    </row>
  </sheetData>
  <mergeCells count="2">
    <mergeCell ref="A2:F2"/>
    <mergeCell ref="A1:F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2189"/>
  <sheetViews>
    <sheetView showGridLines="0" workbookViewId="0">
      <pane ySplit="5" topLeftCell="A6" activePane="bottomLeft" state="frozen"/>
      <selection pane="bottomLeft" activeCell="A1" sqref="A1"/>
    </sheetView>
  </sheetViews>
  <sheetFormatPr baseColWidth="8" defaultRowHeight="15"/>
  <cols>
    <col width="12" customWidth="1" min="1" max="1"/>
    <col width="34" customWidth="1" min="2" max="2"/>
    <col width="11" customWidth="1" min="3" max="3"/>
    <col width="12" customWidth="1" min="4" max="4"/>
    <col width="22" customWidth="1" min="5" max="5"/>
    <col width="12" customWidth="1" min="6" max="6"/>
    <col width="9" customWidth="1" min="7" max="7"/>
    <col width="50" customWidth="1" min="8" max="8"/>
  </cols>
  <sheetData>
    <row r="1">
      <c r="A1" s="216" t="inlineStr">
        <is>
          <t>RTM Phase Expansion — one row per (RTM, applicable phase)</t>
        </is>
      </c>
    </row>
    <row r="2" ht="46" customHeight="1">
      <c r="A2" s="217" t="inlineStr">
        <is>
          <t>DERIVED analytical view, not a new master table -- RTM_RANKING!'Applicable phase(s)' is a single semicolon-joined string per row (e.g. 'L4 Installation; L0 Tender/Offer; L1 Conceptual Design...'); this sheet explodes that into one row per (RTM, phase) so multi-phase deliverables (the confirmed P&amp;ID-at-L0/L1/.../As-built gap) can be filtered, counted, and cross-referenced by phase without restructuring RTM_RANKING itself or breaking any existing formula/chart/export that reads it. Regenerate by re-running build_workbook_v20.py's Section 5 after any RTM_RANKING phase-text change.</t>
        </is>
      </c>
    </row>
    <row r="5">
      <c r="A5" s="204" t="inlineStr">
        <is>
          <t>RTM ID</t>
        </is>
      </c>
      <c r="B5" s="204" t="inlineStr">
        <is>
          <t>Phase</t>
        </is>
      </c>
      <c r="C5" s="204" t="inlineStr">
        <is>
          <t>Phase order</t>
        </is>
      </c>
      <c r="D5" s="204" t="inlineStr">
        <is>
          <t>Tier</t>
        </is>
      </c>
      <c r="E5" s="204" t="inlineStr">
        <is>
          <t>Domain</t>
        </is>
      </c>
      <c r="F5" s="204" t="inlineStr">
        <is>
          <t>Weighted S</t>
        </is>
      </c>
      <c r="G5" s="204" t="inlineStr">
        <is>
          <t>Rank</t>
        </is>
      </c>
      <c r="H5" s="204" t="inlineStr">
        <is>
          <t>Explicit deliverable / proof</t>
        </is>
      </c>
    </row>
    <row r="6">
      <c r="A6" s="208" t="inlineStr">
        <is>
          <t>RTM-693</t>
        </is>
      </c>
      <c r="B6" s="220" t="inlineStr">
        <is>
          <t>L4 Installation</t>
        </is>
      </c>
      <c r="C6" s="208" t="n">
        <v>6</v>
      </c>
      <c r="D6" s="208" t="inlineStr">
        <is>
          <t>T0 Gate</t>
        </is>
      </c>
      <c r="E6" s="208" t="inlineStr">
        <is>
          <t>Codes &amp; Standards</t>
        </is>
      </c>
      <c r="F6" s="208" t="n">
        <v>62.6667</v>
      </c>
      <c r="G6" s="208" t="n">
        <v>1</v>
      </c>
      <c r="H6" s="208" t="inlineStr">
        <is>
          <t>EU Declaration of Conformity; Declaration of Conformity; Technical File; Drawing / diagram; Datasheet / technical specification; List / register / matrix</t>
        </is>
      </c>
    </row>
    <row r="7">
      <c r="A7" s="199" t="inlineStr">
        <is>
          <t>RTM-693</t>
        </is>
      </c>
      <c r="B7" s="221" t="inlineStr">
        <is>
          <t>L0 Tender / Offer</t>
        </is>
      </c>
      <c r="C7" s="199" t="n">
        <v>1</v>
      </c>
      <c r="D7" s="199" t="inlineStr">
        <is>
          <t>T0 Gate</t>
        </is>
      </c>
      <c r="E7" s="199" t="inlineStr">
        <is>
          <t>Codes &amp; Standards</t>
        </is>
      </c>
      <c r="F7" s="199" t="n">
        <v>62.6667</v>
      </c>
      <c r="G7" s="199" t="n">
        <v>1</v>
      </c>
      <c r="H7" s="199" t="inlineStr">
        <is>
          <t>EU Declaration of Conformity; Declaration of Conformity; Technical File; Drawing / diagram; Datasheet / technical specification; List / register / matrix</t>
        </is>
      </c>
    </row>
    <row r="8">
      <c r="A8" s="208" t="inlineStr">
        <is>
          <t>RTM-693</t>
        </is>
      </c>
      <c r="B8" s="222" t="inlineStr">
        <is>
          <t>L1 Conceptual Design</t>
        </is>
      </c>
      <c r="C8" s="208" t="n">
        <v>2</v>
      </c>
      <c r="D8" s="208" t="inlineStr">
        <is>
          <t>T0 Gate</t>
        </is>
      </c>
      <c r="E8" s="208" t="inlineStr">
        <is>
          <t>Codes &amp; Standards</t>
        </is>
      </c>
      <c r="F8" s="208" t="n">
        <v>62.6667</v>
      </c>
      <c r="G8" s="208" t="n">
        <v>1</v>
      </c>
      <c r="H8" s="208" t="inlineStr">
        <is>
          <t>EU Declaration of Conformity; Declaration of Conformity; Technical File; Drawing / diagram; Datasheet / technical specification; List / register / matrix</t>
        </is>
      </c>
    </row>
    <row r="9">
      <c r="A9" s="199" t="inlineStr">
        <is>
          <t>RTM-693</t>
        </is>
      </c>
      <c r="B9" s="223" t="inlineStr">
        <is>
          <t>L2 Detailed Design</t>
        </is>
      </c>
      <c r="C9" s="199" t="n">
        <v>3</v>
      </c>
      <c r="D9" s="199" t="inlineStr">
        <is>
          <t>T0 Gate</t>
        </is>
      </c>
      <c r="E9" s="199" t="inlineStr">
        <is>
          <t>Codes &amp; Standards</t>
        </is>
      </c>
      <c r="F9" s="199" t="n">
        <v>62.6667</v>
      </c>
      <c r="G9" s="199" t="n">
        <v>1</v>
      </c>
      <c r="H9" s="199" t="inlineStr">
        <is>
          <t>EU Declaration of Conformity; Declaration of Conformity; Technical File; Drawing / diagram; Datasheet / technical specification; List / register / matrix</t>
        </is>
      </c>
    </row>
    <row r="10">
      <c r="A10" s="208" t="inlineStr">
        <is>
          <t>RTM-693</t>
        </is>
      </c>
      <c r="B10" s="224" t="inlineStr">
        <is>
          <t>L3 Procurement &amp; Manufacturing / FAT</t>
        </is>
      </c>
      <c r="C10" s="208" t="n">
        <v>4</v>
      </c>
      <c r="D10" s="208" t="inlineStr">
        <is>
          <t>T0 Gate</t>
        </is>
      </c>
      <c r="E10" s="208" t="inlineStr">
        <is>
          <t>Codes &amp; Standards</t>
        </is>
      </c>
      <c r="F10" s="208" t="n">
        <v>62.6667</v>
      </c>
      <c r="G10" s="208" t="n">
        <v>1</v>
      </c>
      <c r="H10" s="208" t="inlineStr">
        <is>
          <t>EU Declaration of Conformity; Declaration of Conformity; Technical File; Drawing / diagram; Datasheet / technical specification; List / register / matrix</t>
        </is>
      </c>
    </row>
    <row r="11">
      <c r="A11" s="199" t="inlineStr">
        <is>
          <t>RTM-693</t>
        </is>
      </c>
      <c r="B11" s="225" t="inlineStr">
        <is>
          <t>L5 Standalone Commissioning</t>
        </is>
      </c>
      <c r="C11" s="199" t="n">
        <v>7</v>
      </c>
      <c r="D11" s="199" t="inlineStr">
        <is>
          <t>T0 Gate</t>
        </is>
      </c>
      <c r="E11" s="199" t="inlineStr">
        <is>
          <t>Codes &amp; Standards</t>
        </is>
      </c>
      <c r="F11" s="199" t="n">
        <v>62.6667</v>
      </c>
      <c r="G11" s="199" t="n">
        <v>1</v>
      </c>
      <c r="H11" s="199" t="inlineStr">
        <is>
          <t>EU Declaration of Conformity; Declaration of Conformity; Technical File; Drawing / diagram; Datasheet / technical specification; List / register / matrix</t>
        </is>
      </c>
    </row>
    <row r="12">
      <c r="A12" s="208" t="inlineStr">
        <is>
          <t>RTM-693</t>
        </is>
      </c>
      <c r="B12" s="226" t="inlineStr">
        <is>
          <t>L6 Site Acceptance Testing</t>
        </is>
      </c>
      <c r="C12" s="208" t="n">
        <v>8</v>
      </c>
      <c r="D12" s="208" t="inlineStr">
        <is>
          <t>T0 Gate</t>
        </is>
      </c>
      <c r="E12" s="208" t="inlineStr">
        <is>
          <t>Codes &amp; Standards</t>
        </is>
      </c>
      <c r="F12" s="208" t="n">
        <v>62.6667</v>
      </c>
      <c r="G12" s="208" t="n">
        <v>1</v>
      </c>
      <c r="H12" s="208" t="inlineStr">
        <is>
          <t>EU Declaration of Conformity; Declaration of Conformity; Technical File; Drawing / diagram; Datasheet / technical specification; List / register / matrix</t>
        </is>
      </c>
    </row>
    <row r="13">
      <c r="A13" s="199" t="inlineStr">
        <is>
          <t>RTM-595</t>
        </is>
      </c>
      <c r="B13" s="222" t="inlineStr">
        <is>
          <t>L1 Conceptual Design</t>
        </is>
      </c>
      <c r="C13" s="199" t="n">
        <v>2</v>
      </c>
      <c r="D13" s="199" t="inlineStr">
        <is>
          <t>T0 Gate</t>
        </is>
      </c>
      <c r="E13" s="199" t="inlineStr">
        <is>
          <t>Safety &amp; Protection</t>
        </is>
      </c>
      <c r="F13" s="199" t="n">
        <v>58.6667</v>
      </c>
      <c r="G13" s="199" t="n">
        <v>2</v>
      </c>
      <c r="H13" s="199" t="inlineStr">
        <is>
          <t>Risk Assessment / HAZOP / FMECA</t>
        </is>
      </c>
    </row>
    <row r="14">
      <c r="A14" s="208" t="inlineStr">
        <is>
          <t>RTM-595</t>
        </is>
      </c>
      <c r="B14" s="223" t="inlineStr">
        <is>
          <t>L2 Detailed Design</t>
        </is>
      </c>
      <c r="C14" s="208" t="n">
        <v>3</v>
      </c>
      <c r="D14" s="208" t="inlineStr">
        <is>
          <t>T0 Gate</t>
        </is>
      </c>
      <c r="E14" s="208" t="inlineStr">
        <is>
          <t>Safety &amp; Protection</t>
        </is>
      </c>
      <c r="F14" s="208" t="n">
        <v>58.6667</v>
      </c>
      <c r="G14" s="208" t="n">
        <v>2</v>
      </c>
      <c r="H14" s="208" t="inlineStr">
        <is>
          <t>Risk Assessment / HAZOP / FMECA</t>
        </is>
      </c>
    </row>
    <row r="15">
      <c r="A15" s="199" t="inlineStr">
        <is>
          <t>RTM-595</t>
        </is>
      </c>
      <c r="B15" s="221" t="inlineStr">
        <is>
          <t>L0 Tender / Offer</t>
        </is>
      </c>
      <c r="C15" s="199" t="n">
        <v>1</v>
      </c>
      <c r="D15" s="199" t="inlineStr">
        <is>
          <t>T0 Gate</t>
        </is>
      </c>
      <c r="E15" s="199" t="inlineStr">
        <is>
          <t>Safety &amp; Protection</t>
        </is>
      </c>
      <c r="F15" s="199" t="n">
        <v>58.6667</v>
      </c>
      <c r="G15" s="199" t="n">
        <v>2</v>
      </c>
      <c r="H15" s="199" t="inlineStr">
        <is>
          <t>Risk Assessment / HAZOP / FMECA</t>
        </is>
      </c>
    </row>
    <row r="16">
      <c r="A16" s="208" t="inlineStr">
        <is>
          <t>RTM-595</t>
        </is>
      </c>
      <c r="B16" s="224" t="inlineStr">
        <is>
          <t>L3 Procurement &amp; Manufacturing / FAT</t>
        </is>
      </c>
      <c r="C16" s="208" t="n">
        <v>4</v>
      </c>
      <c r="D16" s="208" t="inlineStr">
        <is>
          <t>T0 Gate</t>
        </is>
      </c>
      <c r="E16" s="208" t="inlineStr">
        <is>
          <t>Safety &amp; Protection</t>
        </is>
      </c>
      <c r="F16" s="208" t="n">
        <v>58.6667</v>
      </c>
      <c r="G16" s="208" t="n">
        <v>2</v>
      </c>
      <c r="H16" s="208" t="inlineStr">
        <is>
          <t>Risk Assessment / HAZOP / FMECA</t>
        </is>
      </c>
    </row>
    <row r="17">
      <c r="A17" s="199" t="inlineStr">
        <is>
          <t>RTM-595</t>
        </is>
      </c>
      <c r="B17" s="220" t="inlineStr">
        <is>
          <t>L4 Installation</t>
        </is>
      </c>
      <c r="C17" s="199" t="n">
        <v>6</v>
      </c>
      <c r="D17" s="199" t="inlineStr">
        <is>
          <t>T0 Gate</t>
        </is>
      </c>
      <c r="E17" s="199" t="inlineStr">
        <is>
          <t>Safety &amp; Protection</t>
        </is>
      </c>
      <c r="F17" s="199" t="n">
        <v>58.6667</v>
      </c>
      <c r="G17" s="199" t="n">
        <v>2</v>
      </c>
      <c r="H17" s="199" t="inlineStr">
        <is>
          <t>Risk Assessment / HAZOP / FMECA</t>
        </is>
      </c>
    </row>
    <row r="18">
      <c r="A18" s="208" t="inlineStr">
        <is>
          <t>RTM-595</t>
        </is>
      </c>
      <c r="B18" s="225" t="inlineStr">
        <is>
          <t>L5 Standalone Commissioning</t>
        </is>
      </c>
      <c r="C18" s="208" t="n">
        <v>7</v>
      </c>
      <c r="D18" s="208" t="inlineStr">
        <is>
          <t>T0 Gate</t>
        </is>
      </c>
      <c r="E18" s="208" t="inlineStr">
        <is>
          <t>Safety &amp; Protection</t>
        </is>
      </c>
      <c r="F18" s="208" t="n">
        <v>58.6667</v>
      </c>
      <c r="G18" s="208" t="n">
        <v>2</v>
      </c>
      <c r="H18" s="208" t="inlineStr">
        <is>
          <t>Risk Assessment / HAZOP / FMECA</t>
        </is>
      </c>
    </row>
    <row r="19">
      <c r="A19" s="199" t="inlineStr">
        <is>
          <t>RTM-595</t>
        </is>
      </c>
      <c r="B19" s="226" t="inlineStr">
        <is>
          <t>L6 Site Acceptance Testing</t>
        </is>
      </c>
      <c r="C19" s="199" t="n">
        <v>8</v>
      </c>
      <c r="D19" s="199" t="inlineStr">
        <is>
          <t>T0 Gate</t>
        </is>
      </c>
      <c r="E19" s="199" t="inlineStr">
        <is>
          <t>Safety &amp; Protection</t>
        </is>
      </c>
      <c r="F19" s="199" t="n">
        <v>58.6667</v>
      </c>
      <c r="G19" s="199" t="n">
        <v>2</v>
      </c>
      <c r="H19" s="199" t="inlineStr">
        <is>
          <t>Risk Assessment / HAZOP / FMECA</t>
        </is>
      </c>
    </row>
    <row r="20">
      <c r="A20" s="208" t="inlineStr">
        <is>
          <t>RTM-687</t>
        </is>
      </c>
      <c r="B20" s="220" t="inlineStr">
        <is>
          <t>L4 Installation</t>
        </is>
      </c>
      <c r="C20" s="208" t="n">
        <v>6</v>
      </c>
      <c r="D20" s="208" t="inlineStr">
        <is>
          <t>T0 Gate</t>
        </is>
      </c>
      <c r="E20" s="208" t="inlineStr">
        <is>
          <t>Codes &amp; Standards</t>
        </is>
      </c>
      <c r="F20" s="208" t="n">
        <v>57.6667</v>
      </c>
      <c r="G20" s="208" t="n">
        <v>3</v>
      </c>
      <c r="H20" s="208" t="inlineStr">
        <is>
          <t>Maintenance / RCM Plan; Design / calculation package; Certificate / calibration evidence</t>
        </is>
      </c>
    </row>
    <row r="21">
      <c r="A21" s="199" t="inlineStr">
        <is>
          <t>RTM-687</t>
        </is>
      </c>
      <c r="B21" s="221" t="inlineStr">
        <is>
          <t>L0 Tender / Offer</t>
        </is>
      </c>
      <c r="C21" s="199" t="n">
        <v>1</v>
      </c>
      <c r="D21" s="199" t="inlineStr">
        <is>
          <t>T0 Gate</t>
        </is>
      </c>
      <c r="E21" s="199" t="inlineStr">
        <is>
          <t>Codes &amp; Standards</t>
        </is>
      </c>
      <c r="F21" s="199" t="n">
        <v>57.6667</v>
      </c>
      <c r="G21" s="199" t="n">
        <v>3</v>
      </c>
      <c r="H21" s="199" t="inlineStr">
        <is>
          <t>Maintenance / RCM Plan; Design / calculation package; Certificate / calibration evidence</t>
        </is>
      </c>
    </row>
    <row r="22">
      <c r="A22" s="208" t="inlineStr">
        <is>
          <t>RTM-687</t>
        </is>
      </c>
      <c r="B22" s="222" t="inlineStr">
        <is>
          <t>L1 Conceptual Design</t>
        </is>
      </c>
      <c r="C22" s="208" t="n">
        <v>2</v>
      </c>
      <c r="D22" s="208" t="inlineStr">
        <is>
          <t>T0 Gate</t>
        </is>
      </c>
      <c r="E22" s="208" t="inlineStr">
        <is>
          <t>Codes &amp; Standards</t>
        </is>
      </c>
      <c r="F22" s="208" t="n">
        <v>57.6667</v>
      </c>
      <c r="G22" s="208" t="n">
        <v>3</v>
      </c>
      <c r="H22" s="208" t="inlineStr">
        <is>
          <t>Maintenance / RCM Plan; Design / calculation package; Certificate / calibration evidence</t>
        </is>
      </c>
    </row>
    <row r="23">
      <c r="A23" s="199" t="inlineStr">
        <is>
          <t>RTM-687</t>
        </is>
      </c>
      <c r="B23" s="223" t="inlineStr">
        <is>
          <t>L2 Detailed Design</t>
        </is>
      </c>
      <c r="C23" s="199" t="n">
        <v>3</v>
      </c>
      <c r="D23" s="199" t="inlineStr">
        <is>
          <t>T0 Gate</t>
        </is>
      </c>
      <c r="E23" s="199" t="inlineStr">
        <is>
          <t>Codes &amp; Standards</t>
        </is>
      </c>
      <c r="F23" s="199" t="n">
        <v>57.6667</v>
      </c>
      <c r="G23" s="199" t="n">
        <v>3</v>
      </c>
      <c r="H23" s="199" t="inlineStr">
        <is>
          <t>Maintenance / RCM Plan; Design / calculation package; Certificate / calibration evidence</t>
        </is>
      </c>
    </row>
    <row r="24">
      <c r="A24" s="208" t="inlineStr">
        <is>
          <t>RTM-687</t>
        </is>
      </c>
      <c r="B24" s="224" t="inlineStr">
        <is>
          <t>L3 Procurement &amp; Manufacturing / FAT</t>
        </is>
      </c>
      <c r="C24" s="208" t="n">
        <v>4</v>
      </c>
      <c r="D24" s="208" t="inlineStr">
        <is>
          <t>T0 Gate</t>
        </is>
      </c>
      <c r="E24" s="208" t="inlineStr">
        <is>
          <t>Codes &amp; Standards</t>
        </is>
      </c>
      <c r="F24" s="208" t="n">
        <v>57.6667</v>
      </c>
      <c r="G24" s="208" t="n">
        <v>3</v>
      </c>
      <c r="H24" s="208" t="inlineStr">
        <is>
          <t>Maintenance / RCM Plan; Design / calculation package; Certificate / calibration evidence</t>
        </is>
      </c>
    </row>
    <row r="25">
      <c r="A25" s="199" t="inlineStr">
        <is>
          <t>RTM-687</t>
        </is>
      </c>
      <c r="B25" s="225" t="inlineStr">
        <is>
          <t>L5 Standalone Commissioning</t>
        </is>
      </c>
      <c r="C25" s="199" t="n">
        <v>7</v>
      </c>
      <c r="D25" s="199" t="inlineStr">
        <is>
          <t>T0 Gate</t>
        </is>
      </c>
      <c r="E25" s="199" t="inlineStr">
        <is>
          <t>Codes &amp; Standards</t>
        </is>
      </c>
      <c r="F25" s="199" t="n">
        <v>57.6667</v>
      </c>
      <c r="G25" s="199" t="n">
        <v>3</v>
      </c>
      <c r="H25" s="199" t="inlineStr">
        <is>
          <t>Maintenance / RCM Plan; Design / calculation package; Certificate / calibration evidence</t>
        </is>
      </c>
    </row>
    <row r="26">
      <c r="A26" s="208" t="inlineStr">
        <is>
          <t>RTM-687</t>
        </is>
      </c>
      <c r="B26" s="226" t="inlineStr">
        <is>
          <t>L6 Site Acceptance Testing</t>
        </is>
      </c>
      <c r="C26" s="208" t="n">
        <v>8</v>
      </c>
      <c r="D26" s="208" t="inlineStr">
        <is>
          <t>T0 Gate</t>
        </is>
      </c>
      <c r="E26" s="208" t="inlineStr">
        <is>
          <t>Codes &amp; Standards</t>
        </is>
      </c>
      <c r="F26" s="208" t="n">
        <v>57.6667</v>
      </c>
      <c r="G26" s="208" t="n">
        <v>3</v>
      </c>
      <c r="H26" s="208" t="inlineStr">
        <is>
          <t>Maintenance / RCM Plan; Design / calculation package; Certificate / calibration evidence</t>
        </is>
      </c>
    </row>
    <row r="27">
      <c r="A27" s="199" t="inlineStr">
        <is>
          <t>RTM-700</t>
        </is>
      </c>
      <c r="B27" s="220" t="inlineStr">
        <is>
          <t>L4 Installation</t>
        </is>
      </c>
      <c r="C27" s="199" t="n">
        <v>6</v>
      </c>
      <c r="D27" s="199" t="inlineStr">
        <is>
          <t>T0 Gate</t>
        </is>
      </c>
      <c r="E27" s="199" t="inlineStr">
        <is>
          <t>Codes &amp; Standards</t>
        </is>
      </c>
      <c r="F27" s="199" t="n">
        <v>54.6667</v>
      </c>
      <c r="G27" s="199" t="n">
        <v>4</v>
      </c>
      <c r="H27" s="199" t="inlineStr">
        <is>
          <t>Design / calculation package; Certificate / calibration evidence; Inspection record / checklist; Drawing / diagram</t>
        </is>
      </c>
    </row>
    <row r="28">
      <c r="A28" s="208" t="inlineStr">
        <is>
          <t>RTM-700</t>
        </is>
      </c>
      <c r="B28" s="221" t="inlineStr">
        <is>
          <t>L0 Tender / Offer</t>
        </is>
      </c>
      <c r="C28" s="208" t="n">
        <v>1</v>
      </c>
      <c r="D28" s="208" t="inlineStr">
        <is>
          <t>T0 Gate</t>
        </is>
      </c>
      <c r="E28" s="208" t="inlineStr">
        <is>
          <t>Codes &amp; Standards</t>
        </is>
      </c>
      <c r="F28" s="208" t="n">
        <v>54.6667</v>
      </c>
      <c r="G28" s="208" t="n">
        <v>4</v>
      </c>
      <c r="H28" s="208" t="inlineStr">
        <is>
          <t>Design / calculation package; Certificate / calibration evidence; Inspection record / checklist; Drawing / diagram</t>
        </is>
      </c>
    </row>
    <row r="29">
      <c r="A29" s="199" t="inlineStr">
        <is>
          <t>RTM-700</t>
        </is>
      </c>
      <c r="B29" s="222" t="inlineStr">
        <is>
          <t>L1 Conceptual Design</t>
        </is>
      </c>
      <c r="C29" s="199" t="n">
        <v>2</v>
      </c>
      <c r="D29" s="199" t="inlineStr">
        <is>
          <t>T0 Gate</t>
        </is>
      </c>
      <c r="E29" s="199" t="inlineStr">
        <is>
          <t>Codes &amp; Standards</t>
        </is>
      </c>
      <c r="F29" s="199" t="n">
        <v>54.6667</v>
      </c>
      <c r="G29" s="199" t="n">
        <v>4</v>
      </c>
      <c r="H29" s="199" t="inlineStr">
        <is>
          <t>Design / calculation package; Certificate / calibration evidence; Inspection record / checklist; Drawing / diagram</t>
        </is>
      </c>
    </row>
    <row r="30">
      <c r="A30" s="208" t="inlineStr">
        <is>
          <t>RTM-700</t>
        </is>
      </c>
      <c r="B30" s="223" t="inlineStr">
        <is>
          <t>L2 Detailed Design</t>
        </is>
      </c>
      <c r="C30" s="208" t="n">
        <v>3</v>
      </c>
      <c r="D30" s="208" t="inlineStr">
        <is>
          <t>T0 Gate</t>
        </is>
      </c>
      <c r="E30" s="208" t="inlineStr">
        <is>
          <t>Codes &amp; Standards</t>
        </is>
      </c>
      <c r="F30" s="208" t="n">
        <v>54.6667</v>
      </c>
      <c r="G30" s="208" t="n">
        <v>4</v>
      </c>
      <c r="H30" s="208" t="inlineStr">
        <is>
          <t>Design / calculation package; Certificate / calibration evidence; Inspection record / checklist; Drawing / diagram</t>
        </is>
      </c>
    </row>
    <row r="31">
      <c r="A31" s="199" t="inlineStr">
        <is>
          <t>RTM-700</t>
        </is>
      </c>
      <c r="B31" s="224" t="inlineStr">
        <is>
          <t>L3 Procurement &amp; Manufacturing / FAT</t>
        </is>
      </c>
      <c r="C31" s="199" t="n">
        <v>4</v>
      </c>
      <c r="D31" s="199" t="inlineStr">
        <is>
          <t>T0 Gate</t>
        </is>
      </c>
      <c r="E31" s="199" t="inlineStr">
        <is>
          <t>Codes &amp; Standards</t>
        </is>
      </c>
      <c r="F31" s="199" t="n">
        <v>54.6667</v>
      </c>
      <c r="G31" s="199" t="n">
        <v>4</v>
      </c>
      <c r="H31" s="199" t="inlineStr">
        <is>
          <t>Design / calculation package; Certificate / calibration evidence; Inspection record / checklist; Drawing / diagram</t>
        </is>
      </c>
    </row>
    <row r="32">
      <c r="A32" s="208" t="inlineStr">
        <is>
          <t>RTM-700</t>
        </is>
      </c>
      <c r="B32" s="225" t="inlineStr">
        <is>
          <t>L5 Standalone Commissioning</t>
        </is>
      </c>
      <c r="C32" s="208" t="n">
        <v>7</v>
      </c>
      <c r="D32" s="208" t="inlineStr">
        <is>
          <t>T0 Gate</t>
        </is>
      </c>
      <c r="E32" s="208" t="inlineStr">
        <is>
          <t>Codes &amp; Standards</t>
        </is>
      </c>
      <c r="F32" s="208" t="n">
        <v>54.6667</v>
      </c>
      <c r="G32" s="208" t="n">
        <v>4</v>
      </c>
      <c r="H32" s="208" t="inlineStr">
        <is>
          <t>Design / calculation package; Certificate / calibration evidence; Inspection record / checklist; Drawing / diagram</t>
        </is>
      </c>
    </row>
    <row r="33">
      <c r="A33" s="199" t="inlineStr">
        <is>
          <t>RTM-700</t>
        </is>
      </c>
      <c r="B33" s="226" t="inlineStr">
        <is>
          <t>L6 Site Acceptance Testing</t>
        </is>
      </c>
      <c r="C33" s="199" t="n">
        <v>8</v>
      </c>
      <c r="D33" s="199" t="inlineStr">
        <is>
          <t>T0 Gate</t>
        </is>
      </c>
      <c r="E33" s="199" t="inlineStr">
        <is>
          <t>Codes &amp; Standards</t>
        </is>
      </c>
      <c r="F33" s="199" t="n">
        <v>54.6667</v>
      </c>
      <c r="G33" s="199" t="n">
        <v>4</v>
      </c>
      <c r="H33" s="199" t="inlineStr">
        <is>
          <t>Design / calculation package; Certificate / calibration evidence; Inspection record / checklist; Drawing / diagram</t>
        </is>
      </c>
    </row>
    <row r="34">
      <c r="A34" s="208" t="inlineStr">
        <is>
          <t>RTM-608</t>
        </is>
      </c>
      <c r="B34" s="220" t="inlineStr">
        <is>
          <t>L4 Installation</t>
        </is>
      </c>
      <c r="C34" s="208" t="n">
        <v>6</v>
      </c>
      <c r="D34" s="208" t="inlineStr">
        <is>
          <t>T0 Gate</t>
        </is>
      </c>
      <c r="E34" s="208" t="inlineStr">
        <is>
          <t>Safety &amp; Protection</t>
        </is>
      </c>
      <c r="F34" s="208" t="n">
        <v>48.6667</v>
      </c>
      <c r="G34" s="208" t="n">
        <v>5</v>
      </c>
      <c r="H34" s="208" t="inlineStr">
        <is>
          <t>Installation File</t>
        </is>
      </c>
    </row>
    <row r="35">
      <c r="A35" s="199" t="inlineStr">
        <is>
          <t>RTM-608</t>
        </is>
      </c>
      <c r="B35" s="227" t="inlineStr">
        <is>
          <t>PAC / Handover</t>
        </is>
      </c>
      <c r="C35" s="199" t="n">
        <v>9</v>
      </c>
      <c r="D35" s="199" t="inlineStr">
        <is>
          <t>T0 Gate</t>
        </is>
      </c>
      <c r="E35" s="199" t="inlineStr">
        <is>
          <t>Safety &amp; Protection</t>
        </is>
      </c>
      <c r="F35" s="199" t="n">
        <v>48.6667</v>
      </c>
      <c r="G35" s="199" t="n">
        <v>5</v>
      </c>
      <c r="H35" s="199" t="inlineStr">
        <is>
          <t>Installation File</t>
        </is>
      </c>
    </row>
    <row r="36">
      <c r="A36" s="208" t="inlineStr">
        <is>
          <t>RTM-608</t>
        </is>
      </c>
      <c r="B36" s="221" t="inlineStr">
        <is>
          <t>L0 Tender / Offer</t>
        </is>
      </c>
      <c r="C36" s="208" t="n">
        <v>1</v>
      </c>
      <c r="D36" s="208" t="inlineStr">
        <is>
          <t>T0 Gate</t>
        </is>
      </c>
      <c r="E36" s="208" t="inlineStr">
        <is>
          <t>Safety &amp; Protection</t>
        </is>
      </c>
      <c r="F36" s="208" t="n">
        <v>48.6667</v>
      </c>
      <c r="G36" s="208" t="n">
        <v>5</v>
      </c>
      <c r="H36" s="208" t="inlineStr">
        <is>
          <t>Installation File</t>
        </is>
      </c>
    </row>
    <row r="37">
      <c r="A37" s="199" t="inlineStr">
        <is>
          <t>RTM-608</t>
        </is>
      </c>
      <c r="B37" s="222" t="inlineStr">
        <is>
          <t>L1 Conceptual Design</t>
        </is>
      </c>
      <c r="C37" s="199" t="n">
        <v>2</v>
      </c>
      <c r="D37" s="199" t="inlineStr">
        <is>
          <t>T0 Gate</t>
        </is>
      </c>
      <c r="E37" s="199" t="inlineStr">
        <is>
          <t>Safety &amp; Protection</t>
        </is>
      </c>
      <c r="F37" s="199" t="n">
        <v>48.6667</v>
      </c>
      <c r="G37" s="199" t="n">
        <v>5</v>
      </c>
      <c r="H37" s="199" t="inlineStr">
        <is>
          <t>Installation File</t>
        </is>
      </c>
    </row>
    <row r="38">
      <c r="A38" s="208" t="inlineStr">
        <is>
          <t>RTM-608</t>
        </is>
      </c>
      <c r="B38" s="223" t="inlineStr">
        <is>
          <t>L2 Detailed Design</t>
        </is>
      </c>
      <c r="C38" s="208" t="n">
        <v>3</v>
      </c>
      <c r="D38" s="208" t="inlineStr">
        <is>
          <t>T0 Gate</t>
        </is>
      </c>
      <c r="E38" s="208" t="inlineStr">
        <is>
          <t>Safety &amp; Protection</t>
        </is>
      </c>
      <c r="F38" s="208" t="n">
        <v>48.6667</v>
      </c>
      <c r="G38" s="208" t="n">
        <v>5</v>
      </c>
      <c r="H38" s="208" t="inlineStr">
        <is>
          <t>Installation File</t>
        </is>
      </c>
    </row>
    <row r="39">
      <c r="A39" s="199" t="inlineStr">
        <is>
          <t>RTM-608</t>
        </is>
      </c>
      <c r="B39" s="224" t="inlineStr">
        <is>
          <t>L3 Procurement &amp; Manufacturing / FAT</t>
        </is>
      </c>
      <c r="C39" s="199" t="n">
        <v>4</v>
      </c>
      <c r="D39" s="199" t="inlineStr">
        <is>
          <t>T0 Gate</t>
        </is>
      </c>
      <c r="E39" s="199" t="inlineStr">
        <is>
          <t>Safety &amp; Protection</t>
        </is>
      </c>
      <c r="F39" s="199" t="n">
        <v>48.6667</v>
      </c>
      <c r="G39" s="199" t="n">
        <v>5</v>
      </c>
      <c r="H39" s="199" t="inlineStr">
        <is>
          <t>Installation File</t>
        </is>
      </c>
    </row>
    <row r="40">
      <c r="A40" s="208" t="inlineStr">
        <is>
          <t>RTM-608</t>
        </is>
      </c>
      <c r="B40" s="225" t="inlineStr">
        <is>
          <t>L5 Standalone Commissioning</t>
        </is>
      </c>
      <c r="C40" s="208" t="n">
        <v>7</v>
      </c>
      <c r="D40" s="208" t="inlineStr">
        <is>
          <t>T0 Gate</t>
        </is>
      </c>
      <c r="E40" s="208" t="inlineStr">
        <is>
          <t>Safety &amp; Protection</t>
        </is>
      </c>
      <c r="F40" s="208" t="n">
        <v>48.6667</v>
      </c>
      <c r="G40" s="208" t="n">
        <v>5</v>
      </c>
      <c r="H40" s="208" t="inlineStr">
        <is>
          <t>Installation File</t>
        </is>
      </c>
    </row>
    <row r="41">
      <c r="A41" s="199" t="inlineStr">
        <is>
          <t>RTM-608</t>
        </is>
      </c>
      <c r="B41" s="226" t="inlineStr">
        <is>
          <t>L6 Site Acceptance Testing</t>
        </is>
      </c>
      <c r="C41" s="199" t="n">
        <v>8</v>
      </c>
      <c r="D41" s="199" t="inlineStr">
        <is>
          <t>T0 Gate</t>
        </is>
      </c>
      <c r="E41" s="199" t="inlineStr">
        <is>
          <t>Safety &amp; Protection</t>
        </is>
      </c>
      <c r="F41" s="199" t="n">
        <v>48.6667</v>
      </c>
      <c r="G41" s="199" t="n">
        <v>5</v>
      </c>
      <c r="H41" s="199" t="inlineStr">
        <is>
          <t>Installation File</t>
        </is>
      </c>
    </row>
    <row r="42">
      <c r="A42" s="208" t="inlineStr">
        <is>
          <t>RTM-327</t>
        </is>
      </c>
      <c r="B42" s="226" t="inlineStr">
        <is>
          <t>L6 Site Acceptance Testing</t>
        </is>
      </c>
      <c r="C42" s="208" t="n">
        <v>8</v>
      </c>
      <c r="D42" s="208" t="inlineStr">
        <is>
          <t>T0 Gate</t>
        </is>
      </c>
      <c r="E42" s="208" t="inlineStr">
        <is>
          <t>Control &amp; Interlock</t>
        </is>
      </c>
      <c r="F42" s="208" t="n">
        <v>48</v>
      </c>
      <c r="G42" s="208" t="n">
        <v>6</v>
      </c>
      <c r="H42" s="208" t="inlineStr">
        <is>
          <t>Declaration of Conformity</t>
        </is>
      </c>
    </row>
    <row r="43">
      <c r="A43" s="199" t="inlineStr">
        <is>
          <t>RTM-327</t>
        </is>
      </c>
      <c r="B43" s="222" t="inlineStr">
        <is>
          <t>L1 Conceptual Design</t>
        </is>
      </c>
      <c r="C43" s="199" t="n">
        <v>2</v>
      </c>
      <c r="D43" s="199" t="inlineStr">
        <is>
          <t>T0 Gate</t>
        </is>
      </c>
      <c r="E43" s="199" t="inlineStr">
        <is>
          <t>Control &amp; Interlock</t>
        </is>
      </c>
      <c r="F43" s="199" t="n">
        <v>48</v>
      </c>
      <c r="G43" s="199" t="n">
        <v>6</v>
      </c>
      <c r="H43" s="199" t="inlineStr">
        <is>
          <t>Declaration of Conformity</t>
        </is>
      </c>
    </row>
    <row r="44">
      <c r="A44" s="208" t="inlineStr">
        <is>
          <t>RTM-327</t>
        </is>
      </c>
      <c r="B44" s="223" t="inlineStr">
        <is>
          <t>L2 Detailed Design</t>
        </is>
      </c>
      <c r="C44" s="208" t="n">
        <v>3</v>
      </c>
      <c r="D44" s="208" t="inlineStr">
        <is>
          <t>T0 Gate</t>
        </is>
      </c>
      <c r="E44" s="208" t="inlineStr">
        <is>
          <t>Control &amp; Interlock</t>
        </is>
      </c>
      <c r="F44" s="208" t="n">
        <v>48</v>
      </c>
      <c r="G44" s="208" t="n">
        <v>6</v>
      </c>
      <c r="H44" s="208" t="inlineStr">
        <is>
          <t>Declaration of Conformity</t>
        </is>
      </c>
    </row>
    <row r="45">
      <c r="A45" s="199" t="inlineStr">
        <is>
          <t>RTM-514</t>
        </is>
      </c>
      <c r="B45" s="226" t="inlineStr">
        <is>
          <t>L6 Site Acceptance Testing</t>
        </is>
      </c>
      <c r="C45" s="199" t="n">
        <v>8</v>
      </c>
      <c r="D45" s="199" t="inlineStr">
        <is>
          <t>T0 Gate</t>
        </is>
      </c>
      <c r="E45" s="199" t="inlineStr">
        <is>
          <t>Acceptance Testing</t>
        </is>
      </c>
      <c r="F45" s="199" t="n">
        <v>48</v>
      </c>
      <c r="G45" s="199" t="n">
        <v>7</v>
      </c>
      <c r="H45" s="199" t="inlineStr">
        <is>
          <t>No separate deliverable explicitly named</t>
        </is>
      </c>
    </row>
    <row r="46">
      <c r="A46" s="208" t="inlineStr">
        <is>
          <t>RTM-514</t>
        </is>
      </c>
      <c r="B46" s="222" t="inlineStr">
        <is>
          <t>L1 Conceptual Design</t>
        </is>
      </c>
      <c r="C46" s="208" t="n">
        <v>2</v>
      </c>
      <c r="D46" s="208" t="inlineStr">
        <is>
          <t>T0 Gate</t>
        </is>
      </c>
      <c r="E46" s="208" t="inlineStr">
        <is>
          <t>Acceptance Testing</t>
        </is>
      </c>
      <c r="F46" s="208" t="n">
        <v>48</v>
      </c>
      <c r="G46" s="208" t="n">
        <v>7</v>
      </c>
      <c r="H46" s="208" t="inlineStr">
        <is>
          <t>No separate deliverable explicitly named</t>
        </is>
      </c>
    </row>
    <row r="47">
      <c r="A47" s="199" t="inlineStr">
        <is>
          <t>RTM-514</t>
        </is>
      </c>
      <c r="B47" s="223" t="inlineStr">
        <is>
          <t>L2 Detailed Design</t>
        </is>
      </c>
      <c r="C47" s="199" t="n">
        <v>3</v>
      </c>
      <c r="D47" s="199" t="inlineStr">
        <is>
          <t>T0 Gate</t>
        </is>
      </c>
      <c r="E47" s="199" t="inlineStr">
        <is>
          <t>Acceptance Testing</t>
        </is>
      </c>
      <c r="F47" s="199" t="n">
        <v>48</v>
      </c>
      <c r="G47" s="199" t="n">
        <v>7</v>
      </c>
      <c r="H47" s="199" t="inlineStr">
        <is>
          <t>No separate deliverable explicitly named</t>
        </is>
      </c>
    </row>
    <row r="48">
      <c r="A48" s="208" t="inlineStr">
        <is>
          <t>RTM-613</t>
        </is>
      </c>
      <c r="B48" s="225" t="inlineStr">
        <is>
          <t>L5 Standalone Commissioning</t>
        </is>
      </c>
      <c r="C48" s="208" t="n">
        <v>7</v>
      </c>
      <c r="D48" s="208" t="inlineStr">
        <is>
          <t>T0 Gate</t>
        </is>
      </c>
      <c r="E48" s="208" t="inlineStr">
        <is>
          <t>Safety &amp; Protection</t>
        </is>
      </c>
      <c r="F48" s="208" t="n">
        <v>48</v>
      </c>
      <c r="G48" s="208" t="n">
        <v>8</v>
      </c>
      <c r="H48" s="208" t="inlineStr">
        <is>
          <t>No separate deliverable explicitly named</t>
        </is>
      </c>
    </row>
    <row r="49">
      <c r="A49" s="199" t="inlineStr">
        <is>
          <t>RTM-613</t>
        </is>
      </c>
      <c r="B49" s="226" t="inlineStr">
        <is>
          <t>L6 Site Acceptance Testing</t>
        </is>
      </c>
      <c r="C49" s="199" t="n">
        <v>8</v>
      </c>
      <c r="D49" s="199" t="inlineStr">
        <is>
          <t>T0 Gate</t>
        </is>
      </c>
      <c r="E49" s="199" t="inlineStr">
        <is>
          <t>Safety &amp; Protection</t>
        </is>
      </c>
      <c r="F49" s="199" t="n">
        <v>48</v>
      </c>
      <c r="G49" s="199" t="n">
        <v>8</v>
      </c>
      <c r="H49" s="199" t="inlineStr">
        <is>
          <t>No separate deliverable explicitly named</t>
        </is>
      </c>
    </row>
    <row r="50">
      <c r="A50" s="208" t="inlineStr">
        <is>
          <t>RTM-613</t>
        </is>
      </c>
      <c r="B50" s="221" t="inlineStr">
        <is>
          <t>L0 Tender / Offer</t>
        </is>
      </c>
      <c r="C50" s="208" t="n">
        <v>1</v>
      </c>
      <c r="D50" s="208" t="inlineStr">
        <is>
          <t>T0 Gate</t>
        </is>
      </c>
      <c r="E50" s="208" t="inlineStr">
        <is>
          <t>Safety &amp; Protection</t>
        </is>
      </c>
      <c r="F50" s="208" t="n">
        <v>48</v>
      </c>
      <c r="G50" s="208" t="n">
        <v>8</v>
      </c>
      <c r="H50" s="208" t="inlineStr">
        <is>
          <t>No separate deliverable explicitly named</t>
        </is>
      </c>
    </row>
    <row r="51">
      <c r="A51" s="199" t="inlineStr">
        <is>
          <t>RTM-613</t>
        </is>
      </c>
      <c r="B51" s="222" t="inlineStr">
        <is>
          <t>L1 Conceptual Design</t>
        </is>
      </c>
      <c r="C51" s="199" t="n">
        <v>2</v>
      </c>
      <c r="D51" s="199" t="inlineStr">
        <is>
          <t>T0 Gate</t>
        </is>
      </c>
      <c r="E51" s="199" t="inlineStr">
        <is>
          <t>Safety &amp; Protection</t>
        </is>
      </c>
      <c r="F51" s="199" t="n">
        <v>48</v>
      </c>
      <c r="G51" s="199" t="n">
        <v>8</v>
      </c>
      <c r="H51" s="199" t="inlineStr">
        <is>
          <t>No separate deliverable explicitly named</t>
        </is>
      </c>
    </row>
    <row r="52">
      <c r="A52" s="208" t="inlineStr">
        <is>
          <t>RTM-613</t>
        </is>
      </c>
      <c r="B52" s="223" t="inlineStr">
        <is>
          <t>L2 Detailed Design</t>
        </is>
      </c>
      <c r="C52" s="208" t="n">
        <v>3</v>
      </c>
      <c r="D52" s="208" t="inlineStr">
        <is>
          <t>T0 Gate</t>
        </is>
      </c>
      <c r="E52" s="208" t="inlineStr">
        <is>
          <t>Safety &amp; Protection</t>
        </is>
      </c>
      <c r="F52" s="208" t="n">
        <v>48</v>
      </c>
      <c r="G52" s="208" t="n">
        <v>8</v>
      </c>
      <c r="H52" s="208" t="inlineStr">
        <is>
          <t>No separate deliverable explicitly named</t>
        </is>
      </c>
    </row>
    <row r="53">
      <c r="A53" s="199" t="inlineStr">
        <is>
          <t>RTM-613</t>
        </is>
      </c>
      <c r="B53" s="224" t="inlineStr">
        <is>
          <t>L3 Procurement &amp; Manufacturing / FAT</t>
        </is>
      </c>
      <c r="C53" s="199" t="n">
        <v>4</v>
      </c>
      <c r="D53" s="199" t="inlineStr">
        <is>
          <t>T0 Gate</t>
        </is>
      </c>
      <c r="E53" s="199" t="inlineStr">
        <is>
          <t>Safety &amp; Protection</t>
        </is>
      </c>
      <c r="F53" s="199" t="n">
        <v>48</v>
      </c>
      <c r="G53" s="199" t="n">
        <v>8</v>
      </c>
      <c r="H53" s="199" t="inlineStr">
        <is>
          <t>No separate deliverable explicitly named</t>
        </is>
      </c>
    </row>
    <row r="54">
      <c r="A54" s="208" t="inlineStr">
        <is>
          <t>RTM-613</t>
        </is>
      </c>
      <c r="B54" s="220" t="inlineStr">
        <is>
          <t>L4 Installation</t>
        </is>
      </c>
      <c r="C54" s="208" t="n">
        <v>6</v>
      </c>
      <c r="D54" s="208" t="inlineStr">
        <is>
          <t>T0 Gate</t>
        </is>
      </c>
      <c r="E54" s="208" t="inlineStr">
        <is>
          <t>Safety &amp; Protection</t>
        </is>
      </c>
      <c r="F54" s="208" t="n">
        <v>48</v>
      </c>
      <c r="G54" s="208" t="n">
        <v>8</v>
      </c>
      <c r="H54" s="208" t="inlineStr">
        <is>
          <t>No separate deliverable explicitly named</t>
        </is>
      </c>
    </row>
    <row r="55">
      <c r="A55" s="199" t="inlineStr">
        <is>
          <t>RTM-075</t>
        </is>
      </c>
      <c r="B55" s="227" t="inlineStr">
        <is>
          <t>PAC / Handover</t>
        </is>
      </c>
      <c r="C55" s="199" t="n">
        <v>9</v>
      </c>
      <c r="D55" s="199" t="inlineStr">
        <is>
          <t>T0 Gate</t>
        </is>
      </c>
      <c r="E55" s="199" t="inlineStr">
        <is>
          <t>Global Design Criteria</t>
        </is>
      </c>
      <c r="F55" s="199" t="n">
        <v>43</v>
      </c>
      <c r="G55" s="199" t="n">
        <v>9</v>
      </c>
      <c r="H55" s="199" t="inlineStr">
        <is>
          <t>No separate deliverable explicitly named</t>
        </is>
      </c>
    </row>
    <row r="56">
      <c r="A56" s="208" t="inlineStr">
        <is>
          <t>RTM-075</t>
        </is>
      </c>
      <c r="B56" s="222" t="inlineStr">
        <is>
          <t>L1 Conceptual Design</t>
        </is>
      </c>
      <c r="C56" s="208" t="n">
        <v>2</v>
      </c>
      <c r="D56" s="208" t="inlineStr">
        <is>
          <t>T0 Gate</t>
        </is>
      </c>
      <c r="E56" s="208" t="inlineStr">
        <is>
          <t>Global Design Criteria</t>
        </is>
      </c>
      <c r="F56" s="208" t="n">
        <v>43</v>
      </c>
      <c r="G56" s="208" t="n">
        <v>9</v>
      </c>
      <c r="H56" s="208" t="inlineStr">
        <is>
          <t>No separate deliverable explicitly named</t>
        </is>
      </c>
    </row>
    <row r="57">
      <c r="A57" s="199" t="inlineStr">
        <is>
          <t>RTM-075</t>
        </is>
      </c>
      <c r="B57" s="223" t="inlineStr">
        <is>
          <t>L2 Detailed Design</t>
        </is>
      </c>
      <c r="C57" s="199" t="n">
        <v>3</v>
      </c>
      <c r="D57" s="199" t="inlineStr">
        <is>
          <t>T0 Gate</t>
        </is>
      </c>
      <c r="E57" s="199" t="inlineStr">
        <is>
          <t>Global Design Criteria</t>
        </is>
      </c>
      <c r="F57" s="199" t="n">
        <v>43</v>
      </c>
      <c r="G57" s="199" t="n">
        <v>9</v>
      </c>
      <c r="H57" s="199" t="inlineStr">
        <is>
          <t>No separate deliverable explicitly named</t>
        </is>
      </c>
    </row>
    <row r="58">
      <c r="A58" s="208" t="inlineStr">
        <is>
          <t>RTM-600</t>
        </is>
      </c>
      <c r="B58" s="221" t="inlineStr">
        <is>
          <t>L0 Tender / Offer</t>
        </is>
      </c>
      <c r="C58" s="208" t="n">
        <v>1</v>
      </c>
      <c r="D58" s="208" t="inlineStr">
        <is>
          <t>T0 Gate</t>
        </is>
      </c>
      <c r="E58" s="208" t="inlineStr">
        <is>
          <t>Safety &amp; Protection</t>
        </is>
      </c>
      <c r="F58" s="208" t="n">
        <v>42</v>
      </c>
      <c r="G58" s="208" t="n">
        <v>10</v>
      </c>
      <c r="H58" s="208" t="inlineStr">
        <is>
          <t>No separate deliverable explicitly named</t>
        </is>
      </c>
    </row>
    <row r="59">
      <c r="A59" s="199" t="inlineStr">
        <is>
          <t>RTM-600</t>
        </is>
      </c>
      <c r="B59" s="222" t="inlineStr">
        <is>
          <t>L1 Conceptual Design</t>
        </is>
      </c>
      <c r="C59" s="199" t="n">
        <v>2</v>
      </c>
      <c r="D59" s="199" t="inlineStr">
        <is>
          <t>T0 Gate</t>
        </is>
      </c>
      <c r="E59" s="199" t="inlineStr">
        <is>
          <t>Safety &amp; Protection</t>
        </is>
      </c>
      <c r="F59" s="199" t="n">
        <v>42</v>
      </c>
      <c r="G59" s="199" t="n">
        <v>10</v>
      </c>
      <c r="H59" s="199" t="inlineStr">
        <is>
          <t>No separate deliverable explicitly named</t>
        </is>
      </c>
    </row>
    <row r="60">
      <c r="A60" s="208" t="inlineStr">
        <is>
          <t>RTM-600</t>
        </is>
      </c>
      <c r="B60" s="223" t="inlineStr">
        <is>
          <t>L2 Detailed Design</t>
        </is>
      </c>
      <c r="C60" s="208" t="n">
        <v>3</v>
      </c>
      <c r="D60" s="208" t="inlineStr">
        <is>
          <t>T0 Gate</t>
        </is>
      </c>
      <c r="E60" s="208" t="inlineStr">
        <is>
          <t>Safety &amp; Protection</t>
        </is>
      </c>
      <c r="F60" s="208" t="n">
        <v>42</v>
      </c>
      <c r="G60" s="208" t="n">
        <v>10</v>
      </c>
      <c r="H60" s="208" t="inlineStr">
        <is>
          <t>No separate deliverable explicitly named</t>
        </is>
      </c>
    </row>
    <row r="61">
      <c r="A61" s="199" t="inlineStr">
        <is>
          <t>RTM-600</t>
        </is>
      </c>
      <c r="B61" s="224" t="inlineStr">
        <is>
          <t>L3 Procurement &amp; Manufacturing / FAT</t>
        </is>
      </c>
      <c r="C61" s="199" t="n">
        <v>4</v>
      </c>
      <c r="D61" s="199" t="inlineStr">
        <is>
          <t>T0 Gate</t>
        </is>
      </c>
      <c r="E61" s="199" t="inlineStr">
        <is>
          <t>Safety &amp; Protection</t>
        </is>
      </c>
      <c r="F61" s="199" t="n">
        <v>42</v>
      </c>
      <c r="G61" s="199" t="n">
        <v>10</v>
      </c>
      <c r="H61" s="199" t="inlineStr">
        <is>
          <t>No separate deliverable explicitly named</t>
        </is>
      </c>
    </row>
    <row r="62">
      <c r="A62" s="208" t="inlineStr">
        <is>
          <t>RTM-600</t>
        </is>
      </c>
      <c r="B62" s="220" t="inlineStr">
        <is>
          <t>L4 Installation</t>
        </is>
      </c>
      <c r="C62" s="208" t="n">
        <v>6</v>
      </c>
      <c r="D62" s="208" t="inlineStr">
        <is>
          <t>T0 Gate</t>
        </is>
      </c>
      <c r="E62" s="208" t="inlineStr">
        <is>
          <t>Safety &amp; Protection</t>
        </is>
      </c>
      <c r="F62" s="208" t="n">
        <v>42</v>
      </c>
      <c r="G62" s="208" t="n">
        <v>10</v>
      </c>
      <c r="H62" s="208" t="inlineStr">
        <is>
          <t>No separate deliverable explicitly named</t>
        </is>
      </c>
    </row>
    <row r="63">
      <c r="A63" s="199" t="inlineStr">
        <is>
          <t>RTM-600</t>
        </is>
      </c>
      <c r="B63" s="225" t="inlineStr">
        <is>
          <t>L5 Standalone Commissioning</t>
        </is>
      </c>
      <c r="C63" s="199" t="n">
        <v>7</v>
      </c>
      <c r="D63" s="199" t="inlineStr">
        <is>
          <t>T0 Gate</t>
        </is>
      </c>
      <c r="E63" s="199" t="inlineStr">
        <is>
          <t>Safety &amp; Protection</t>
        </is>
      </c>
      <c r="F63" s="199" t="n">
        <v>42</v>
      </c>
      <c r="G63" s="199" t="n">
        <v>10</v>
      </c>
      <c r="H63" s="199" t="inlineStr">
        <is>
          <t>No separate deliverable explicitly named</t>
        </is>
      </c>
    </row>
    <row r="64">
      <c r="A64" s="208" t="inlineStr">
        <is>
          <t>RTM-600</t>
        </is>
      </c>
      <c r="B64" s="226" t="inlineStr">
        <is>
          <t>L6 Site Acceptance Testing</t>
        </is>
      </c>
      <c r="C64" s="208" t="n">
        <v>8</v>
      </c>
      <c r="D64" s="208" t="inlineStr">
        <is>
          <t>T0 Gate</t>
        </is>
      </c>
      <c r="E64" s="208" t="inlineStr">
        <is>
          <t>Safety &amp; Protection</t>
        </is>
      </c>
      <c r="F64" s="208" t="n">
        <v>42</v>
      </c>
      <c r="G64" s="208" t="n">
        <v>10</v>
      </c>
      <c r="H64" s="208" t="inlineStr">
        <is>
          <t>No separate deliverable explicitly named</t>
        </is>
      </c>
    </row>
    <row r="65">
      <c r="A65" s="199" t="inlineStr">
        <is>
          <t>RTM-002</t>
        </is>
      </c>
      <c r="B65" s="224" t="inlineStr">
        <is>
          <t>L3 Procurement &amp; Manufacturing / FAT</t>
        </is>
      </c>
      <c r="C65" s="199" t="n">
        <v>4</v>
      </c>
      <c r="D65" s="199" t="inlineStr">
        <is>
          <t>T0 Gate</t>
        </is>
      </c>
      <c r="E65" s="199" t="inlineStr">
        <is>
          <t>General / Compliance</t>
        </is>
      </c>
      <c r="F65" s="199" t="n">
        <v>36</v>
      </c>
      <c r="G65" s="199" t="n">
        <v>11</v>
      </c>
      <c r="H65" s="199" t="inlineStr">
        <is>
          <t>No separate deliverable explicitly named</t>
        </is>
      </c>
    </row>
    <row r="66">
      <c r="A66" s="208" t="inlineStr">
        <is>
          <t>RTM-002</t>
        </is>
      </c>
      <c r="B66" s="220" t="inlineStr">
        <is>
          <t>L4 Installation</t>
        </is>
      </c>
      <c r="C66" s="208" t="n">
        <v>6</v>
      </c>
      <c r="D66" s="208" t="inlineStr">
        <is>
          <t>T0 Gate</t>
        </is>
      </c>
      <c r="E66" s="208" t="inlineStr">
        <is>
          <t>General / Compliance</t>
        </is>
      </c>
      <c r="F66" s="208" t="n">
        <v>36</v>
      </c>
      <c r="G66" s="208" t="n">
        <v>11</v>
      </c>
      <c r="H66" s="208" t="inlineStr">
        <is>
          <t>No separate deliverable explicitly named</t>
        </is>
      </c>
    </row>
    <row r="67">
      <c r="A67" s="199" t="inlineStr">
        <is>
          <t>RTM-002</t>
        </is>
      </c>
      <c r="B67" s="227" t="inlineStr">
        <is>
          <t>PAC / Handover</t>
        </is>
      </c>
      <c r="C67" s="199" t="n">
        <v>9</v>
      </c>
      <c r="D67" s="199" t="inlineStr">
        <is>
          <t>T0 Gate</t>
        </is>
      </c>
      <c r="E67" s="199" t="inlineStr">
        <is>
          <t>General / Compliance</t>
        </is>
      </c>
      <c r="F67" s="199" t="n">
        <v>36</v>
      </c>
      <c r="G67" s="199" t="n">
        <v>11</v>
      </c>
      <c r="H67" s="199" t="inlineStr">
        <is>
          <t>No separate deliverable explicitly named</t>
        </is>
      </c>
    </row>
    <row r="68">
      <c r="A68" s="208" t="inlineStr">
        <is>
          <t>RTM-002</t>
        </is>
      </c>
      <c r="B68" s="222" t="inlineStr">
        <is>
          <t>L1 Conceptual Design</t>
        </is>
      </c>
      <c r="C68" s="208" t="n">
        <v>2</v>
      </c>
      <c r="D68" s="208" t="inlineStr">
        <is>
          <t>T0 Gate</t>
        </is>
      </c>
      <c r="E68" s="208" t="inlineStr">
        <is>
          <t>General / Compliance</t>
        </is>
      </c>
      <c r="F68" s="208" t="n">
        <v>36</v>
      </c>
      <c r="G68" s="208" t="n">
        <v>11</v>
      </c>
      <c r="H68" s="208" t="inlineStr">
        <is>
          <t>No separate deliverable explicitly named</t>
        </is>
      </c>
    </row>
    <row r="69">
      <c r="A69" s="199" t="inlineStr">
        <is>
          <t>RTM-002</t>
        </is>
      </c>
      <c r="B69" s="223" t="inlineStr">
        <is>
          <t>L2 Detailed Design</t>
        </is>
      </c>
      <c r="C69" s="199" t="n">
        <v>3</v>
      </c>
      <c r="D69" s="199" t="inlineStr">
        <is>
          <t>T0 Gate</t>
        </is>
      </c>
      <c r="E69" s="199" t="inlineStr">
        <is>
          <t>General / Compliance</t>
        </is>
      </c>
      <c r="F69" s="199" t="n">
        <v>36</v>
      </c>
      <c r="G69" s="199" t="n">
        <v>11</v>
      </c>
      <c r="H69" s="199" t="inlineStr">
        <is>
          <t>No separate deliverable explicitly named</t>
        </is>
      </c>
    </row>
    <row r="70">
      <c r="A70" s="208" t="inlineStr">
        <is>
          <t>RTM-596</t>
        </is>
      </c>
      <c r="B70" s="221" t="inlineStr">
        <is>
          <t>L0 Tender / Offer</t>
        </is>
      </c>
      <c r="C70" s="208" t="n">
        <v>1</v>
      </c>
      <c r="D70" s="208" t="inlineStr">
        <is>
          <t>T0 Gate</t>
        </is>
      </c>
      <c r="E70" s="208" t="inlineStr">
        <is>
          <t>Safety &amp; Protection</t>
        </is>
      </c>
      <c r="F70" s="208" t="n">
        <v>36</v>
      </c>
      <c r="G70" s="208" t="n">
        <v>12</v>
      </c>
      <c r="H70" s="208" t="inlineStr">
        <is>
          <t>No separate deliverable explicitly named</t>
        </is>
      </c>
    </row>
    <row r="71">
      <c r="A71" s="199" t="inlineStr">
        <is>
          <t>RTM-596</t>
        </is>
      </c>
      <c r="B71" s="222" t="inlineStr">
        <is>
          <t>L1 Conceptual Design</t>
        </is>
      </c>
      <c r="C71" s="199" t="n">
        <v>2</v>
      </c>
      <c r="D71" s="199" t="inlineStr">
        <is>
          <t>T0 Gate</t>
        </is>
      </c>
      <c r="E71" s="199" t="inlineStr">
        <is>
          <t>Safety &amp; Protection</t>
        </is>
      </c>
      <c r="F71" s="199" t="n">
        <v>36</v>
      </c>
      <c r="G71" s="199" t="n">
        <v>12</v>
      </c>
      <c r="H71" s="199" t="inlineStr">
        <is>
          <t>No separate deliverable explicitly named</t>
        </is>
      </c>
    </row>
    <row r="72">
      <c r="A72" s="208" t="inlineStr">
        <is>
          <t>RTM-596</t>
        </is>
      </c>
      <c r="B72" s="223" t="inlineStr">
        <is>
          <t>L2 Detailed Design</t>
        </is>
      </c>
      <c r="C72" s="208" t="n">
        <v>3</v>
      </c>
      <c r="D72" s="208" t="inlineStr">
        <is>
          <t>T0 Gate</t>
        </is>
      </c>
      <c r="E72" s="208" t="inlineStr">
        <is>
          <t>Safety &amp; Protection</t>
        </is>
      </c>
      <c r="F72" s="208" t="n">
        <v>36</v>
      </c>
      <c r="G72" s="208" t="n">
        <v>12</v>
      </c>
      <c r="H72" s="208" t="inlineStr">
        <is>
          <t>No separate deliverable explicitly named</t>
        </is>
      </c>
    </row>
    <row r="73">
      <c r="A73" s="199" t="inlineStr">
        <is>
          <t>RTM-596</t>
        </is>
      </c>
      <c r="B73" s="224" t="inlineStr">
        <is>
          <t>L3 Procurement &amp; Manufacturing / FAT</t>
        </is>
      </c>
      <c r="C73" s="199" t="n">
        <v>4</v>
      </c>
      <c r="D73" s="199" t="inlineStr">
        <is>
          <t>T0 Gate</t>
        </is>
      </c>
      <c r="E73" s="199" t="inlineStr">
        <is>
          <t>Safety &amp; Protection</t>
        </is>
      </c>
      <c r="F73" s="199" t="n">
        <v>36</v>
      </c>
      <c r="G73" s="199" t="n">
        <v>12</v>
      </c>
      <c r="H73" s="199" t="inlineStr">
        <is>
          <t>No separate deliverable explicitly named</t>
        </is>
      </c>
    </row>
    <row r="74">
      <c r="A74" s="208" t="inlineStr">
        <is>
          <t>RTM-596</t>
        </is>
      </c>
      <c r="B74" s="220" t="inlineStr">
        <is>
          <t>L4 Installation</t>
        </is>
      </c>
      <c r="C74" s="208" t="n">
        <v>6</v>
      </c>
      <c r="D74" s="208" t="inlineStr">
        <is>
          <t>T0 Gate</t>
        </is>
      </c>
      <c r="E74" s="208" t="inlineStr">
        <is>
          <t>Safety &amp; Protection</t>
        </is>
      </c>
      <c r="F74" s="208" t="n">
        <v>36</v>
      </c>
      <c r="G74" s="208" t="n">
        <v>12</v>
      </c>
      <c r="H74" s="208" t="inlineStr">
        <is>
          <t>No separate deliverable explicitly named</t>
        </is>
      </c>
    </row>
    <row r="75">
      <c r="A75" s="199" t="inlineStr">
        <is>
          <t>RTM-596</t>
        </is>
      </c>
      <c r="B75" s="225" t="inlineStr">
        <is>
          <t>L5 Standalone Commissioning</t>
        </is>
      </c>
      <c r="C75" s="199" t="n">
        <v>7</v>
      </c>
      <c r="D75" s="199" t="inlineStr">
        <is>
          <t>T0 Gate</t>
        </is>
      </c>
      <c r="E75" s="199" t="inlineStr">
        <is>
          <t>Safety &amp; Protection</t>
        </is>
      </c>
      <c r="F75" s="199" t="n">
        <v>36</v>
      </c>
      <c r="G75" s="199" t="n">
        <v>12</v>
      </c>
      <c r="H75" s="199" t="inlineStr">
        <is>
          <t>No separate deliverable explicitly named</t>
        </is>
      </c>
    </row>
    <row r="76">
      <c r="A76" s="208" t="inlineStr">
        <is>
          <t>RTM-596</t>
        </is>
      </c>
      <c r="B76" s="226" t="inlineStr">
        <is>
          <t>L6 Site Acceptance Testing</t>
        </is>
      </c>
      <c r="C76" s="208" t="n">
        <v>8</v>
      </c>
      <c r="D76" s="208" t="inlineStr">
        <is>
          <t>T0 Gate</t>
        </is>
      </c>
      <c r="E76" s="208" t="inlineStr">
        <is>
          <t>Safety &amp; Protection</t>
        </is>
      </c>
      <c r="F76" s="208" t="n">
        <v>36</v>
      </c>
      <c r="G76" s="208" t="n">
        <v>12</v>
      </c>
      <c r="H76" s="208" t="inlineStr">
        <is>
          <t>No separate deliverable explicitly named</t>
        </is>
      </c>
    </row>
    <row r="77">
      <c r="A77" s="199" t="inlineStr">
        <is>
          <t>RTM-597</t>
        </is>
      </c>
      <c r="B77" s="221" t="inlineStr">
        <is>
          <t>L0 Tender / Offer</t>
        </is>
      </c>
      <c r="C77" s="199" t="n">
        <v>1</v>
      </c>
      <c r="D77" s="199" t="inlineStr">
        <is>
          <t>T0 Gate</t>
        </is>
      </c>
      <c r="E77" s="199" t="inlineStr">
        <is>
          <t>Safety &amp; Protection</t>
        </is>
      </c>
      <c r="F77" s="199" t="n">
        <v>36</v>
      </c>
      <c r="G77" s="199" t="n">
        <v>13</v>
      </c>
      <c r="H77" s="199" t="inlineStr">
        <is>
          <t>No separate deliverable explicitly named</t>
        </is>
      </c>
    </row>
    <row r="78">
      <c r="A78" s="208" t="inlineStr">
        <is>
          <t>RTM-597</t>
        </is>
      </c>
      <c r="B78" s="222" t="inlineStr">
        <is>
          <t>L1 Conceptual Design</t>
        </is>
      </c>
      <c r="C78" s="208" t="n">
        <v>2</v>
      </c>
      <c r="D78" s="208" t="inlineStr">
        <is>
          <t>T0 Gate</t>
        </is>
      </c>
      <c r="E78" s="208" t="inlineStr">
        <is>
          <t>Safety &amp; Protection</t>
        </is>
      </c>
      <c r="F78" s="208" t="n">
        <v>36</v>
      </c>
      <c r="G78" s="208" t="n">
        <v>13</v>
      </c>
      <c r="H78" s="208" t="inlineStr">
        <is>
          <t>No separate deliverable explicitly named</t>
        </is>
      </c>
    </row>
    <row r="79">
      <c r="A79" s="199" t="inlineStr">
        <is>
          <t>RTM-597</t>
        </is>
      </c>
      <c r="B79" s="223" t="inlineStr">
        <is>
          <t>L2 Detailed Design</t>
        </is>
      </c>
      <c r="C79" s="199" t="n">
        <v>3</v>
      </c>
      <c r="D79" s="199" t="inlineStr">
        <is>
          <t>T0 Gate</t>
        </is>
      </c>
      <c r="E79" s="199" t="inlineStr">
        <is>
          <t>Safety &amp; Protection</t>
        </is>
      </c>
      <c r="F79" s="199" t="n">
        <v>36</v>
      </c>
      <c r="G79" s="199" t="n">
        <v>13</v>
      </c>
      <c r="H79" s="199" t="inlineStr">
        <is>
          <t>No separate deliverable explicitly named</t>
        </is>
      </c>
    </row>
    <row r="80">
      <c r="A80" s="208" t="inlineStr">
        <is>
          <t>RTM-597</t>
        </is>
      </c>
      <c r="B80" s="224" t="inlineStr">
        <is>
          <t>L3 Procurement &amp; Manufacturing / FAT</t>
        </is>
      </c>
      <c r="C80" s="208" t="n">
        <v>4</v>
      </c>
      <c r="D80" s="208" t="inlineStr">
        <is>
          <t>T0 Gate</t>
        </is>
      </c>
      <c r="E80" s="208" t="inlineStr">
        <is>
          <t>Safety &amp; Protection</t>
        </is>
      </c>
      <c r="F80" s="208" t="n">
        <v>36</v>
      </c>
      <c r="G80" s="208" t="n">
        <v>13</v>
      </c>
      <c r="H80" s="208" t="inlineStr">
        <is>
          <t>No separate deliverable explicitly named</t>
        </is>
      </c>
    </row>
    <row r="81">
      <c r="A81" s="199" t="inlineStr">
        <is>
          <t>RTM-597</t>
        </is>
      </c>
      <c r="B81" s="220" t="inlineStr">
        <is>
          <t>L4 Installation</t>
        </is>
      </c>
      <c r="C81" s="199" t="n">
        <v>6</v>
      </c>
      <c r="D81" s="199" t="inlineStr">
        <is>
          <t>T0 Gate</t>
        </is>
      </c>
      <c r="E81" s="199" t="inlineStr">
        <is>
          <t>Safety &amp; Protection</t>
        </is>
      </c>
      <c r="F81" s="199" t="n">
        <v>36</v>
      </c>
      <c r="G81" s="199" t="n">
        <v>13</v>
      </c>
      <c r="H81" s="199" t="inlineStr">
        <is>
          <t>No separate deliverable explicitly named</t>
        </is>
      </c>
    </row>
    <row r="82">
      <c r="A82" s="208" t="inlineStr">
        <is>
          <t>RTM-597</t>
        </is>
      </c>
      <c r="B82" s="225" t="inlineStr">
        <is>
          <t>L5 Standalone Commissioning</t>
        </is>
      </c>
      <c r="C82" s="208" t="n">
        <v>7</v>
      </c>
      <c r="D82" s="208" t="inlineStr">
        <is>
          <t>T0 Gate</t>
        </is>
      </c>
      <c r="E82" s="208" t="inlineStr">
        <is>
          <t>Safety &amp; Protection</t>
        </is>
      </c>
      <c r="F82" s="208" t="n">
        <v>36</v>
      </c>
      <c r="G82" s="208" t="n">
        <v>13</v>
      </c>
      <c r="H82" s="208" t="inlineStr">
        <is>
          <t>No separate deliverable explicitly named</t>
        </is>
      </c>
    </row>
    <row r="83">
      <c r="A83" s="199" t="inlineStr">
        <is>
          <t>RTM-597</t>
        </is>
      </c>
      <c r="B83" s="226" t="inlineStr">
        <is>
          <t>L6 Site Acceptance Testing</t>
        </is>
      </c>
      <c r="C83" s="199" t="n">
        <v>8</v>
      </c>
      <c r="D83" s="199" t="inlineStr">
        <is>
          <t>T0 Gate</t>
        </is>
      </c>
      <c r="E83" s="199" t="inlineStr">
        <is>
          <t>Safety &amp; Protection</t>
        </is>
      </c>
      <c r="F83" s="199" t="n">
        <v>36</v>
      </c>
      <c r="G83" s="199" t="n">
        <v>13</v>
      </c>
      <c r="H83" s="199" t="inlineStr">
        <is>
          <t>No separate deliverable explicitly named</t>
        </is>
      </c>
    </row>
    <row r="84">
      <c r="A84" s="208" t="inlineStr">
        <is>
          <t>RTM-598</t>
        </is>
      </c>
      <c r="B84" s="221" t="inlineStr">
        <is>
          <t>L0 Tender / Offer</t>
        </is>
      </c>
      <c r="C84" s="208" t="n">
        <v>1</v>
      </c>
      <c r="D84" s="208" t="inlineStr">
        <is>
          <t>T0 Gate</t>
        </is>
      </c>
      <c r="E84" s="208" t="inlineStr">
        <is>
          <t>Safety &amp; Protection</t>
        </is>
      </c>
      <c r="F84" s="208" t="n">
        <v>36</v>
      </c>
      <c r="G84" s="208" t="n">
        <v>14</v>
      </c>
      <c r="H84" s="208" t="inlineStr">
        <is>
          <t>No separate deliverable explicitly named</t>
        </is>
      </c>
    </row>
    <row r="85">
      <c r="A85" s="199" t="inlineStr">
        <is>
          <t>RTM-598</t>
        </is>
      </c>
      <c r="B85" s="222" t="inlineStr">
        <is>
          <t>L1 Conceptual Design</t>
        </is>
      </c>
      <c r="C85" s="199" t="n">
        <v>2</v>
      </c>
      <c r="D85" s="199" t="inlineStr">
        <is>
          <t>T0 Gate</t>
        </is>
      </c>
      <c r="E85" s="199" t="inlineStr">
        <is>
          <t>Safety &amp; Protection</t>
        </is>
      </c>
      <c r="F85" s="199" t="n">
        <v>36</v>
      </c>
      <c r="G85" s="199" t="n">
        <v>14</v>
      </c>
      <c r="H85" s="199" t="inlineStr">
        <is>
          <t>No separate deliverable explicitly named</t>
        </is>
      </c>
    </row>
    <row r="86">
      <c r="A86" s="208" t="inlineStr">
        <is>
          <t>RTM-598</t>
        </is>
      </c>
      <c r="B86" s="223" t="inlineStr">
        <is>
          <t>L2 Detailed Design</t>
        </is>
      </c>
      <c r="C86" s="208" t="n">
        <v>3</v>
      </c>
      <c r="D86" s="208" t="inlineStr">
        <is>
          <t>T0 Gate</t>
        </is>
      </c>
      <c r="E86" s="208" t="inlineStr">
        <is>
          <t>Safety &amp; Protection</t>
        </is>
      </c>
      <c r="F86" s="208" t="n">
        <v>36</v>
      </c>
      <c r="G86" s="208" t="n">
        <v>14</v>
      </c>
      <c r="H86" s="208" t="inlineStr">
        <is>
          <t>No separate deliverable explicitly named</t>
        </is>
      </c>
    </row>
    <row r="87">
      <c r="A87" s="199" t="inlineStr">
        <is>
          <t>RTM-598</t>
        </is>
      </c>
      <c r="B87" s="224" t="inlineStr">
        <is>
          <t>L3 Procurement &amp; Manufacturing / FAT</t>
        </is>
      </c>
      <c r="C87" s="199" t="n">
        <v>4</v>
      </c>
      <c r="D87" s="199" t="inlineStr">
        <is>
          <t>T0 Gate</t>
        </is>
      </c>
      <c r="E87" s="199" t="inlineStr">
        <is>
          <t>Safety &amp; Protection</t>
        </is>
      </c>
      <c r="F87" s="199" t="n">
        <v>36</v>
      </c>
      <c r="G87" s="199" t="n">
        <v>14</v>
      </c>
      <c r="H87" s="199" t="inlineStr">
        <is>
          <t>No separate deliverable explicitly named</t>
        </is>
      </c>
    </row>
    <row r="88">
      <c r="A88" s="208" t="inlineStr">
        <is>
          <t>RTM-598</t>
        </is>
      </c>
      <c r="B88" s="220" t="inlineStr">
        <is>
          <t>L4 Installation</t>
        </is>
      </c>
      <c r="C88" s="208" t="n">
        <v>6</v>
      </c>
      <c r="D88" s="208" t="inlineStr">
        <is>
          <t>T0 Gate</t>
        </is>
      </c>
      <c r="E88" s="208" t="inlineStr">
        <is>
          <t>Safety &amp; Protection</t>
        </is>
      </c>
      <c r="F88" s="208" t="n">
        <v>36</v>
      </c>
      <c r="G88" s="208" t="n">
        <v>14</v>
      </c>
      <c r="H88" s="208" t="inlineStr">
        <is>
          <t>No separate deliverable explicitly named</t>
        </is>
      </c>
    </row>
    <row r="89">
      <c r="A89" s="199" t="inlineStr">
        <is>
          <t>RTM-598</t>
        </is>
      </c>
      <c r="B89" s="225" t="inlineStr">
        <is>
          <t>L5 Standalone Commissioning</t>
        </is>
      </c>
      <c r="C89" s="199" t="n">
        <v>7</v>
      </c>
      <c r="D89" s="199" t="inlineStr">
        <is>
          <t>T0 Gate</t>
        </is>
      </c>
      <c r="E89" s="199" t="inlineStr">
        <is>
          <t>Safety &amp; Protection</t>
        </is>
      </c>
      <c r="F89" s="199" t="n">
        <v>36</v>
      </c>
      <c r="G89" s="199" t="n">
        <v>14</v>
      </c>
      <c r="H89" s="199" t="inlineStr">
        <is>
          <t>No separate deliverable explicitly named</t>
        </is>
      </c>
    </row>
    <row r="90">
      <c r="A90" s="208" t="inlineStr">
        <is>
          <t>RTM-598</t>
        </is>
      </c>
      <c r="B90" s="226" t="inlineStr">
        <is>
          <t>L6 Site Acceptance Testing</t>
        </is>
      </c>
      <c r="C90" s="208" t="n">
        <v>8</v>
      </c>
      <c r="D90" s="208" t="inlineStr">
        <is>
          <t>T0 Gate</t>
        </is>
      </c>
      <c r="E90" s="208" t="inlineStr">
        <is>
          <t>Safety &amp; Protection</t>
        </is>
      </c>
      <c r="F90" s="208" t="n">
        <v>36</v>
      </c>
      <c r="G90" s="208" t="n">
        <v>14</v>
      </c>
      <c r="H90" s="208" t="inlineStr">
        <is>
          <t>No separate deliverable explicitly named</t>
        </is>
      </c>
    </row>
    <row r="91">
      <c r="A91" s="199" t="inlineStr">
        <is>
          <t>RTM-599</t>
        </is>
      </c>
      <c r="B91" s="221" t="inlineStr">
        <is>
          <t>L0 Tender / Offer</t>
        </is>
      </c>
      <c r="C91" s="199" t="n">
        <v>1</v>
      </c>
      <c r="D91" s="199" t="inlineStr">
        <is>
          <t>T0 Gate</t>
        </is>
      </c>
      <c r="E91" s="199" t="inlineStr">
        <is>
          <t>Safety &amp; Protection</t>
        </is>
      </c>
      <c r="F91" s="199" t="n">
        <v>36</v>
      </c>
      <c r="G91" s="199" t="n">
        <v>15</v>
      </c>
      <c r="H91" s="199" t="inlineStr">
        <is>
          <t>No separate deliverable explicitly named</t>
        </is>
      </c>
    </row>
    <row r="92">
      <c r="A92" s="208" t="inlineStr">
        <is>
          <t>RTM-599</t>
        </is>
      </c>
      <c r="B92" s="222" t="inlineStr">
        <is>
          <t>L1 Conceptual Design</t>
        </is>
      </c>
      <c r="C92" s="208" t="n">
        <v>2</v>
      </c>
      <c r="D92" s="208" t="inlineStr">
        <is>
          <t>T0 Gate</t>
        </is>
      </c>
      <c r="E92" s="208" t="inlineStr">
        <is>
          <t>Safety &amp; Protection</t>
        </is>
      </c>
      <c r="F92" s="208" t="n">
        <v>36</v>
      </c>
      <c r="G92" s="208" t="n">
        <v>15</v>
      </c>
      <c r="H92" s="208" t="inlineStr">
        <is>
          <t>No separate deliverable explicitly named</t>
        </is>
      </c>
    </row>
    <row r="93">
      <c r="A93" s="199" t="inlineStr">
        <is>
          <t>RTM-599</t>
        </is>
      </c>
      <c r="B93" s="223" t="inlineStr">
        <is>
          <t>L2 Detailed Design</t>
        </is>
      </c>
      <c r="C93" s="199" t="n">
        <v>3</v>
      </c>
      <c r="D93" s="199" t="inlineStr">
        <is>
          <t>T0 Gate</t>
        </is>
      </c>
      <c r="E93" s="199" t="inlineStr">
        <is>
          <t>Safety &amp; Protection</t>
        </is>
      </c>
      <c r="F93" s="199" t="n">
        <v>36</v>
      </c>
      <c r="G93" s="199" t="n">
        <v>15</v>
      </c>
      <c r="H93" s="199" t="inlineStr">
        <is>
          <t>No separate deliverable explicitly named</t>
        </is>
      </c>
    </row>
    <row r="94">
      <c r="A94" s="208" t="inlineStr">
        <is>
          <t>RTM-599</t>
        </is>
      </c>
      <c r="B94" s="224" t="inlineStr">
        <is>
          <t>L3 Procurement &amp; Manufacturing / FAT</t>
        </is>
      </c>
      <c r="C94" s="208" t="n">
        <v>4</v>
      </c>
      <c r="D94" s="208" t="inlineStr">
        <is>
          <t>T0 Gate</t>
        </is>
      </c>
      <c r="E94" s="208" t="inlineStr">
        <is>
          <t>Safety &amp; Protection</t>
        </is>
      </c>
      <c r="F94" s="208" t="n">
        <v>36</v>
      </c>
      <c r="G94" s="208" t="n">
        <v>15</v>
      </c>
      <c r="H94" s="208" t="inlineStr">
        <is>
          <t>No separate deliverable explicitly named</t>
        </is>
      </c>
    </row>
    <row r="95">
      <c r="A95" s="199" t="inlineStr">
        <is>
          <t>RTM-599</t>
        </is>
      </c>
      <c r="B95" s="220" t="inlineStr">
        <is>
          <t>L4 Installation</t>
        </is>
      </c>
      <c r="C95" s="199" t="n">
        <v>6</v>
      </c>
      <c r="D95" s="199" t="inlineStr">
        <is>
          <t>T0 Gate</t>
        </is>
      </c>
      <c r="E95" s="199" t="inlineStr">
        <is>
          <t>Safety &amp; Protection</t>
        </is>
      </c>
      <c r="F95" s="199" t="n">
        <v>36</v>
      </c>
      <c r="G95" s="199" t="n">
        <v>15</v>
      </c>
      <c r="H95" s="199" t="inlineStr">
        <is>
          <t>No separate deliverable explicitly named</t>
        </is>
      </c>
    </row>
    <row r="96">
      <c r="A96" s="208" t="inlineStr">
        <is>
          <t>RTM-599</t>
        </is>
      </c>
      <c r="B96" s="225" t="inlineStr">
        <is>
          <t>L5 Standalone Commissioning</t>
        </is>
      </c>
      <c r="C96" s="208" t="n">
        <v>7</v>
      </c>
      <c r="D96" s="208" t="inlineStr">
        <is>
          <t>T0 Gate</t>
        </is>
      </c>
      <c r="E96" s="208" t="inlineStr">
        <is>
          <t>Safety &amp; Protection</t>
        </is>
      </c>
      <c r="F96" s="208" t="n">
        <v>36</v>
      </c>
      <c r="G96" s="208" t="n">
        <v>15</v>
      </c>
      <c r="H96" s="208" t="inlineStr">
        <is>
          <t>No separate deliverable explicitly named</t>
        </is>
      </c>
    </row>
    <row r="97">
      <c r="A97" s="199" t="inlineStr">
        <is>
          <t>RTM-599</t>
        </is>
      </c>
      <c r="B97" s="226" t="inlineStr">
        <is>
          <t>L6 Site Acceptance Testing</t>
        </is>
      </c>
      <c r="C97" s="199" t="n">
        <v>8</v>
      </c>
      <c r="D97" s="199" t="inlineStr">
        <is>
          <t>T0 Gate</t>
        </is>
      </c>
      <c r="E97" s="199" t="inlineStr">
        <is>
          <t>Safety &amp; Protection</t>
        </is>
      </c>
      <c r="F97" s="199" t="n">
        <v>36</v>
      </c>
      <c r="G97" s="199" t="n">
        <v>15</v>
      </c>
      <c r="H97" s="199" t="inlineStr">
        <is>
          <t>No separate deliverable explicitly named</t>
        </is>
      </c>
    </row>
    <row r="98">
      <c r="A98" s="208" t="inlineStr">
        <is>
          <t>RTM-612</t>
        </is>
      </c>
      <c r="B98" s="221" t="inlineStr">
        <is>
          <t>L0 Tender / Offer</t>
        </is>
      </c>
      <c r="C98" s="208" t="n">
        <v>1</v>
      </c>
      <c r="D98" s="208" t="inlineStr">
        <is>
          <t>T0 Gate</t>
        </is>
      </c>
      <c r="E98" s="208" t="inlineStr">
        <is>
          <t>Safety &amp; Protection</t>
        </is>
      </c>
      <c r="F98" s="208" t="n">
        <v>36</v>
      </c>
      <c r="G98" s="208" t="n">
        <v>16</v>
      </c>
      <c r="H98" s="208" t="inlineStr">
        <is>
          <t>No separate deliverable explicitly named</t>
        </is>
      </c>
    </row>
    <row r="99">
      <c r="A99" s="199" t="inlineStr">
        <is>
          <t>RTM-612</t>
        </is>
      </c>
      <c r="B99" s="222" t="inlineStr">
        <is>
          <t>L1 Conceptual Design</t>
        </is>
      </c>
      <c r="C99" s="199" t="n">
        <v>2</v>
      </c>
      <c r="D99" s="199" t="inlineStr">
        <is>
          <t>T0 Gate</t>
        </is>
      </c>
      <c r="E99" s="199" t="inlineStr">
        <is>
          <t>Safety &amp; Protection</t>
        </is>
      </c>
      <c r="F99" s="199" t="n">
        <v>36</v>
      </c>
      <c r="G99" s="199" t="n">
        <v>16</v>
      </c>
      <c r="H99" s="199" t="inlineStr">
        <is>
          <t>No separate deliverable explicitly named</t>
        </is>
      </c>
    </row>
    <row r="100">
      <c r="A100" s="208" t="inlineStr">
        <is>
          <t>RTM-612</t>
        </is>
      </c>
      <c r="B100" s="223" t="inlineStr">
        <is>
          <t>L2 Detailed Design</t>
        </is>
      </c>
      <c r="C100" s="208" t="n">
        <v>3</v>
      </c>
      <c r="D100" s="208" t="inlineStr">
        <is>
          <t>T0 Gate</t>
        </is>
      </c>
      <c r="E100" s="208" t="inlineStr">
        <is>
          <t>Safety &amp; Protection</t>
        </is>
      </c>
      <c r="F100" s="208" t="n">
        <v>36</v>
      </c>
      <c r="G100" s="208" t="n">
        <v>16</v>
      </c>
      <c r="H100" s="208" t="inlineStr">
        <is>
          <t>No separate deliverable explicitly named</t>
        </is>
      </c>
    </row>
    <row r="101">
      <c r="A101" s="199" t="inlineStr">
        <is>
          <t>RTM-612</t>
        </is>
      </c>
      <c r="B101" s="224" t="inlineStr">
        <is>
          <t>L3 Procurement &amp; Manufacturing / FAT</t>
        </is>
      </c>
      <c r="C101" s="199" t="n">
        <v>4</v>
      </c>
      <c r="D101" s="199" t="inlineStr">
        <is>
          <t>T0 Gate</t>
        </is>
      </c>
      <c r="E101" s="199" t="inlineStr">
        <is>
          <t>Safety &amp; Protection</t>
        </is>
      </c>
      <c r="F101" s="199" t="n">
        <v>36</v>
      </c>
      <c r="G101" s="199" t="n">
        <v>16</v>
      </c>
      <c r="H101" s="199" t="inlineStr">
        <is>
          <t>No separate deliverable explicitly named</t>
        </is>
      </c>
    </row>
    <row r="102">
      <c r="A102" s="208" t="inlineStr">
        <is>
          <t>RTM-612</t>
        </is>
      </c>
      <c r="B102" s="220" t="inlineStr">
        <is>
          <t>L4 Installation</t>
        </is>
      </c>
      <c r="C102" s="208" t="n">
        <v>6</v>
      </c>
      <c r="D102" s="208" t="inlineStr">
        <is>
          <t>T0 Gate</t>
        </is>
      </c>
      <c r="E102" s="208" t="inlineStr">
        <is>
          <t>Safety &amp; Protection</t>
        </is>
      </c>
      <c r="F102" s="208" t="n">
        <v>36</v>
      </c>
      <c r="G102" s="208" t="n">
        <v>16</v>
      </c>
      <c r="H102" s="208" t="inlineStr">
        <is>
          <t>No separate deliverable explicitly named</t>
        </is>
      </c>
    </row>
    <row r="103">
      <c r="A103" s="199" t="inlineStr">
        <is>
          <t>RTM-612</t>
        </is>
      </c>
      <c r="B103" s="225" t="inlineStr">
        <is>
          <t>L5 Standalone Commissioning</t>
        </is>
      </c>
      <c r="C103" s="199" t="n">
        <v>7</v>
      </c>
      <c r="D103" s="199" t="inlineStr">
        <is>
          <t>T0 Gate</t>
        </is>
      </c>
      <c r="E103" s="199" t="inlineStr">
        <is>
          <t>Safety &amp; Protection</t>
        </is>
      </c>
      <c r="F103" s="199" t="n">
        <v>36</v>
      </c>
      <c r="G103" s="199" t="n">
        <v>16</v>
      </c>
      <c r="H103" s="199" t="inlineStr">
        <is>
          <t>No separate deliverable explicitly named</t>
        </is>
      </c>
    </row>
    <row r="104">
      <c r="A104" s="208" t="inlineStr">
        <is>
          <t>RTM-612</t>
        </is>
      </c>
      <c r="B104" s="226" t="inlineStr">
        <is>
          <t>L6 Site Acceptance Testing</t>
        </is>
      </c>
      <c r="C104" s="208" t="n">
        <v>8</v>
      </c>
      <c r="D104" s="208" t="inlineStr">
        <is>
          <t>T0 Gate</t>
        </is>
      </c>
      <c r="E104" s="208" t="inlineStr">
        <is>
          <t>Safety &amp; Protection</t>
        </is>
      </c>
      <c r="F104" s="208" t="n">
        <v>36</v>
      </c>
      <c r="G104" s="208" t="n">
        <v>16</v>
      </c>
      <c r="H104" s="208" t="inlineStr">
        <is>
          <t>No separate deliverable explicitly named</t>
        </is>
      </c>
    </row>
    <row r="105">
      <c r="A105" s="199" t="inlineStr">
        <is>
          <t>RTM-686</t>
        </is>
      </c>
      <c r="B105" s="227" t="inlineStr">
        <is>
          <t>PAC / Handover</t>
        </is>
      </c>
      <c r="C105" s="199" t="n">
        <v>9</v>
      </c>
      <c r="D105" s="199" t="inlineStr">
        <is>
          <t>T0 Gate</t>
        </is>
      </c>
      <c r="E105" s="199" t="inlineStr">
        <is>
          <t>Quality Assurance &amp; Control</t>
        </is>
      </c>
      <c r="F105" s="199" t="n">
        <v>35</v>
      </c>
      <c r="G105" s="199" t="n">
        <v>17</v>
      </c>
      <c r="H105" s="199" t="inlineStr">
        <is>
          <t>Declaration of Conformity; Quality Assurance Plan (QAP); List / register / matrix</t>
        </is>
      </c>
    </row>
    <row r="106">
      <c r="A106" s="208" t="inlineStr">
        <is>
          <t>RTM-686</t>
        </is>
      </c>
      <c r="B106" s="221" t="inlineStr">
        <is>
          <t>L0 Tender / Offer</t>
        </is>
      </c>
      <c r="C106" s="208" t="n">
        <v>1</v>
      </c>
      <c r="D106" s="208" t="inlineStr">
        <is>
          <t>T0 Gate</t>
        </is>
      </c>
      <c r="E106" s="208" t="inlineStr">
        <is>
          <t>Quality Assurance &amp; Control</t>
        </is>
      </c>
      <c r="F106" s="208" t="n">
        <v>35</v>
      </c>
      <c r="G106" s="208" t="n">
        <v>17</v>
      </c>
      <c r="H106" s="208" t="inlineStr">
        <is>
          <t>Declaration of Conformity; Quality Assurance Plan (QAP); List / register / matrix</t>
        </is>
      </c>
    </row>
    <row r="107">
      <c r="A107" s="199" t="inlineStr">
        <is>
          <t>RTM-686</t>
        </is>
      </c>
      <c r="B107" s="222" t="inlineStr">
        <is>
          <t>L1 Conceptual Design</t>
        </is>
      </c>
      <c r="C107" s="199" t="n">
        <v>2</v>
      </c>
      <c r="D107" s="199" t="inlineStr">
        <is>
          <t>T0 Gate</t>
        </is>
      </c>
      <c r="E107" s="199" t="inlineStr">
        <is>
          <t>Quality Assurance &amp; Control</t>
        </is>
      </c>
      <c r="F107" s="199" t="n">
        <v>35</v>
      </c>
      <c r="G107" s="199" t="n">
        <v>17</v>
      </c>
      <c r="H107" s="199" t="inlineStr">
        <is>
          <t>Declaration of Conformity; Quality Assurance Plan (QAP); List / register / matrix</t>
        </is>
      </c>
    </row>
    <row r="108">
      <c r="A108" s="208" t="inlineStr">
        <is>
          <t>RTM-686</t>
        </is>
      </c>
      <c r="B108" s="223" t="inlineStr">
        <is>
          <t>L2 Detailed Design</t>
        </is>
      </c>
      <c r="C108" s="208" t="n">
        <v>3</v>
      </c>
      <c r="D108" s="208" t="inlineStr">
        <is>
          <t>T0 Gate</t>
        </is>
      </c>
      <c r="E108" s="208" t="inlineStr">
        <is>
          <t>Quality Assurance &amp; Control</t>
        </is>
      </c>
      <c r="F108" s="208" t="n">
        <v>35</v>
      </c>
      <c r="G108" s="208" t="n">
        <v>17</v>
      </c>
      <c r="H108" s="208" t="inlineStr">
        <is>
          <t>Declaration of Conformity; Quality Assurance Plan (QAP); List / register / matrix</t>
        </is>
      </c>
    </row>
    <row r="109">
      <c r="A109" s="199" t="inlineStr">
        <is>
          <t>RTM-686</t>
        </is>
      </c>
      <c r="B109" s="224" t="inlineStr">
        <is>
          <t>L3 Procurement &amp; Manufacturing / FAT</t>
        </is>
      </c>
      <c r="C109" s="199" t="n">
        <v>4</v>
      </c>
      <c r="D109" s="199" t="inlineStr">
        <is>
          <t>T0 Gate</t>
        </is>
      </c>
      <c r="E109" s="199" t="inlineStr">
        <is>
          <t>Quality Assurance &amp; Control</t>
        </is>
      </c>
      <c r="F109" s="199" t="n">
        <v>35</v>
      </c>
      <c r="G109" s="199" t="n">
        <v>17</v>
      </c>
      <c r="H109" s="199" t="inlineStr">
        <is>
          <t>Declaration of Conformity; Quality Assurance Plan (QAP); List / register / matrix</t>
        </is>
      </c>
    </row>
    <row r="110">
      <c r="A110" s="208" t="inlineStr">
        <is>
          <t>RTM-686</t>
        </is>
      </c>
      <c r="B110" s="220" t="inlineStr">
        <is>
          <t>L4 Installation</t>
        </is>
      </c>
      <c r="C110" s="208" t="n">
        <v>6</v>
      </c>
      <c r="D110" s="208" t="inlineStr">
        <is>
          <t>T0 Gate</t>
        </is>
      </c>
      <c r="E110" s="208" t="inlineStr">
        <is>
          <t>Quality Assurance &amp; Control</t>
        </is>
      </c>
      <c r="F110" s="208" t="n">
        <v>35</v>
      </c>
      <c r="G110" s="208" t="n">
        <v>17</v>
      </c>
      <c r="H110" s="208" t="inlineStr">
        <is>
          <t>Declaration of Conformity; Quality Assurance Plan (QAP); List / register / matrix</t>
        </is>
      </c>
    </row>
    <row r="111">
      <c r="A111" s="199" t="inlineStr">
        <is>
          <t>RTM-686</t>
        </is>
      </c>
      <c r="B111" s="225" t="inlineStr">
        <is>
          <t>L5 Standalone Commissioning</t>
        </is>
      </c>
      <c r="C111" s="199" t="n">
        <v>7</v>
      </c>
      <c r="D111" s="199" t="inlineStr">
        <is>
          <t>T0 Gate</t>
        </is>
      </c>
      <c r="E111" s="199" t="inlineStr">
        <is>
          <t>Quality Assurance &amp; Control</t>
        </is>
      </c>
      <c r="F111" s="199" t="n">
        <v>35</v>
      </c>
      <c r="G111" s="199" t="n">
        <v>17</v>
      </c>
      <c r="H111" s="199" t="inlineStr">
        <is>
          <t>Declaration of Conformity; Quality Assurance Plan (QAP); List / register / matrix</t>
        </is>
      </c>
    </row>
    <row r="112">
      <c r="A112" s="208" t="inlineStr">
        <is>
          <t>RTM-686</t>
        </is>
      </c>
      <c r="B112" s="226" t="inlineStr">
        <is>
          <t>L6 Site Acceptance Testing</t>
        </is>
      </c>
      <c r="C112" s="208" t="n">
        <v>8</v>
      </c>
      <c r="D112" s="208" t="inlineStr">
        <is>
          <t>T0 Gate</t>
        </is>
      </c>
      <c r="E112" s="208" t="inlineStr">
        <is>
          <t>Quality Assurance &amp; Control</t>
        </is>
      </c>
      <c r="F112" s="208" t="n">
        <v>35</v>
      </c>
      <c r="G112" s="208" t="n">
        <v>17</v>
      </c>
      <c r="H112" s="208" t="inlineStr">
        <is>
          <t>Declaration of Conformity; Quality Assurance Plan (QAP); List / register / matrix</t>
        </is>
      </c>
    </row>
    <row r="113">
      <c r="A113" s="199" t="inlineStr">
        <is>
          <t>RTM-605</t>
        </is>
      </c>
      <c r="B113" s="221" t="inlineStr">
        <is>
          <t>L0 Tender / Offer</t>
        </is>
      </c>
      <c r="C113" s="199" t="n">
        <v>1</v>
      </c>
      <c r="D113" s="199" t="inlineStr">
        <is>
          <t>T0 Gate</t>
        </is>
      </c>
      <c r="E113" s="199" t="inlineStr">
        <is>
          <t>Safety &amp; Protection</t>
        </is>
      </c>
      <c r="F113" s="199" t="n">
        <v>32</v>
      </c>
      <c r="G113" s="199" t="n">
        <v>18</v>
      </c>
      <c r="H113" s="199" t="inlineStr">
        <is>
          <t>No separate deliverable explicitly named</t>
        </is>
      </c>
    </row>
    <row r="114">
      <c r="A114" s="208" t="inlineStr">
        <is>
          <t>RTM-605</t>
        </is>
      </c>
      <c r="B114" s="222" t="inlineStr">
        <is>
          <t>L1 Conceptual Design</t>
        </is>
      </c>
      <c r="C114" s="208" t="n">
        <v>2</v>
      </c>
      <c r="D114" s="208" t="inlineStr">
        <is>
          <t>T0 Gate</t>
        </is>
      </c>
      <c r="E114" s="208" t="inlineStr">
        <is>
          <t>Safety &amp; Protection</t>
        </is>
      </c>
      <c r="F114" s="208" t="n">
        <v>32</v>
      </c>
      <c r="G114" s="208" t="n">
        <v>18</v>
      </c>
      <c r="H114" s="208" t="inlineStr">
        <is>
          <t>No separate deliverable explicitly named</t>
        </is>
      </c>
    </row>
    <row r="115">
      <c r="A115" s="199" t="inlineStr">
        <is>
          <t>RTM-605</t>
        </is>
      </c>
      <c r="B115" s="223" t="inlineStr">
        <is>
          <t>L2 Detailed Design</t>
        </is>
      </c>
      <c r="C115" s="199" t="n">
        <v>3</v>
      </c>
      <c r="D115" s="199" t="inlineStr">
        <is>
          <t>T0 Gate</t>
        </is>
      </c>
      <c r="E115" s="199" t="inlineStr">
        <is>
          <t>Safety &amp; Protection</t>
        </is>
      </c>
      <c r="F115" s="199" t="n">
        <v>32</v>
      </c>
      <c r="G115" s="199" t="n">
        <v>18</v>
      </c>
      <c r="H115" s="199" t="inlineStr">
        <is>
          <t>No separate deliverable explicitly named</t>
        </is>
      </c>
    </row>
    <row r="116">
      <c r="A116" s="208" t="inlineStr">
        <is>
          <t>RTM-605</t>
        </is>
      </c>
      <c r="B116" s="224" t="inlineStr">
        <is>
          <t>L3 Procurement &amp; Manufacturing / FAT</t>
        </is>
      </c>
      <c r="C116" s="208" t="n">
        <v>4</v>
      </c>
      <c r="D116" s="208" t="inlineStr">
        <is>
          <t>T0 Gate</t>
        </is>
      </c>
      <c r="E116" s="208" t="inlineStr">
        <is>
          <t>Safety &amp; Protection</t>
        </is>
      </c>
      <c r="F116" s="208" t="n">
        <v>32</v>
      </c>
      <c r="G116" s="208" t="n">
        <v>18</v>
      </c>
      <c r="H116" s="208" t="inlineStr">
        <is>
          <t>No separate deliverable explicitly named</t>
        </is>
      </c>
    </row>
    <row r="117">
      <c r="A117" s="199" t="inlineStr">
        <is>
          <t>RTM-605</t>
        </is>
      </c>
      <c r="B117" s="220" t="inlineStr">
        <is>
          <t>L4 Installation</t>
        </is>
      </c>
      <c r="C117" s="199" t="n">
        <v>6</v>
      </c>
      <c r="D117" s="199" t="inlineStr">
        <is>
          <t>T0 Gate</t>
        </is>
      </c>
      <c r="E117" s="199" t="inlineStr">
        <is>
          <t>Safety &amp; Protection</t>
        </is>
      </c>
      <c r="F117" s="199" t="n">
        <v>32</v>
      </c>
      <c r="G117" s="199" t="n">
        <v>18</v>
      </c>
      <c r="H117" s="199" t="inlineStr">
        <is>
          <t>No separate deliverable explicitly named</t>
        </is>
      </c>
    </row>
    <row r="118">
      <c r="A118" s="208" t="inlineStr">
        <is>
          <t>RTM-605</t>
        </is>
      </c>
      <c r="B118" s="225" t="inlineStr">
        <is>
          <t>L5 Standalone Commissioning</t>
        </is>
      </c>
      <c r="C118" s="208" t="n">
        <v>7</v>
      </c>
      <c r="D118" s="208" t="inlineStr">
        <is>
          <t>T0 Gate</t>
        </is>
      </c>
      <c r="E118" s="208" t="inlineStr">
        <is>
          <t>Safety &amp; Protection</t>
        </is>
      </c>
      <c r="F118" s="208" t="n">
        <v>32</v>
      </c>
      <c r="G118" s="208" t="n">
        <v>18</v>
      </c>
      <c r="H118" s="208" t="inlineStr">
        <is>
          <t>No separate deliverable explicitly named</t>
        </is>
      </c>
    </row>
    <row r="119">
      <c r="A119" s="199" t="inlineStr">
        <is>
          <t>RTM-605</t>
        </is>
      </c>
      <c r="B119" s="226" t="inlineStr">
        <is>
          <t>L6 Site Acceptance Testing</t>
        </is>
      </c>
      <c r="C119" s="199" t="n">
        <v>8</v>
      </c>
      <c r="D119" s="199" t="inlineStr">
        <is>
          <t>T0 Gate</t>
        </is>
      </c>
      <c r="E119" s="199" t="inlineStr">
        <is>
          <t>Safety &amp; Protection</t>
        </is>
      </c>
      <c r="F119" s="199" t="n">
        <v>32</v>
      </c>
      <c r="G119" s="199" t="n">
        <v>18</v>
      </c>
      <c r="H119" s="199" t="inlineStr">
        <is>
          <t>No separate deliverable explicitly named</t>
        </is>
      </c>
    </row>
    <row r="120">
      <c r="A120" s="208" t="inlineStr">
        <is>
          <t>RTM-689</t>
        </is>
      </c>
      <c r="B120" s="221" t="inlineStr">
        <is>
          <t>L0 Tender / Offer</t>
        </is>
      </c>
      <c r="C120" s="208" t="n">
        <v>1</v>
      </c>
      <c r="D120" s="208" t="inlineStr">
        <is>
          <t>T0 Gate</t>
        </is>
      </c>
      <c r="E120" s="208" t="inlineStr">
        <is>
          <t>Codes &amp; Standards</t>
        </is>
      </c>
      <c r="F120" s="208" t="n">
        <v>32</v>
      </c>
      <c r="G120" s="208" t="n">
        <v>19</v>
      </c>
      <c r="H120" s="208" t="inlineStr">
        <is>
          <t>EU Declaration of Conformity; Declaration of Conformity</t>
        </is>
      </c>
    </row>
    <row r="121">
      <c r="A121" s="199" t="inlineStr">
        <is>
          <t>RTM-689</t>
        </is>
      </c>
      <c r="B121" s="222" t="inlineStr">
        <is>
          <t>L1 Conceptual Design</t>
        </is>
      </c>
      <c r="C121" s="199" t="n">
        <v>2</v>
      </c>
      <c r="D121" s="199" t="inlineStr">
        <is>
          <t>T0 Gate</t>
        </is>
      </c>
      <c r="E121" s="199" t="inlineStr">
        <is>
          <t>Codes &amp; Standards</t>
        </is>
      </c>
      <c r="F121" s="199" t="n">
        <v>32</v>
      </c>
      <c r="G121" s="199" t="n">
        <v>19</v>
      </c>
      <c r="H121" s="199" t="inlineStr">
        <is>
          <t>EU Declaration of Conformity; Declaration of Conformity</t>
        </is>
      </c>
    </row>
    <row r="122">
      <c r="A122" s="208" t="inlineStr">
        <is>
          <t>RTM-689</t>
        </is>
      </c>
      <c r="B122" s="223" t="inlineStr">
        <is>
          <t>L2 Detailed Design</t>
        </is>
      </c>
      <c r="C122" s="208" t="n">
        <v>3</v>
      </c>
      <c r="D122" s="208" t="inlineStr">
        <is>
          <t>T0 Gate</t>
        </is>
      </c>
      <c r="E122" s="208" t="inlineStr">
        <is>
          <t>Codes &amp; Standards</t>
        </is>
      </c>
      <c r="F122" s="208" t="n">
        <v>32</v>
      </c>
      <c r="G122" s="208" t="n">
        <v>19</v>
      </c>
      <c r="H122" s="208" t="inlineStr">
        <is>
          <t>EU Declaration of Conformity; Declaration of Conformity</t>
        </is>
      </c>
    </row>
    <row r="123">
      <c r="A123" s="199" t="inlineStr">
        <is>
          <t>RTM-689</t>
        </is>
      </c>
      <c r="B123" s="224" t="inlineStr">
        <is>
          <t>L3 Procurement &amp; Manufacturing / FAT</t>
        </is>
      </c>
      <c r="C123" s="199" t="n">
        <v>4</v>
      </c>
      <c r="D123" s="199" t="inlineStr">
        <is>
          <t>T0 Gate</t>
        </is>
      </c>
      <c r="E123" s="199" t="inlineStr">
        <is>
          <t>Codes &amp; Standards</t>
        </is>
      </c>
      <c r="F123" s="199" t="n">
        <v>32</v>
      </c>
      <c r="G123" s="199" t="n">
        <v>19</v>
      </c>
      <c r="H123" s="199" t="inlineStr">
        <is>
          <t>EU Declaration of Conformity; Declaration of Conformity</t>
        </is>
      </c>
    </row>
    <row r="124">
      <c r="A124" s="208" t="inlineStr">
        <is>
          <t>RTM-689</t>
        </is>
      </c>
      <c r="B124" s="220" t="inlineStr">
        <is>
          <t>L4 Installation</t>
        </is>
      </c>
      <c r="C124" s="208" t="n">
        <v>6</v>
      </c>
      <c r="D124" s="208" t="inlineStr">
        <is>
          <t>T0 Gate</t>
        </is>
      </c>
      <c r="E124" s="208" t="inlineStr">
        <is>
          <t>Codes &amp; Standards</t>
        </is>
      </c>
      <c r="F124" s="208" t="n">
        <v>32</v>
      </c>
      <c r="G124" s="208" t="n">
        <v>19</v>
      </c>
      <c r="H124" s="208" t="inlineStr">
        <is>
          <t>EU Declaration of Conformity; Declaration of Conformity</t>
        </is>
      </c>
    </row>
    <row r="125">
      <c r="A125" s="199" t="inlineStr">
        <is>
          <t>RTM-689</t>
        </is>
      </c>
      <c r="B125" s="225" t="inlineStr">
        <is>
          <t>L5 Standalone Commissioning</t>
        </is>
      </c>
      <c r="C125" s="199" t="n">
        <v>7</v>
      </c>
      <c r="D125" s="199" t="inlineStr">
        <is>
          <t>T0 Gate</t>
        </is>
      </c>
      <c r="E125" s="199" t="inlineStr">
        <is>
          <t>Codes &amp; Standards</t>
        </is>
      </c>
      <c r="F125" s="199" t="n">
        <v>32</v>
      </c>
      <c r="G125" s="199" t="n">
        <v>19</v>
      </c>
      <c r="H125" s="199" t="inlineStr">
        <is>
          <t>EU Declaration of Conformity; Declaration of Conformity</t>
        </is>
      </c>
    </row>
    <row r="126">
      <c r="A126" s="208" t="inlineStr">
        <is>
          <t>RTM-689</t>
        </is>
      </c>
      <c r="B126" s="226" t="inlineStr">
        <is>
          <t>L6 Site Acceptance Testing</t>
        </is>
      </c>
      <c r="C126" s="208" t="n">
        <v>8</v>
      </c>
      <c r="D126" s="208" t="inlineStr">
        <is>
          <t>T0 Gate</t>
        </is>
      </c>
      <c r="E126" s="208" t="inlineStr">
        <is>
          <t>Codes &amp; Standards</t>
        </is>
      </c>
      <c r="F126" s="208" t="n">
        <v>32</v>
      </c>
      <c r="G126" s="208" t="n">
        <v>19</v>
      </c>
      <c r="H126" s="208" t="inlineStr">
        <is>
          <t>EU Declaration of Conformity; Declaration of Conformity</t>
        </is>
      </c>
    </row>
    <row r="127">
      <c r="A127" s="199" t="inlineStr">
        <is>
          <t>RTM-691</t>
        </is>
      </c>
      <c r="B127" s="224" t="inlineStr">
        <is>
          <t>L3 Procurement &amp; Manufacturing / FAT</t>
        </is>
      </c>
      <c r="C127" s="199" t="n">
        <v>4</v>
      </c>
      <c r="D127" s="199" t="inlineStr">
        <is>
          <t>T0 Gate</t>
        </is>
      </c>
      <c r="E127" s="199" t="inlineStr">
        <is>
          <t>Codes &amp; Standards</t>
        </is>
      </c>
      <c r="F127" s="199" t="n">
        <v>32</v>
      </c>
      <c r="G127" s="199" t="n">
        <v>20</v>
      </c>
      <c r="H127" s="199" t="inlineStr">
        <is>
          <t>Quality Assurance Plan (QAP); Codes and Standards Register; Responsibility Matrix; List / register / matrix</t>
        </is>
      </c>
    </row>
    <row r="128">
      <c r="A128" s="208" t="inlineStr">
        <is>
          <t>RTM-691</t>
        </is>
      </c>
      <c r="B128" s="221" t="inlineStr">
        <is>
          <t>L0 Tender / Offer</t>
        </is>
      </c>
      <c r="C128" s="208" t="n">
        <v>1</v>
      </c>
      <c r="D128" s="208" t="inlineStr">
        <is>
          <t>T0 Gate</t>
        </is>
      </c>
      <c r="E128" s="208" t="inlineStr">
        <is>
          <t>Codes &amp; Standards</t>
        </is>
      </c>
      <c r="F128" s="208" t="n">
        <v>32</v>
      </c>
      <c r="G128" s="208" t="n">
        <v>20</v>
      </c>
      <c r="H128" s="208" t="inlineStr">
        <is>
          <t>Quality Assurance Plan (QAP); Codes and Standards Register; Responsibility Matrix; List / register / matrix</t>
        </is>
      </c>
    </row>
    <row r="129">
      <c r="A129" s="199" t="inlineStr">
        <is>
          <t>RTM-691</t>
        </is>
      </c>
      <c r="B129" s="222" t="inlineStr">
        <is>
          <t>L1 Conceptual Design</t>
        </is>
      </c>
      <c r="C129" s="199" t="n">
        <v>2</v>
      </c>
      <c r="D129" s="199" t="inlineStr">
        <is>
          <t>T0 Gate</t>
        </is>
      </c>
      <c r="E129" s="199" t="inlineStr">
        <is>
          <t>Codes &amp; Standards</t>
        </is>
      </c>
      <c r="F129" s="199" t="n">
        <v>32</v>
      </c>
      <c r="G129" s="199" t="n">
        <v>20</v>
      </c>
      <c r="H129" s="199" t="inlineStr">
        <is>
          <t>Quality Assurance Plan (QAP); Codes and Standards Register; Responsibility Matrix; List / register / matrix</t>
        </is>
      </c>
    </row>
    <row r="130">
      <c r="A130" s="208" t="inlineStr">
        <is>
          <t>RTM-691</t>
        </is>
      </c>
      <c r="B130" s="223" t="inlineStr">
        <is>
          <t>L2 Detailed Design</t>
        </is>
      </c>
      <c r="C130" s="208" t="n">
        <v>3</v>
      </c>
      <c r="D130" s="208" t="inlineStr">
        <is>
          <t>T0 Gate</t>
        </is>
      </c>
      <c r="E130" s="208" t="inlineStr">
        <is>
          <t>Codes &amp; Standards</t>
        </is>
      </c>
      <c r="F130" s="208" t="n">
        <v>32</v>
      </c>
      <c r="G130" s="208" t="n">
        <v>20</v>
      </c>
      <c r="H130" s="208" t="inlineStr">
        <is>
          <t>Quality Assurance Plan (QAP); Codes and Standards Register; Responsibility Matrix; List / register / matrix</t>
        </is>
      </c>
    </row>
    <row r="131">
      <c r="A131" s="199" t="inlineStr">
        <is>
          <t>RTM-691</t>
        </is>
      </c>
      <c r="B131" s="220" t="inlineStr">
        <is>
          <t>L4 Installation</t>
        </is>
      </c>
      <c r="C131" s="199" t="n">
        <v>6</v>
      </c>
      <c r="D131" s="199" t="inlineStr">
        <is>
          <t>T0 Gate</t>
        </is>
      </c>
      <c r="E131" s="199" t="inlineStr">
        <is>
          <t>Codes &amp; Standards</t>
        </is>
      </c>
      <c r="F131" s="199" t="n">
        <v>32</v>
      </c>
      <c r="G131" s="199" t="n">
        <v>20</v>
      </c>
      <c r="H131" s="199" t="inlineStr">
        <is>
          <t>Quality Assurance Plan (QAP); Codes and Standards Register; Responsibility Matrix; List / register / matrix</t>
        </is>
      </c>
    </row>
    <row r="132">
      <c r="A132" s="208" t="inlineStr">
        <is>
          <t>RTM-691</t>
        </is>
      </c>
      <c r="B132" s="225" t="inlineStr">
        <is>
          <t>L5 Standalone Commissioning</t>
        </is>
      </c>
      <c r="C132" s="208" t="n">
        <v>7</v>
      </c>
      <c r="D132" s="208" t="inlineStr">
        <is>
          <t>T0 Gate</t>
        </is>
      </c>
      <c r="E132" s="208" t="inlineStr">
        <is>
          <t>Codes &amp; Standards</t>
        </is>
      </c>
      <c r="F132" s="208" t="n">
        <v>32</v>
      </c>
      <c r="G132" s="208" t="n">
        <v>20</v>
      </c>
      <c r="H132" s="208" t="inlineStr">
        <is>
          <t>Quality Assurance Plan (QAP); Codes and Standards Register; Responsibility Matrix; List / register / matrix</t>
        </is>
      </c>
    </row>
    <row r="133">
      <c r="A133" s="199" t="inlineStr">
        <is>
          <t>RTM-691</t>
        </is>
      </c>
      <c r="B133" s="226" t="inlineStr">
        <is>
          <t>L6 Site Acceptance Testing</t>
        </is>
      </c>
      <c r="C133" s="199" t="n">
        <v>8</v>
      </c>
      <c r="D133" s="199" t="inlineStr">
        <is>
          <t>T0 Gate</t>
        </is>
      </c>
      <c r="E133" s="199" t="inlineStr">
        <is>
          <t>Codes &amp; Standards</t>
        </is>
      </c>
      <c r="F133" s="199" t="n">
        <v>32</v>
      </c>
      <c r="G133" s="199" t="n">
        <v>20</v>
      </c>
      <c r="H133" s="199" t="inlineStr">
        <is>
          <t>Quality Assurance Plan (QAP); Codes and Standards Register; Responsibility Matrix; List / register / matrix</t>
        </is>
      </c>
    </row>
    <row r="134">
      <c r="A134" s="208" t="inlineStr">
        <is>
          <t>RTM-695</t>
        </is>
      </c>
      <c r="B134" s="221" t="inlineStr">
        <is>
          <t>L0 Tender / Offer</t>
        </is>
      </c>
      <c r="C134" s="208" t="n">
        <v>1</v>
      </c>
      <c r="D134" s="208" t="inlineStr">
        <is>
          <t>T0 Gate</t>
        </is>
      </c>
      <c r="E134" s="208" t="inlineStr">
        <is>
          <t>Codes &amp; Standards</t>
        </is>
      </c>
      <c r="F134" s="208" t="n">
        <v>32</v>
      </c>
      <c r="G134" s="208" t="n">
        <v>21</v>
      </c>
      <c r="H134" s="208" t="inlineStr">
        <is>
          <t>Technical File; Test procedure / report; Certificate / calibration evidence; Drawing / diagram</t>
        </is>
      </c>
    </row>
    <row r="135">
      <c r="A135" s="199" t="inlineStr">
        <is>
          <t>RTM-695</t>
        </is>
      </c>
      <c r="B135" s="222" t="inlineStr">
        <is>
          <t>L1 Conceptual Design</t>
        </is>
      </c>
      <c r="C135" s="199" t="n">
        <v>2</v>
      </c>
      <c r="D135" s="199" t="inlineStr">
        <is>
          <t>T0 Gate</t>
        </is>
      </c>
      <c r="E135" s="199" t="inlineStr">
        <is>
          <t>Codes &amp; Standards</t>
        </is>
      </c>
      <c r="F135" s="199" t="n">
        <v>32</v>
      </c>
      <c r="G135" s="199" t="n">
        <v>21</v>
      </c>
      <c r="H135" s="199" t="inlineStr">
        <is>
          <t>Technical File; Test procedure / report; Certificate / calibration evidence; Drawing / diagram</t>
        </is>
      </c>
    </row>
    <row r="136">
      <c r="A136" s="208" t="inlineStr">
        <is>
          <t>RTM-695</t>
        </is>
      </c>
      <c r="B136" s="223" t="inlineStr">
        <is>
          <t>L2 Detailed Design</t>
        </is>
      </c>
      <c r="C136" s="208" t="n">
        <v>3</v>
      </c>
      <c r="D136" s="208" t="inlineStr">
        <is>
          <t>T0 Gate</t>
        </is>
      </c>
      <c r="E136" s="208" t="inlineStr">
        <is>
          <t>Codes &amp; Standards</t>
        </is>
      </c>
      <c r="F136" s="208" t="n">
        <v>32</v>
      </c>
      <c r="G136" s="208" t="n">
        <v>21</v>
      </c>
      <c r="H136" s="208" t="inlineStr">
        <is>
          <t>Technical File; Test procedure / report; Certificate / calibration evidence; Drawing / diagram</t>
        </is>
      </c>
    </row>
    <row r="137">
      <c r="A137" s="199" t="inlineStr">
        <is>
          <t>RTM-695</t>
        </is>
      </c>
      <c r="B137" s="224" t="inlineStr">
        <is>
          <t>L3 Procurement &amp; Manufacturing / FAT</t>
        </is>
      </c>
      <c r="C137" s="199" t="n">
        <v>4</v>
      </c>
      <c r="D137" s="199" t="inlineStr">
        <is>
          <t>T0 Gate</t>
        </is>
      </c>
      <c r="E137" s="199" t="inlineStr">
        <is>
          <t>Codes &amp; Standards</t>
        </is>
      </c>
      <c r="F137" s="199" t="n">
        <v>32</v>
      </c>
      <c r="G137" s="199" t="n">
        <v>21</v>
      </c>
      <c r="H137" s="199" t="inlineStr">
        <is>
          <t>Technical File; Test procedure / report; Certificate / calibration evidence; Drawing / diagram</t>
        </is>
      </c>
    </row>
    <row r="138">
      <c r="A138" s="208" t="inlineStr">
        <is>
          <t>RTM-695</t>
        </is>
      </c>
      <c r="B138" s="220" t="inlineStr">
        <is>
          <t>L4 Installation</t>
        </is>
      </c>
      <c r="C138" s="208" t="n">
        <v>6</v>
      </c>
      <c r="D138" s="208" t="inlineStr">
        <is>
          <t>T0 Gate</t>
        </is>
      </c>
      <c r="E138" s="208" t="inlineStr">
        <is>
          <t>Codes &amp; Standards</t>
        </is>
      </c>
      <c r="F138" s="208" t="n">
        <v>32</v>
      </c>
      <c r="G138" s="208" t="n">
        <v>21</v>
      </c>
      <c r="H138" s="208" t="inlineStr">
        <is>
          <t>Technical File; Test procedure / report; Certificate / calibration evidence; Drawing / diagram</t>
        </is>
      </c>
    </row>
    <row r="139">
      <c r="A139" s="199" t="inlineStr">
        <is>
          <t>RTM-695</t>
        </is>
      </c>
      <c r="B139" s="225" t="inlineStr">
        <is>
          <t>L5 Standalone Commissioning</t>
        </is>
      </c>
      <c r="C139" s="199" t="n">
        <v>7</v>
      </c>
      <c r="D139" s="199" t="inlineStr">
        <is>
          <t>T0 Gate</t>
        </is>
      </c>
      <c r="E139" s="199" t="inlineStr">
        <is>
          <t>Codes &amp; Standards</t>
        </is>
      </c>
      <c r="F139" s="199" t="n">
        <v>32</v>
      </c>
      <c r="G139" s="199" t="n">
        <v>21</v>
      </c>
      <c r="H139" s="199" t="inlineStr">
        <is>
          <t>Technical File; Test procedure / report; Certificate / calibration evidence; Drawing / diagram</t>
        </is>
      </c>
    </row>
    <row r="140">
      <c r="A140" s="208" t="inlineStr">
        <is>
          <t>RTM-695</t>
        </is>
      </c>
      <c r="B140" s="226" t="inlineStr">
        <is>
          <t>L6 Site Acceptance Testing</t>
        </is>
      </c>
      <c r="C140" s="208" t="n">
        <v>8</v>
      </c>
      <c r="D140" s="208" t="inlineStr">
        <is>
          <t>T0 Gate</t>
        </is>
      </c>
      <c r="E140" s="208" t="inlineStr">
        <is>
          <t>Codes &amp; Standards</t>
        </is>
      </c>
      <c r="F140" s="208" t="n">
        <v>32</v>
      </c>
      <c r="G140" s="208" t="n">
        <v>21</v>
      </c>
      <c r="H140" s="208" t="inlineStr">
        <is>
          <t>Technical File; Test procedure / report; Certificate / calibration evidence; Drawing / diagram</t>
        </is>
      </c>
    </row>
    <row r="141">
      <c r="A141" s="199" t="inlineStr">
        <is>
          <t>RTM-603</t>
        </is>
      </c>
      <c r="B141" s="221" t="inlineStr">
        <is>
          <t>L0 Tender / Offer</t>
        </is>
      </c>
      <c r="C141" s="199" t="n">
        <v>1</v>
      </c>
      <c r="D141" s="199" t="inlineStr">
        <is>
          <t>T0 Gate</t>
        </is>
      </c>
      <c r="E141" s="199" t="inlineStr">
        <is>
          <t>Safety &amp; Protection</t>
        </is>
      </c>
      <c r="F141" s="199" t="n">
        <v>30.6667</v>
      </c>
      <c r="G141" s="199" t="n">
        <v>22</v>
      </c>
      <c r="H141" s="199" t="inlineStr">
        <is>
          <t>Procedure / work instruction</t>
        </is>
      </c>
    </row>
    <row r="142">
      <c r="A142" s="208" t="inlineStr">
        <is>
          <t>RTM-603</t>
        </is>
      </c>
      <c r="B142" s="222" t="inlineStr">
        <is>
          <t>L1 Conceptual Design</t>
        </is>
      </c>
      <c r="C142" s="208" t="n">
        <v>2</v>
      </c>
      <c r="D142" s="208" t="inlineStr">
        <is>
          <t>T0 Gate</t>
        </is>
      </c>
      <c r="E142" s="208" t="inlineStr">
        <is>
          <t>Safety &amp; Protection</t>
        </is>
      </c>
      <c r="F142" s="208" t="n">
        <v>30.6667</v>
      </c>
      <c r="G142" s="208" t="n">
        <v>22</v>
      </c>
      <c r="H142" s="208" t="inlineStr">
        <is>
          <t>Procedure / work instruction</t>
        </is>
      </c>
    </row>
    <row r="143">
      <c r="A143" s="199" t="inlineStr">
        <is>
          <t>RTM-603</t>
        </is>
      </c>
      <c r="B143" s="223" t="inlineStr">
        <is>
          <t>L2 Detailed Design</t>
        </is>
      </c>
      <c r="C143" s="199" t="n">
        <v>3</v>
      </c>
      <c r="D143" s="199" t="inlineStr">
        <is>
          <t>T0 Gate</t>
        </is>
      </c>
      <c r="E143" s="199" t="inlineStr">
        <is>
          <t>Safety &amp; Protection</t>
        </is>
      </c>
      <c r="F143" s="199" t="n">
        <v>30.6667</v>
      </c>
      <c r="G143" s="199" t="n">
        <v>22</v>
      </c>
      <c r="H143" s="199" t="inlineStr">
        <is>
          <t>Procedure / work instruction</t>
        </is>
      </c>
    </row>
    <row r="144">
      <c r="A144" s="208" t="inlineStr">
        <is>
          <t>RTM-603</t>
        </is>
      </c>
      <c r="B144" s="224" t="inlineStr">
        <is>
          <t>L3 Procurement &amp; Manufacturing / FAT</t>
        </is>
      </c>
      <c r="C144" s="208" t="n">
        <v>4</v>
      </c>
      <c r="D144" s="208" t="inlineStr">
        <is>
          <t>T0 Gate</t>
        </is>
      </c>
      <c r="E144" s="208" t="inlineStr">
        <is>
          <t>Safety &amp; Protection</t>
        </is>
      </c>
      <c r="F144" s="208" t="n">
        <v>30.6667</v>
      </c>
      <c r="G144" s="208" t="n">
        <v>22</v>
      </c>
      <c r="H144" s="208" t="inlineStr">
        <is>
          <t>Procedure / work instruction</t>
        </is>
      </c>
    </row>
    <row r="145">
      <c r="A145" s="199" t="inlineStr">
        <is>
          <t>RTM-603</t>
        </is>
      </c>
      <c r="B145" s="220" t="inlineStr">
        <is>
          <t>L4 Installation</t>
        </is>
      </c>
      <c r="C145" s="199" t="n">
        <v>6</v>
      </c>
      <c r="D145" s="199" t="inlineStr">
        <is>
          <t>T0 Gate</t>
        </is>
      </c>
      <c r="E145" s="199" t="inlineStr">
        <is>
          <t>Safety &amp; Protection</t>
        </is>
      </c>
      <c r="F145" s="199" t="n">
        <v>30.6667</v>
      </c>
      <c r="G145" s="199" t="n">
        <v>22</v>
      </c>
      <c r="H145" s="199" t="inlineStr">
        <is>
          <t>Procedure / work instruction</t>
        </is>
      </c>
    </row>
    <row r="146">
      <c r="A146" s="208" t="inlineStr">
        <is>
          <t>RTM-603</t>
        </is>
      </c>
      <c r="B146" s="225" t="inlineStr">
        <is>
          <t>L5 Standalone Commissioning</t>
        </is>
      </c>
      <c r="C146" s="208" t="n">
        <v>7</v>
      </c>
      <c r="D146" s="208" t="inlineStr">
        <is>
          <t>T0 Gate</t>
        </is>
      </c>
      <c r="E146" s="208" t="inlineStr">
        <is>
          <t>Safety &amp; Protection</t>
        </is>
      </c>
      <c r="F146" s="208" t="n">
        <v>30.6667</v>
      </c>
      <c r="G146" s="208" t="n">
        <v>22</v>
      </c>
      <c r="H146" s="208" t="inlineStr">
        <is>
          <t>Procedure / work instruction</t>
        </is>
      </c>
    </row>
    <row r="147">
      <c r="A147" s="199" t="inlineStr">
        <is>
          <t>RTM-603</t>
        </is>
      </c>
      <c r="B147" s="226" t="inlineStr">
        <is>
          <t>L6 Site Acceptance Testing</t>
        </is>
      </c>
      <c r="C147" s="199" t="n">
        <v>8</v>
      </c>
      <c r="D147" s="199" t="inlineStr">
        <is>
          <t>T0 Gate</t>
        </is>
      </c>
      <c r="E147" s="199" t="inlineStr">
        <is>
          <t>Safety &amp; Protection</t>
        </is>
      </c>
      <c r="F147" s="199" t="n">
        <v>30.6667</v>
      </c>
      <c r="G147" s="199" t="n">
        <v>22</v>
      </c>
      <c r="H147" s="199" t="inlineStr">
        <is>
          <t>Procedure / work instruction</t>
        </is>
      </c>
    </row>
    <row r="148">
      <c r="A148" s="208" t="inlineStr">
        <is>
          <t>RTM-604</t>
        </is>
      </c>
      <c r="B148" s="221" t="inlineStr">
        <is>
          <t>L0 Tender / Offer</t>
        </is>
      </c>
      <c r="C148" s="208" t="n">
        <v>1</v>
      </c>
      <c r="D148" s="208" t="inlineStr">
        <is>
          <t>T0 Gate</t>
        </is>
      </c>
      <c r="E148" s="208" t="inlineStr">
        <is>
          <t>Safety &amp; Protection</t>
        </is>
      </c>
      <c r="F148" s="208" t="n">
        <v>30.6667</v>
      </c>
      <c r="G148" s="208" t="n">
        <v>23</v>
      </c>
      <c r="H148" s="208" t="inlineStr">
        <is>
          <t>Procedure / work instruction</t>
        </is>
      </c>
    </row>
    <row r="149">
      <c r="A149" s="199" t="inlineStr">
        <is>
          <t>RTM-604</t>
        </is>
      </c>
      <c r="B149" s="222" t="inlineStr">
        <is>
          <t>L1 Conceptual Design</t>
        </is>
      </c>
      <c r="C149" s="199" t="n">
        <v>2</v>
      </c>
      <c r="D149" s="199" t="inlineStr">
        <is>
          <t>T0 Gate</t>
        </is>
      </c>
      <c r="E149" s="199" t="inlineStr">
        <is>
          <t>Safety &amp; Protection</t>
        </is>
      </c>
      <c r="F149" s="199" t="n">
        <v>30.6667</v>
      </c>
      <c r="G149" s="199" t="n">
        <v>23</v>
      </c>
      <c r="H149" s="199" t="inlineStr">
        <is>
          <t>Procedure / work instruction</t>
        </is>
      </c>
    </row>
    <row r="150">
      <c r="A150" s="208" t="inlineStr">
        <is>
          <t>RTM-604</t>
        </is>
      </c>
      <c r="B150" s="223" t="inlineStr">
        <is>
          <t>L2 Detailed Design</t>
        </is>
      </c>
      <c r="C150" s="208" t="n">
        <v>3</v>
      </c>
      <c r="D150" s="208" t="inlineStr">
        <is>
          <t>T0 Gate</t>
        </is>
      </c>
      <c r="E150" s="208" t="inlineStr">
        <is>
          <t>Safety &amp; Protection</t>
        </is>
      </c>
      <c r="F150" s="208" t="n">
        <v>30.6667</v>
      </c>
      <c r="G150" s="208" t="n">
        <v>23</v>
      </c>
      <c r="H150" s="208" t="inlineStr">
        <is>
          <t>Procedure / work instruction</t>
        </is>
      </c>
    </row>
    <row r="151">
      <c r="A151" s="199" t="inlineStr">
        <is>
          <t>RTM-604</t>
        </is>
      </c>
      <c r="B151" s="224" t="inlineStr">
        <is>
          <t>L3 Procurement &amp; Manufacturing / FAT</t>
        </is>
      </c>
      <c r="C151" s="199" t="n">
        <v>4</v>
      </c>
      <c r="D151" s="199" t="inlineStr">
        <is>
          <t>T0 Gate</t>
        </is>
      </c>
      <c r="E151" s="199" t="inlineStr">
        <is>
          <t>Safety &amp; Protection</t>
        </is>
      </c>
      <c r="F151" s="199" t="n">
        <v>30.6667</v>
      </c>
      <c r="G151" s="199" t="n">
        <v>23</v>
      </c>
      <c r="H151" s="199" t="inlineStr">
        <is>
          <t>Procedure / work instruction</t>
        </is>
      </c>
    </row>
    <row r="152">
      <c r="A152" s="208" t="inlineStr">
        <is>
          <t>RTM-604</t>
        </is>
      </c>
      <c r="B152" s="220" t="inlineStr">
        <is>
          <t>L4 Installation</t>
        </is>
      </c>
      <c r="C152" s="208" t="n">
        <v>6</v>
      </c>
      <c r="D152" s="208" t="inlineStr">
        <is>
          <t>T0 Gate</t>
        </is>
      </c>
      <c r="E152" s="208" t="inlineStr">
        <is>
          <t>Safety &amp; Protection</t>
        </is>
      </c>
      <c r="F152" s="208" t="n">
        <v>30.6667</v>
      </c>
      <c r="G152" s="208" t="n">
        <v>23</v>
      </c>
      <c r="H152" s="208" t="inlineStr">
        <is>
          <t>Procedure / work instruction</t>
        </is>
      </c>
    </row>
    <row r="153">
      <c r="A153" s="199" t="inlineStr">
        <is>
          <t>RTM-604</t>
        </is>
      </c>
      <c r="B153" s="225" t="inlineStr">
        <is>
          <t>L5 Standalone Commissioning</t>
        </is>
      </c>
      <c r="C153" s="199" t="n">
        <v>7</v>
      </c>
      <c r="D153" s="199" t="inlineStr">
        <is>
          <t>T0 Gate</t>
        </is>
      </c>
      <c r="E153" s="199" t="inlineStr">
        <is>
          <t>Safety &amp; Protection</t>
        </is>
      </c>
      <c r="F153" s="199" t="n">
        <v>30.6667</v>
      </c>
      <c r="G153" s="199" t="n">
        <v>23</v>
      </c>
      <c r="H153" s="199" t="inlineStr">
        <is>
          <t>Procedure / work instruction</t>
        </is>
      </c>
    </row>
    <row r="154">
      <c r="A154" s="208" t="inlineStr">
        <is>
          <t>RTM-604</t>
        </is>
      </c>
      <c r="B154" s="226" t="inlineStr">
        <is>
          <t>L6 Site Acceptance Testing</t>
        </is>
      </c>
      <c r="C154" s="208" t="n">
        <v>8</v>
      </c>
      <c r="D154" s="208" t="inlineStr">
        <is>
          <t>T0 Gate</t>
        </is>
      </c>
      <c r="E154" s="208" t="inlineStr">
        <is>
          <t>Safety &amp; Protection</t>
        </is>
      </c>
      <c r="F154" s="208" t="n">
        <v>30.6667</v>
      </c>
      <c r="G154" s="208" t="n">
        <v>23</v>
      </c>
      <c r="H154" s="208" t="inlineStr">
        <is>
          <t>Procedure / work instruction</t>
        </is>
      </c>
    </row>
    <row r="155">
      <c r="A155" s="199" t="inlineStr">
        <is>
          <t>RTM-609</t>
        </is>
      </c>
      <c r="B155" s="221" t="inlineStr">
        <is>
          <t>L0 Tender / Offer</t>
        </is>
      </c>
      <c r="C155" s="199" t="n">
        <v>1</v>
      </c>
      <c r="D155" s="199" t="inlineStr">
        <is>
          <t>T0 Gate</t>
        </is>
      </c>
      <c r="E155" s="199" t="inlineStr">
        <is>
          <t>Safety &amp; Protection</t>
        </is>
      </c>
      <c r="F155" s="199" t="n">
        <v>27.3333</v>
      </c>
      <c r="G155" s="199" t="n">
        <v>24</v>
      </c>
      <c r="H155" s="199" t="inlineStr">
        <is>
          <t>No separate deliverable explicitly named</t>
        </is>
      </c>
    </row>
    <row r="156">
      <c r="A156" s="208" t="inlineStr">
        <is>
          <t>RTM-609</t>
        </is>
      </c>
      <c r="B156" s="222" t="inlineStr">
        <is>
          <t>L1 Conceptual Design</t>
        </is>
      </c>
      <c r="C156" s="208" t="n">
        <v>2</v>
      </c>
      <c r="D156" s="208" t="inlineStr">
        <is>
          <t>T0 Gate</t>
        </is>
      </c>
      <c r="E156" s="208" t="inlineStr">
        <is>
          <t>Safety &amp; Protection</t>
        </is>
      </c>
      <c r="F156" s="208" t="n">
        <v>27.3333</v>
      </c>
      <c r="G156" s="208" t="n">
        <v>24</v>
      </c>
      <c r="H156" s="208" t="inlineStr">
        <is>
          <t>No separate deliverable explicitly named</t>
        </is>
      </c>
    </row>
    <row r="157">
      <c r="A157" s="199" t="inlineStr">
        <is>
          <t>RTM-609</t>
        </is>
      </c>
      <c r="B157" s="223" t="inlineStr">
        <is>
          <t>L2 Detailed Design</t>
        </is>
      </c>
      <c r="C157" s="199" t="n">
        <v>3</v>
      </c>
      <c r="D157" s="199" t="inlineStr">
        <is>
          <t>T0 Gate</t>
        </is>
      </c>
      <c r="E157" s="199" t="inlineStr">
        <is>
          <t>Safety &amp; Protection</t>
        </is>
      </c>
      <c r="F157" s="199" t="n">
        <v>27.3333</v>
      </c>
      <c r="G157" s="199" t="n">
        <v>24</v>
      </c>
      <c r="H157" s="199" t="inlineStr">
        <is>
          <t>No separate deliverable explicitly named</t>
        </is>
      </c>
    </row>
    <row r="158">
      <c r="A158" s="208" t="inlineStr">
        <is>
          <t>RTM-609</t>
        </is>
      </c>
      <c r="B158" s="224" t="inlineStr">
        <is>
          <t>L3 Procurement &amp; Manufacturing / FAT</t>
        </is>
      </c>
      <c r="C158" s="208" t="n">
        <v>4</v>
      </c>
      <c r="D158" s="208" t="inlineStr">
        <is>
          <t>T0 Gate</t>
        </is>
      </c>
      <c r="E158" s="208" t="inlineStr">
        <is>
          <t>Safety &amp; Protection</t>
        </is>
      </c>
      <c r="F158" s="208" t="n">
        <v>27.3333</v>
      </c>
      <c r="G158" s="208" t="n">
        <v>24</v>
      </c>
      <c r="H158" s="208" t="inlineStr">
        <is>
          <t>No separate deliverable explicitly named</t>
        </is>
      </c>
    </row>
    <row r="159">
      <c r="A159" s="199" t="inlineStr">
        <is>
          <t>RTM-609</t>
        </is>
      </c>
      <c r="B159" s="220" t="inlineStr">
        <is>
          <t>L4 Installation</t>
        </is>
      </c>
      <c r="C159" s="199" t="n">
        <v>6</v>
      </c>
      <c r="D159" s="199" t="inlineStr">
        <is>
          <t>T0 Gate</t>
        </is>
      </c>
      <c r="E159" s="199" t="inlineStr">
        <is>
          <t>Safety &amp; Protection</t>
        </is>
      </c>
      <c r="F159" s="199" t="n">
        <v>27.3333</v>
      </c>
      <c r="G159" s="199" t="n">
        <v>24</v>
      </c>
      <c r="H159" s="199" t="inlineStr">
        <is>
          <t>No separate deliverable explicitly named</t>
        </is>
      </c>
    </row>
    <row r="160">
      <c r="A160" s="208" t="inlineStr">
        <is>
          <t>RTM-609</t>
        </is>
      </c>
      <c r="B160" s="225" t="inlineStr">
        <is>
          <t>L5 Standalone Commissioning</t>
        </is>
      </c>
      <c r="C160" s="208" t="n">
        <v>7</v>
      </c>
      <c r="D160" s="208" t="inlineStr">
        <is>
          <t>T0 Gate</t>
        </is>
      </c>
      <c r="E160" s="208" t="inlineStr">
        <is>
          <t>Safety &amp; Protection</t>
        </is>
      </c>
      <c r="F160" s="208" t="n">
        <v>27.3333</v>
      </c>
      <c r="G160" s="208" t="n">
        <v>24</v>
      </c>
      <c r="H160" s="208" t="inlineStr">
        <is>
          <t>No separate deliverable explicitly named</t>
        </is>
      </c>
    </row>
    <row r="161">
      <c r="A161" s="199" t="inlineStr">
        <is>
          <t>RTM-609</t>
        </is>
      </c>
      <c r="B161" s="226" t="inlineStr">
        <is>
          <t>L6 Site Acceptance Testing</t>
        </is>
      </c>
      <c r="C161" s="199" t="n">
        <v>8</v>
      </c>
      <c r="D161" s="199" t="inlineStr">
        <is>
          <t>T0 Gate</t>
        </is>
      </c>
      <c r="E161" s="199" t="inlineStr">
        <is>
          <t>Safety &amp; Protection</t>
        </is>
      </c>
      <c r="F161" s="199" t="n">
        <v>27.3333</v>
      </c>
      <c r="G161" s="199" t="n">
        <v>24</v>
      </c>
      <c r="H161" s="199" t="inlineStr">
        <is>
          <t>No separate deliverable explicitly named</t>
        </is>
      </c>
    </row>
    <row r="162">
      <c r="A162" s="208" t="inlineStr">
        <is>
          <t>RTM-001</t>
        </is>
      </c>
      <c r="B162" s="222" t="inlineStr">
        <is>
          <t>L1 Conceptual Design</t>
        </is>
      </c>
      <c r="C162" s="208" t="n">
        <v>2</v>
      </c>
      <c r="D162" s="208" t="inlineStr">
        <is>
          <t>T0 Gate</t>
        </is>
      </c>
      <c r="E162" s="208" t="inlineStr">
        <is>
          <t>General / Compliance</t>
        </is>
      </c>
      <c r="F162" s="208" t="n">
        <v>20</v>
      </c>
      <c r="G162" s="208" t="n">
        <v>25</v>
      </c>
      <c r="H162" s="208" t="inlineStr">
        <is>
          <t>No separate deliverable explicitly named</t>
        </is>
      </c>
    </row>
    <row r="163">
      <c r="A163" s="199" t="inlineStr">
        <is>
          <t>RTM-001</t>
        </is>
      </c>
      <c r="B163" s="223" t="inlineStr">
        <is>
          <t>L2 Detailed Design</t>
        </is>
      </c>
      <c r="C163" s="199" t="n">
        <v>3</v>
      </c>
      <c r="D163" s="199" t="inlineStr">
        <is>
          <t>T0 Gate</t>
        </is>
      </c>
      <c r="E163" s="199" t="inlineStr">
        <is>
          <t>General / Compliance</t>
        </is>
      </c>
      <c r="F163" s="199" t="n">
        <v>20</v>
      </c>
      <c r="G163" s="199" t="n">
        <v>25</v>
      </c>
      <c r="H163" s="199" t="inlineStr">
        <is>
          <t>No separate deliverable explicitly named</t>
        </is>
      </c>
    </row>
    <row r="164">
      <c r="A164" s="208" t="inlineStr">
        <is>
          <t>RTM-003</t>
        </is>
      </c>
      <c r="B164" s="222" t="inlineStr">
        <is>
          <t>L1 Conceptual Design</t>
        </is>
      </c>
      <c r="C164" s="208" t="n">
        <v>2</v>
      </c>
      <c r="D164" s="208" t="inlineStr">
        <is>
          <t>T0 Gate</t>
        </is>
      </c>
      <c r="E164" s="208" t="inlineStr">
        <is>
          <t>General / Compliance</t>
        </is>
      </c>
      <c r="F164" s="208" t="n">
        <v>20</v>
      </c>
      <c r="G164" s="208" t="n">
        <v>26</v>
      </c>
      <c r="H164" s="208" t="inlineStr">
        <is>
          <t>No separate deliverable explicitly named</t>
        </is>
      </c>
    </row>
    <row r="165">
      <c r="A165" s="199" t="inlineStr">
        <is>
          <t>RTM-003</t>
        </is>
      </c>
      <c r="B165" s="223" t="inlineStr">
        <is>
          <t>L2 Detailed Design</t>
        </is>
      </c>
      <c r="C165" s="199" t="n">
        <v>3</v>
      </c>
      <c r="D165" s="199" t="inlineStr">
        <is>
          <t>T0 Gate</t>
        </is>
      </c>
      <c r="E165" s="199" t="inlineStr">
        <is>
          <t>General / Compliance</t>
        </is>
      </c>
      <c r="F165" s="199" t="n">
        <v>20</v>
      </c>
      <c r="G165" s="199" t="n">
        <v>26</v>
      </c>
      <c r="H165" s="199" t="inlineStr">
        <is>
          <t>No separate deliverable explicitly named</t>
        </is>
      </c>
    </row>
    <row r="166">
      <c r="A166" s="208" t="inlineStr">
        <is>
          <t>RTM-004</t>
        </is>
      </c>
      <c r="B166" s="222" t="inlineStr">
        <is>
          <t>L1 Conceptual Design</t>
        </is>
      </c>
      <c r="C166" s="208" t="n">
        <v>2</v>
      </c>
      <c r="D166" s="208" t="inlineStr">
        <is>
          <t>T0 Gate</t>
        </is>
      </c>
      <c r="E166" s="208" t="inlineStr">
        <is>
          <t>General / Compliance</t>
        </is>
      </c>
      <c r="F166" s="208" t="n">
        <v>20</v>
      </c>
      <c r="G166" s="208" t="n">
        <v>27</v>
      </c>
      <c r="H166" s="208" t="inlineStr">
        <is>
          <t>No separate deliverable explicitly named</t>
        </is>
      </c>
    </row>
    <row r="167">
      <c r="A167" s="199" t="inlineStr">
        <is>
          <t>RTM-004</t>
        </is>
      </c>
      <c r="B167" s="223" t="inlineStr">
        <is>
          <t>L2 Detailed Design</t>
        </is>
      </c>
      <c r="C167" s="199" t="n">
        <v>3</v>
      </c>
      <c r="D167" s="199" t="inlineStr">
        <is>
          <t>T0 Gate</t>
        </is>
      </c>
      <c r="E167" s="199" t="inlineStr">
        <is>
          <t>General / Compliance</t>
        </is>
      </c>
      <c r="F167" s="199" t="n">
        <v>20</v>
      </c>
      <c r="G167" s="199" t="n">
        <v>27</v>
      </c>
      <c r="H167" s="199" t="inlineStr">
        <is>
          <t>No separate deliverable explicitly named</t>
        </is>
      </c>
    </row>
    <row r="168">
      <c r="A168" s="208" t="inlineStr">
        <is>
          <t>RTM-594</t>
        </is>
      </c>
      <c r="B168" s="221" t="inlineStr">
        <is>
          <t>L0 Tender / Offer</t>
        </is>
      </c>
      <c r="C168" s="208" t="n">
        <v>1</v>
      </c>
      <c r="D168" s="208" t="inlineStr">
        <is>
          <t>T0 Gate</t>
        </is>
      </c>
      <c r="E168" s="208" t="inlineStr">
        <is>
          <t>Safety &amp; Protection</t>
        </is>
      </c>
      <c r="F168" s="208" t="n">
        <v>20</v>
      </c>
      <c r="G168" s="208" t="n">
        <v>28</v>
      </c>
      <c r="H168" s="208" t="inlineStr">
        <is>
          <t>No separate deliverable explicitly named</t>
        </is>
      </c>
    </row>
    <row r="169">
      <c r="A169" s="199" t="inlineStr">
        <is>
          <t>RTM-594</t>
        </is>
      </c>
      <c r="B169" s="222" t="inlineStr">
        <is>
          <t>L1 Conceptual Design</t>
        </is>
      </c>
      <c r="C169" s="199" t="n">
        <v>2</v>
      </c>
      <c r="D169" s="199" t="inlineStr">
        <is>
          <t>T0 Gate</t>
        </is>
      </c>
      <c r="E169" s="199" t="inlineStr">
        <is>
          <t>Safety &amp; Protection</t>
        </is>
      </c>
      <c r="F169" s="199" t="n">
        <v>20</v>
      </c>
      <c r="G169" s="199" t="n">
        <v>28</v>
      </c>
      <c r="H169" s="199" t="inlineStr">
        <is>
          <t>No separate deliverable explicitly named</t>
        </is>
      </c>
    </row>
    <row r="170">
      <c r="A170" s="208" t="inlineStr">
        <is>
          <t>RTM-594</t>
        </is>
      </c>
      <c r="B170" s="223" t="inlineStr">
        <is>
          <t>L2 Detailed Design</t>
        </is>
      </c>
      <c r="C170" s="208" t="n">
        <v>3</v>
      </c>
      <c r="D170" s="208" t="inlineStr">
        <is>
          <t>T0 Gate</t>
        </is>
      </c>
      <c r="E170" s="208" t="inlineStr">
        <is>
          <t>Safety &amp; Protection</t>
        </is>
      </c>
      <c r="F170" s="208" t="n">
        <v>20</v>
      </c>
      <c r="G170" s="208" t="n">
        <v>28</v>
      </c>
      <c r="H170" s="208" t="inlineStr">
        <is>
          <t>No separate deliverable explicitly named</t>
        </is>
      </c>
    </row>
    <row r="171">
      <c r="A171" s="199" t="inlineStr">
        <is>
          <t>RTM-594</t>
        </is>
      </c>
      <c r="B171" s="224" t="inlineStr">
        <is>
          <t>L3 Procurement &amp; Manufacturing / FAT</t>
        </is>
      </c>
      <c r="C171" s="199" t="n">
        <v>4</v>
      </c>
      <c r="D171" s="199" t="inlineStr">
        <is>
          <t>T0 Gate</t>
        </is>
      </c>
      <c r="E171" s="199" t="inlineStr">
        <is>
          <t>Safety &amp; Protection</t>
        </is>
      </c>
      <c r="F171" s="199" t="n">
        <v>20</v>
      </c>
      <c r="G171" s="199" t="n">
        <v>28</v>
      </c>
      <c r="H171" s="199" t="inlineStr">
        <is>
          <t>No separate deliverable explicitly named</t>
        </is>
      </c>
    </row>
    <row r="172">
      <c r="A172" s="208" t="inlineStr">
        <is>
          <t>RTM-594</t>
        </is>
      </c>
      <c r="B172" s="220" t="inlineStr">
        <is>
          <t>L4 Installation</t>
        </is>
      </c>
      <c r="C172" s="208" t="n">
        <v>6</v>
      </c>
      <c r="D172" s="208" t="inlineStr">
        <is>
          <t>T0 Gate</t>
        </is>
      </c>
      <c r="E172" s="208" t="inlineStr">
        <is>
          <t>Safety &amp; Protection</t>
        </is>
      </c>
      <c r="F172" s="208" t="n">
        <v>20</v>
      </c>
      <c r="G172" s="208" t="n">
        <v>28</v>
      </c>
      <c r="H172" s="208" t="inlineStr">
        <is>
          <t>No separate deliverable explicitly named</t>
        </is>
      </c>
    </row>
    <row r="173">
      <c r="A173" s="199" t="inlineStr">
        <is>
          <t>RTM-594</t>
        </is>
      </c>
      <c r="B173" s="225" t="inlineStr">
        <is>
          <t>L5 Standalone Commissioning</t>
        </is>
      </c>
      <c r="C173" s="199" t="n">
        <v>7</v>
      </c>
      <c r="D173" s="199" t="inlineStr">
        <is>
          <t>T0 Gate</t>
        </is>
      </c>
      <c r="E173" s="199" t="inlineStr">
        <is>
          <t>Safety &amp; Protection</t>
        </is>
      </c>
      <c r="F173" s="199" t="n">
        <v>20</v>
      </c>
      <c r="G173" s="199" t="n">
        <v>28</v>
      </c>
      <c r="H173" s="199" t="inlineStr">
        <is>
          <t>No separate deliverable explicitly named</t>
        </is>
      </c>
    </row>
    <row r="174">
      <c r="A174" s="208" t="inlineStr">
        <is>
          <t>RTM-594</t>
        </is>
      </c>
      <c r="B174" s="226" t="inlineStr">
        <is>
          <t>L6 Site Acceptance Testing</t>
        </is>
      </c>
      <c r="C174" s="208" t="n">
        <v>8</v>
      </c>
      <c r="D174" s="208" t="inlineStr">
        <is>
          <t>T0 Gate</t>
        </is>
      </c>
      <c r="E174" s="208" t="inlineStr">
        <is>
          <t>Safety &amp; Protection</t>
        </is>
      </c>
      <c r="F174" s="208" t="n">
        <v>20</v>
      </c>
      <c r="G174" s="208" t="n">
        <v>28</v>
      </c>
      <c r="H174" s="208" t="inlineStr">
        <is>
          <t>No separate deliverable explicitly named</t>
        </is>
      </c>
    </row>
    <row r="175">
      <c r="A175" s="199" t="inlineStr">
        <is>
          <t>RTM-601</t>
        </is>
      </c>
      <c r="B175" s="221" t="inlineStr">
        <is>
          <t>L0 Tender / Offer</t>
        </is>
      </c>
      <c r="C175" s="199" t="n">
        <v>1</v>
      </c>
      <c r="D175" s="199" t="inlineStr">
        <is>
          <t>T0 Gate</t>
        </is>
      </c>
      <c r="E175" s="199" t="inlineStr">
        <is>
          <t>Safety &amp; Protection</t>
        </is>
      </c>
      <c r="F175" s="199" t="n">
        <v>20</v>
      </c>
      <c r="G175" s="199" t="n">
        <v>29</v>
      </c>
      <c r="H175" s="199" t="inlineStr">
        <is>
          <t>No separate deliverable explicitly named</t>
        </is>
      </c>
    </row>
    <row r="176">
      <c r="A176" s="208" t="inlineStr">
        <is>
          <t>RTM-601</t>
        </is>
      </c>
      <c r="B176" s="222" t="inlineStr">
        <is>
          <t>L1 Conceptual Design</t>
        </is>
      </c>
      <c r="C176" s="208" t="n">
        <v>2</v>
      </c>
      <c r="D176" s="208" t="inlineStr">
        <is>
          <t>T0 Gate</t>
        </is>
      </c>
      <c r="E176" s="208" t="inlineStr">
        <is>
          <t>Safety &amp; Protection</t>
        </is>
      </c>
      <c r="F176" s="208" t="n">
        <v>20</v>
      </c>
      <c r="G176" s="208" t="n">
        <v>29</v>
      </c>
      <c r="H176" s="208" t="inlineStr">
        <is>
          <t>No separate deliverable explicitly named</t>
        </is>
      </c>
    </row>
    <row r="177">
      <c r="A177" s="199" t="inlineStr">
        <is>
          <t>RTM-601</t>
        </is>
      </c>
      <c r="B177" s="223" t="inlineStr">
        <is>
          <t>L2 Detailed Design</t>
        </is>
      </c>
      <c r="C177" s="199" t="n">
        <v>3</v>
      </c>
      <c r="D177" s="199" t="inlineStr">
        <is>
          <t>T0 Gate</t>
        </is>
      </c>
      <c r="E177" s="199" t="inlineStr">
        <is>
          <t>Safety &amp; Protection</t>
        </is>
      </c>
      <c r="F177" s="199" t="n">
        <v>20</v>
      </c>
      <c r="G177" s="199" t="n">
        <v>29</v>
      </c>
      <c r="H177" s="199" t="inlineStr">
        <is>
          <t>No separate deliverable explicitly named</t>
        </is>
      </c>
    </row>
    <row r="178">
      <c r="A178" s="208" t="inlineStr">
        <is>
          <t>RTM-601</t>
        </is>
      </c>
      <c r="B178" s="224" t="inlineStr">
        <is>
          <t>L3 Procurement &amp; Manufacturing / FAT</t>
        </is>
      </c>
      <c r="C178" s="208" t="n">
        <v>4</v>
      </c>
      <c r="D178" s="208" t="inlineStr">
        <is>
          <t>T0 Gate</t>
        </is>
      </c>
      <c r="E178" s="208" t="inlineStr">
        <is>
          <t>Safety &amp; Protection</t>
        </is>
      </c>
      <c r="F178" s="208" t="n">
        <v>20</v>
      </c>
      <c r="G178" s="208" t="n">
        <v>29</v>
      </c>
      <c r="H178" s="208" t="inlineStr">
        <is>
          <t>No separate deliverable explicitly named</t>
        </is>
      </c>
    </row>
    <row r="179">
      <c r="A179" s="199" t="inlineStr">
        <is>
          <t>RTM-601</t>
        </is>
      </c>
      <c r="B179" s="220" t="inlineStr">
        <is>
          <t>L4 Installation</t>
        </is>
      </c>
      <c r="C179" s="199" t="n">
        <v>6</v>
      </c>
      <c r="D179" s="199" t="inlineStr">
        <is>
          <t>T0 Gate</t>
        </is>
      </c>
      <c r="E179" s="199" t="inlineStr">
        <is>
          <t>Safety &amp; Protection</t>
        </is>
      </c>
      <c r="F179" s="199" t="n">
        <v>20</v>
      </c>
      <c r="G179" s="199" t="n">
        <v>29</v>
      </c>
      <c r="H179" s="199" t="inlineStr">
        <is>
          <t>No separate deliverable explicitly named</t>
        </is>
      </c>
    </row>
    <row r="180">
      <c r="A180" s="208" t="inlineStr">
        <is>
          <t>RTM-601</t>
        </is>
      </c>
      <c r="B180" s="225" t="inlineStr">
        <is>
          <t>L5 Standalone Commissioning</t>
        </is>
      </c>
      <c r="C180" s="208" t="n">
        <v>7</v>
      </c>
      <c r="D180" s="208" t="inlineStr">
        <is>
          <t>T0 Gate</t>
        </is>
      </c>
      <c r="E180" s="208" t="inlineStr">
        <is>
          <t>Safety &amp; Protection</t>
        </is>
      </c>
      <c r="F180" s="208" t="n">
        <v>20</v>
      </c>
      <c r="G180" s="208" t="n">
        <v>29</v>
      </c>
      <c r="H180" s="208" t="inlineStr">
        <is>
          <t>No separate deliverable explicitly named</t>
        </is>
      </c>
    </row>
    <row r="181">
      <c r="A181" s="199" t="inlineStr">
        <is>
          <t>RTM-601</t>
        </is>
      </c>
      <c r="B181" s="226" t="inlineStr">
        <is>
          <t>L6 Site Acceptance Testing</t>
        </is>
      </c>
      <c r="C181" s="199" t="n">
        <v>8</v>
      </c>
      <c r="D181" s="199" t="inlineStr">
        <is>
          <t>T0 Gate</t>
        </is>
      </c>
      <c r="E181" s="199" t="inlineStr">
        <is>
          <t>Safety &amp; Protection</t>
        </is>
      </c>
      <c r="F181" s="199" t="n">
        <v>20</v>
      </c>
      <c r="G181" s="199" t="n">
        <v>29</v>
      </c>
      <c r="H181" s="199" t="inlineStr">
        <is>
          <t>No separate deliverable explicitly named</t>
        </is>
      </c>
    </row>
    <row r="182">
      <c r="A182" s="208" t="inlineStr">
        <is>
          <t>RTM-602</t>
        </is>
      </c>
      <c r="B182" s="221" t="inlineStr">
        <is>
          <t>L0 Tender / Offer</t>
        </is>
      </c>
      <c r="C182" s="208" t="n">
        <v>1</v>
      </c>
      <c r="D182" s="208" t="inlineStr">
        <is>
          <t>T0 Gate</t>
        </is>
      </c>
      <c r="E182" s="208" t="inlineStr">
        <is>
          <t>Safety &amp; Protection</t>
        </is>
      </c>
      <c r="F182" s="208" t="n">
        <v>20</v>
      </c>
      <c r="G182" s="208" t="n">
        <v>30</v>
      </c>
      <c r="H182" s="208" t="inlineStr">
        <is>
          <t>No separate deliverable explicitly named</t>
        </is>
      </c>
    </row>
    <row r="183">
      <c r="A183" s="199" t="inlineStr">
        <is>
          <t>RTM-602</t>
        </is>
      </c>
      <c r="B183" s="222" t="inlineStr">
        <is>
          <t>L1 Conceptual Design</t>
        </is>
      </c>
      <c r="C183" s="199" t="n">
        <v>2</v>
      </c>
      <c r="D183" s="199" t="inlineStr">
        <is>
          <t>T0 Gate</t>
        </is>
      </c>
      <c r="E183" s="199" t="inlineStr">
        <is>
          <t>Safety &amp; Protection</t>
        </is>
      </c>
      <c r="F183" s="199" t="n">
        <v>20</v>
      </c>
      <c r="G183" s="199" t="n">
        <v>30</v>
      </c>
      <c r="H183" s="199" t="inlineStr">
        <is>
          <t>No separate deliverable explicitly named</t>
        </is>
      </c>
    </row>
    <row r="184">
      <c r="A184" s="208" t="inlineStr">
        <is>
          <t>RTM-602</t>
        </is>
      </c>
      <c r="B184" s="223" t="inlineStr">
        <is>
          <t>L2 Detailed Design</t>
        </is>
      </c>
      <c r="C184" s="208" t="n">
        <v>3</v>
      </c>
      <c r="D184" s="208" t="inlineStr">
        <is>
          <t>T0 Gate</t>
        </is>
      </c>
      <c r="E184" s="208" t="inlineStr">
        <is>
          <t>Safety &amp; Protection</t>
        </is>
      </c>
      <c r="F184" s="208" t="n">
        <v>20</v>
      </c>
      <c r="G184" s="208" t="n">
        <v>30</v>
      </c>
      <c r="H184" s="208" t="inlineStr">
        <is>
          <t>No separate deliverable explicitly named</t>
        </is>
      </c>
    </row>
    <row r="185">
      <c r="A185" s="199" t="inlineStr">
        <is>
          <t>RTM-602</t>
        </is>
      </c>
      <c r="B185" s="224" t="inlineStr">
        <is>
          <t>L3 Procurement &amp; Manufacturing / FAT</t>
        </is>
      </c>
      <c r="C185" s="199" t="n">
        <v>4</v>
      </c>
      <c r="D185" s="199" t="inlineStr">
        <is>
          <t>T0 Gate</t>
        </is>
      </c>
      <c r="E185" s="199" t="inlineStr">
        <is>
          <t>Safety &amp; Protection</t>
        </is>
      </c>
      <c r="F185" s="199" t="n">
        <v>20</v>
      </c>
      <c r="G185" s="199" t="n">
        <v>30</v>
      </c>
      <c r="H185" s="199" t="inlineStr">
        <is>
          <t>No separate deliverable explicitly named</t>
        </is>
      </c>
    </row>
    <row r="186">
      <c r="A186" s="208" t="inlineStr">
        <is>
          <t>RTM-602</t>
        </is>
      </c>
      <c r="B186" s="220" t="inlineStr">
        <is>
          <t>L4 Installation</t>
        </is>
      </c>
      <c r="C186" s="208" t="n">
        <v>6</v>
      </c>
      <c r="D186" s="208" t="inlineStr">
        <is>
          <t>T0 Gate</t>
        </is>
      </c>
      <c r="E186" s="208" t="inlineStr">
        <is>
          <t>Safety &amp; Protection</t>
        </is>
      </c>
      <c r="F186" s="208" t="n">
        <v>20</v>
      </c>
      <c r="G186" s="208" t="n">
        <v>30</v>
      </c>
      <c r="H186" s="208" t="inlineStr">
        <is>
          <t>No separate deliverable explicitly named</t>
        </is>
      </c>
    </row>
    <row r="187">
      <c r="A187" s="199" t="inlineStr">
        <is>
          <t>RTM-602</t>
        </is>
      </c>
      <c r="B187" s="225" t="inlineStr">
        <is>
          <t>L5 Standalone Commissioning</t>
        </is>
      </c>
      <c r="C187" s="199" t="n">
        <v>7</v>
      </c>
      <c r="D187" s="199" t="inlineStr">
        <is>
          <t>T0 Gate</t>
        </is>
      </c>
      <c r="E187" s="199" t="inlineStr">
        <is>
          <t>Safety &amp; Protection</t>
        </is>
      </c>
      <c r="F187" s="199" t="n">
        <v>20</v>
      </c>
      <c r="G187" s="199" t="n">
        <v>30</v>
      </c>
      <c r="H187" s="199" t="inlineStr">
        <is>
          <t>No separate deliverable explicitly named</t>
        </is>
      </c>
    </row>
    <row r="188">
      <c r="A188" s="208" t="inlineStr">
        <is>
          <t>RTM-602</t>
        </is>
      </c>
      <c r="B188" s="226" t="inlineStr">
        <is>
          <t>L6 Site Acceptance Testing</t>
        </is>
      </c>
      <c r="C188" s="208" t="n">
        <v>8</v>
      </c>
      <c r="D188" s="208" t="inlineStr">
        <is>
          <t>T0 Gate</t>
        </is>
      </c>
      <c r="E188" s="208" t="inlineStr">
        <is>
          <t>Safety &amp; Protection</t>
        </is>
      </c>
      <c r="F188" s="208" t="n">
        <v>20</v>
      </c>
      <c r="G188" s="208" t="n">
        <v>30</v>
      </c>
      <c r="H188" s="208" t="inlineStr">
        <is>
          <t>No separate deliverable explicitly named</t>
        </is>
      </c>
    </row>
    <row r="189">
      <c r="A189" s="199" t="inlineStr">
        <is>
          <t>RTM-606</t>
        </is>
      </c>
      <c r="B189" s="221" t="inlineStr">
        <is>
          <t>L0 Tender / Offer</t>
        </is>
      </c>
      <c r="C189" s="199" t="n">
        <v>1</v>
      </c>
      <c r="D189" s="199" t="inlineStr">
        <is>
          <t>T0 Gate</t>
        </is>
      </c>
      <c r="E189" s="199" t="inlineStr">
        <is>
          <t>Safety &amp; Protection</t>
        </is>
      </c>
      <c r="F189" s="199" t="n">
        <v>20</v>
      </c>
      <c r="G189" s="199" t="n">
        <v>31</v>
      </c>
      <c r="H189" s="199" t="inlineStr">
        <is>
          <t>No separate deliverable explicitly named</t>
        </is>
      </c>
    </row>
    <row r="190">
      <c r="A190" s="208" t="inlineStr">
        <is>
          <t>RTM-606</t>
        </is>
      </c>
      <c r="B190" s="222" t="inlineStr">
        <is>
          <t>L1 Conceptual Design</t>
        </is>
      </c>
      <c r="C190" s="208" t="n">
        <v>2</v>
      </c>
      <c r="D190" s="208" t="inlineStr">
        <is>
          <t>T0 Gate</t>
        </is>
      </c>
      <c r="E190" s="208" t="inlineStr">
        <is>
          <t>Safety &amp; Protection</t>
        </is>
      </c>
      <c r="F190" s="208" t="n">
        <v>20</v>
      </c>
      <c r="G190" s="208" t="n">
        <v>31</v>
      </c>
      <c r="H190" s="208" t="inlineStr">
        <is>
          <t>No separate deliverable explicitly named</t>
        </is>
      </c>
    </row>
    <row r="191">
      <c r="A191" s="199" t="inlineStr">
        <is>
          <t>RTM-606</t>
        </is>
      </c>
      <c r="B191" s="223" t="inlineStr">
        <is>
          <t>L2 Detailed Design</t>
        </is>
      </c>
      <c r="C191" s="199" t="n">
        <v>3</v>
      </c>
      <c r="D191" s="199" t="inlineStr">
        <is>
          <t>T0 Gate</t>
        </is>
      </c>
      <c r="E191" s="199" t="inlineStr">
        <is>
          <t>Safety &amp; Protection</t>
        </is>
      </c>
      <c r="F191" s="199" t="n">
        <v>20</v>
      </c>
      <c r="G191" s="199" t="n">
        <v>31</v>
      </c>
      <c r="H191" s="199" t="inlineStr">
        <is>
          <t>No separate deliverable explicitly named</t>
        </is>
      </c>
    </row>
    <row r="192">
      <c r="A192" s="208" t="inlineStr">
        <is>
          <t>RTM-606</t>
        </is>
      </c>
      <c r="B192" s="224" t="inlineStr">
        <is>
          <t>L3 Procurement &amp; Manufacturing / FAT</t>
        </is>
      </c>
      <c r="C192" s="208" t="n">
        <v>4</v>
      </c>
      <c r="D192" s="208" t="inlineStr">
        <is>
          <t>T0 Gate</t>
        </is>
      </c>
      <c r="E192" s="208" t="inlineStr">
        <is>
          <t>Safety &amp; Protection</t>
        </is>
      </c>
      <c r="F192" s="208" t="n">
        <v>20</v>
      </c>
      <c r="G192" s="208" t="n">
        <v>31</v>
      </c>
      <c r="H192" s="208" t="inlineStr">
        <is>
          <t>No separate deliverable explicitly named</t>
        </is>
      </c>
    </row>
    <row r="193">
      <c r="A193" s="199" t="inlineStr">
        <is>
          <t>RTM-606</t>
        </is>
      </c>
      <c r="B193" s="220" t="inlineStr">
        <is>
          <t>L4 Installation</t>
        </is>
      </c>
      <c r="C193" s="199" t="n">
        <v>6</v>
      </c>
      <c r="D193" s="199" t="inlineStr">
        <is>
          <t>T0 Gate</t>
        </is>
      </c>
      <c r="E193" s="199" t="inlineStr">
        <is>
          <t>Safety &amp; Protection</t>
        </is>
      </c>
      <c r="F193" s="199" t="n">
        <v>20</v>
      </c>
      <c r="G193" s="199" t="n">
        <v>31</v>
      </c>
      <c r="H193" s="199" t="inlineStr">
        <is>
          <t>No separate deliverable explicitly named</t>
        </is>
      </c>
    </row>
    <row r="194">
      <c r="A194" s="208" t="inlineStr">
        <is>
          <t>RTM-606</t>
        </is>
      </c>
      <c r="B194" s="225" t="inlineStr">
        <is>
          <t>L5 Standalone Commissioning</t>
        </is>
      </c>
      <c r="C194" s="208" t="n">
        <v>7</v>
      </c>
      <c r="D194" s="208" t="inlineStr">
        <is>
          <t>T0 Gate</t>
        </is>
      </c>
      <c r="E194" s="208" t="inlineStr">
        <is>
          <t>Safety &amp; Protection</t>
        </is>
      </c>
      <c r="F194" s="208" t="n">
        <v>20</v>
      </c>
      <c r="G194" s="208" t="n">
        <v>31</v>
      </c>
      <c r="H194" s="208" t="inlineStr">
        <is>
          <t>No separate deliverable explicitly named</t>
        </is>
      </c>
    </row>
    <row r="195">
      <c r="A195" s="199" t="inlineStr">
        <is>
          <t>RTM-606</t>
        </is>
      </c>
      <c r="B195" s="226" t="inlineStr">
        <is>
          <t>L6 Site Acceptance Testing</t>
        </is>
      </c>
      <c r="C195" s="199" t="n">
        <v>8</v>
      </c>
      <c r="D195" s="199" t="inlineStr">
        <is>
          <t>T0 Gate</t>
        </is>
      </c>
      <c r="E195" s="199" t="inlineStr">
        <is>
          <t>Safety &amp; Protection</t>
        </is>
      </c>
      <c r="F195" s="199" t="n">
        <v>20</v>
      </c>
      <c r="G195" s="199" t="n">
        <v>31</v>
      </c>
      <c r="H195" s="199" t="inlineStr">
        <is>
          <t>No separate deliverable explicitly named</t>
        </is>
      </c>
    </row>
    <row r="196">
      <c r="A196" s="208" t="inlineStr">
        <is>
          <t>RTM-607</t>
        </is>
      </c>
      <c r="B196" s="221" t="inlineStr">
        <is>
          <t>L0 Tender / Offer</t>
        </is>
      </c>
      <c r="C196" s="208" t="n">
        <v>1</v>
      </c>
      <c r="D196" s="208" t="inlineStr">
        <is>
          <t>T0 Gate</t>
        </is>
      </c>
      <c r="E196" s="208" t="inlineStr">
        <is>
          <t>Safety &amp; Protection</t>
        </is>
      </c>
      <c r="F196" s="208" t="n">
        <v>20</v>
      </c>
      <c r="G196" s="208" t="n">
        <v>32</v>
      </c>
      <c r="H196" s="208" t="inlineStr">
        <is>
          <t>No separate deliverable explicitly named</t>
        </is>
      </c>
    </row>
    <row r="197">
      <c r="A197" s="199" t="inlineStr">
        <is>
          <t>RTM-607</t>
        </is>
      </c>
      <c r="B197" s="222" t="inlineStr">
        <is>
          <t>L1 Conceptual Design</t>
        </is>
      </c>
      <c r="C197" s="199" t="n">
        <v>2</v>
      </c>
      <c r="D197" s="199" t="inlineStr">
        <is>
          <t>T0 Gate</t>
        </is>
      </c>
      <c r="E197" s="199" t="inlineStr">
        <is>
          <t>Safety &amp; Protection</t>
        </is>
      </c>
      <c r="F197" s="199" t="n">
        <v>20</v>
      </c>
      <c r="G197" s="199" t="n">
        <v>32</v>
      </c>
      <c r="H197" s="199" t="inlineStr">
        <is>
          <t>No separate deliverable explicitly named</t>
        </is>
      </c>
    </row>
    <row r="198">
      <c r="A198" s="208" t="inlineStr">
        <is>
          <t>RTM-607</t>
        </is>
      </c>
      <c r="B198" s="223" t="inlineStr">
        <is>
          <t>L2 Detailed Design</t>
        </is>
      </c>
      <c r="C198" s="208" t="n">
        <v>3</v>
      </c>
      <c r="D198" s="208" t="inlineStr">
        <is>
          <t>T0 Gate</t>
        </is>
      </c>
      <c r="E198" s="208" t="inlineStr">
        <is>
          <t>Safety &amp; Protection</t>
        </is>
      </c>
      <c r="F198" s="208" t="n">
        <v>20</v>
      </c>
      <c r="G198" s="208" t="n">
        <v>32</v>
      </c>
      <c r="H198" s="208" t="inlineStr">
        <is>
          <t>No separate deliverable explicitly named</t>
        </is>
      </c>
    </row>
    <row r="199">
      <c r="A199" s="199" t="inlineStr">
        <is>
          <t>RTM-607</t>
        </is>
      </c>
      <c r="B199" s="224" t="inlineStr">
        <is>
          <t>L3 Procurement &amp; Manufacturing / FAT</t>
        </is>
      </c>
      <c r="C199" s="199" t="n">
        <v>4</v>
      </c>
      <c r="D199" s="199" t="inlineStr">
        <is>
          <t>T0 Gate</t>
        </is>
      </c>
      <c r="E199" s="199" t="inlineStr">
        <is>
          <t>Safety &amp; Protection</t>
        </is>
      </c>
      <c r="F199" s="199" t="n">
        <v>20</v>
      </c>
      <c r="G199" s="199" t="n">
        <v>32</v>
      </c>
      <c r="H199" s="199" t="inlineStr">
        <is>
          <t>No separate deliverable explicitly named</t>
        </is>
      </c>
    </row>
    <row r="200">
      <c r="A200" s="208" t="inlineStr">
        <is>
          <t>RTM-607</t>
        </is>
      </c>
      <c r="B200" s="220" t="inlineStr">
        <is>
          <t>L4 Installation</t>
        </is>
      </c>
      <c r="C200" s="208" t="n">
        <v>6</v>
      </c>
      <c r="D200" s="208" t="inlineStr">
        <is>
          <t>T0 Gate</t>
        </is>
      </c>
      <c r="E200" s="208" t="inlineStr">
        <is>
          <t>Safety &amp; Protection</t>
        </is>
      </c>
      <c r="F200" s="208" t="n">
        <v>20</v>
      </c>
      <c r="G200" s="208" t="n">
        <v>32</v>
      </c>
      <c r="H200" s="208" t="inlineStr">
        <is>
          <t>No separate deliverable explicitly named</t>
        </is>
      </c>
    </row>
    <row r="201">
      <c r="A201" s="199" t="inlineStr">
        <is>
          <t>RTM-607</t>
        </is>
      </c>
      <c r="B201" s="225" t="inlineStr">
        <is>
          <t>L5 Standalone Commissioning</t>
        </is>
      </c>
      <c r="C201" s="199" t="n">
        <v>7</v>
      </c>
      <c r="D201" s="199" t="inlineStr">
        <is>
          <t>T0 Gate</t>
        </is>
      </c>
      <c r="E201" s="199" t="inlineStr">
        <is>
          <t>Safety &amp; Protection</t>
        </is>
      </c>
      <c r="F201" s="199" t="n">
        <v>20</v>
      </c>
      <c r="G201" s="199" t="n">
        <v>32</v>
      </c>
      <c r="H201" s="199" t="inlineStr">
        <is>
          <t>No separate deliverable explicitly named</t>
        </is>
      </c>
    </row>
    <row r="202">
      <c r="A202" s="208" t="inlineStr">
        <is>
          <t>RTM-607</t>
        </is>
      </c>
      <c r="B202" s="226" t="inlineStr">
        <is>
          <t>L6 Site Acceptance Testing</t>
        </is>
      </c>
      <c r="C202" s="208" t="n">
        <v>8</v>
      </c>
      <c r="D202" s="208" t="inlineStr">
        <is>
          <t>T0 Gate</t>
        </is>
      </c>
      <c r="E202" s="208" t="inlineStr">
        <is>
          <t>Safety &amp; Protection</t>
        </is>
      </c>
      <c r="F202" s="208" t="n">
        <v>20</v>
      </c>
      <c r="G202" s="208" t="n">
        <v>32</v>
      </c>
      <c r="H202" s="208" t="inlineStr">
        <is>
          <t>No separate deliverable explicitly named</t>
        </is>
      </c>
    </row>
    <row r="203">
      <c r="A203" s="199" t="inlineStr">
        <is>
          <t>RTM-610</t>
        </is>
      </c>
      <c r="B203" s="221" t="inlineStr">
        <is>
          <t>L0 Tender / Offer</t>
        </is>
      </c>
      <c r="C203" s="199" t="n">
        <v>1</v>
      </c>
      <c r="D203" s="199" t="inlineStr">
        <is>
          <t>T0 Gate</t>
        </is>
      </c>
      <c r="E203" s="199" t="inlineStr">
        <is>
          <t>Safety &amp; Protection</t>
        </is>
      </c>
      <c r="F203" s="199" t="n">
        <v>20</v>
      </c>
      <c r="G203" s="199" t="n">
        <v>33</v>
      </c>
      <c r="H203" s="199" t="inlineStr">
        <is>
          <t>No separate deliverable explicitly named</t>
        </is>
      </c>
    </row>
    <row r="204">
      <c r="A204" s="208" t="inlineStr">
        <is>
          <t>RTM-610</t>
        </is>
      </c>
      <c r="B204" s="222" t="inlineStr">
        <is>
          <t>L1 Conceptual Design</t>
        </is>
      </c>
      <c r="C204" s="208" t="n">
        <v>2</v>
      </c>
      <c r="D204" s="208" t="inlineStr">
        <is>
          <t>T0 Gate</t>
        </is>
      </c>
      <c r="E204" s="208" t="inlineStr">
        <is>
          <t>Safety &amp; Protection</t>
        </is>
      </c>
      <c r="F204" s="208" t="n">
        <v>20</v>
      </c>
      <c r="G204" s="208" t="n">
        <v>33</v>
      </c>
      <c r="H204" s="208" t="inlineStr">
        <is>
          <t>No separate deliverable explicitly named</t>
        </is>
      </c>
    </row>
    <row r="205">
      <c r="A205" s="199" t="inlineStr">
        <is>
          <t>RTM-610</t>
        </is>
      </c>
      <c r="B205" s="223" t="inlineStr">
        <is>
          <t>L2 Detailed Design</t>
        </is>
      </c>
      <c r="C205" s="199" t="n">
        <v>3</v>
      </c>
      <c r="D205" s="199" t="inlineStr">
        <is>
          <t>T0 Gate</t>
        </is>
      </c>
      <c r="E205" s="199" t="inlineStr">
        <is>
          <t>Safety &amp; Protection</t>
        </is>
      </c>
      <c r="F205" s="199" t="n">
        <v>20</v>
      </c>
      <c r="G205" s="199" t="n">
        <v>33</v>
      </c>
      <c r="H205" s="199" t="inlineStr">
        <is>
          <t>No separate deliverable explicitly named</t>
        </is>
      </c>
    </row>
    <row r="206">
      <c r="A206" s="208" t="inlineStr">
        <is>
          <t>RTM-610</t>
        </is>
      </c>
      <c r="B206" s="224" t="inlineStr">
        <is>
          <t>L3 Procurement &amp; Manufacturing / FAT</t>
        </is>
      </c>
      <c r="C206" s="208" t="n">
        <v>4</v>
      </c>
      <c r="D206" s="208" t="inlineStr">
        <is>
          <t>T0 Gate</t>
        </is>
      </c>
      <c r="E206" s="208" t="inlineStr">
        <is>
          <t>Safety &amp; Protection</t>
        </is>
      </c>
      <c r="F206" s="208" t="n">
        <v>20</v>
      </c>
      <c r="G206" s="208" t="n">
        <v>33</v>
      </c>
      <c r="H206" s="208" t="inlineStr">
        <is>
          <t>No separate deliverable explicitly named</t>
        </is>
      </c>
    </row>
    <row r="207">
      <c r="A207" s="199" t="inlineStr">
        <is>
          <t>RTM-610</t>
        </is>
      </c>
      <c r="B207" s="220" t="inlineStr">
        <is>
          <t>L4 Installation</t>
        </is>
      </c>
      <c r="C207" s="199" t="n">
        <v>6</v>
      </c>
      <c r="D207" s="199" t="inlineStr">
        <is>
          <t>T0 Gate</t>
        </is>
      </c>
      <c r="E207" s="199" t="inlineStr">
        <is>
          <t>Safety &amp; Protection</t>
        </is>
      </c>
      <c r="F207" s="199" t="n">
        <v>20</v>
      </c>
      <c r="G207" s="199" t="n">
        <v>33</v>
      </c>
      <c r="H207" s="199" t="inlineStr">
        <is>
          <t>No separate deliverable explicitly named</t>
        </is>
      </c>
    </row>
    <row r="208">
      <c r="A208" s="208" t="inlineStr">
        <is>
          <t>RTM-610</t>
        </is>
      </c>
      <c r="B208" s="225" t="inlineStr">
        <is>
          <t>L5 Standalone Commissioning</t>
        </is>
      </c>
      <c r="C208" s="208" t="n">
        <v>7</v>
      </c>
      <c r="D208" s="208" t="inlineStr">
        <is>
          <t>T0 Gate</t>
        </is>
      </c>
      <c r="E208" s="208" t="inlineStr">
        <is>
          <t>Safety &amp; Protection</t>
        </is>
      </c>
      <c r="F208" s="208" t="n">
        <v>20</v>
      </c>
      <c r="G208" s="208" t="n">
        <v>33</v>
      </c>
      <c r="H208" s="208" t="inlineStr">
        <is>
          <t>No separate deliverable explicitly named</t>
        </is>
      </c>
    </row>
    <row r="209">
      <c r="A209" s="199" t="inlineStr">
        <is>
          <t>RTM-610</t>
        </is>
      </c>
      <c r="B209" s="226" t="inlineStr">
        <is>
          <t>L6 Site Acceptance Testing</t>
        </is>
      </c>
      <c r="C209" s="199" t="n">
        <v>8</v>
      </c>
      <c r="D209" s="199" t="inlineStr">
        <is>
          <t>T0 Gate</t>
        </is>
      </c>
      <c r="E209" s="199" t="inlineStr">
        <is>
          <t>Safety &amp; Protection</t>
        </is>
      </c>
      <c r="F209" s="199" t="n">
        <v>20</v>
      </c>
      <c r="G209" s="199" t="n">
        <v>33</v>
      </c>
      <c r="H209" s="199" t="inlineStr">
        <is>
          <t>No separate deliverable explicitly named</t>
        </is>
      </c>
    </row>
    <row r="210">
      <c r="A210" s="208" t="inlineStr">
        <is>
          <t>RTM-611</t>
        </is>
      </c>
      <c r="B210" s="221" t="inlineStr">
        <is>
          <t>L0 Tender / Offer</t>
        </is>
      </c>
      <c r="C210" s="208" t="n">
        <v>1</v>
      </c>
      <c r="D210" s="208" t="inlineStr">
        <is>
          <t>T0 Gate</t>
        </is>
      </c>
      <c r="E210" s="208" t="inlineStr">
        <is>
          <t>Safety &amp; Protection</t>
        </is>
      </c>
      <c r="F210" s="208" t="n">
        <v>20</v>
      </c>
      <c r="G210" s="208" t="n">
        <v>34</v>
      </c>
      <c r="H210" s="208" t="inlineStr">
        <is>
          <t>No separate deliverable explicitly named</t>
        </is>
      </c>
    </row>
    <row r="211">
      <c r="A211" s="199" t="inlineStr">
        <is>
          <t>RTM-611</t>
        </is>
      </c>
      <c r="B211" s="222" t="inlineStr">
        <is>
          <t>L1 Conceptual Design</t>
        </is>
      </c>
      <c r="C211" s="199" t="n">
        <v>2</v>
      </c>
      <c r="D211" s="199" t="inlineStr">
        <is>
          <t>T0 Gate</t>
        </is>
      </c>
      <c r="E211" s="199" t="inlineStr">
        <is>
          <t>Safety &amp; Protection</t>
        </is>
      </c>
      <c r="F211" s="199" t="n">
        <v>20</v>
      </c>
      <c r="G211" s="199" t="n">
        <v>34</v>
      </c>
      <c r="H211" s="199" t="inlineStr">
        <is>
          <t>No separate deliverable explicitly named</t>
        </is>
      </c>
    </row>
    <row r="212">
      <c r="A212" s="208" t="inlineStr">
        <is>
          <t>RTM-611</t>
        </is>
      </c>
      <c r="B212" s="223" t="inlineStr">
        <is>
          <t>L2 Detailed Design</t>
        </is>
      </c>
      <c r="C212" s="208" t="n">
        <v>3</v>
      </c>
      <c r="D212" s="208" t="inlineStr">
        <is>
          <t>T0 Gate</t>
        </is>
      </c>
      <c r="E212" s="208" t="inlineStr">
        <is>
          <t>Safety &amp; Protection</t>
        </is>
      </c>
      <c r="F212" s="208" t="n">
        <v>20</v>
      </c>
      <c r="G212" s="208" t="n">
        <v>34</v>
      </c>
      <c r="H212" s="208" t="inlineStr">
        <is>
          <t>No separate deliverable explicitly named</t>
        </is>
      </c>
    </row>
    <row r="213">
      <c r="A213" s="199" t="inlineStr">
        <is>
          <t>RTM-611</t>
        </is>
      </c>
      <c r="B213" s="224" t="inlineStr">
        <is>
          <t>L3 Procurement &amp; Manufacturing / FAT</t>
        </is>
      </c>
      <c r="C213" s="199" t="n">
        <v>4</v>
      </c>
      <c r="D213" s="199" t="inlineStr">
        <is>
          <t>T0 Gate</t>
        </is>
      </c>
      <c r="E213" s="199" t="inlineStr">
        <is>
          <t>Safety &amp; Protection</t>
        </is>
      </c>
      <c r="F213" s="199" t="n">
        <v>20</v>
      </c>
      <c r="G213" s="199" t="n">
        <v>34</v>
      </c>
      <c r="H213" s="199" t="inlineStr">
        <is>
          <t>No separate deliverable explicitly named</t>
        </is>
      </c>
    </row>
    <row r="214">
      <c r="A214" s="208" t="inlineStr">
        <is>
          <t>RTM-611</t>
        </is>
      </c>
      <c r="B214" s="220" t="inlineStr">
        <is>
          <t>L4 Installation</t>
        </is>
      </c>
      <c r="C214" s="208" t="n">
        <v>6</v>
      </c>
      <c r="D214" s="208" t="inlineStr">
        <is>
          <t>T0 Gate</t>
        </is>
      </c>
      <c r="E214" s="208" t="inlineStr">
        <is>
          <t>Safety &amp; Protection</t>
        </is>
      </c>
      <c r="F214" s="208" t="n">
        <v>20</v>
      </c>
      <c r="G214" s="208" t="n">
        <v>34</v>
      </c>
      <c r="H214" s="208" t="inlineStr">
        <is>
          <t>No separate deliverable explicitly named</t>
        </is>
      </c>
    </row>
    <row r="215">
      <c r="A215" s="199" t="inlineStr">
        <is>
          <t>RTM-611</t>
        </is>
      </c>
      <c r="B215" s="225" t="inlineStr">
        <is>
          <t>L5 Standalone Commissioning</t>
        </is>
      </c>
      <c r="C215" s="199" t="n">
        <v>7</v>
      </c>
      <c r="D215" s="199" t="inlineStr">
        <is>
          <t>T0 Gate</t>
        </is>
      </c>
      <c r="E215" s="199" t="inlineStr">
        <is>
          <t>Safety &amp; Protection</t>
        </is>
      </c>
      <c r="F215" s="199" t="n">
        <v>20</v>
      </c>
      <c r="G215" s="199" t="n">
        <v>34</v>
      </c>
      <c r="H215" s="199" t="inlineStr">
        <is>
          <t>No separate deliverable explicitly named</t>
        </is>
      </c>
    </row>
    <row r="216">
      <c r="A216" s="208" t="inlineStr">
        <is>
          <t>RTM-611</t>
        </is>
      </c>
      <c r="B216" s="226" t="inlineStr">
        <is>
          <t>L6 Site Acceptance Testing</t>
        </is>
      </c>
      <c r="C216" s="208" t="n">
        <v>8</v>
      </c>
      <c r="D216" s="208" t="inlineStr">
        <is>
          <t>T0 Gate</t>
        </is>
      </c>
      <c r="E216" s="208" t="inlineStr">
        <is>
          <t>Safety &amp; Protection</t>
        </is>
      </c>
      <c r="F216" s="208" t="n">
        <v>20</v>
      </c>
      <c r="G216" s="208" t="n">
        <v>34</v>
      </c>
      <c r="H216" s="208" t="inlineStr">
        <is>
          <t>No separate deliverable explicitly named</t>
        </is>
      </c>
    </row>
    <row r="217">
      <c r="A217" s="199" t="inlineStr">
        <is>
          <t>RTM-688</t>
        </is>
      </c>
      <c r="B217" s="221" t="inlineStr">
        <is>
          <t>L0 Tender / Offer</t>
        </is>
      </c>
      <c r="C217" s="199" t="n">
        <v>1</v>
      </c>
      <c r="D217" s="199" t="inlineStr">
        <is>
          <t>T0 Gate</t>
        </is>
      </c>
      <c r="E217" s="199" t="inlineStr">
        <is>
          <t>Codes &amp; Standards</t>
        </is>
      </c>
      <c r="F217" s="199" t="n">
        <v>20</v>
      </c>
      <c r="G217" s="199" t="n">
        <v>35</v>
      </c>
      <c r="H217" s="199" t="inlineStr">
        <is>
          <t>No separate deliverable explicitly named</t>
        </is>
      </c>
    </row>
    <row r="218">
      <c r="A218" s="208" t="inlineStr">
        <is>
          <t>RTM-688</t>
        </is>
      </c>
      <c r="B218" s="222" t="inlineStr">
        <is>
          <t>L1 Conceptual Design</t>
        </is>
      </c>
      <c r="C218" s="208" t="n">
        <v>2</v>
      </c>
      <c r="D218" s="208" t="inlineStr">
        <is>
          <t>T0 Gate</t>
        </is>
      </c>
      <c r="E218" s="208" t="inlineStr">
        <is>
          <t>Codes &amp; Standards</t>
        </is>
      </c>
      <c r="F218" s="208" t="n">
        <v>20</v>
      </c>
      <c r="G218" s="208" t="n">
        <v>35</v>
      </c>
      <c r="H218" s="208" t="inlineStr">
        <is>
          <t>No separate deliverable explicitly named</t>
        </is>
      </c>
    </row>
    <row r="219">
      <c r="A219" s="199" t="inlineStr">
        <is>
          <t>RTM-688</t>
        </is>
      </c>
      <c r="B219" s="223" t="inlineStr">
        <is>
          <t>L2 Detailed Design</t>
        </is>
      </c>
      <c r="C219" s="199" t="n">
        <v>3</v>
      </c>
      <c r="D219" s="199" t="inlineStr">
        <is>
          <t>T0 Gate</t>
        </is>
      </c>
      <c r="E219" s="199" t="inlineStr">
        <is>
          <t>Codes &amp; Standards</t>
        </is>
      </c>
      <c r="F219" s="199" t="n">
        <v>20</v>
      </c>
      <c r="G219" s="199" t="n">
        <v>35</v>
      </c>
      <c r="H219" s="199" t="inlineStr">
        <is>
          <t>No separate deliverable explicitly named</t>
        </is>
      </c>
    </row>
    <row r="220">
      <c r="A220" s="208" t="inlineStr">
        <is>
          <t>RTM-688</t>
        </is>
      </c>
      <c r="B220" s="224" t="inlineStr">
        <is>
          <t>L3 Procurement &amp; Manufacturing / FAT</t>
        </is>
      </c>
      <c r="C220" s="208" t="n">
        <v>4</v>
      </c>
      <c r="D220" s="208" t="inlineStr">
        <is>
          <t>T0 Gate</t>
        </is>
      </c>
      <c r="E220" s="208" t="inlineStr">
        <is>
          <t>Codes &amp; Standards</t>
        </is>
      </c>
      <c r="F220" s="208" t="n">
        <v>20</v>
      </c>
      <c r="G220" s="208" t="n">
        <v>35</v>
      </c>
      <c r="H220" s="208" t="inlineStr">
        <is>
          <t>No separate deliverable explicitly named</t>
        </is>
      </c>
    </row>
    <row r="221">
      <c r="A221" s="199" t="inlineStr">
        <is>
          <t>RTM-688</t>
        </is>
      </c>
      <c r="B221" s="220" t="inlineStr">
        <is>
          <t>L4 Installation</t>
        </is>
      </c>
      <c r="C221" s="199" t="n">
        <v>6</v>
      </c>
      <c r="D221" s="199" t="inlineStr">
        <is>
          <t>T0 Gate</t>
        </is>
      </c>
      <c r="E221" s="199" t="inlineStr">
        <is>
          <t>Codes &amp; Standards</t>
        </is>
      </c>
      <c r="F221" s="199" t="n">
        <v>20</v>
      </c>
      <c r="G221" s="199" t="n">
        <v>35</v>
      </c>
      <c r="H221" s="199" t="inlineStr">
        <is>
          <t>No separate deliverable explicitly named</t>
        </is>
      </c>
    </row>
    <row r="222">
      <c r="A222" s="208" t="inlineStr">
        <is>
          <t>RTM-688</t>
        </is>
      </c>
      <c r="B222" s="225" t="inlineStr">
        <is>
          <t>L5 Standalone Commissioning</t>
        </is>
      </c>
      <c r="C222" s="208" t="n">
        <v>7</v>
      </c>
      <c r="D222" s="208" t="inlineStr">
        <is>
          <t>T0 Gate</t>
        </is>
      </c>
      <c r="E222" s="208" t="inlineStr">
        <is>
          <t>Codes &amp; Standards</t>
        </is>
      </c>
      <c r="F222" s="208" t="n">
        <v>20</v>
      </c>
      <c r="G222" s="208" t="n">
        <v>35</v>
      </c>
      <c r="H222" s="208" t="inlineStr">
        <is>
          <t>No separate deliverable explicitly named</t>
        </is>
      </c>
    </row>
    <row r="223">
      <c r="A223" s="199" t="inlineStr">
        <is>
          <t>RTM-688</t>
        </is>
      </c>
      <c r="B223" s="226" t="inlineStr">
        <is>
          <t>L6 Site Acceptance Testing</t>
        </is>
      </c>
      <c r="C223" s="199" t="n">
        <v>8</v>
      </c>
      <c r="D223" s="199" t="inlineStr">
        <is>
          <t>T0 Gate</t>
        </is>
      </c>
      <c r="E223" s="199" t="inlineStr">
        <is>
          <t>Codes &amp; Standards</t>
        </is>
      </c>
      <c r="F223" s="199" t="n">
        <v>20</v>
      </c>
      <c r="G223" s="199" t="n">
        <v>35</v>
      </c>
      <c r="H223" s="199" t="inlineStr">
        <is>
          <t>No separate deliverable explicitly named</t>
        </is>
      </c>
    </row>
    <row r="224">
      <c r="A224" s="208" t="inlineStr">
        <is>
          <t>RTM-690</t>
        </is>
      </c>
      <c r="B224" s="221" t="inlineStr">
        <is>
          <t>L0 Tender / Offer</t>
        </is>
      </c>
      <c r="C224" s="208" t="n">
        <v>1</v>
      </c>
      <c r="D224" s="208" t="inlineStr">
        <is>
          <t>T0 Gate</t>
        </is>
      </c>
      <c r="E224" s="208" t="inlineStr">
        <is>
          <t>Codes &amp; Standards</t>
        </is>
      </c>
      <c r="F224" s="208" t="n">
        <v>20</v>
      </c>
      <c r="G224" s="208" t="n">
        <v>36</v>
      </c>
      <c r="H224" s="208" t="inlineStr">
        <is>
          <t>No separate deliverable explicitly named</t>
        </is>
      </c>
    </row>
    <row r="225">
      <c r="A225" s="199" t="inlineStr">
        <is>
          <t>RTM-690</t>
        </is>
      </c>
      <c r="B225" s="222" t="inlineStr">
        <is>
          <t>L1 Conceptual Design</t>
        </is>
      </c>
      <c r="C225" s="199" t="n">
        <v>2</v>
      </c>
      <c r="D225" s="199" t="inlineStr">
        <is>
          <t>T0 Gate</t>
        </is>
      </c>
      <c r="E225" s="199" t="inlineStr">
        <is>
          <t>Codes &amp; Standards</t>
        </is>
      </c>
      <c r="F225" s="199" t="n">
        <v>20</v>
      </c>
      <c r="G225" s="199" t="n">
        <v>36</v>
      </c>
      <c r="H225" s="199" t="inlineStr">
        <is>
          <t>No separate deliverable explicitly named</t>
        </is>
      </c>
    </row>
    <row r="226">
      <c r="A226" s="208" t="inlineStr">
        <is>
          <t>RTM-690</t>
        </is>
      </c>
      <c r="B226" s="223" t="inlineStr">
        <is>
          <t>L2 Detailed Design</t>
        </is>
      </c>
      <c r="C226" s="208" t="n">
        <v>3</v>
      </c>
      <c r="D226" s="208" t="inlineStr">
        <is>
          <t>T0 Gate</t>
        </is>
      </c>
      <c r="E226" s="208" t="inlineStr">
        <is>
          <t>Codes &amp; Standards</t>
        </is>
      </c>
      <c r="F226" s="208" t="n">
        <v>20</v>
      </c>
      <c r="G226" s="208" t="n">
        <v>36</v>
      </c>
      <c r="H226" s="208" t="inlineStr">
        <is>
          <t>No separate deliverable explicitly named</t>
        </is>
      </c>
    </row>
    <row r="227">
      <c r="A227" s="199" t="inlineStr">
        <is>
          <t>RTM-690</t>
        </is>
      </c>
      <c r="B227" s="224" t="inlineStr">
        <is>
          <t>L3 Procurement &amp; Manufacturing / FAT</t>
        </is>
      </c>
      <c r="C227" s="199" t="n">
        <v>4</v>
      </c>
      <c r="D227" s="199" t="inlineStr">
        <is>
          <t>T0 Gate</t>
        </is>
      </c>
      <c r="E227" s="199" t="inlineStr">
        <is>
          <t>Codes &amp; Standards</t>
        </is>
      </c>
      <c r="F227" s="199" t="n">
        <v>20</v>
      </c>
      <c r="G227" s="199" t="n">
        <v>36</v>
      </c>
      <c r="H227" s="199" t="inlineStr">
        <is>
          <t>No separate deliverable explicitly named</t>
        </is>
      </c>
    </row>
    <row r="228">
      <c r="A228" s="208" t="inlineStr">
        <is>
          <t>RTM-690</t>
        </is>
      </c>
      <c r="B228" s="220" t="inlineStr">
        <is>
          <t>L4 Installation</t>
        </is>
      </c>
      <c r="C228" s="208" t="n">
        <v>6</v>
      </c>
      <c r="D228" s="208" t="inlineStr">
        <is>
          <t>T0 Gate</t>
        </is>
      </c>
      <c r="E228" s="208" t="inlineStr">
        <is>
          <t>Codes &amp; Standards</t>
        </is>
      </c>
      <c r="F228" s="208" t="n">
        <v>20</v>
      </c>
      <c r="G228" s="208" t="n">
        <v>36</v>
      </c>
      <c r="H228" s="208" t="inlineStr">
        <is>
          <t>No separate deliverable explicitly named</t>
        </is>
      </c>
    </row>
    <row r="229">
      <c r="A229" s="199" t="inlineStr">
        <is>
          <t>RTM-690</t>
        </is>
      </c>
      <c r="B229" s="225" t="inlineStr">
        <is>
          <t>L5 Standalone Commissioning</t>
        </is>
      </c>
      <c r="C229" s="199" t="n">
        <v>7</v>
      </c>
      <c r="D229" s="199" t="inlineStr">
        <is>
          <t>T0 Gate</t>
        </is>
      </c>
      <c r="E229" s="199" t="inlineStr">
        <is>
          <t>Codes &amp; Standards</t>
        </is>
      </c>
      <c r="F229" s="199" t="n">
        <v>20</v>
      </c>
      <c r="G229" s="199" t="n">
        <v>36</v>
      </c>
      <c r="H229" s="199" t="inlineStr">
        <is>
          <t>No separate deliverable explicitly named</t>
        </is>
      </c>
    </row>
    <row r="230">
      <c r="A230" s="208" t="inlineStr">
        <is>
          <t>RTM-690</t>
        </is>
      </c>
      <c r="B230" s="226" t="inlineStr">
        <is>
          <t>L6 Site Acceptance Testing</t>
        </is>
      </c>
      <c r="C230" s="208" t="n">
        <v>8</v>
      </c>
      <c r="D230" s="208" t="inlineStr">
        <is>
          <t>T0 Gate</t>
        </is>
      </c>
      <c r="E230" s="208" t="inlineStr">
        <is>
          <t>Codes &amp; Standards</t>
        </is>
      </c>
      <c r="F230" s="208" t="n">
        <v>20</v>
      </c>
      <c r="G230" s="208" t="n">
        <v>36</v>
      </c>
      <c r="H230" s="208" t="inlineStr">
        <is>
          <t>No separate deliverable explicitly named</t>
        </is>
      </c>
    </row>
    <row r="231">
      <c r="A231" s="199" t="inlineStr">
        <is>
          <t>RTM-692</t>
        </is>
      </c>
      <c r="B231" s="221" t="inlineStr">
        <is>
          <t>L0 Tender / Offer</t>
        </is>
      </c>
      <c r="C231" s="199" t="n">
        <v>1</v>
      </c>
      <c r="D231" s="199" t="inlineStr">
        <is>
          <t>T0 Gate</t>
        </is>
      </c>
      <c r="E231" s="199" t="inlineStr">
        <is>
          <t>Codes &amp; Standards</t>
        </is>
      </c>
      <c r="F231" s="199" t="n">
        <v>20</v>
      </c>
      <c r="G231" s="199" t="n">
        <v>37</v>
      </c>
      <c r="H231" s="199" t="inlineStr">
        <is>
          <t>No separate deliverable explicitly named</t>
        </is>
      </c>
    </row>
    <row r="232">
      <c r="A232" s="208" t="inlineStr">
        <is>
          <t>RTM-692</t>
        </is>
      </c>
      <c r="B232" s="222" t="inlineStr">
        <is>
          <t>L1 Conceptual Design</t>
        </is>
      </c>
      <c r="C232" s="208" t="n">
        <v>2</v>
      </c>
      <c r="D232" s="208" t="inlineStr">
        <is>
          <t>T0 Gate</t>
        </is>
      </c>
      <c r="E232" s="208" t="inlineStr">
        <is>
          <t>Codes &amp; Standards</t>
        </is>
      </c>
      <c r="F232" s="208" t="n">
        <v>20</v>
      </c>
      <c r="G232" s="208" t="n">
        <v>37</v>
      </c>
      <c r="H232" s="208" t="inlineStr">
        <is>
          <t>No separate deliverable explicitly named</t>
        </is>
      </c>
    </row>
    <row r="233">
      <c r="A233" s="199" t="inlineStr">
        <is>
          <t>RTM-692</t>
        </is>
      </c>
      <c r="B233" s="223" t="inlineStr">
        <is>
          <t>L2 Detailed Design</t>
        </is>
      </c>
      <c r="C233" s="199" t="n">
        <v>3</v>
      </c>
      <c r="D233" s="199" t="inlineStr">
        <is>
          <t>T0 Gate</t>
        </is>
      </c>
      <c r="E233" s="199" t="inlineStr">
        <is>
          <t>Codes &amp; Standards</t>
        </is>
      </c>
      <c r="F233" s="199" t="n">
        <v>20</v>
      </c>
      <c r="G233" s="199" t="n">
        <v>37</v>
      </c>
      <c r="H233" s="199" t="inlineStr">
        <is>
          <t>No separate deliverable explicitly named</t>
        </is>
      </c>
    </row>
    <row r="234">
      <c r="A234" s="208" t="inlineStr">
        <is>
          <t>RTM-692</t>
        </is>
      </c>
      <c r="B234" s="224" t="inlineStr">
        <is>
          <t>L3 Procurement &amp; Manufacturing / FAT</t>
        </is>
      </c>
      <c r="C234" s="208" t="n">
        <v>4</v>
      </c>
      <c r="D234" s="208" t="inlineStr">
        <is>
          <t>T0 Gate</t>
        </is>
      </c>
      <c r="E234" s="208" t="inlineStr">
        <is>
          <t>Codes &amp; Standards</t>
        </is>
      </c>
      <c r="F234" s="208" t="n">
        <v>20</v>
      </c>
      <c r="G234" s="208" t="n">
        <v>37</v>
      </c>
      <c r="H234" s="208" t="inlineStr">
        <is>
          <t>No separate deliverable explicitly named</t>
        </is>
      </c>
    </row>
    <row r="235">
      <c r="A235" s="199" t="inlineStr">
        <is>
          <t>RTM-692</t>
        </is>
      </c>
      <c r="B235" s="220" t="inlineStr">
        <is>
          <t>L4 Installation</t>
        </is>
      </c>
      <c r="C235" s="199" t="n">
        <v>6</v>
      </c>
      <c r="D235" s="199" t="inlineStr">
        <is>
          <t>T0 Gate</t>
        </is>
      </c>
      <c r="E235" s="199" t="inlineStr">
        <is>
          <t>Codes &amp; Standards</t>
        </is>
      </c>
      <c r="F235" s="199" t="n">
        <v>20</v>
      </c>
      <c r="G235" s="199" t="n">
        <v>37</v>
      </c>
      <c r="H235" s="199" t="inlineStr">
        <is>
          <t>No separate deliverable explicitly named</t>
        </is>
      </c>
    </row>
    <row r="236">
      <c r="A236" s="208" t="inlineStr">
        <is>
          <t>RTM-692</t>
        </is>
      </c>
      <c r="B236" s="225" t="inlineStr">
        <is>
          <t>L5 Standalone Commissioning</t>
        </is>
      </c>
      <c r="C236" s="208" t="n">
        <v>7</v>
      </c>
      <c r="D236" s="208" t="inlineStr">
        <is>
          <t>T0 Gate</t>
        </is>
      </c>
      <c r="E236" s="208" t="inlineStr">
        <is>
          <t>Codes &amp; Standards</t>
        </is>
      </c>
      <c r="F236" s="208" t="n">
        <v>20</v>
      </c>
      <c r="G236" s="208" t="n">
        <v>37</v>
      </c>
      <c r="H236" s="208" t="inlineStr">
        <is>
          <t>No separate deliverable explicitly named</t>
        </is>
      </c>
    </row>
    <row r="237">
      <c r="A237" s="199" t="inlineStr">
        <is>
          <t>RTM-692</t>
        </is>
      </c>
      <c r="B237" s="226" t="inlineStr">
        <is>
          <t>L6 Site Acceptance Testing</t>
        </is>
      </c>
      <c r="C237" s="199" t="n">
        <v>8</v>
      </c>
      <c r="D237" s="199" t="inlineStr">
        <is>
          <t>T0 Gate</t>
        </is>
      </c>
      <c r="E237" s="199" t="inlineStr">
        <is>
          <t>Codes &amp; Standards</t>
        </is>
      </c>
      <c r="F237" s="199" t="n">
        <v>20</v>
      </c>
      <c r="G237" s="199" t="n">
        <v>37</v>
      </c>
      <c r="H237" s="199" t="inlineStr">
        <is>
          <t>No separate deliverable explicitly named</t>
        </is>
      </c>
    </row>
    <row r="238">
      <c r="A238" s="208" t="inlineStr">
        <is>
          <t>RTM-694</t>
        </is>
      </c>
      <c r="B238" s="220" t="inlineStr">
        <is>
          <t>L4 Installation</t>
        </is>
      </c>
      <c r="C238" s="208" t="n">
        <v>6</v>
      </c>
      <c r="D238" s="208" t="inlineStr">
        <is>
          <t>T0 Gate</t>
        </is>
      </c>
      <c r="E238" s="208" t="inlineStr">
        <is>
          <t>Codes &amp; Standards</t>
        </is>
      </c>
      <c r="F238" s="208" t="n">
        <v>20</v>
      </c>
      <c r="G238" s="208" t="n">
        <v>38</v>
      </c>
      <c r="H238" s="208" t="inlineStr">
        <is>
          <t>No separate deliverable explicitly named</t>
        </is>
      </c>
    </row>
    <row r="239">
      <c r="A239" s="199" t="inlineStr">
        <is>
          <t>RTM-694</t>
        </is>
      </c>
      <c r="B239" s="221" t="inlineStr">
        <is>
          <t>L0 Tender / Offer</t>
        </is>
      </c>
      <c r="C239" s="199" t="n">
        <v>1</v>
      </c>
      <c r="D239" s="199" t="inlineStr">
        <is>
          <t>T0 Gate</t>
        </is>
      </c>
      <c r="E239" s="199" t="inlineStr">
        <is>
          <t>Codes &amp; Standards</t>
        </is>
      </c>
      <c r="F239" s="199" t="n">
        <v>20</v>
      </c>
      <c r="G239" s="199" t="n">
        <v>38</v>
      </c>
      <c r="H239" s="199" t="inlineStr">
        <is>
          <t>No separate deliverable explicitly named</t>
        </is>
      </c>
    </row>
    <row r="240">
      <c r="A240" s="208" t="inlineStr">
        <is>
          <t>RTM-694</t>
        </is>
      </c>
      <c r="B240" s="222" t="inlineStr">
        <is>
          <t>L1 Conceptual Design</t>
        </is>
      </c>
      <c r="C240" s="208" t="n">
        <v>2</v>
      </c>
      <c r="D240" s="208" t="inlineStr">
        <is>
          <t>T0 Gate</t>
        </is>
      </c>
      <c r="E240" s="208" t="inlineStr">
        <is>
          <t>Codes &amp; Standards</t>
        </is>
      </c>
      <c r="F240" s="208" t="n">
        <v>20</v>
      </c>
      <c r="G240" s="208" t="n">
        <v>38</v>
      </c>
      <c r="H240" s="208" t="inlineStr">
        <is>
          <t>No separate deliverable explicitly named</t>
        </is>
      </c>
    </row>
    <row r="241">
      <c r="A241" s="199" t="inlineStr">
        <is>
          <t>RTM-694</t>
        </is>
      </c>
      <c r="B241" s="223" t="inlineStr">
        <is>
          <t>L2 Detailed Design</t>
        </is>
      </c>
      <c r="C241" s="199" t="n">
        <v>3</v>
      </c>
      <c r="D241" s="199" t="inlineStr">
        <is>
          <t>T0 Gate</t>
        </is>
      </c>
      <c r="E241" s="199" t="inlineStr">
        <is>
          <t>Codes &amp; Standards</t>
        </is>
      </c>
      <c r="F241" s="199" t="n">
        <v>20</v>
      </c>
      <c r="G241" s="199" t="n">
        <v>38</v>
      </c>
      <c r="H241" s="199" t="inlineStr">
        <is>
          <t>No separate deliverable explicitly named</t>
        </is>
      </c>
    </row>
    <row r="242">
      <c r="A242" s="208" t="inlineStr">
        <is>
          <t>RTM-694</t>
        </is>
      </c>
      <c r="B242" s="224" t="inlineStr">
        <is>
          <t>L3 Procurement &amp; Manufacturing / FAT</t>
        </is>
      </c>
      <c r="C242" s="208" t="n">
        <v>4</v>
      </c>
      <c r="D242" s="208" t="inlineStr">
        <is>
          <t>T0 Gate</t>
        </is>
      </c>
      <c r="E242" s="208" t="inlineStr">
        <is>
          <t>Codes &amp; Standards</t>
        </is>
      </c>
      <c r="F242" s="208" t="n">
        <v>20</v>
      </c>
      <c r="G242" s="208" t="n">
        <v>38</v>
      </c>
      <c r="H242" s="208" t="inlineStr">
        <is>
          <t>No separate deliverable explicitly named</t>
        </is>
      </c>
    </row>
    <row r="243">
      <c r="A243" s="199" t="inlineStr">
        <is>
          <t>RTM-694</t>
        </is>
      </c>
      <c r="B243" s="225" t="inlineStr">
        <is>
          <t>L5 Standalone Commissioning</t>
        </is>
      </c>
      <c r="C243" s="199" t="n">
        <v>7</v>
      </c>
      <c r="D243" s="199" t="inlineStr">
        <is>
          <t>T0 Gate</t>
        </is>
      </c>
      <c r="E243" s="199" t="inlineStr">
        <is>
          <t>Codes &amp; Standards</t>
        </is>
      </c>
      <c r="F243" s="199" t="n">
        <v>20</v>
      </c>
      <c r="G243" s="199" t="n">
        <v>38</v>
      </c>
      <c r="H243" s="199" t="inlineStr">
        <is>
          <t>No separate deliverable explicitly named</t>
        </is>
      </c>
    </row>
    <row r="244">
      <c r="A244" s="208" t="inlineStr">
        <is>
          <t>RTM-694</t>
        </is>
      </c>
      <c r="B244" s="226" t="inlineStr">
        <is>
          <t>L6 Site Acceptance Testing</t>
        </is>
      </c>
      <c r="C244" s="208" t="n">
        <v>8</v>
      </c>
      <c r="D244" s="208" t="inlineStr">
        <is>
          <t>T0 Gate</t>
        </is>
      </c>
      <c r="E244" s="208" t="inlineStr">
        <is>
          <t>Codes &amp; Standards</t>
        </is>
      </c>
      <c r="F244" s="208" t="n">
        <v>20</v>
      </c>
      <c r="G244" s="208" t="n">
        <v>38</v>
      </c>
      <c r="H244" s="208" t="inlineStr">
        <is>
          <t>No separate deliverable explicitly named</t>
        </is>
      </c>
    </row>
    <row r="245">
      <c r="A245" s="199" t="inlineStr">
        <is>
          <t>RTM-696</t>
        </is>
      </c>
      <c r="B245" s="221" t="inlineStr">
        <is>
          <t>L0 Tender / Offer</t>
        </is>
      </c>
      <c r="C245" s="199" t="n">
        <v>1</v>
      </c>
      <c r="D245" s="199" t="inlineStr">
        <is>
          <t>T0 Gate</t>
        </is>
      </c>
      <c r="E245" s="199" t="inlineStr">
        <is>
          <t>Codes &amp; Standards</t>
        </is>
      </c>
      <c r="F245" s="199" t="n">
        <v>20</v>
      </c>
      <c r="G245" s="199" t="n">
        <v>39</v>
      </c>
      <c r="H245" s="199" t="inlineStr">
        <is>
          <t>No separate deliverable explicitly named</t>
        </is>
      </c>
    </row>
    <row r="246">
      <c r="A246" s="208" t="inlineStr">
        <is>
          <t>RTM-696</t>
        </is>
      </c>
      <c r="B246" s="222" t="inlineStr">
        <is>
          <t>L1 Conceptual Design</t>
        </is>
      </c>
      <c r="C246" s="208" t="n">
        <v>2</v>
      </c>
      <c r="D246" s="208" t="inlineStr">
        <is>
          <t>T0 Gate</t>
        </is>
      </c>
      <c r="E246" s="208" t="inlineStr">
        <is>
          <t>Codes &amp; Standards</t>
        </is>
      </c>
      <c r="F246" s="208" t="n">
        <v>20</v>
      </c>
      <c r="G246" s="208" t="n">
        <v>39</v>
      </c>
      <c r="H246" s="208" t="inlineStr">
        <is>
          <t>No separate deliverable explicitly named</t>
        </is>
      </c>
    </row>
    <row r="247">
      <c r="A247" s="199" t="inlineStr">
        <is>
          <t>RTM-696</t>
        </is>
      </c>
      <c r="B247" s="223" t="inlineStr">
        <is>
          <t>L2 Detailed Design</t>
        </is>
      </c>
      <c r="C247" s="199" t="n">
        <v>3</v>
      </c>
      <c r="D247" s="199" t="inlineStr">
        <is>
          <t>T0 Gate</t>
        </is>
      </c>
      <c r="E247" s="199" t="inlineStr">
        <is>
          <t>Codes &amp; Standards</t>
        </is>
      </c>
      <c r="F247" s="199" t="n">
        <v>20</v>
      </c>
      <c r="G247" s="199" t="n">
        <v>39</v>
      </c>
      <c r="H247" s="199" t="inlineStr">
        <is>
          <t>No separate deliverable explicitly named</t>
        </is>
      </c>
    </row>
    <row r="248">
      <c r="A248" s="208" t="inlineStr">
        <is>
          <t>RTM-696</t>
        </is>
      </c>
      <c r="B248" s="224" t="inlineStr">
        <is>
          <t>L3 Procurement &amp; Manufacturing / FAT</t>
        </is>
      </c>
      <c r="C248" s="208" t="n">
        <v>4</v>
      </c>
      <c r="D248" s="208" t="inlineStr">
        <is>
          <t>T0 Gate</t>
        </is>
      </c>
      <c r="E248" s="208" t="inlineStr">
        <is>
          <t>Codes &amp; Standards</t>
        </is>
      </c>
      <c r="F248" s="208" t="n">
        <v>20</v>
      </c>
      <c r="G248" s="208" t="n">
        <v>39</v>
      </c>
      <c r="H248" s="208" t="inlineStr">
        <is>
          <t>No separate deliverable explicitly named</t>
        </is>
      </c>
    </row>
    <row r="249">
      <c r="A249" s="199" t="inlineStr">
        <is>
          <t>RTM-696</t>
        </is>
      </c>
      <c r="B249" s="220" t="inlineStr">
        <is>
          <t>L4 Installation</t>
        </is>
      </c>
      <c r="C249" s="199" t="n">
        <v>6</v>
      </c>
      <c r="D249" s="199" t="inlineStr">
        <is>
          <t>T0 Gate</t>
        </is>
      </c>
      <c r="E249" s="199" t="inlineStr">
        <is>
          <t>Codes &amp; Standards</t>
        </is>
      </c>
      <c r="F249" s="199" t="n">
        <v>20</v>
      </c>
      <c r="G249" s="199" t="n">
        <v>39</v>
      </c>
      <c r="H249" s="199" t="inlineStr">
        <is>
          <t>No separate deliverable explicitly named</t>
        </is>
      </c>
    </row>
    <row r="250">
      <c r="A250" s="208" t="inlineStr">
        <is>
          <t>RTM-696</t>
        </is>
      </c>
      <c r="B250" s="225" t="inlineStr">
        <is>
          <t>L5 Standalone Commissioning</t>
        </is>
      </c>
      <c r="C250" s="208" t="n">
        <v>7</v>
      </c>
      <c r="D250" s="208" t="inlineStr">
        <is>
          <t>T0 Gate</t>
        </is>
      </c>
      <c r="E250" s="208" t="inlineStr">
        <is>
          <t>Codes &amp; Standards</t>
        </is>
      </c>
      <c r="F250" s="208" t="n">
        <v>20</v>
      </c>
      <c r="G250" s="208" t="n">
        <v>39</v>
      </c>
      <c r="H250" s="208" t="inlineStr">
        <is>
          <t>No separate deliverable explicitly named</t>
        </is>
      </c>
    </row>
    <row r="251">
      <c r="A251" s="199" t="inlineStr">
        <is>
          <t>RTM-696</t>
        </is>
      </c>
      <c r="B251" s="226" t="inlineStr">
        <is>
          <t>L6 Site Acceptance Testing</t>
        </is>
      </c>
      <c r="C251" s="199" t="n">
        <v>8</v>
      </c>
      <c r="D251" s="199" t="inlineStr">
        <is>
          <t>T0 Gate</t>
        </is>
      </c>
      <c r="E251" s="199" t="inlineStr">
        <is>
          <t>Codes &amp; Standards</t>
        </is>
      </c>
      <c r="F251" s="199" t="n">
        <v>20</v>
      </c>
      <c r="G251" s="199" t="n">
        <v>39</v>
      </c>
      <c r="H251" s="199" t="inlineStr">
        <is>
          <t>No separate deliverable explicitly named</t>
        </is>
      </c>
    </row>
    <row r="252">
      <c r="A252" s="208" t="inlineStr">
        <is>
          <t>RTM-702</t>
        </is>
      </c>
      <c r="B252" s="221" t="inlineStr">
        <is>
          <t>L0 Tender / Offer</t>
        </is>
      </c>
      <c r="C252" s="208" t="n">
        <v>1</v>
      </c>
      <c r="D252" s="208" t="inlineStr">
        <is>
          <t>T0 Gate</t>
        </is>
      </c>
      <c r="E252" s="208" t="inlineStr">
        <is>
          <t>Codes &amp; Standards</t>
        </is>
      </c>
      <c r="F252" s="208" t="n">
        <v>20</v>
      </c>
      <c r="G252" s="208" t="n">
        <v>40</v>
      </c>
      <c r="H252" s="208" t="inlineStr">
        <is>
          <t>No separate deliverable explicitly named</t>
        </is>
      </c>
    </row>
    <row r="253">
      <c r="A253" s="199" t="inlineStr">
        <is>
          <t>RTM-702</t>
        </is>
      </c>
      <c r="B253" s="222" t="inlineStr">
        <is>
          <t>L1 Conceptual Design</t>
        </is>
      </c>
      <c r="C253" s="199" t="n">
        <v>2</v>
      </c>
      <c r="D253" s="199" t="inlineStr">
        <is>
          <t>T0 Gate</t>
        </is>
      </c>
      <c r="E253" s="199" t="inlineStr">
        <is>
          <t>Codes &amp; Standards</t>
        </is>
      </c>
      <c r="F253" s="199" t="n">
        <v>20</v>
      </c>
      <c r="G253" s="199" t="n">
        <v>40</v>
      </c>
      <c r="H253" s="199" t="inlineStr">
        <is>
          <t>No separate deliverable explicitly named</t>
        </is>
      </c>
    </row>
    <row r="254">
      <c r="A254" s="208" t="inlineStr">
        <is>
          <t>RTM-702</t>
        </is>
      </c>
      <c r="B254" s="223" t="inlineStr">
        <is>
          <t>L2 Detailed Design</t>
        </is>
      </c>
      <c r="C254" s="208" t="n">
        <v>3</v>
      </c>
      <c r="D254" s="208" t="inlineStr">
        <is>
          <t>T0 Gate</t>
        </is>
      </c>
      <c r="E254" s="208" t="inlineStr">
        <is>
          <t>Codes &amp; Standards</t>
        </is>
      </c>
      <c r="F254" s="208" t="n">
        <v>20</v>
      </c>
      <c r="G254" s="208" t="n">
        <v>40</v>
      </c>
      <c r="H254" s="208" t="inlineStr">
        <is>
          <t>No separate deliverable explicitly named</t>
        </is>
      </c>
    </row>
    <row r="255">
      <c r="A255" s="199" t="inlineStr">
        <is>
          <t>RTM-702</t>
        </is>
      </c>
      <c r="B255" s="224" t="inlineStr">
        <is>
          <t>L3 Procurement &amp; Manufacturing / FAT</t>
        </is>
      </c>
      <c r="C255" s="199" t="n">
        <v>4</v>
      </c>
      <c r="D255" s="199" t="inlineStr">
        <is>
          <t>T0 Gate</t>
        </is>
      </c>
      <c r="E255" s="199" t="inlineStr">
        <is>
          <t>Codes &amp; Standards</t>
        </is>
      </c>
      <c r="F255" s="199" t="n">
        <v>20</v>
      </c>
      <c r="G255" s="199" t="n">
        <v>40</v>
      </c>
      <c r="H255" s="199" t="inlineStr">
        <is>
          <t>No separate deliverable explicitly named</t>
        </is>
      </c>
    </row>
    <row r="256">
      <c r="A256" s="208" t="inlineStr">
        <is>
          <t>RTM-702</t>
        </is>
      </c>
      <c r="B256" s="220" t="inlineStr">
        <is>
          <t>L4 Installation</t>
        </is>
      </c>
      <c r="C256" s="208" t="n">
        <v>6</v>
      </c>
      <c r="D256" s="208" t="inlineStr">
        <is>
          <t>T0 Gate</t>
        </is>
      </c>
      <c r="E256" s="208" t="inlineStr">
        <is>
          <t>Codes &amp; Standards</t>
        </is>
      </c>
      <c r="F256" s="208" t="n">
        <v>20</v>
      </c>
      <c r="G256" s="208" t="n">
        <v>40</v>
      </c>
      <c r="H256" s="208" t="inlineStr">
        <is>
          <t>No separate deliverable explicitly named</t>
        </is>
      </c>
    </row>
    <row r="257">
      <c r="A257" s="199" t="inlineStr">
        <is>
          <t>RTM-702</t>
        </is>
      </c>
      <c r="B257" s="225" t="inlineStr">
        <is>
          <t>L5 Standalone Commissioning</t>
        </is>
      </c>
      <c r="C257" s="199" t="n">
        <v>7</v>
      </c>
      <c r="D257" s="199" t="inlineStr">
        <is>
          <t>T0 Gate</t>
        </is>
      </c>
      <c r="E257" s="199" t="inlineStr">
        <is>
          <t>Codes &amp; Standards</t>
        </is>
      </c>
      <c r="F257" s="199" t="n">
        <v>20</v>
      </c>
      <c r="G257" s="199" t="n">
        <v>40</v>
      </c>
      <c r="H257" s="199" t="inlineStr">
        <is>
          <t>No separate deliverable explicitly named</t>
        </is>
      </c>
    </row>
    <row r="258">
      <c r="A258" s="208" t="inlineStr">
        <is>
          <t>RTM-702</t>
        </is>
      </c>
      <c r="B258" s="226" t="inlineStr">
        <is>
          <t>L6 Site Acceptance Testing</t>
        </is>
      </c>
      <c r="C258" s="208" t="n">
        <v>8</v>
      </c>
      <c r="D258" s="208" t="inlineStr">
        <is>
          <t>T0 Gate</t>
        </is>
      </c>
      <c r="E258" s="208" t="inlineStr">
        <is>
          <t>Codes &amp; Standards</t>
        </is>
      </c>
      <c r="F258" s="208" t="n">
        <v>20</v>
      </c>
      <c r="G258" s="208" t="n">
        <v>40</v>
      </c>
      <c r="H258" s="208" t="inlineStr">
        <is>
          <t>No separate deliverable explicitly named</t>
        </is>
      </c>
    </row>
    <row r="259">
      <c r="A259" s="199" t="inlineStr">
        <is>
          <t>RTM-703</t>
        </is>
      </c>
      <c r="B259" s="221" t="inlineStr">
        <is>
          <t>L0 Tender / Offer</t>
        </is>
      </c>
      <c r="C259" s="199" t="n">
        <v>1</v>
      </c>
      <c r="D259" s="199" t="inlineStr">
        <is>
          <t>T0 Gate</t>
        </is>
      </c>
      <c r="E259" s="199" t="inlineStr">
        <is>
          <t>Codes &amp; Standards</t>
        </is>
      </c>
      <c r="F259" s="199" t="n">
        <v>20</v>
      </c>
      <c r="G259" s="199" t="n">
        <v>41</v>
      </c>
      <c r="H259" s="199" t="inlineStr">
        <is>
          <t>No separate deliverable explicitly named</t>
        </is>
      </c>
    </row>
    <row r="260">
      <c r="A260" s="208" t="inlineStr">
        <is>
          <t>RTM-703</t>
        </is>
      </c>
      <c r="B260" s="222" t="inlineStr">
        <is>
          <t>L1 Conceptual Design</t>
        </is>
      </c>
      <c r="C260" s="208" t="n">
        <v>2</v>
      </c>
      <c r="D260" s="208" t="inlineStr">
        <is>
          <t>T0 Gate</t>
        </is>
      </c>
      <c r="E260" s="208" t="inlineStr">
        <is>
          <t>Codes &amp; Standards</t>
        </is>
      </c>
      <c r="F260" s="208" t="n">
        <v>20</v>
      </c>
      <c r="G260" s="208" t="n">
        <v>41</v>
      </c>
      <c r="H260" s="208" t="inlineStr">
        <is>
          <t>No separate deliverable explicitly named</t>
        </is>
      </c>
    </row>
    <row r="261">
      <c r="A261" s="199" t="inlineStr">
        <is>
          <t>RTM-703</t>
        </is>
      </c>
      <c r="B261" s="223" t="inlineStr">
        <is>
          <t>L2 Detailed Design</t>
        </is>
      </c>
      <c r="C261" s="199" t="n">
        <v>3</v>
      </c>
      <c r="D261" s="199" t="inlineStr">
        <is>
          <t>T0 Gate</t>
        </is>
      </c>
      <c r="E261" s="199" t="inlineStr">
        <is>
          <t>Codes &amp; Standards</t>
        </is>
      </c>
      <c r="F261" s="199" t="n">
        <v>20</v>
      </c>
      <c r="G261" s="199" t="n">
        <v>41</v>
      </c>
      <c r="H261" s="199" t="inlineStr">
        <is>
          <t>No separate deliverable explicitly named</t>
        </is>
      </c>
    </row>
    <row r="262">
      <c r="A262" s="208" t="inlineStr">
        <is>
          <t>RTM-703</t>
        </is>
      </c>
      <c r="B262" s="224" t="inlineStr">
        <is>
          <t>L3 Procurement &amp; Manufacturing / FAT</t>
        </is>
      </c>
      <c r="C262" s="208" t="n">
        <v>4</v>
      </c>
      <c r="D262" s="208" t="inlineStr">
        <is>
          <t>T0 Gate</t>
        </is>
      </c>
      <c r="E262" s="208" t="inlineStr">
        <is>
          <t>Codes &amp; Standards</t>
        </is>
      </c>
      <c r="F262" s="208" t="n">
        <v>20</v>
      </c>
      <c r="G262" s="208" t="n">
        <v>41</v>
      </c>
      <c r="H262" s="208" t="inlineStr">
        <is>
          <t>No separate deliverable explicitly named</t>
        </is>
      </c>
    </row>
    <row r="263">
      <c r="A263" s="199" t="inlineStr">
        <is>
          <t>RTM-703</t>
        </is>
      </c>
      <c r="B263" s="220" t="inlineStr">
        <is>
          <t>L4 Installation</t>
        </is>
      </c>
      <c r="C263" s="199" t="n">
        <v>6</v>
      </c>
      <c r="D263" s="199" t="inlineStr">
        <is>
          <t>T0 Gate</t>
        </is>
      </c>
      <c r="E263" s="199" t="inlineStr">
        <is>
          <t>Codes &amp; Standards</t>
        </is>
      </c>
      <c r="F263" s="199" t="n">
        <v>20</v>
      </c>
      <c r="G263" s="199" t="n">
        <v>41</v>
      </c>
      <c r="H263" s="199" t="inlineStr">
        <is>
          <t>No separate deliverable explicitly named</t>
        </is>
      </c>
    </row>
    <row r="264">
      <c r="A264" s="208" t="inlineStr">
        <is>
          <t>RTM-703</t>
        </is>
      </c>
      <c r="B264" s="225" t="inlineStr">
        <is>
          <t>L5 Standalone Commissioning</t>
        </is>
      </c>
      <c r="C264" s="208" t="n">
        <v>7</v>
      </c>
      <c r="D264" s="208" t="inlineStr">
        <is>
          <t>T0 Gate</t>
        </is>
      </c>
      <c r="E264" s="208" t="inlineStr">
        <is>
          <t>Codes &amp; Standards</t>
        </is>
      </c>
      <c r="F264" s="208" t="n">
        <v>20</v>
      </c>
      <c r="G264" s="208" t="n">
        <v>41</v>
      </c>
      <c r="H264" s="208" t="inlineStr">
        <is>
          <t>No separate deliverable explicitly named</t>
        </is>
      </c>
    </row>
    <row r="265">
      <c r="A265" s="199" t="inlineStr">
        <is>
          <t>RTM-703</t>
        </is>
      </c>
      <c r="B265" s="226" t="inlineStr">
        <is>
          <t>L6 Site Acceptance Testing</t>
        </is>
      </c>
      <c r="C265" s="199" t="n">
        <v>8</v>
      </c>
      <c r="D265" s="199" t="inlineStr">
        <is>
          <t>T0 Gate</t>
        </is>
      </c>
      <c r="E265" s="199" t="inlineStr">
        <is>
          <t>Codes &amp; Standards</t>
        </is>
      </c>
      <c r="F265" s="199" t="n">
        <v>20</v>
      </c>
      <c r="G265" s="199" t="n">
        <v>41</v>
      </c>
      <c r="H265" s="199" t="inlineStr">
        <is>
          <t>No separate deliverable explicitly named</t>
        </is>
      </c>
    </row>
    <row r="266">
      <c r="A266" s="208" t="inlineStr">
        <is>
          <t>RTM-704</t>
        </is>
      </c>
      <c r="B266" s="221" t="inlineStr">
        <is>
          <t>L0 Tender / Offer</t>
        </is>
      </c>
      <c r="C266" s="208" t="n">
        <v>1</v>
      </c>
      <c r="D266" s="208" t="inlineStr">
        <is>
          <t>T0 Gate</t>
        </is>
      </c>
      <c r="E266" s="208" t="inlineStr">
        <is>
          <t>Codes &amp; Standards</t>
        </is>
      </c>
      <c r="F266" s="208" t="n">
        <v>20</v>
      </c>
      <c r="G266" s="208" t="n">
        <v>42</v>
      </c>
      <c r="H266" s="208" t="inlineStr">
        <is>
          <t>No separate deliverable explicitly named</t>
        </is>
      </c>
    </row>
    <row r="267">
      <c r="A267" s="199" t="inlineStr">
        <is>
          <t>RTM-704</t>
        </is>
      </c>
      <c r="B267" s="222" t="inlineStr">
        <is>
          <t>L1 Conceptual Design</t>
        </is>
      </c>
      <c r="C267" s="199" t="n">
        <v>2</v>
      </c>
      <c r="D267" s="199" t="inlineStr">
        <is>
          <t>T0 Gate</t>
        </is>
      </c>
      <c r="E267" s="199" t="inlineStr">
        <is>
          <t>Codes &amp; Standards</t>
        </is>
      </c>
      <c r="F267" s="199" t="n">
        <v>20</v>
      </c>
      <c r="G267" s="199" t="n">
        <v>42</v>
      </c>
      <c r="H267" s="199" t="inlineStr">
        <is>
          <t>No separate deliverable explicitly named</t>
        </is>
      </c>
    </row>
    <row r="268">
      <c r="A268" s="208" t="inlineStr">
        <is>
          <t>RTM-704</t>
        </is>
      </c>
      <c r="B268" s="223" t="inlineStr">
        <is>
          <t>L2 Detailed Design</t>
        </is>
      </c>
      <c r="C268" s="208" t="n">
        <v>3</v>
      </c>
      <c r="D268" s="208" t="inlineStr">
        <is>
          <t>T0 Gate</t>
        </is>
      </c>
      <c r="E268" s="208" t="inlineStr">
        <is>
          <t>Codes &amp; Standards</t>
        </is>
      </c>
      <c r="F268" s="208" t="n">
        <v>20</v>
      </c>
      <c r="G268" s="208" t="n">
        <v>42</v>
      </c>
      <c r="H268" s="208" t="inlineStr">
        <is>
          <t>No separate deliverable explicitly named</t>
        </is>
      </c>
    </row>
    <row r="269">
      <c r="A269" s="199" t="inlineStr">
        <is>
          <t>RTM-704</t>
        </is>
      </c>
      <c r="B269" s="224" t="inlineStr">
        <is>
          <t>L3 Procurement &amp; Manufacturing / FAT</t>
        </is>
      </c>
      <c r="C269" s="199" t="n">
        <v>4</v>
      </c>
      <c r="D269" s="199" t="inlineStr">
        <is>
          <t>T0 Gate</t>
        </is>
      </c>
      <c r="E269" s="199" t="inlineStr">
        <is>
          <t>Codes &amp; Standards</t>
        </is>
      </c>
      <c r="F269" s="199" t="n">
        <v>20</v>
      </c>
      <c r="G269" s="199" t="n">
        <v>42</v>
      </c>
      <c r="H269" s="199" t="inlineStr">
        <is>
          <t>No separate deliverable explicitly named</t>
        </is>
      </c>
    </row>
    <row r="270">
      <c r="A270" s="208" t="inlineStr">
        <is>
          <t>RTM-704</t>
        </is>
      </c>
      <c r="B270" s="220" t="inlineStr">
        <is>
          <t>L4 Installation</t>
        </is>
      </c>
      <c r="C270" s="208" t="n">
        <v>6</v>
      </c>
      <c r="D270" s="208" t="inlineStr">
        <is>
          <t>T0 Gate</t>
        </is>
      </c>
      <c r="E270" s="208" t="inlineStr">
        <is>
          <t>Codes &amp; Standards</t>
        </is>
      </c>
      <c r="F270" s="208" t="n">
        <v>20</v>
      </c>
      <c r="G270" s="208" t="n">
        <v>42</v>
      </c>
      <c r="H270" s="208" t="inlineStr">
        <is>
          <t>No separate deliverable explicitly named</t>
        </is>
      </c>
    </row>
    <row r="271">
      <c r="A271" s="199" t="inlineStr">
        <is>
          <t>RTM-704</t>
        </is>
      </c>
      <c r="B271" s="225" t="inlineStr">
        <is>
          <t>L5 Standalone Commissioning</t>
        </is>
      </c>
      <c r="C271" s="199" t="n">
        <v>7</v>
      </c>
      <c r="D271" s="199" t="inlineStr">
        <is>
          <t>T0 Gate</t>
        </is>
      </c>
      <c r="E271" s="199" t="inlineStr">
        <is>
          <t>Codes &amp; Standards</t>
        </is>
      </c>
      <c r="F271" s="199" t="n">
        <v>20</v>
      </c>
      <c r="G271" s="199" t="n">
        <v>42</v>
      </c>
      <c r="H271" s="199" t="inlineStr">
        <is>
          <t>No separate deliverable explicitly named</t>
        </is>
      </c>
    </row>
    <row r="272">
      <c r="A272" s="208" t="inlineStr">
        <is>
          <t>RTM-704</t>
        </is>
      </c>
      <c r="B272" s="226" t="inlineStr">
        <is>
          <t>L6 Site Acceptance Testing</t>
        </is>
      </c>
      <c r="C272" s="208" t="n">
        <v>8</v>
      </c>
      <c r="D272" s="208" t="inlineStr">
        <is>
          <t>T0 Gate</t>
        </is>
      </c>
      <c r="E272" s="208" t="inlineStr">
        <is>
          <t>Codes &amp; Standards</t>
        </is>
      </c>
      <c r="F272" s="208" t="n">
        <v>20</v>
      </c>
      <c r="G272" s="208" t="n">
        <v>42</v>
      </c>
      <c r="H272" s="208" t="inlineStr">
        <is>
          <t>No separate deliverable explicitly named</t>
        </is>
      </c>
    </row>
    <row r="273">
      <c r="A273" s="199" t="inlineStr">
        <is>
          <t>RTM-705</t>
        </is>
      </c>
      <c r="B273" s="221" t="inlineStr">
        <is>
          <t>L0 Tender / Offer</t>
        </is>
      </c>
      <c r="C273" s="199" t="n">
        <v>1</v>
      </c>
      <c r="D273" s="199" t="inlineStr">
        <is>
          <t>T0 Gate</t>
        </is>
      </c>
      <c r="E273" s="199" t="inlineStr">
        <is>
          <t>Codes &amp; Standards</t>
        </is>
      </c>
      <c r="F273" s="199" t="n">
        <v>20</v>
      </c>
      <c r="G273" s="199" t="n">
        <v>43</v>
      </c>
      <c r="H273" s="199" t="inlineStr">
        <is>
          <t>No separate deliverable explicitly named</t>
        </is>
      </c>
    </row>
    <row r="274">
      <c r="A274" s="208" t="inlineStr">
        <is>
          <t>RTM-705</t>
        </is>
      </c>
      <c r="B274" s="222" t="inlineStr">
        <is>
          <t>L1 Conceptual Design</t>
        </is>
      </c>
      <c r="C274" s="208" t="n">
        <v>2</v>
      </c>
      <c r="D274" s="208" t="inlineStr">
        <is>
          <t>T0 Gate</t>
        </is>
      </c>
      <c r="E274" s="208" t="inlineStr">
        <is>
          <t>Codes &amp; Standards</t>
        </is>
      </c>
      <c r="F274" s="208" t="n">
        <v>20</v>
      </c>
      <c r="G274" s="208" t="n">
        <v>43</v>
      </c>
      <c r="H274" s="208" t="inlineStr">
        <is>
          <t>No separate deliverable explicitly named</t>
        </is>
      </c>
    </row>
    <row r="275">
      <c r="A275" s="199" t="inlineStr">
        <is>
          <t>RTM-705</t>
        </is>
      </c>
      <c r="B275" s="223" t="inlineStr">
        <is>
          <t>L2 Detailed Design</t>
        </is>
      </c>
      <c r="C275" s="199" t="n">
        <v>3</v>
      </c>
      <c r="D275" s="199" t="inlineStr">
        <is>
          <t>T0 Gate</t>
        </is>
      </c>
      <c r="E275" s="199" t="inlineStr">
        <is>
          <t>Codes &amp; Standards</t>
        </is>
      </c>
      <c r="F275" s="199" t="n">
        <v>20</v>
      </c>
      <c r="G275" s="199" t="n">
        <v>43</v>
      </c>
      <c r="H275" s="199" t="inlineStr">
        <is>
          <t>No separate deliverable explicitly named</t>
        </is>
      </c>
    </row>
    <row r="276">
      <c r="A276" s="208" t="inlineStr">
        <is>
          <t>RTM-705</t>
        </is>
      </c>
      <c r="B276" s="224" t="inlineStr">
        <is>
          <t>L3 Procurement &amp; Manufacturing / FAT</t>
        </is>
      </c>
      <c r="C276" s="208" t="n">
        <v>4</v>
      </c>
      <c r="D276" s="208" t="inlineStr">
        <is>
          <t>T0 Gate</t>
        </is>
      </c>
      <c r="E276" s="208" t="inlineStr">
        <is>
          <t>Codes &amp; Standards</t>
        </is>
      </c>
      <c r="F276" s="208" t="n">
        <v>20</v>
      </c>
      <c r="G276" s="208" t="n">
        <v>43</v>
      </c>
      <c r="H276" s="208" t="inlineStr">
        <is>
          <t>No separate deliverable explicitly named</t>
        </is>
      </c>
    </row>
    <row r="277">
      <c r="A277" s="199" t="inlineStr">
        <is>
          <t>RTM-705</t>
        </is>
      </c>
      <c r="B277" s="220" t="inlineStr">
        <is>
          <t>L4 Installation</t>
        </is>
      </c>
      <c r="C277" s="199" t="n">
        <v>6</v>
      </c>
      <c r="D277" s="199" t="inlineStr">
        <is>
          <t>T0 Gate</t>
        </is>
      </c>
      <c r="E277" s="199" t="inlineStr">
        <is>
          <t>Codes &amp; Standards</t>
        </is>
      </c>
      <c r="F277" s="199" t="n">
        <v>20</v>
      </c>
      <c r="G277" s="199" t="n">
        <v>43</v>
      </c>
      <c r="H277" s="199" t="inlineStr">
        <is>
          <t>No separate deliverable explicitly named</t>
        </is>
      </c>
    </row>
    <row r="278">
      <c r="A278" s="208" t="inlineStr">
        <is>
          <t>RTM-705</t>
        </is>
      </c>
      <c r="B278" s="225" t="inlineStr">
        <is>
          <t>L5 Standalone Commissioning</t>
        </is>
      </c>
      <c r="C278" s="208" t="n">
        <v>7</v>
      </c>
      <c r="D278" s="208" t="inlineStr">
        <is>
          <t>T0 Gate</t>
        </is>
      </c>
      <c r="E278" s="208" t="inlineStr">
        <is>
          <t>Codes &amp; Standards</t>
        </is>
      </c>
      <c r="F278" s="208" t="n">
        <v>20</v>
      </c>
      <c r="G278" s="208" t="n">
        <v>43</v>
      </c>
      <c r="H278" s="208" t="inlineStr">
        <is>
          <t>No separate deliverable explicitly named</t>
        </is>
      </c>
    </row>
    <row r="279">
      <c r="A279" s="199" t="inlineStr">
        <is>
          <t>RTM-705</t>
        </is>
      </c>
      <c r="B279" s="226" t="inlineStr">
        <is>
          <t>L6 Site Acceptance Testing</t>
        </is>
      </c>
      <c r="C279" s="199" t="n">
        <v>8</v>
      </c>
      <c r="D279" s="199" t="inlineStr">
        <is>
          <t>T0 Gate</t>
        </is>
      </c>
      <c r="E279" s="199" t="inlineStr">
        <is>
          <t>Codes &amp; Standards</t>
        </is>
      </c>
      <c r="F279" s="199" t="n">
        <v>20</v>
      </c>
      <c r="G279" s="199" t="n">
        <v>43</v>
      </c>
      <c r="H279" s="199" t="inlineStr">
        <is>
          <t>No separate deliverable explicitly named</t>
        </is>
      </c>
    </row>
    <row r="280">
      <c r="A280" s="208" t="inlineStr">
        <is>
          <t>RTM-482</t>
        </is>
      </c>
      <c r="B280" s="226" t="inlineStr">
        <is>
          <t>L6 Site Acceptance Testing</t>
        </is>
      </c>
      <c r="C280" s="208" t="n">
        <v>8</v>
      </c>
      <c r="D280" s="208" t="inlineStr">
        <is>
          <t>T1 Primary</t>
        </is>
      </c>
      <c r="E280" s="208" t="inlineStr">
        <is>
          <t>Commissioning</t>
        </is>
      </c>
      <c r="F280" s="208" t="n">
        <v>76.66670000000001</v>
      </c>
      <c r="G280" s="208" t="n">
        <v>44</v>
      </c>
      <c r="H280" s="208" t="inlineStr">
        <is>
          <t>Datasheet / technical specification</t>
        </is>
      </c>
    </row>
    <row r="281">
      <c r="A281" s="199" t="inlineStr">
        <is>
          <t>RTM-482</t>
        </is>
      </c>
      <c r="B281" s="222" t="inlineStr">
        <is>
          <t>L1 Conceptual Design</t>
        </is>
      </c>
      <c r="C281" s="199" t="n">
        <v>2</v>
      </c>
      <c r="D281" s="199" t="inlineStr">
        <is>
          <t>T1 Primary</t>
        </is>
      </c>
      <c r="E281" s="199" t="inlineStr">
        <is>
          <t>Commissioning</t>
        </is>
      </c>
      <c r="F281" s="199" t="n">
        <v>76.66670000000001</v>
      </c>
      <c r="G281" s="199" t="n">
        <v>44</v>
      </c>
      <c r="H281" s="199" t="inlineStr">
        <is>
          <t>Datasheet / technical specification</t>
        </is>
      </c>
    </row>
    <row r="282">
      <c r="A282" s="208" t="inlineStr">
        <is>
          <t>RTM-482</t>
        </is>
      </c>
      <c r="B282" s="223" t="inlineStr">
        <is>
          <t>L2 Detailed Design</t>
        </is>
      </c>
      <c r="C282" s="208" t="n">
        <v>3</v>
      </c>
      <c r="D282" s="208" t="inlineStr">
        <is>
          <t>T1 Primary</t>
        </is>
      </c>
      <c r="E282" s="208" t="inlineStr">
        <is>
          <t>Commissioning</t>
        </is>
      </c>
      <c r="F282" s="208" t="n">
        <v>76.66670000000001</v>
      </c>
      <c r="G282" s="208" t="n">
        <v>44</v>
      </c>
      <c r="H282" s="208" t="inlineStr">
        <is>
          <t>Datasheet / technical specification</t>
        </is>
      </c>
    </row>
    <row r="283">
      <c r="A283" s="199" t="inlineStr">
        <is>
          <t>RTM-522</t>
        </is>
      </c>
      <c r="B283" s="226" t="inlineStr">
        <is>
          <t>L6 Site Acceptance Testing</t>
        </is>
      </c>
      <c r="C283" s="199" t="n">
        <v>8</v>
      </c>
      <c r="D283" s="199" t="inlineStr">
        <is>
          <t>T1 Primary</t>
        </is>
      </c>
      <c r="E283" s="199" t="inlineStr">
        <is>
          <t>Acceptance Testing</t>
        </is>
      </c>
      <c r="F283" s="199" t="n">
        <v>67.33329999999999</v>
      </c>
      <c r="G283" s="199" t="n">
        <v>45</v>
      </c>
      <c r="H283" s="199" t="inlineStr">
        <is>
          <t>No separate deliverable explicitly named</t>
        </is>
      </c>
    </row>
    <row r="284">
      <c r="A284" s="208" t="inlineStr">
        <is>
          <t>RTM-522</t>
        </is>
      </c>
      <c r="B284" s="222" t="inlineStr">
        <is>
          <t>L1 Conceptual Design</t>
        </is>
      </c>
      <c r="C284" s="208" t="n">
        <v>2</v>
      </c>
      <c r="D284" s="208" t="inlineStr">
        <is>
          <t>T1 Primary</t>
        </is>
      </c>
      <c r="E284" s="208" t="inlineStr">
        <is>
          <t>Acceptance Testing</t>
        </is>
      </c>
      <c r="F284" s="208" t="n">
        <v>67.33329999999999</v>
      </c>
      <c r="G284" s="208" t="n">
        <v>45</v>
      </c>
      <c r="H284" s="208" t="inlineStr">
        <is>
          <t>No separate deliverable explicitly named</t>
        </is>
      </c>
    </row>
    <row r="285">
      <c r="A285" s="199" t="inlineStr">
        <is>
          <t>RTM-522</t>
        </is>
      </c>
      <c r="B285" s="223" t="inlineStr">
        <is>
          <t>L2 Detailed Design</t>
        </is>
      </c>
      <c r="C285" s="199" t="n">
        <v>3</v>
      </c>
      <c r="D285" s="199" t="inlineStr">
        <is>
          <t>T1 Primary</t>
        </is>
      </c>
      <c r="E285" s="199" t="inlineStr">
        <is>
          <t>Acceptance Testing</t>
        </is>
      </c>
      <c r="F285" s="199" t="n">
        <v>67.33329999999999</v>
      </c>
      <c r="G285" s="199" t="n">
        <v>45</v>
      </c>
      <c r="H285" s="199" t="inlineStr">
        <is>
          <t>No separate deliverable explicitly named</t>
        </is>
      </c>
    </row>
    <row r="286">
      <c r="A286" s="208" t="inlineStr">
        <is>
          <t>RTM-523</t>
        </is>
      </c>
      <c r="B286" s="226" t="inlineStr">
        <is>
          <t>L6 Site Acceptance Testing</t>
        </is>
      </c>
      <c r="C286" s="208" t="n">
        <v>8</v>
      </c>
      <c r="D286" s="208" t="inlineStr">
        <is>
          <t>T1 Primary</t>
        </is>
      </c>
      <c r="E286" s="208" t="inlineStr">
        <is>
          <t>Acceptance Testing</t>
        </is>
      </c>
      <c r="F286" s="208" t="n">
        <v>67.33329999999999</v>
      </c>
      <c r="G286" s="208" t="n">
        <v>46</v>
      </c>
      <c r="H286" s="208" t="inlineStr">
        <is>
          <t>No separate deliverable explicitly named</t>
        </is>
      </c>
    </row>
    <row r="287">
      <c r="A287" s="199" t="inlineStr">
        <is>
          <t>RTM-523</t>
        </is>
      </c>
      <c r="B287" s="222" t="inlineStr">
        <is>
          <t>L1 Conceptual Design</t>
        </is>
      </c>
      <c r="C287" s="199" t="n">
        <v>2</v>
      </c>
      <c r="D287" s="199" t="inlineStr">
        <is>
          <t>T1 Primary</t>
        </is>
      </c>
      <c r="E287" s="199" t="inlineStr">
        <is>
          <t>Acceptance Testing</t>
        </is>
      </c>
      <c r="F287" s="199" t="n">
        <v>67.33329999999999</v>
      </c>
      <c r="G287" s="199" t="n">
        <v>46</v>
      </c>
      <c r="H287" s="199" t="inlineStr">
        <is>
          <t>No separate deliverable explicitly named</t>
        </is>
      </c>
    </row>
    <row r="288">
      <c r="A288" s="208" t="inlineStr">
        <is>
          <t>RTM-523</t>
        </is>
      </c>
      <c r="B288" s="223" t="inlineStr">
        <is>
          <t>L2 Detailed Design</t>
        </is>
      </c>
      <c r="C288" s="208" t="n">
        <v>3</v>
      </c>
      <c r="D288" s="208" t="inlineStr">
        <is>
          <t>T1 Primary</t>
        </is>
      </c>
      <c r="E288" s="208" t="inlineStr">
        <is>
          <t>Acceptance Testing</t>
        </is>
      </c>
      <c r="F288" s="208" t="n">
        <v>67.33329999999999</v>
      </c>
      <c r="G288" s="208" t="n">
        <v>46</v>
      </c>
      <c r="H288" s="208" t="inlineStr">
        <is>
          <t>No separate deliverable explicitly named</t>
        </is>
      </c>
    </row>
    <row r="289">
      <c r="A289" s="199" t="inlineStr">
        <is>
          <t>RTM-524</t>
        </is>
      </c>
      <c r="B289" s="226" t="inlineStr">
        <is>
          <t>L6 Site Acceptance Testing</t>
        </is>
      </c>
      <c r="C289" s="199" t="n">
        <v>8</v>
      </c>
      <c r="D289" s="199" t="inlineStr">
        <is>
          <t>T1 Primary</t>
        </is>
      </c>
      <c r="E289" s="199" t="inlineStr">
        <is>
          <t>Acceptance Testing</t>
        </is>
      </c>
      <c r="F289" s="199" t="n">
        <v>67.33329999999999</v>
      </c>
      <c r="G289" s="199" t="n">
        <v>47</v>
      </c>
      <c r="H289" s="199" t="inlineStr">
        <is>
          <t>No separate deliverable explicitly named</t>
        </is>
      </c>
    </row>
    <row r="290">
      <c r="A290" s="208" t="inlineStr">
        <is>
          <t>RTM-524</t>
        </is>
      </c>
      <c r="B290" s="222" t="inlineStr">
        <is>
          <t>L1 Conceptual Design</t>
        </is>
      </c>
      <c r="C290" s="208" t="n">
        <v>2</v>
      </c>
      <c r="D290" s="208" t="inlineStr">
        <is>
          <t>T1 Primary</t>
        </is>
      </c>
      <c r="E290" s="208" t="inlineStr">
        <is>
          <t>Acceptance Testing</t>
        </is>
      </c>
      <c r="F290" s="208" t="n">
        <v>67.33329999999999</v>
      </c>
      <c r="G290" s="208" t="n">
        <v>47</v>
      </c>
      <c r="H290" s="208" t="inlineStr">
        <is>
          <t>No separate deliverable explicitly named</t>
        </is>
      </c>
    </row>
    <row r="291">
      <c r="A291" s="199" t="inlineStr">
        <is>
          <t>RTM-524</t>
        </is>
      </c>
      <c r="B291" s="223" t="inlineStr">
        <is>
          <t>L2 Detailed Design</t>
        </is>
      </c>
      <c r="C291" s="199" t="n">
        <v>3</v>
      </c>
      <c r="D291" s="199" t="inlineStr">
        <is>
          <t>T1 Primary</t>
        </is>
      </c>
      <c r="E291" s="199" t="inlineStr">
        <is>
          <t>Acceptance Testing</t>
        </is>
      </c>
      <c r="F291" s="199" t="n">
        <v>67.33329999999999</v>
      </c>
      <c r="G291" s="199" t="n">
        <v>47</v>
      </c>
      <c r="H291" s="199" t="inlineStr">
        <is>
          <t>No separate deliverable explicitly named</t>
        </is>
      </c>
    </row>
    <row r="292">
      <c r="A292" s="208" t="inlineStr">
        <is>
          <t>RTM-525</t>
        </is>
      </c>
      <c r="B292" s="226" t="inlineStr">
        <is>
          <t>L6 Site Acceptance Testing</t>
        </is>
      </c>
      <c r="C292" s="208" t="n">
        <v>8</v>
      </c>
      <c r="D292" s="208" t="inlineStr">
        <is>
          <t>T1 Primary</t>
        </is>
      </c>
      <c r="E292" s="208" t="inlineStr">
        <is>
          <t>Acceptance Testing</t>
        </is>
      </c>
      <c r="F292" s="208" t="n">
        <v>67.33329999999999</v>
      </c>
      <c r="G292" s="208" t="n">
        <v>48</v>
      </c>
      <c r="H292" s="208" t="inlineStr">
        <is>
          <t>No separate deliverable explicitly named</t>
        </is>
      </c>
    </row>
    <row r="293">
      <c r="A293" s="199" t="inlineStr">
        <is>
          <t>RTM-525</t>
        </is>
      </c>
      <c r="B293" s="222" t="inlineStr">
        <is>
          <t>L1 Conceptual Design</t>
        </is>
      </c>
      <c r="C293" s="199" t="n">
        <v>2</v>
      </c>
      <c r="D293" s="199" t="inlineStr">
        <is>
          <t>T1 Primary</t>
        </is>
      </c>
      <c r="E293" s="199" t="inlineStr">
        <is>
          <t>Acceptance Testing</t>
        </is>
      </c>
      <c r="F293" s="199" t="n">
        <v>67.33329999999999</v>
      </c>
      <c r="G293" s="199" t="n">
        <v>48</v>
      </c>
      <c r="H293" s="199" t="inlineStr">
        <is>
          <t>No separate deliverable explicitly named</t>
        </is>
      </c>
    </row>
    <row r="294">
      <c r="A294" s="208" t="inlineStr">
        <is>
          <t>RTM-525</t>
        </is>
      </c>
      <c r="B294" s="223" t="inlineStr">
        <is>
          <t>L2 Detailed Design</t>
        </is>
      </c>
      <c r="C294" s="208" t="n">
        <v>3</v>
      </c>
      <c r="D294" s="208" t="inlineStr">
        <is>
          <t>T1 Primary</t>
        </is>
      </c>
      <c r="E294" s="208" t="inlineStr">
        <is>
          <t>Acceptance Testing</t>
        </is>
      </c>
      <c r="F294" s="208" t="n">
        <v>67.33329999999999</v>
      </c>
      <c r="G294" s="208" t="n">
        <v>48</v>
      </c>
      <c r="H294" s="208" t="inlineStr">
        <is>
          <t>No separate deliverable explicitly named</t>
        </is>
      </c>
    </row>
    <row r="295">
      <c r="A295" s="199" t="inlineStr">
        <is>
          <t>RTM-300</t>
        </is>
      </c>
      <c r="B295" s="222" t="inlineStr">
        <is>
          <t>L1 Conceptual Design</t>
        </is>
      </c>
      <c r="C295" s="199" t="n">
        <v>2</v>
      </c>
      <c r="D295" s="199" t="inlineStr">
        <is>
          <t>T1 Primary</t>
        </is>
      </c>
      <c r="E295" s="199" t="inlineStr">
        <is>
          <t>Control &amp; Interlock</t>
        </is>
      </c>
      <c r="F295" s="199" t="n">
        <v>66.33329999999999</v>
      </c>
      <c r="G295" s="199" t="n">
        <v>49</v>
      </c>
      <c r="H295" s="199" t="inlineStr">
        <is>
          <t>No separate deliverable explicitly named</t>
        </is>
      </c>
    </row>
    <row r="296">
      <c r="A296" s="208" t="inlineStr">
        <is>
          <t>RTM-300</t>
        </is>
      </c>
      <c r="B296" s="223" t="inlineStr">
        <is>
          <t>L2 Detailed Design</t>
        </is>
      </c>
      <c r="C296" s="208" t="n">
        <v>3</v>
      </c>
      <c r="D296" s="208" t="inlineStr">
        <is>
          <t>T1 Primary</t>
        </is>
      </c>
      <c r="E296" s="208" t="inlineStr">
        <is>
          <t>Control &amp; Interlock</t>
        </is>
      </c>
      <c r="F296" s="208" t="n">
        <v>66.33329999999999</v>
      </c>
      <c r="G296" s="208" t="n">
        <v>49</v>
      </c>
      <c r="H296" s="208" t="inlineStr">
        <is>
          <t>No separate deliverable explicitly named</t>
        </is>
      </c>
    </row>
    <row r="297">
      <c r="A297" s="199" t="inlineStr">
        <is>
          <t>RTM-161</t>
        </is>
      </c>
      <c r="B297" s="222" t="inlineStr">
        <is>
          <t>L1 Conceptual Design</t>
        </is>
      </c>
      <c r="C297" s="199" t="n">
        <v>2</v>
      </c>
      <c r="D297" s="199" t="inlineStr">
        <is>
          <t>T1 Primary</t>
        </is>
      </c>
      <c r="E297" s="199" t="inlineStr">
        <is>
          <t>Subsystems</t>
        </is>
      </c>
      <c r="F297" s="199" t="n">
        <v>64.66670000000001</v>
      </c>
      <c r="G297" s="199" t="n">
        <v>50</v>
      </c>
      <c r="H297" s="199" t="inlineStr">
        <is>
          <t>User and Maintenance Manuals; Procedure / work instruction</t>
        </is>
      </c>
    </row>
    <row r="298">
      <c r="A298" s="208" t="inlineStr">
        <is>
          <t>RTM-161</t>
        </is>
      </c>
      <c r="B298" s="223" t="inlineStr">
        <is>
          <t>L2 Detailed Design</t>
        </is>
      </c>
      <c r="C298" s="208" t="n">
        <v>3</v>
      </c>
      <c r="D298" s="208" t="inlineStr">
        <is>
          <t>T1 Primary</t>
        </is>
      </c>
      <c r="E298" s="208" t="inlineStr">
        <is>
          <t>Subsystems</t>
        </is>
      </c>
      <c r="F298" s="208" t="n">
        <v>64.66670000000001</v>
      </c>
      <c r="G298" s="208" t="n">
        <v>50</v>
      </c>
      <c r="H298" s="208" t="inlineStr">
        <is>
          <t>User and Maintenance Manuals; Procedure / work instruction</t>
        </is>
      </c>
    </row>
    <row r="299">
      <c r="A299" s="199" t="inlineStr">
        <is>
          <t>RTM-239</t>
        </is>
      </c>
      <c r="B299" s="226" t="inlineStr">
        <is>
          <t>L6 Site Acceptance Testing</t>
        </is>
      </c>
      <c r="C299" s="199" t="n">
        <v>8</v>
      </c>
      <c r="D299" s="199" t="inlineStr">
        <is>
          <t>T1 Primary</t>
        </is>
      </c>
      <c r="E299" s="199" t="inlineStr">
        <is>
          <t>Subsystems</t>
        </is>
      </c>
      <c r="F299" s="199" t="n">
        <v>64.66670000000001</v>
      </c>
      <c r="G299" s="199" t="n">
        <v>51</v>
      </c>
      <c r="H299" s="199" t="inlineStr">
        <is>
          <t>No separate deliverable explicitly named</t>
        </is>
      </c>
    </row>
    <row r="300">
      <c r="A300" s="208" t="inlineStr">
        <is>
          <t>RTM-239</t>
        </is>
      </c>
      <c r="B300" s="222" t="inlineStr">
        <is>
          <t>L1 Conceptual Design</t>
        </is>
      </c>
      <c r="C300" s="208" t="n">
        <v>2</v>
      </c>
      <c r="D300" s="208" t="inlineStr">
        <is>
          <t>T1 Primary</t>
        </is>
      </c>
      <c r="E300" s="208" t="inlineStr">
        <is>
          <t>Subsystems</t>
        </is>
      </c>
      <c r="F300" s="208" t="n">
        <v>64.66670000000001</v>
      </c>
      <c r="G300" s="208" t="n">
        <v>51</v>
      </c>
      <c r="H300" s="208" t="inlineStr">
        <is>
          <t>No separate deliverable explicitly named</t>
        </is>
      </c>
    </row>
    <row r="301">
      <c r="A301" s="199" t="inlineStr">
        <is>
          <t>RTM-239</t>
        </is>
      </c>
      <c r="B301" s="223" t="inlineStr">
        <is>
          <t>L2 Detailed Design</t>
        </is>
      </c>
      <c r="C301" s="199" t="n">
        <v>3</v>
      </c>
      <c r="D301" s="199" t="inlineStr">
        <is>
          <t>T1 Primary</t>
        </is>
      </c>
      <c r="E301" s="199" t="inlineStr">
        <is>
          <t>Subsystems</t>
        </is>
      </c>
      <c r="F301" s="199" t="n">
        <v>64.66670000000001</v>
      </c>
      <c r="G301" s="199" t="n">
        <v>51</v>
      </c>
      <c r="H301" s="199" t="inlineStr">
        <is>
          <t>No separate deliverable explicitly named</t>
        </is>
      </c>
    </row>
    <row r="302">
      <c r="A302" s="208" t="inlineStr">
        <is>
          <t>RTM-280</t>
        </is>
      </c>
      <c r="B302" s="226" t="inlineStr">
        <is>
          <t>L6 Site Acceptance Testing</t>
        </is>
      </c>
      <c r="C302" s="208" t="n">
        <v>8</v>
      </c>
      <c r="D302" s="208" t="inlineStr">
        <is>
          <t>T1 Primary</t>
        </is>
      </c>
      <c r="E302" s="208" t="inlineStr">
        <is>
          <t>Subsystems</t>
        </is>
      </c>
      <c r="F302" s="208" t="n">
        <v>64.66670000000001</v>
      </c>
      <c r="G302" s="208" t="n">
        <v>52</v>
      </c>
      <c r="H302" s="208" t="inlineStr">
        <is>
          <t>No separate deliverable explicitly named</t>
        </is>
      </c>
    </row>
    <row r="303">
      <c r="A303" s="199" t="inlineStr">
        <is>
          <t>RTM-280</t>
        </is>
      </c>
      <c r="B303" s="222" t="inlineStr">
        <is>
          <t>L1 Conceptual Design</t>
        </is>
      </c>
      <c r="C303" s="199" t="n">
        <v>2</v>
      </c>
      <c r="D303" s="199" t="inlineStr">
        <is>
          <t>T1 Primary</t>
        </is>
      </c>
      <c r="E303" s="199" t="inlineStr">
        <is>
          <t>Subsystems</t>
        </is>
      </c>
      <c r="F303" s="199" t="n">
        <v>64.66670000000001</v>
      </c>
      <c r="G303" s="199" t="n">
        <v>52</v>
      </c>
      <c r="H303" s="199" t="inlineStr">
        <is>
          <t>No separate deliverable explicitly named</t>
        </is>
      </c>
    </row>
    <row r="304">
      <c r="A304" s="208" t="inlineStr">
        <is>
          <t>RTM-280</t>
        </is>
      </c>
      <c r="B304" s="223" t="inlineStr">
        <is>
          <t>L2 Detailed Design</t>
        </is>
      </c>
      <c r="C304" s="208" t="n">
        <v>3</v>
      </c>
      <c r="D304" s="208" t="inlineStr">
        <is>
          <t>T1 Primary</t>
        </is>
      </c>
      <c r="E304" s="208" t="inlineStr">
        <is>
          <t>Subsystems</t>
        </is>
      </c>
      <c r="F304" s="208" t="n">
        <v>64.66670000000001</v>
      </c>
      <c r="G304" s="208" t="n">
        <v>52</v>
      </c>
      <c r="H304" s="208" t="inlineStr">
        <is>
          <t>No separate deliverable explicitly named</t>
        </is>
      </c>
    </row>
    <row r="305">
      <c r="A305" s="199" t="inlineStr">
        <is>
          <t>RTM-351</t>
        </is>
      </c>
      <c r="B305" s="222" t="inlineStr">
        <is>
          <t>L1 Conceptual Design</t>
        </is>
      </c>
      <c r="C305" s="199" t="n">
        <v>2</v>
      </c>
      <c r="D305" s="199" t="inlineStr">
        <is>
          <t>T1 Primary</t>
        </is>
      </c>
      <c r="E305" s="199" t="inlineStr">
        <is>
          <t>Control &amp; Interlock</t>
        </is>
      </c>
      <c r="F305" s="199" t="n">
        <v>64.66670000000001</v>
      </c>
      <c r="G305" s="199" t="n">
        <v>53</v>
      </c>
      <c r="H305" s="199" t="inlineStr">
        <is>
          <t>No separate deliverable explicitly named</t>
        </is>
      </c>
    </row>
    <row r="306">
      <c r="A306" s="208" t="inlineStr">
        <is>
          <t>RTM-351</t>
        </is>
      </c>
      <c r="B306" s="223" t="inlineStr">
        <is>
          <t>L2 Detailed Design</t>
        </is>
      </c>
      <c r="C306" s="208" t="n">
        <v>3</v>
      </c>
      <c r="D306" s="208" t="inlineStr">
        <is>
          <t>T1 Primary</t>
        </is>
      </c>
      <c r="E306" s="208" t="inlineStr">
        <is>
          <t>Control &amp; Interlock</t>
        </is>
      </c>
      <c r="F306" s="208" t="n">
        <v>64.66670000000001</v>
      </c>
      <c r="G306" s="208" t="n">
        <v>53</v>
      </c>
      <c r="H306" s="208" t="inlineStr">
        <is>
          <t>No separate deliverable explicitly named</t>
        </is>
      </c>
    </row>
    <row r="307">
      <c r="A307" s="199" t="inlineStr">
        <is>
          <t>RTM-517</t>
        </is>
      </c>
      <c r="B307" s="226" t="inlineStr">
        <is>
          <t>L6 Site Acceptance Testing</t>
        </is>
      </c>
      <c r="C307" s="199" t="n">
        <v>8</v>
      </c>
      <c r="D307" s="199" t="inlineStr">
        <is>
          <t>T1 Primary</t>
        </is>
      </c>
      <c r="E307" s="199" t="inlineStr">
        <is>
          <t>Acceptance Testing</t>
        </is>
      </c>
      <c r="F307" s="199" t="n">
        <v>63.3333</v>
      </c>
      <c r="G307" s="199" t="n">
        <v>54</v>
      </c>
      <c r="H307" s="199" t="inlineStr">
        <is>
          <t>Procedure / work instruction; List / register / matrix</t>
        </is>
      </c>
    </row>
    <row r="308">
      <c r="A308" s="208" t="inlineStr">
        <is>
          <t>RTM-517</t>
        </is>
      </c>
      <c r="B308" s="222" t="inlineStr">
        <is>
          <t>L1 Conceptual Design</t>
        </is>
      </c>
      <c r="C308" s="208" t="n">
        <v>2</v>
      </c>
      <c r="D308" s="208" t="inlineStr">
        <is>
          <t>T1 Primary</t>
        </is>
      </c>
      <c r="E308" s="208" t="inlineStr">
        <is>
          <t>Acceptance Testing</t>
        </is>
      </c>
      <c r="F308" s="208" t="n">
        <v>63.3333</v>
      </c>
      <c r="G308" s="208" t="n">
        <v>54</v>
      </c>
      <c r="H308" s="208" t="inlineStr">
        <is>
          <t>Procedure / work instruction; List / register / matrix</t>
        </is>
      </c>
    </row>
    <row r="309">
      <c r="A309" s="199" t="inlineStr">
        <is>
          <t>RTM-517</t>
        </is>
      </c>
      <c r="B309" s="223" t="inlineStr">
        <is>
          <t>L2 Detailed Design</t>
        </is>
      </c>
      <c r="C309" s="199" t="n">
        <v>3</v>
      </c>
      <c r="D309" s="199" t="inlineStr">
        <is>
          <t>T1 Primary</t>
        </is>
      </c>
      <c r="E309" s="199" t="inlineStr">
        <is>
          <t>Acceptance Testing</t>
        </is>
      </c>
      <c r="F309" s="199" t="n">
        <v>63.3333</v>
      </c>
      <c r="G309" s="199" t="n">
        <v>54</v>
      </c>
      <c r="H309" s="199" t="inlineStr">
        <is>
          <t>Procedure / work instruction; List / register / matrix</t>
        </is>
      </c>
    </row>
    <row r="310">
      <c r="A310" s="208" t="inlineStr">
        <is>
          <t>RTM-478</t>
        </is>
      </c>
      <c r="B310" s="220" t="inlineStr">
        <is>
          <t>L4 Installation</t>
        </is>
      </c>
      <c r="C310" s="208" t="n">
        <v>6</v>
      </c>
      <c r="D310" s="208" t="inlineStr">
        <is>
          <t>T1 Primary</t>
        </is>
      </c>
      <c r="E310" s="208" t="inlineStr">
        <is>
          <t>Installation</t>
        </is>
      </c>
      <c r="F310" s="208" t="n">
        <v>62</v>
      </c>
      <c r="G310" s="208" t="n">
        <v>55</v>
      </c>
      <c r="H310" s="208" t="inlineStr">
        <is>
          <t>Installation File; 3D / CAD Model; Certificate / calibration evidence; Procedure / work instruction</t>
        </is>
      </c>
    </row>
    <row r="311">
      <c r="A311" s="199" t="inlineStr">
        <is>
          <t>RTM-478</t>
        </is>
      </c>
      <c r="B311" s="222" t="inlineStr">
        <is>
          <t>L1 Conceptual Design</t>
        </is>
      </c>
      <c r="C311" s="199" t="n">
        <v>2</v>
      </c>
      <c r="D311" s="199" t="inlineStr">
        <is>
          <t>T1 Primary</t>
        </is>
      </c>
      <c r="E311" s="199" t="inlineStr">
        <is>
          <t>Installation</t>
        </is>
      </c>
      <c r="F311" s="199" t="n">
        <v>62</v>
      </c>
      <c r="G311" s="199" t="n">
        <v>55</v>
      </c>
      <c r="H311" s="199" t="inlineStr">
        <is>
          <t>Installation File; 3D / CAD Model; Certificate / calibration evidence; Procedure / work instruction</t>
        </is>
      </c>
    </row>
    <row r="312">
      <c r="A312" s="208" t="inlineStr">
        <is>
          <t>RTM-478</t>
        </is>
      </c>
      <c r="B312" s="223" t="inlineStr">
        <is>
          <t>L2 Detailed Design</t>
        </is>
      </c>
      <c r="C312" s="208" t="n">
        <v>3</v>
      </c>
      <c r="D312" s="208" t="inlineStr">
        <is>
          <t>T1 Primary</t>
        </is>
      </c>
      <c r="E312" s="208" t="inlineStr">
        <is>
          <t>Installation</t>
        </is>
      </c>
      <c r="F312" s="208" t="n">
        <v>62</v>
      </c>
      <c r="G312" s="208" t="n">
        <v>55</v>
      </c>
      <c r="H312" s="208" t="inlineStr">
        <is>
          <t>Installation File; 3D / CAD Model; Certificate / calibration evidence; Procedure / work instruction</t>
        </is>
      </c>
    </row>
    <row r="313">
      <c r="A313" s="199" t="inlineStr">
        <is>
          <t>RTM-026</t>
        </is>
      </c>
      <c r="B313" s="222" t="inlineStr">
        <is>
          <t>L1 Conceptual Design</t>
        </is>
      </c>
      <c r="C313" s="199" t="n">
        <v>2</v>
      </c>
      <c r="D313" s="199" t="inlineStr">
        <is>
          <t>T1 Primary</t>
        </is>
      </c>
      <c r="E313" s="199" t="inlineStr">
        <is>
          <t>Process &amp; Functional</t>
        </is>
      </c>
      <c r="F313" s="199" t="n">
        <v>61.3333</v>
      </c>
      <c r="G313" s="199" t="n">
        <v>56</v>
      </c>
      <c r="H313" s="199" t="inlineStr">
        <is>
          <t>Procedure / work instruction</t>
        </is>
      </c>
    </row>
    <row r="314">
      <c r="A314" s="208" t="inlineStr">
        <is>
          <t>RTM-026</t>
        </is>
      </c>
      <c r="B314" s="223" t="inlineStr">
        <is>
          <t>L2 Detailed Design</t>
        </is>
      </c>
      <c r="C314" s="208" t="n">
        <v>3</v>
      </c>
      <c r="D314" s="208" t="inlineStr">
        <is>
          <t>T1 Primary</t>
        </is>
      </c>
      <c r="E314" s="208" t="inlineStr">
        <is>
          <t>Process &amp; Functional</t>
        </is>
      </c>
      <c r="F314" s="208" t="n">
        <v>61.3333</v>
      </c>
      <c r="G314" s="208" t="n">
        <v>56</v>
      </c>
      <c r="H314" s="208" t="inlineStr">
        <is>
          <t>Procedure / work instruction</t>
        </is>
      </c>
    </row>
    <row r="315">
      <c r="A315" s="199" t="inlineStr">
        <is>
          <t>RTM-029</t>
        </is>
      </c>
      <c r="B315" s="222" t="inlineStr">
        <is>
          <t>L1 Conceptual Design</t>
        </is>
      </c>
      <c r="C315" s="199" t="n">
        <v>2</v>
      </c>
      <c r="D315" s="199" t="inlineStr">
        <is>
          <t>T1 Primary</t>
        </is>
      </c>
      <c r="E315" s="199" t="inlineStr">
        <is>
          <t>Process &amp; Functional</t>
        </is>
      </c>
      <c r="F315" s="199" t="n">
        <v>61.3333</v>
      </c>
      <c r="G315" s="199" t="n">
        <v>57</v>
      </c>
      <c r="H315" s="199" t="inlineStr">
        <is>
          <t>Procedure / work instruction</t>
        </is>
      </c>
    </row>
    <row r="316">
      <c r="A316" s="208" t="inlineStr">
        <is>
          <t>RTM-029</t>
        </is>
      </c>
      <c r="B316" s="223" t="inlineStr">
        <is>
          <t>L2 Detailed Design</t>
        </is>
      </c>
      <c r="C316" s="208" t="n">
        <v>3</v>
      </c>
      <c r="D316" s="208" t="inlineStr">
        <is>
          <t>T1 Primary</t>
        </is>
      </c>
      <c r="E316" s="208" t="inlineStr">
        <is>
          <t>Process &amp; Functional</t>
        </is>
      </c>
      <c r="F316" s="208" t="n">
        <v>61.3333</v>
      </c>
      <c r="G316" s="208" t="n">
        <v>57</v>
      </c>
      <c r="H316" s="208" t="inlineStr">
        <is>
          <t>Procedure / work instruction</t>
        </is>
      </c>
    </row>
    <row r="317">
      <c r="A317" s="199" t="inlineStr">
        <is>
          <t>RTM-537</t>
        </is>
      </c>
      <c r="B317" s="226" t="inlineStr">
        <is>
          <t>L6 Site Acceptance Testing</t>
        </is>
      </c>
      <c r="C317" s="199" t="n">
        <v>8</v>
      </c>
      <c r="D317" s="199" t="inlineStr">
        <is>
          <t>T1 Primary</t>
        </is>
      </c>
      <c r="E317" s="199" t="inlineStr">
        <is>
          <t>Acceptance Testing</t>
        </is>
      </c>
      <c r="F317" s="199" t="n">
        <v>60.6667</v>
      </c>
      <c r="G317" s="199" t="n">
        <v>58</v>
      </c>
      <c r="H317" s="199" t="inlineStr">
        <is>
          <t>No separate deliverable explicitly named</t>
        </is>
      </c>
    </row>
    <row r="318">
      <c r="A318" s="208" t="inlineStr">
        <is>
          <t>RTM-537</t>
        </is>
      </c>
      <c r="B318" s="222" t="inlineStr">
        <is>
          <t>L1 Conceptual Design</t>
        </is>
      </c>
      <c r="C318" s="208" t="n">
        <v>2</v>
      </c>
      <c r="D318" s="208" t="inlineStr">
        <is>
          <t>T1 Primary</t>
        </is>
      </c>
      <c r="E318" s="208" t="inlineStr">
        <is>
          <t>Acceptance Testing</t>
        </is>
      </c>
      <c r="F318" s="208" t="n">
        <v>60.6667</v>
      </c>
      <c r="G318" s="208" t="n">
        <v>58</v>
      </c>
      <c r="H318" s="208" t="inlineStr">
        <is>
          <t>No separate deliverable explicitly named</t>
        </is>
      </c>
    </row>
    <row r="319">
      <c r="A319" s="199" t="inlineStr">
        <is>
          <t>RTM-537</t>
        </is>
      </c>
      <c r="B319" s="223" t="inlineStr">
        <is>
          <t>L2 Detailed Design</t>
        </is>
      </c>
      <c r="C319" s="199" t="n">
        <v>3</v>
      </c>
      <c r="D319" s="199" t="inlineStr">
        <is>
          <t>T1 Primary</t>
        </is>
      </c>
      <c r="E319" s="199" t="inlineStr">
        <is>
          <t>Acceptance Testing</t>
        </is>
      </c>
      <c r="F319" s="199" t="n">
        <v>60.6667</v>
      </c>
      <c r="G319" s="199" t="n">
        <v>58</v>
      </c>
      <c r="H319" s="199" t="inlineStr">
        <is>
          <t>No separate deliverable explicitly named</t>
        </is>
      </c>
    </row>
    <row r="320">
      <c r="A320" s="208" t="inlineStr">
        <is>
          <t>RTM-014</t>
        </is>
      </c>
      <c r="B320" s="222" t="inlineStr">
        <is>
          <t>L1 Conceptual Design</t>
        </is>
      </c>
      <c r="C320" s="208" t="n">
        <v>2</v>
      </c>
      <c r="D320" s="208" t="inlineStr">
        <is>
          <t>T1 Primary</t>
        </is>
      </c>
      <c r="E320" s="208" t="inlineStr">
        <is>
          <t>Process &amp; Functional</t>
        </is>
      </c>
      <c r="F320" s="208" t="n">
        <v>58</v>
      </c>
      <c r="G320" s="208" t="n">
        <v>59</v>
      </c>
      <c r="H320" s="208" t="inlineStr">
        <is>
          <t>No separate deliverable explicitly named</t>
        </is>
      </c>
    </row>
    <row r="321">
      <c r="A321" s="199" t="inlineStr">
        <is>
          <t>RTM-014</t>
        </is>
      </c>
      <c r="B321" s="223" t="inlineStr">
        <is>
          <t>L2 Detailed Design</t>
        </is>
      </c>
      <c r="C321" s="199" t="n">
        <v>3</v>
      </c>
      <c r="D321" s="199" t="inlineStr">
        <is>
          <t>T1 Primary</t>
        </is>
      </c>
      <c r="E321" s="199" t="inlineStr">
        <is>
          <t>Process &amp; Functional</t>
        </is>
      </c>
      <c r="F321" s="199" t="n">
        <v>58</v>
      </c>
      <c r="G321" s="199" t="n">
        <v>59</v>
      </c>
      <c r="H321" s="199" t="inlineStr">
        <is>
          <t>No separate deliverable explicitly named</t>
        </is>
      </c>
    </row>
    <row r="322">
      <c r="A322" s="208" t="inlineStr">
        <is>
          <t>RTM-043</t>
        </is>
      </c>
      <c r="B322" s="222" t="inlineStr">
        <is>
          <t>L1 Conceptual Design</t>
        </is>
      </c>
      <c r="C322" s="208" t="n">
        <v>2</v>
      </c>
      <c r="D322" s="208" t="inlineStr">
        <is>
          <t>T1 Primary</t>
        </is>
      </c>
      <c r="E322" s="208" t="inlineStr">
        <is>
          <t>Process &amp; Functional</t>
        </is>
      </c>
      <c r="F322" s="208" t="n">
        <v>58</v>
      </c>
      <c r="G322" s="208" t="n">
        <v>60</v>
      </c>
      <c r="H322" s="208" t="inlineStr">
        <is>
          <t>No separate deliverable explicitly named</t>
        </is>
      </c>
    </row>
    <row r="323">
      <c r="A323" s="199" t="inlineStr">
        <is>
          <t>RTM-043</t>
        </is>
      </c>
      <c r="B323" s="223" t="inlineStr">
        <is>
          <t>L2 Detailed Design</t>
        </is>
      </c>
      <c r="C323" s="199" t="n">
        <v>3</v>
      </c>
      <c r="D323" s="199" t="inlineStr">
        <is>
          <t>T1 Primary</t>
        </is>
      </c>
      <c r="E323" s="199" t="inlineStr">
        <is>
          <t>Process &amp; Functional</t>
        </is>
      </c>
      <c r="F323" s="199" t="n">
        <v>58</v>
      </c>
      <c r="G323" s="199" t="n">
        <v>60</v>
      </c>
      <c r="H323" s="199" t="inlineStr">
        <is>
          <t>No separate deliverable explicitly named</t>
        </is>
      </c>
    </row>
    <row r="324">
      <c r="A324" s="208" t="inlineStr">
        <is>
          <t>RTM-271</t>
        </is>
      </c>
      <c r="B324" s="226" t="inlineStr">
        <is>
          <t>L6 Site Acceptance Testing</t>
        </is>
      </c>
      <c r="C324" s="208" t="n">
        <v>8</v>
      </c>
      <c r="D324" s="208" t="inlineStr">
        <is>
          <t>T1 Primary</t>
        </is>
      </c>
      <c r="E324" s="208" t="inlineStr">
        <is>
          <t>Subsystems</t>
        </is>
      </c>
      <c r="F324" s="208" t="n">
        <v>58</v>
      </c>
      <c r="G324" s="208" t="n">
        <v>61</v>
      </c>
      <c r="H324" s="208" t="inlineStr">
        <is>
          <t>Engineering File</t>
        </is>
      </c>
    </row>
    <row r="325">
      <c r="A325" s="199" t="inlineStr">
        <is>
          <t>RTM-271</t>
        </is>
      </c>
      <c r="B325" s="222" t="inlineStr">
        <is>
          <t>L1 Conceptual Design</t>
        </is>
      </c>
      <c r="C325" s="199" t="n">
        <v>2</v>
      </c>
      <c r="D325" s="199" t="inlineStr">
        <is>
          <t>T1 Primary</t>
        </is>
      </c>
      <c r="E325" s="199" t="inlineStr">
        <is>
          <t>Subsystems</t>
        </is>
      </c>
      <c r="F325" s="199" t="n">
        <v>58</v>
      </c>
      <c r="G325" s="199" t="n">
        <v>61</v>
      </c>
      <c r="H325" s="199" t="inlineStr">
        <is>
          <t>Engineering File</t>
        </is>
      </c>
    </row>
    <row r="326">
      <c r="A326" s="208" t="inlineStr">
        <is>
          <t>RTM-271</t>
        </is>
      </c>
      <c r="B326" s="223" t="inlineStr">
        <is>
          <t>L2 Detailed Design</t>
        </is>
      </c>
      <c r="C326" s="208" t="n">
        <v>3</v>
      </c>
      <c r="D326" s="208" t="inlineStr">
        <is>
          <t>T1 Primary</t>
        </is>
      </c>
      <c r="E326" s="208" t="inlineStr">
        <is>
          <t>Subsystems</t>
        </is>
      </c>
      <c r="F326" s="208" t="n">
        <v>58</v>
      </c>
      <c r="G326" s="208" t="n">
        <v>61</v>
      </c>
      <c r="H326" s="208" t="inlineStr">
        <is>
          <t>Engineering File</t>
        </is>
      </c>
    </row>
    <row r="327">
      <c r="A327" s="199" t="inlineStr">
        <is>
          <t>RTM-276</t>
        </is>
      </c>
      <c r="B327" s="226" t="inlineStr">
        <is>
          <t>L6 Site Acceptance Testing</t>
        </is>
      </c>
      <c r="C327" s="199" t="n">
        <v>8</v>
      </c>
      <c r="D327" s="199" t="inlineStr">
        <is>
          <t>T1 Primary</t>
        </is>
      </c>
      <c r="E327" s="199" t="inlineStr">
        <is>
          <t>Subsystems</t>
        </is>
      </c>
      <c r="F327" s="199" t="n">
        <v>58</v>
      </c>
      <c r="G327" s="199" t="n">
        <v>62</v>
      </c>
      <c r="H327" s="199" t="inlineStr">
        <is>
          <t>No separate deliverable explicitly named</t>
        </is>
      </c>
    </row>
    <row r="328">
      <c r="A328" s="208" t="inlineStr">
        <is>
          <t>RTM-276</t>
        </is>
      </c>
      <c r="B328" s="222" t="inlineStr">
        <is>
          <t>L1 Conceptual Design</t>
        </is>
      </c>
      <c r="C328" s="208" t="n">
        <v>2</v>
      </c>
      <c r="D328" s="208" t="inlineStr">
        <is>
          <t>T1 Primary</t>
        </is>
      </c>
      <c r="E328" s="208" t="inlineStr">
        <is>
          <t>Subsystems</t>
        </is>
      </c>
      <c r="F328" s="208" t="n">
        <v>58</v>
      </c>
      <c r="G328" s="208" t="n">
        <v>62</v>
      </c>
      <c r="H328" s="208" t="inlineStr">
        <is>
          <t>No separate deliverable explicitly named</t>
        </is>
      </c>
    </row>
    <row r="329">
      <c r="A329" s="199" t="inlineStr">
        <is>
          <t>RTM-276</t>
        </is>
      </c>
      <c r="B329" s="223" t="inlineStr">
        <is>
          <t>L2 Detailed Design</t>
        </is>
      </c>
      <c r="C329" s="199" t="n">
        <v>3</v>
      </c>
      <c r="D329" s="199" t="inlineStr">
        <is>
          <t>T1 Primary</t>
        </is>
      </c>
      <c r="E329" s="199" t="inlineStr">
        <is>
          <t>Subsystems</t>
        </is>
      </c>
      <c r="F329" s="199" t="n">
        <v>58</v>
      </c>
      <c r="G329" s="199" t="n">
        <v>62</v>
      </c>
      <c r="H329" s="199" t="inlineStr">
        <is>
          <t>No separate deliverable explicitly named</t>
        </is>
      </c>
    </row>
    <row r="330">
      <c r="A330" s="208" t="inlineStr">
        <is>
          <t>RTM-416</t>
        </is>
      </c>
      <c r="B330" s="226" t="inlineStr">
        <is>
          <t>L6 Site Acceptance Testing</t>
        </is>
      </c>
      <c r="C330" s="208" t="n">
        <v>8</v>
      </c>
      <c r="D330" s="208" t="inlineStr">
        <is>
          <t>T1 Primary</t>
        </is>
      </c>
      <c r="E330" s="208" t="inlineStr">
        <is>
          <t>Buildings &amp; Utilities</t>
        </is>
      </c>
      <c r="F330" s="208" t="n">
        <v>58</v>
      </c>
      <c r="G330" s="208" t="n">
        <v>63</v>
      </c>
      <c r="H330" s="208" t="inlineStr">
        <is>
          <t>No separate deliverable explicitly named</t>
        </is>
      </c>
    </row>
    <row r="331">
      <c r="A331" s="199" t="inlineStr">
        <is>
          <t>RTM-416</t>
        </is>
      </c>
      <c r="B331" s="222" t="inlineStr">
        <is>
          <t>L1 Conceptual Design</t>
        </is>
      </c>
      <c r="C331" s="199" t="n">
        <v>2</v>
      </c>
      <c r="D331" s="199" t="inlineStr">
        <is>
          <t>T1 Primary</t>
        </is>
      </c>
      <c r="E331" s="199" t="inlineStr">
        <is>
          <t>Buildings &amp; Utilities</t>
        </is>
      </c>
      <c r="F331" s="199" t="n">
        <v>58</v>
      </c>
      <c r="G331" s="199" t="n">
        <v>63</v>
      </c>
      <c r="H331" s="199" t="inlineStr">
        <is>
          <t>No separate deliverable explicitly named</t>
        </is>
      </c>
    </row>
    <row r="332">
      <c r="A332" s="208" t="inlineStr">
        <is>
          <t>RTM-416</t>
        </is>
      </c>
      <c r="B332" s="223" t="inlineStr">
        <is>
          <t>L2 Detailed Design</t>
        </is>
      </c>
      <c r="C332" s="208" t="n">
        <v>3</v>
      </c>
      <c r="D332" s="208" t="inlineStr">
        <is>
          <t>T1 Primary</t>
        </is>
      </c>
      <c r="E332" s="208" t="inlineStr">
        <is>
          <t>Buildings &amp; Utilities</t>
        </is>
      </c>
      <c r="F332" s="208" t="n">
        <v>58</v>
      </c>
      <c r="G332" s="208" t="n">
        <v>63</v>
      </c>
      <c r="H332" s="208" t="inlineStr">
        <is>
          <t>No separate deliverable explicitly named</t>
        </is>
      </c>
    </row>
    <row r="333">
      <c r="A333" s="199" t="inlineStr">
        <is>
          <t>RTM-644</t>
        </is>
      </c>
      <c r="B333" s="228" t="inlineStr">
        <is>
          <t>Warranty</t>
        </is>
      </c>
      <c r="C333" s="199" t="n">
        <v>10</v>
      </c>
      <c r="D333" s="199" t="inlineStr">
        <is>
          <t>T1 Primary</t>
        </is>
      </c>
      <c r="E333" s="199" t="inlineStr">
        <is>
          <t>Quality Assurance &amp; Control</t>
        </is>
      </c>
      <c r="F333" s="199" t="n">
        <v>57.6667</v>
      </c>
      <c r="G333" s="199" t="n">
        <v>64</v>
      </c>
      <c r="H333" s="199" t="inlineStr">
        <is>
          <t>No separate deliverable explicitly named</t>
        </is>
      </c>
    </row>
    <row r="334">
      <c r="A334" s="208" t="inlineStr">
        <is>
          <t>RTM-644</t>
        </is>
      </c>
      <c r="B334" s="221" t="inlineStr">
        <is>
          <t>L0 Tender / Offer</t>
        </is>
      </c>
      <c r="C334" s="208" t="n">
        <v>1</v>
      </c>
      <c r="D334" s="208" t="inlineStr">
        <is>
          <t>T1 Primary</t>
        </is>
      </c>
      <c r="E334" s="208" t="inlineStr">
        <is>
          <t>Quality Assurance &amp; Control</t>
        </is>
      </c>
      <c r="F334" s="208" t="n">
        <v>57.6667</v>
      </c>
      <c r="G334" s="208" t="n">
        <v>64</v>
      </c>
      <c r="H334" s="208" t="inlineStr">
        <is>
          <t>No separate deliverable explicitly named</t>
        </is>
      </c>
    </row>
    <row r="335">
      <c r="A335" s="199" t="inlineStr">
        <is>
          <t>RTM-644</t>
        </is>
      </c>
      <c r="B335" s="222" t="inlineStr">
        <is>
          <t>L1 Conceptual Design</t>
        </is>
      </c>
      <c r="C335" s="199" t="n">
        <v>2</v>
      </c>
      <c r="D335" s="199" t="inlineStr">
        <is>
          <t>T1 Primary</t>
        </is>
      </c>
      <c r="E335" s="199" t="inlineStr">
        <is>
          <t>Quality Assurance &amp; Control</t>
        </is>
      </c>
      <c r="F335" s="199" t="n">
        <v>57.6667</v>
      </c>
      <c r="G335" s="199" t="n">
        <v>64</v>
      </c>
      <c r="H335" s="199" t="inlineStr">
        <is>
          <t>No separate deliverable explicitly named</t>
        </is>
      </c>
    </row>
    <row r="336">
      <c r="A336" s="208" t="inlineStr">
        <is>
          <t>RTM-644</t>
        </is>
      </c>
      <c r="B336" s="223" t="inlineStr">
        <is>
          <t>L2 Detailed Design</t>
        </is>
      </c>
      <c r="C336" s="208" t="n">
        <v>3</v>
      </c>
      <c r="D336" s="208" t="inlineStr">
        <is>
          <t>T1 Primary</t>
        </is>
      </c>
      <c r="E336" s="208" t="inlineStr">
        <is>
          <t>Quality Assurance &amp; Control</t>
        </is>
      </c>
      <c r="F336" s="208" t="n">
        <v>57.6667</v>
      </c>
      <c r="G336" s="208" t="n">
        <v>64</v>
      </c>
      <c r="H336" s="208" t="inlineStr">
        <is>
          <t>No separate deliverable explicitly named</t>
        </is>
      </c>
    </row>
    <row r="337">
      <c r="A337" s="199" t="inlineStr">
        <is>
          <t>RTM-644</t>
        </is>
      </c>
      <c r="B337" s="224" t="inlineStr">
        <is>
          <t>L3 Procurement &amp; Manufacturing / FAT</t>
        </is>
      </c>
      <c r="C337" s="199" t="n">
        <v>4</v>
      </c>
      <c r="D337" s="199" t="inlineStr">
        <is>
          <t>T1 Primary</t>
        </is>
      </c>
      <c r="E337" s="199" t="inlineStr">
        <is>
          <t>Quality Assurance &amp; Control</t>
        </is>
      </c>
      <c r="F337" s="199" t="n">
        <v>57.6667</v>
      </c>
      <c r="G337" s="199" t="n">
        <v>64</v>
      </c>
      <c r="H337" s="199" t="inlineStr">
        <is>
          <t>No separate deliverable explicitly named</t>
        </is>
      </c>
    </row>
    <row r="338">
      <c r="A338" s="208" t="inlineStr">
        <is>
          <t>RTM-644</t>
        </is>
      </c>
      <c r="B338" s="220" t="inlineStr">
        <is>
          <t>L4 Installation</t>
        </is>
      </c>
      <c r="C338" s="208" t="n">
        <v>6</v>
      </c>
      <c r="D338" s="208" t="inlineStr">
        <is>
          <t>T1 Primary</t>
        </is>
      </c>
      <c r="E338" s="208" t="inlineStr">
        <is>
          <t>Quality Assurance &amp; Control</t>
        </is>
      </c>
      <c r="F338" s="208" t="n">
        <v>57.6667</v>
      </c>
      <c r="G338" s="208" t="n">
        <v>64</v>
      </c>
      <c r="H338" s="208" t="inlineStr">
        <is>
          <t>No separate deliverable explicitly named</t>
        </is>
      </c>
    </row>
    <row r="339">
      <c r="A339" s="199" t="inlineStr">
        <is>
          <t>RTM-644</t>
        </is>
      </c>
      <c r="B339" s="225" t="inlineStr">
        <is>
          <t>L5 Standalone Commissioning</t>
        </is>
      </c>
      <c r="C339" s="199" t="n">
        <v>7</v>
      </c>
      <c r="D339" s="199" t="inlineStr">
        <is>
          <t>T1 Primary</t>
        </is>
      </c>
      <c r="E339" s="199" t="inlineStr">
        <is>
          <t>Quality Assurance &amp; Control</t>
        </is>
      </c>
      <c r="F339" s="199" t="n">
        <v>57.6667</v>
      </c>
      <c r="G339" s="199" t="n">
        <v>64</v>
      </c>
      <c r="H339" s="199" t="inlineStr">
        <is>
          <t>No separate deliverable explicitly named</t>
        </is>
      </c>
    </row>
    <row r="340">
      <c r="A340" s="208" t="inlineStr">
        <is>
          <t>RTM-644</t>
        </is>
      </c>
      <c r="B340" s="226" t="inlineStr">
        <is>
          <t>L6 Site Acceptance Testing</t>
        </is>
      </c>
      <c r="C340" s="208" t="n">
        <v>8</v>
      </c>
      <c r="D340" s="208" t="inlineStr">
        <is>
          <t>T1 Primary</t>
        </is>
      </c>
      <c r="E340" s="208" t="inlineStr">
        <is>
          <t>Quality Assurance &amp; Control</t>
        </is>
      </c>
      <c r="F340" s="208" t="n">
        <v>57.6667</v>
      </c>
      <c r="G340" s="208" t="n">
        <v>64</v>
      </c>
      <c r="H340" s="208" t="inlineStr">
        <is>
          <t>No separate deliverable explicitly named</t>
        </is>
      </c>
    </row>
    <row r="341">
      <c r="A341" s="199" t="inlineStr">
        <is>
          <t>RTM-274</t>
        </is>
      </c>
      <c r="B341" s="222" t="inlineStr">
        <is>
          <t>L1 Conceptual Design</t>
        </is>
      </c>
      <c r="C341" s="199" t="n">
        <v>2</v>
      </c>
      <c r="D341" s="199" t="inlineStr">
        <is>
          <t>T1 Primary</t>
        </is>
      </c>
      <c r="E341" s="199" t="inlineStr">
        <is>
          <t>Subsystems</t>
        </is>
      </c>
      <c r="F341" s="199" t="n">
        <v>56.6667</v>
      </c>
      <c r="G341" s="199" t="n">
        <v>65</v>
      </c>
      <c r="H341" s="199" t="inlineStr">
        <is>
          <t>No separate deliverable explicitly named</t>
        </is>
      </c>
    </row>
    <row r="342">
      <c r="A342" s="208" t="inlineStr">
        <is>
          <t>RTM-274</t>
        </is>
      </c>
      <c r="B342" s="223" t="inlineStr">
        <is>
          <t>L2 Detailed Design</t>
        </is>
      </c>
      <c r="C342" s="208" t="n">
        <v>3</v>
      </c>
      <c r="D342" s="208" t="inlineStr">
        <is>
          <t>T1 Primary</t>
        </is>
      </c>
      <c r="E342" s="208" t="inlineStr">
        <is>
          <t>Subsystems</t>
        </is>
      </c>
      <c r="F342" s="208" t="n">
        <v>56.6667</v>
      </c>
      <c r="G342" s="208" t="n">
        <v>65</v>
      </c>
      <c r="H342" s="208" t="inlineStr">
        <is>
          <t>No separate deliverable explicitly named</t>
        </is>
      </c>
    </row>
    <row r="343">
      <c r="A343" s="199" t="inlineStr">
        <is>
          <t>RTM-498</t>
        </is>
      </c>
      <c r="B343" s="222" t="inlineStr">
        <is>
          <t>L1 Conceptual Design</t>
        </is>
      </c>
      <c r="C343" s="199" t="n">
        <v>2</v>
      </c>
      <c r="D343" s="199" t="inlineStr">
        <is>
          <t>T1 Primary</t>
        </is>
      </c>
      <c r="E343" s="199" t="inlineStr">
        <is>
          <t>Acceptance Testing</t>
        </is>
      </c>
      <c r="F343" s="199" t="n">
        <v>56.6667</v>
      </c>
      <c r="G343" s="199" t="n">
        <v>66</v>
      </c>
      <c r="H343" s="199" t="inlineStr">
        <is>
          <t>Quality Assurance Plan (QAP); Drawing / diagram</t>
        </is>
      </c>
    </row>
    <row r="344">
      <c r="A344" s="208" t="inlineStr">
        <is>
          <t>RTM-498</t>
        </is>
      </c>
      <c r="B344" s="223" t="inlineStr">
        <is>
          <t>L2 Detailed Design</t>
        </is>
      </c>
      <c r="C344" s="208" t="n">
        <v>3</v>
      </c>
      <c r="D344" s="208" t="inlineStr">
        <is>
          <t>T1 Primary</t>
        </is>
      </c>
      <c r="E344" s="208" t="inlineStr">
        <is>
          <t>Acceptance Testing</t>
        </is>
      </c>
      <c r="F344" s="208" t="n">
        <v>56.6667</v>
      </c>
      <c r="G344" s="208" t="n">
        <v>66</v>
      </c>
      <c r="H344" s="208" t="inlineStr">
        <is>
          <t>Quality Assurance Plan (QAP); Drawing / diagram</t>
        </is>
      </c>
    </row>
    <row r="345">
      <c r="A345" s="199" t="inlineStr">
        <is>
          <t>RTM-512</t>
        </is>
      </c>
      <c r="B345" s="226" t="inlineStr">
        <is>
          <t>L6 Site Acceptance Testing</t>
        </is>
      </c>
      <c r="C345" s="199" t="n">
        <v>8</v>
      </c>
      <c r="D345" s="199" t="inlineStr">
        <is>
          <t>T1 Primary</t>
        </is>
      </c>
      <c r="E345" s="199" t="inlineStr">
        <is>
          <t>Acceptance Testing</t>
        </is>
      </c>
      <c r="F345" s="199" t="n">
        <v>56.6667</v>
      </c>
      <c r="G345" s="199" t="n">
        <v>67</v>
      </c>
      <c r="H345" s="199" t="inlineStr">
        <is>
          <t>No separate deliverable explicitly named</t>
        </is>
      </c>
    </row>
    <row r="346">
      <c r="A346" s="208" t="inlineStr">
        <is>
          <t>RTM-512</t>
        </is>
      </c>
      <c r="B346" s="222" t="inlineStr">
        <is>
          <t>L1 Conceptual Design</t>
        </is>
      </c>
      <c r="C346" s="208" t="n">
        <v>2</v>
      </c>
      <c r="D346" s="208" t="inlineStr">
        <is>
          <t>T1 Primary</t>
        </is>
      </c>
      <c r="E346" s="208" t="inlineStr">
        <is>
          <t>Acceptance Testing</t>
        </is>
      </c>
      <c r="F346" s="208" t="n">
        <v>56.6667</v>
      </c>
      <c r="G346" s="208" t="n">
        <v>67</v>
      </c>
      <c r="H346" s="208" t="inlineStr">
        <is>
          <t>No separate deliverable explicitly named</t>
        </is>
      </c>
    </row>
    <row r="347">
      <c r="A347" s="199" t="inlineStr">
        <is>
          <t>RTM-512</t>
        </is>
      </c>
      <c r="B347" s="223" t="inlineStr">
        <is>
          <t>L2 Detailed Design</t>
        </is>
      </c>
      <c r="C347" s="199" t="n">
        <v>3</v>
      </c>
      <c r="D347" s="199" t="inlineStr">
        <is>
          <t>T1 Primary</t>
        </is>
      </c>
      <c r="E347" s="199" t="inlineStr">
        <is>
          <t>Acceptance Testing</t>
        </is>
      </c>
      <c r="F347" s="199" t="n">
        <v>56.6667</v>
      </c>
      <c r="G347" s="199" t="n">
        <v>67</v>
      </c>
      <c r="H347" s="199" t="inlineStr">
        <is>
          <t>No separate deliverable explicitly named</t>
        </is>
      </c>
    </row>
    <row r="348">
      <c r="A348" s="208" t="inlineStr">
        <is>
          <t>RTM-549</t>
        </is>
      </c>
      <c r="B348" s="222" t="inlineStr">
        <is>
          <t>L1 Conceptual Design</t>
        </is>
      </c>
      <c r="C348" s="208" t="n">
        <v>2</v>
      </c>
      <c r="D348" s="208" t="inlineStr">
        <is>
          <t>T1 Primary</t>
        </is>
      </c>
      <c r="E348" s="208" t="inlineStr">
        <is>
          <t>Acceptance Testing</t>
        </is>
      </c>
      <c r="F348" s="208" t="n">
        <v>56.6667</v>
      </c>
      <c r="G348" s="208" t="n">
        <v>68</v>
      </c>
      <c r="H348" s="208" t="inlineStr">
        <is>
          <t>No separate deliverable explicitly named</t>
        </is>
      </c>
    </row>
    <row r="349">
      <c r="A349" s="199" t="inlineStr">
        <is>
          <t>RTM-549</t>
        </is>
      </c>
      <c r="B349" s="223" t="inlineStr">
        <is>
          <t>L2 Detailed Design</t>
        </is>
      </c>
      <c r="C349" s="199" t="n">
        <v>3</v>
      </c>
      <c r="D349" s="199" t="inlineStr">
        <is>
          <t>T1 Primary</t>
        </is>
      </c>
      <c r="E349" s="199" t="inlineStr">
        <is>
          <t>Acceptance Testing</t>
        </is>
      </c>
      <c r="F349" s="199" t="n">
        <v>56.6667</v>
      </c>
      <c r="G349" s="199" t="n">
        <v>68</v>
      </c>
      <c r="H349" s="199" t="inlineStr">
        <is>
          <t>No separate deliverable explicitly named</t>
        </is>
      </c>
    </row>
    <row r="350">
      <c r="A350" s="208" t="inlineStr">
        <is>
          <t>RTM-462</t>
        </is>
      </c>
      <c r="B350" s="222" t="inlineStr">
        <is>
          <t>L1 Conceptual Design</t>
        </is>
      </c>
      <c r="C350" s="208" t="n">
        <v>2</v>
      </c>
      <c r="D350" s="208" t="inlineStr">
        <is>
          <t>T1 Primary</t>
        </is>
      </c>
      <c r="E350" s="208" t="inlineStr">
        <is>
          <t>Design &amp; Fabrication</t>
        </is>
      </c>
      <c r="F350" s="208" t="n">
        <v>56</v>
      </c>
      <c r="G350" s="208" t="n">
        <v>69</v>
      </c>
      <c r="H350" s="208" t="inlineStr">
        <is>
          <t>No separate deliverable explicitly named</t>
        </is>
      </c>
    </row>
    <row r="351">
      <c r="A351" s="199" t="inlineStr">
        <is>
          <t>RTM-462</t>
        </is>
      </c>
      <c r="B351" s="223" t="inlineStr">
        <is>
          <t>L2 Detailed Design</t>
        </is>
      </c>
      <c r="C351" s="199" t="n">
        <v>3</v>
      </c>
      <c r="D351" s="199" t="inlineStr">
        <is>
          <t>T1 Primary</t>
        </is>
      </c>
      <c r="E351" s="199" t="inlineStr">
        <is>
          <t>Design &amp; Fabrication</t>
        </is>
      </c>
      <c r="F351" s="199" t="n">
        <v>56</v>
      </c>
      <c r="G351" s="199" t="n">
        <v>69</v>
      </c>
      <c r="H351" s="199" t="inlineStr">
        <is>
          <t>No separate deliverable explicitly named</t>
        </is>
      </c>
    </row>
    <row r="352">
      <c r="A352" s="208" t="inlineStr">
        <is>
          <t>RTM-267</t>
        </is>
      </c>
      <c r="B352" s="222" t="inlineStr">
        <is>
          <t>L1 Conceptual Design</t>
        </is>
      </c>
      <c r="C352" s="208" t="n">
        <v>2</v>
      </c>
      <c r="D352" s="208" t="inlineStr">
        <is>
          <t>T1 Primary</t>
        </is>
      </c>
      <c r="E352" s="208" t="inlineStr">
        <is>
          <t>Subsystems</t>
        </is>
      </c>
      <c r="F352" s="208" t="n">
        <v>55.3333</v>
      </c>
      <c r="G352" s="208" t="n">
        <v>70</v>
      </c>
      <c r="H352" s="208" t="inlineStr">
        <is>
          <t>Engineering File</t>
        </is>
      </c>
    </row>
    <row r="353">
      <c r="A353" s="199" t="inlineStr">
        <is>
          <t>RTM-267</t>
        </is>
      </c>
      <c r="B353" s="223" t="inlineStr">
        <is>
          <t>L2 Detailed Design</t>
        </is>
      </c>
      <c r="C353" s="199" t="n">
        <v>3</v>
      </c>
      <c r="D353" s="199" t="inlineStr">
        <is>
          <t>T1 Primary</t>
        </is>
      </c>
      <c r="E353" s="199" t="inlineStr">
        <is>
          <t>Subsystems</t>
        </is>
      </c>
      <c r="F353" s="199" t="n">
        <v>55.3333</v>
      </c>
      <c r="G353" s="199" t="n">
        <v>70</v>
      </c>
      <c r="H353" s="199" t="inlineStr">
        <is>
          <t>Engineering File</t>
        </is>
      </c>
    </row>
    <row r="354">
      <c r="A354" s="208" t="inlineStr">
        <is>
          <t>RTM-481</t>
        </is>
      </c>
      <c r="B354" s="222" t="inlineStr">
        <is>
          <t>L1 Conceptual Design</t>
        </is>
      </c>
      <c r="C354" s="208" t="n">
        <v>2</v>
      </c>
      <c r="D354" s="208" t="inlineStr">
        <is>
          <t>T1 Primary</t>
        </is>
      </c>
      <c r="E354" s="208" t="inlineStr">
        <is>
          <t>Commissioning</t>
        </is>
      </c>
      <c r="F354" s="208" t="n">
        <v>55.3333</v>
      </c>
      <c r="G354" s="208" t="n">
        <v>71</v>
      </c>
      <c r="H354" s="208" t="inlineStr">
        <is>
          <t>No separate deliverable explicitly named</t>
        </is>
      </c>
    </row>
    <row r="355">
      <c r="A355" s="199" t="inlineStr">
        <is>
          <t>RTM-481</t>
        </is>
      </c>
      <c r="B355" s="223" t="inlineStr">
        <is>
          <t>L2 Detailed Design</t>
        </is>
      </c>
      <c r="C355" s="199" t="n">
        <v>3</v>
      </c>
      <c r="D355" s="199" t="inlineStr">
        <is>
          <t>T1 Primary</t>
        </is>
      </c>
      <c r="E355" s="199" t="inlineStr">
        <is>
          <t>Commissioning</t>
        </is>
      </c>
      <c r="F355" s="199" t="n">
        <v>55.3333</v>
      </c>
      <c r="G355" s="199" t="n">
        <v>71</v>
      </c>
      <c r="H355" s="199" t="inlineStr">
        <is>
          <t>No separate deliverable explicitly named</t>
        </is>
      </c>
    </row>
    <row r="356">
      <c r="A356" s="208" t="inlineStr">
        <is>
          <t>RTM-515</t>
        </is>
      </c>
      <c r="B356" s="226" t="inlineStr">
        <is>
          <t>L6 Site Acceptance Testing</t>
        </is>
      </c>
      <c r="C356" s="208" t="n">
        <v>8</v>
      </c>
      <c r="D356" s="208" t="inlineStr">
        <is>
          <t>T1 Primary</t>
        </is>
      </c>
      <c r="E356" s="208" t="inlineStr">
        <is>
          <t>Acceptance Testing</t>
        </is>
      </c>
      <c r="F356" s="208" t="n">
        <v>54.6667</v>
      </c>
      <c r="G356" s="208" t="n">
        <v>72</v>
      </c>
      <c r="H356" s="208" t="inlineStr">
        <is>
          <t>No separate deliverable explicitly named</t>
        </is>
      </c>
    </row>
    <row r="357">
      <c r="A357" s="199" t="inlineStr">
        <is>
          <t>RTM-515</t>
        </is>
      </c>
      <c r="B357" s="222" t="inlineStr">
        <is>
          <t>L1 Conceptual Design</t>
        </is>
      </c>
      <c r="C357" s="199" t="n">
        <v>2</v>
      </c>
      <c r="D357" s="199" t="inlineStr">
        <is>
          <t>T1 Primary</t>
        </is>
      </c>
      <c r="E357" s="199" t="inlineStr">
        <is>
          <t>Acceptance Testing</t>
        </is>
      </c>
      <c r="F357" s="199" t="n">
        <v>54.6667</v>
      </c>
      <c r="G357" s="199" t="n">
        <v>72</v>
      </c>
      <c r="H357" s="199" t="inlineStr">
        <is>
          <t>No separate deliverable explicitly named</t>
        </is>
      </c>
    </row>
    <row r="358">
      <c r="A358" s="208" t="inlineStr">
        <is>
          <t>RTM-515</t>
        </is>
      </c>
      <c r="B358" s="223" t="inlineStr">
        <is>
          <t>L2 Detailed Design</t>
        </is>
      </c>
      <c r="C358" s="208" t="n">
        <v>3</v>
      </c>
      <c r="D358" s="208" t="inlineStr">
        <is>
          <t>T1 Primary</t>
        </is>
      </c>
      <c r="E358" s="208" t="inlineStr">
        <is>
          <t>Acceptance Testing</t>
        </is>
      </c>
      <c r="F358" s="208" t="n">
        <v>54.6667</v>
      </c>
      <c r="G358" s="208" t="n">
        <v>72</v>
      </c>
      <c r="H358" s="208" t="inlineStr">
        <is>
          <t>No separate deliverable explicitly named</t>
        </is>
      </c>
    </row>
    <row r="359">
      <c r="A359" s="199" t="inlineStr">
        <is>
          <t>RTM-516</t>
        </is>
      </c>
      <c r="B359" s="226" t="inlineStr">
        <is>
          <t>L6 Site Acceptance Testing</t>
        </is>
      </c>
      <c r="C359" s="199" t="n">
        <v>8</v>
      </c>
      <c r="D359" s="199" t="inlineStr">
        <is>
          <t>T1 Primary</t>
        </is>
      </c>
      <c r="E359" s="199" t="inlineStr">
        <is>
          <t>Acceptance Testing</t>
        </is>
      </c>
      <c r="F359" s="199" t="n">
        <v>54.6667</v>
      </c>
      <c r="G359" s="199" t="n">
        <v>73</v>
      </c>
      <c r="H359" s="199" t="inlineStr">
        <is>
          <t>No separate deliverable explicitly named</t>
        </is>
      </c>
    </row>
    <row r="360">
      <c r="A360" s="208" t="inlineStr">
        <is>
          <t>RTM-516</t>
        </is>
      </c>
      <c r="B360" s="222" t="inlineStr">
        <is>
          <t>L1 Conceptual Design</t>
        </is>
      </c>
      <c r="C360" s="208" t="n">
        <v>2</v>
      </c>
      <c r="D360" s="208" t="inlineStr">
        <is>
          <t>T1 Primary</t>
        </is>
      </c>
      <c r="E360" s="208" t="inlineStr">
        <is>
          <t>Acceptance Testing</t>
        </is>
      </c>
      <c r="F360" s="208" t="n">
        <v>54.6667</v>
      </c>
      <c r="G360" s="208" t="n">
        <v>73</v>
      </c>
      <c r="H360" s="208" t="inlineStr">
        <is>
          <t>No separate deliverable explicitly named</t>
        </is>
      </c>
    </row>
    <row r="361">
      <c r="A361" s="199" t="inlineStr">
        <is>
          <t>RTM-516</t>
        </is>
      </c>
      <c r="B361" s="223" t="inlineStr">
        <is>
          <t>L2 Detailed Design</t>
        </is>
      </c>
      <c r="C361" s="199" t="n">
        <v>3</v>
      </c>
      <c r="D361" s="199" t="inlineStr">
        <is>
          <t>T1 Primary</t>
        </is>
      </c>
      <c r="E361" s="199" t="inlineStr">
        <is>
          <t>Acceptance Testing</t>
        </is>
      </c>
      <c r="F361" s="199" t="n">
        <v>54.6667</v>
      </c>
      <c r="G361" s="199" t="n">
        <v>73</v>
      </c>
      <c r="H361" s="199" t="inlineStr">
        <is>
          <t>No separate deliverable explicitly named</t>
        </is>
      </c>
    </row>
    <row r="362">
      <c r="A362" s="208" t="inlineStr">
        <is>
          <t>RTM-520</t>
        </is>
      </c>
      <c r="B362" s="222" t="inlineStr">
        <is>
          <t>L1 Conceptual Design</t>
        </is>
      </c>
      <c r="C362" s="208" t="n">
        <v>2</v>
      </c>
      <c r="D362" s="208" t="inlineStr">
        <is>
          <t>T1 Primary</t>
        </is>
      </c>
      <c r="E362" s="208" t="inlineStr">
        <is>
          <t>Acceptance Testing</t>
        </is>
      </c>
      <c r="F362" s="208" t="n">
        <v>54.6667</v>
      </c>
      <c r="G362" s="208" t="n">
        <v>74</v>
      </c>
      <c r="H362" s="208" t="inlineStr">
        <is>
          <t>No separate deliverable explicitly named</t>
        </is>
      </c>
    </row>
    <row r="363">
      <c r="A363" s="199" t="inlineStr">
        <is>
          <t>RTM-520</t>
        </is>
      </c>
      <c r="B363" s="223" t="inlineStr">
        <is>
          <t>L2 Detailed Design</t>
        </is>
      </c>
      <c r="C363" s="199" t="n">
        <v>3</v>
      </c>
      <c r="D363" s="199" t="inlineStr">
        <is>
          <t>T1 Primary</t>
        </is>
      </c>
      <c r="E363" s="199" t="inlineStr">
        <is>
          <t>Acceptance Testing</t>
        </is>
      </c>
      <c r="F363" s="199" t="n">
        <v>54.6667</v>
      </c>
      <c r="G363" s="199" t="n">
        <v>74</v>
      </c>
      <c r="H363" s="199" t="inlineStr">
        <is>
          <t>No separate deliverable explicitly named</t>
        </is>
      </c>
    </row>
    <row r="364">
      <c r="A364" s="208" t="inlineStr">
        <is>
          <t>RTM-197</t>
        </is>
      </c>
      <c r="B364" s="226" t="inlineStr">
        <is>
          <t>L6 Site Acceptance Testing</t>
        </is>
      </c>
      <c r="C364" s="208" t="n">
        <v>8</v>
      </c>
      <c r="D364" s="208" t="inlineStr">
        <is>
          <t>T1 Primary</t>
        </is>
      </c>
      <c r="E364" s="208" t="inlineStr">
        <is>
          <t>Subsystems</t>
        </is>
      </c>
      <c r="F364" s="208" t="n">
        <v>53.6667</v>
      </c>
      <c r="G364" s="208" t="n">
        <v>75</v>
      </c>
      <c r="H364" s="208" t="inlineStr">
        <is>
          <t>No separate deliverable explicitly named</t>
        </is>
      </c>
    </row>
    <row r="365">
      <c r="A365" s="199" t="inlineStr">
        <is>
          <t>RTM-197</t>
        </is>
      </c>
      <c r="B365" s="222" t="inlineStr">
        <is>
          <t>L1 Conceptual Design</t>
        </is>
      </c>
      <c r="C365" s="199" t="n">
        <v>2</v>
      </c>
      <c r="D365" s="199" t="inlineStr">
        <is>
          <t>T1 Primary</t>
        </is>
      </c>
      <c r="E365" s="199" t="inlineStr">
        <is>
          <t>Subsystems</t>
        </is>
      </c>
      <c r="F365" s="199" t="n">
        <v>53.6667</v>
      </c>
      <c r="G365" s="199" t="n">
        <v>75</v>
      </c>
      <c r="H365" s="199" t="inlineStr">
        <is>
          <t>No separate deliverable explicitly named</t>
        </is>
      </c>
    </row>
    <row r="366">
      <c r="A366" s="208" t="inlineStr">
        <is>
          <t>RTM-197</t>
        </is>
      </c>
      <c r="B366" s="223" t="inlineStr">
        <is>
          <t>L2 Detailed Design</t>
        </is>
      </c>
      <c r="C366" s="208" t="n">
        <v>3</v>
      </c>
      <c r="D366" s="208" t="inlineStr">
        <is>
          <t>T1 Primary</t>
        </is>
      </c>
      <c r="E366" s="208" t="inlineStr">
        <is>
          <t>Subsystems</t>
        </is>
      </c>
      <c r="F366" s="208" t="n">
        <v>53.6667</v>
      </c>
      <c r="G366" s="208" t="n">
        <v>75</v>
      </c>
      <c r="H366" s="208" t="inlineStr">
        <is>
          <t>No separate deliverable explicitly named</t>
        </is>
      </c>
    </row>
    <row r="367">
      <c r="A367" s="199" t="inlineStr">
        <is>
          <t>RTM-493</t>
        </is>
      </c>
      <c r="B367" s="226" t="inlineStr">
        <is>
          <t>L6 Site Acceptance Testing</t>
        </is>
      </c>
      <c r="C367" s="199" t="n">
        <v>8</v>
      </c>
      <c r="D367" s="199" t="inlineStr">
        <is>
          <t>T1 Primary</t>
        </is>
      </c>
      <c r="E367" s="199" t="inlineStr">
        <is>
          <t>Acceptance Testing</t>
        </is>
      </c>
      <c r="F367" s="199" t="n">
        <v>53.3333</v>
      </c>
      <c r="G367" s="199" t="n">
        <v>76</v>
      </c>
      <c r="H367" s="199" t="inlineStr">
        <is>
          <t>List / register / matrix</t>
        </is>
      </c>
    </row>
    <row r="368">
      <c r="A368" s="208" t="inlineStr">
        <is>
          <t>RTM-493</t>
        </is>
      </c>
      <c r="B368" s="222" t="inlineStr">
        <is>
          <t>L1 Conceptual Design</t>
        </is>
      </c>
      <c r="C368" s="208" t="n">
        <v>2</v>
      </c>
      <c r="D368" s="208" t="inlineStr">
        <is>
          <t>T1 Primary</t>
        </is>
      </c>
      <c r="E368" s="208" t="inlineStr">
        <is>
          <t>Acceptance Testing</t>
        </is>
      </c>
      <c r="F368" s="208" t="n">
        <v>53.3333</v>
      </c>
      <c r="G368" s="208" t="n">
        <v>76</v>
      </c>
      <c r="H368" s="208" t="inlineStr">
        <is>
          <t>List / register / matrix</t>
        </is>
      </c>
    </row>
    <row r="369">
      <c r="A369" s="199" t="inlineStr">
        <is>
          <t>RTM-493</t>
        </is>
      </c>
      <c r="B369" s="223" t="inlineStr">
        <is>
          <t>L2 Detailed Design</t>
        </is>
      </c>
      <c r="C369" s="199" t="n">
        <v>3</v>
      </c>
      <c r="D369" s="199" t="inlineStr">
        <is>
          <t>T1 Primary</t>
        </is>
      </c>
      <c r="E369" s="199" t="inlineStr">
        <is>
          <t>Acceptance Testing</t>
        </is>
      </c>
      <c r="F369" s="199" t="n">
        <v>53.3333</v>
      </c>
      <c r="G369" s="199" t="n">
        <v>76</v>
      </c>
      <c r="H369" s="199" t="inlineStr">
        <is>
          <t>List / register / matrix</t>
        </is>
      </c>
    </row>
    <row r="370">
      <c r="A370" s="208" t="inlineStr">
        <is>
          <t>RTM-186</t>
        </is>
      </c>
      <c r="B370" s="222" t="inlineStr">
        <is>
          <t>L1 Conceptual Design</t>
        </is>
      </c>
      <c r="C370" s="208" t="n">
        <v>2</v>
      </c>
      <c r="D370" s="208" t="inlineStr">
        <is>
          <t>T1 Primary</t>
        </is>
      </c>
      <c r="E370" s="208" t="inlineStr">
        <is>
          <t>Subsystems</t>
        </is>
      </c>
      <c r="F370" s="208" t="n">
        <v>52.6667</v>
      </c>
      <c r="G370" s="208" t="n">
        <v>77</v>
      </c>
      <c r="H370" s="208" t="inlineStr">
        <is>
          <t>No separate deliverable explicitly named</t>
        </is>
      </c>
    </row>
    <row r="371">
      <c r="A371" s="199" t="inlineStr">
        <is>
          <t>RTM-186</t>
        </is>
      </c>
      <c r="B371" s="223" t="inlineStr">
        <is>
          <t>L2 Detailed Design</t>
        </is>
      </c>
      <c r="C371" s="199" t="n">
        <v>3</v>
      </c>
      <c r="D371" s="199" t="inlineStr">
        <is>
          <t>T1 Primary</t>
        </is>
      </c>
      <c r="E371" s="199" t="inlineStr">
        <is>
          <t>Subsystems</t>
        </is>
      </c>
      <c r="F371" s="199" t="n">
        <v>52.6667</v>
      </c>
      <c r="G371" s="199" t="n">
        <v>77</v>
      </c>
      <c r="H371" s="199" t="inlineStr">
        <is>
          <t>No separate deliverable explicitly named</t>
        </is>
      </c>
    </row>
    <row r="372">
      <c r="A372" s="208" t="inlineStr">
        <is>
          <t>RTM-264</t>
        </is>
      </c>
      <c r="B372" s="222" t="inlineStr">
        <is>
          <t>L1 Conceptual Design</t>
        </is>
      </c>
      <c r="C372" s="208" t="n">
        <v>2</v>
      </c>
      <c r="D372" s="208" t="inlineStr">
        <is>
          <t>T1 Primary</t>
        </is>
      </c>
      <c r="E372" s="208" t="inlineStr">
        <is>
          <t>Subsystems</t>
        </is>
      </c>
      <c r="F372" s="208" t="n">
        <v>52.6667</v>
      </c>
      <c r="G372" s="208" t="n">
        <v>78</v>
      </c>
      <c r="H372" s="208" t="inlineStr">
        <is>
          <t>No separate deliverable explicitly named</t>
        </is>
      </c>
    </row>
    <row r="373">
      <c r="A373" s="199" t="inlineStr">
        <is>
          <t>RTM-264</t>
        </is>
      </c>
      <c r="B373" s="223" t="inlineStr">
        <is>
          <t>L2 Detailed Design</t>
        </is>
      </c>
      <c r="C373" s="199" t="n">
        <v>3</v>
      </c>
      <c r="D373" s="199" t="inlineStr">
        <is>
          <t>T1 Primary</t>
        </is>
      </c>
      <c r="E373" s="199" t="inlineStr">
        <is>
          <t>Subsystems</t>
        </is>
      </c>
      <c r="F373" s="199" t="n">
        <v>52.6667</v>
      </c>
      <c r="G373" s="199" t="n">
        <v>78</v>
      </c>
      <c r="H373" s="199" t="inlineStr">
        <is>
          <t>No separate deliverable explicitly named</t>
        </is>
      </c>
    </row>
    <row r="374">
      <c r="A374" s="208" t="inlineStr">
        <is>
          <t>RTM-269</t>
        </is>
      </c>
      <c r="B374" s="222" t="inlineStr">
        <is>
          <t>L1 Conceptual Design</t>
        </is>
      </c>
      <c r="C374" s="208" t="n">
        <v>2</v>
      </c>
      <c r="D374" s="208" t="inlineStr">
        <is>
          <t>T1 Primary</t>
        </is>
      </c>
      <c r="E374" s="208" t="inlineStr">
        <is>
          <t>Subsystems</t>
        </is>
      </c>
      <c r="F374" s="208" t="n">
        <v>52.6667</v>
      </c>
      <c r="G374" s="208" t="n">
        <v>79</v>
      </c>
      <c r="H374" s="208" t="inlineStr">
        <is>
          <t>No separate deliverable explicitly named</t>
        </is>
      </c>
    </row>
    <row r="375">
      <c r="A375" s="199" t="inlineStr">
        <is>
          <t>RTM-269</t>
        </is>
      </c>
      <c r="B375" s="223" t="inlineStr">
        <is>
          <t>L2 Detailed Design</t>
        </is>
      </c>
      <c r="C375" s="199" t="n">
        <v>3</v>
      </c>
      <c r="D375" s="199" t="inlineStr">
        <is>
          <t>T1 Primary</t>
        </is>
      </c>
      <c r="E375" s="199" t="inlineStr">
        <is>
          <t>Subsystems</t>
        </is>
      </c>
      <c r="F375" s="199" t="n">
        <v>52.6667</v>
      </c>
      <c r="G375" s="199" t="n">
        <v>79</v>
      </c>
      <c r="H375" s="199" t="inlineStr">
        <is>
          <t>No separate deliverable explicitly named</t>
        </is>
      </c>
    </row>
    <row r="376">
      <c r="A376" s="208" t="inlineStr">
        <is>
          <t>RTM-270</t>
        </is>
      </c>
      <c r="B376" s="222" t="inlineStr">
        <is>
          <t>L1 Conceptual Design</t>
        </is>
      </c>
      <c r="C376" s="208" t="n">
        <v>2</v>
      </c>
      <c r="D376" s="208" t="inlineStr">
        <is>
          <t>T1 Primary</t>
        </is>
      </c>
      <c r="E376" s="208" t="inlineStr">
        <is>
          <t>Subsystems</t>
        </is>
      </c>
      <c r="F376" s="208" t="n">
        <v>52.6667</v>
      </c>
      <c r="G376" s="208" t="n">
        <v>80</v>
      </c>
      <c r="H376" s="208" t="inlineStr">
        <is>
          <t>No separate deliverable explicitly named</t>
        </is>
      </c>
    </row>
    <row r="377">
      <c r="A377" s="199" t="inlineStr">
        <is>
          <t>RTM-270</t>
        </is>
      </c>
      <c r="B377" s="223" t="inlineStr">
        <is>
          <t>L2 Detailed Design</t>
        </is>
      </c>
      <c r="C377" s="199" t="n">
        <v>3</v>
      </c>
      <c r="D377" s="199" t="inlineStr">
        <is>
          <t>T1 Primary</t>
        </is>
      </c>
      <c r="E377" s="199" t="inlineStr">
        <is>
          <t>Subsystems</t>
        </is>
      </c>
      <c r="F377" s="199" t="n">
        <v>52.6667</v>
      </c>
      <c r="G377" s="199" t="n">
        <v>80</v>
      </c>
      <c r="H377" s="199" t="inlineStr">
        <is>
          <t>No separate deliverable explicitly named</t>
        </is>
      </c>
    </row>
    <row r="378">
      <c r="A378" s="208" t="inlineStr">
        <is>
          <t>RTM-279</t>
        </is>
      </c>
      <c r="B378" s="222" t="inlineStr">
        <is>
          <t>L1 Conceptual Design</t>
        </is>
      </c>
      <c r="C378" s="208" t="n">
        <v>2</v>
      </c>
      <c r="D378" s="208" t="inlineStr">
        <is>
          <t>T1 Primary</t>
        </is>
      </c>
      <c r="E378" s="208" t="inlineStr">
        <is>
          <t>Subsystems</t>
        </is>
      </c>
      <c r="F378" s="208" t="n">
        <v>52.6667</v>
      </c>
      <c r="G378" s="208" t="n">
        <v>81</v>
      </c>
      <c r="H378" s="208" t="inlineStr">
        <is>
          <t>No separate deliverable explicitly named</t>
        </is>
      </c>
    </row>
    <row r="379">
      <c r="A379" s="199" t="inlineStr">
        <is>
          <t>RTM-279</t>
        </is>
      </c>
      <c r="B379" s="223" t="inlineStr">
        <is>
          <t>L2 Detailed Design</t>
        </is>
      </c>
      <c r="C379" s="199" t="n">
        <v>3</v>
      </c>
      <c r="D379" s="199" t="inlineStr">
        <is>
          <t>T1 Primary</t>
        </is>
      </c>
      <c r="E379" s="199" t="inlineStr">
        <is>
          <t>Subsystems</t>
        </is>
      </c>
      <c r="F379" s="199" t="n">
        <v>52.6667</v>
      </c>
      <c r="G379" s="199" t="n">
        <v>81</v>
      </c>
      <c r="H379" s="199" t="inlineStr">
        <is>
          <t>No separate deliverable explicitly named</t>
        </is>
      </c>
    </row>
    <row r="380">
      <c r="A380" s="208" t="inlineStr">
        <is>
          <t>RTM-118</t>
        </is>
      </c>
      <c r="B380" s="226" t="inlineStr">
        <is>
          <t>L6 Site Acceptance Testing</t>
        </is>
      </c>
      <c r="C380" s="208" t="n">
        <v>8</v>
      </c>
      <c r="D380" s="208" t="inlineStr">
        <is>
          <t>T1 Primary</t>
        </is>
      </c>
      <c r="E380" s="208" t="inlineStr">
        <is>
          <t>Subsystems</t>
        </is>
      </c>
      <c r="F380" s="208" t="n">
        <v>52.3333</v>
      </c>
      <c r="G380" s="208" t="n">
        <v>82</v>
      </c>
      <c r="H380" s="208" t="inlineStr">
        <is>
          <t>No separate deliverable explicitly named</t>
        </is>
      </c>
    </row>
    <row r="381">
      <c r="A381" s="199" t="inlineStr">
        <is>
          <t>RTM-118</t>
        </is>
      </c>
      <c r="B381" s="222" t="inlineStr">
        <is>
          <t>L1 Conceptual Design</t>
        </is>
      </c>
      <c r="C381" s="199" t="n">
        <v>2</v>
      </c>
      <c r="D381" s="199" t="inlineStr">
        <is>
          <t>T1 Primary</t>
        </is>
      </c>
      <c r="E381" s="199" t="inlineStr">
        <is>
          <t>Subsystems</t>
        </is>
      </c>
      <c r="F381" s="199" t="n">
        <v>52.3333</v>
      </c>
      <c r="G381" s="199" t="n">
        <v>82</v>
      </c>
      <c r="H381" s="199" t="inlineStr">
        <is>
          <t>No separate deliverable explicitly named</t>
        </is>
      </c>
    </row>
    <row r="382">
      <c r="A382" s="208" t="inlineStr">
        <is>
          <t>RTM-118</t>
        </is>
      </c>
      <c r="B382" s="223" t="inlineStr">
        <is>
          <t>L2 Detailed Design</t>
        </is>
      </c>
      <c r="C382" s="208" t="n">
        <v>3</v>
      </c>
      <c r="D382" s="208" t="inlineStr">
        <is>
          <t>T1 Primary</t>
        </is>
      </c>
      <c r="E382" s="208" t="inlineStr">
        <is>
          <t>Subsystems</t>
        </is>
      </c>
      <c r="F382" s="208" t="n">
        <v>52.3333</v>
      </c>
      <c r="G382" s="208" t="n">
        <v>82</v>
      </c>
      <c r="H382" s="208" t="inlineStr">
        <is>
          <t>No separate deliverable explicitly named</t>
        </is>
      </c>
    </row>
    <row r="383">
      <c r="A383" s="199" t="inlineStr">
        <is>
          <t>RTM-573</t>
        </is>
      </c>
      <c r="B383" s="222" t="inlineStr">
        <is>
          <t>L1 Conceptual Design</t>
        </is>
      </c>
      <c r="C383" s="199" t="n">
        <v>2</v>
      </c>
      <c r="D383" s="199" t="inlineStr">
        <is>
          <t>T1 Primary</t>
        </is>
      </c>
      <c r="E383" s="199" t="inlineStr">
        <is>
          <t>Technical Documentation</t>
        </is>
      </c>
      <c r="F383" s="199" t="n">
        <v>52</v>
      </c>
      <c r="G383" s="199" t="n">
        <v>83</v>
      </c>
      <c r="H383" s="199" t="inlineStr">
        <is>
          <t>Engineering File; Availability &amp; Reliability Assessment; Risk Assessment / HAZOP / FMECA; 3D / CAD Model</t>
        </is>
      </c>
    </row>
    <row r="384">
      <c r="A384" s="208" t="inlineStr">
        <is>
          <t>RTM-573</t>
        </is>
      </c>
      <c r="B384" s="223" t="inlineStr">
        <is>
          <t>L2 Detailed Design</t>
        </is>
      </c>
      <c r="C384" s="208" t="n">
        <v>3</v>
      </c>
      <c r="D384" s="208" t="inlineStr">
        <is>
          <t>T1 Primary</t>
        </is>
      </c>
      <c r="E384" s="208" t="inlineStr">
        <is>
          <t>Technical Documentation</t>
        </is>
      </c>
      <c r="F384" s="208" t="n">
        <v>52</v>
      </c>
      <c r="G384" s="208" t="n">
        <v>83</v>
      </c>
      <c r="H384" s="208" t="inlineStr">
        <is>
          <t>Engineering File; Availability &amp; Reliability Assessment; Risk Assessment / HAZOP / FMECA; 3D / CAD Model</t>
        </is>
      </c>
    </row>
    <row r="385">
      <c r="A385" s="199" t="inlineStr">
        <is>
          <t>RTM-564</t>
        </is>
      </c>
      <c r="B385" s="222" t="inlineStr">
        <is>
          <t>L1 Conceptual Design</t>
        </is>
      </c>
      <c r="C385" s="199" t="n">
        <v>2</v>
      </c>
      <c r="D385" s="199" t="inlineStr">
        <is>
          <t>T1 Primary</t>
        </is>
      </c>
      <c r="E385" s="199" t="inlineStr">
        <is>
          <t>After-Sales</t>
        </is>
      </c>
      <c r="F385" s="199" t="n">
        <v>51.6667</v>
      </c>
      <c r="G385" s="199" t="n">
        <v>84</v>
      </c>
      <c r="H385" s="199" t="inlineStr">
        <is>
          <t>No separate deliverable explicitly named</t>
        </is>
      </c>
    </row>
    <row r="386">
      <c r="A386" s="208" t="inlineStr">
        <is>
          <t>RTM-564</t>
        </is>
      </c>
      <c r="B386" s="223" t="inlineStr">
        <is>
          <t>L2 Detailed Design</t>
        </is>
      </c>
      <c r="C386" s="208" t="n">
        <v>3</v>
      </c>
      <c r="D386" s="208" t="inlineStr">
        <is>
          <t>T1 Primary</t>
        </is>
      </c>
      <c r="E386" s="208" t="inlineStr">
        <is>
          <t>After-Sales</t>
        </is>
      </c>
      <c r="F386" s="208" t="n">
        <v>51.6667</v>
      </c>
      <c r="G386" s="208" t="n">
        <v>84</v>
      </c>
      <c r="H386" s="208" t="inlineStr">
        <is>
          <t>No separate deliverable explicitly named</t>
        </is>
      </c>
    </row>
    <row r="387">
      <c r="A387" s="199" t="inlineStr">
        <is>
          <t>RTM-273</t>
        </is>
      </c>
      <c r="B387" s="222" t="inlineStr">
        <is>
          <t>L1 Conceptual Design</t>
        </is>
      </c>
      <c r="C387" s="199" t="n">
        <v>2</v>
      </c>
      <c r="D387" s="199" t="inlineStr">
        <is>
          <t>T1 Primary</t>
        </is>
      </c>
      <c r="E387" s="199" t="inlineStr">
        <is>
          <t>Subsystems</t>
        </is>
      </c>
      <c r="F387" s="199" t="n">
        <v>51.3333</v>
      </c>
      <c r="G387" s="199" t="n">
        <v>85</v>
      </c>
      <c r="H387" s="199" t="inlineStr">
        <is>
          <t>No separate deliverable explicitly named</t>
        </is>
      </c>
    </row>
    <row r="388">
      <c r="A388" s="208" t="inlineStr">
        <is>
          <t>RTM-273</t>
        </is>
      </c>
      <c r="B388" s="223" t="inlineStr">
        <is>
          <t>L2 Detailed Design</t>
        </is>
      </c>
      <c r="C388" s="208" t="n">
        <v>3</v>
      </c>
      <c r="D388" s="208" t="inlineStr">
        <is>
          <t>T1 Primary</t>
        </is>
      </c>
      <c r="E388" s="208" t="inlineStr">
        <is>
          <t>Subsystems</t>
        </is>
      </c>
      <c r="F388" s="208" t="n">
        <v>51.3333</v>
      </c>
      <c r="G388" s="208" t="n">
        <v>85</v>
      </c>
      <c r="H388" s="208" t="inlineStr">
        <is>
          <t>No separate deliverable explicitly named</t>
        </is>
      </c>
    </row>
    <row r="389">
      <c r="A389" s="199" t="inlineStr">
        <is>
          <t>RTM-402</t>
        </is>
      </c>
      <c r="B389" s="222" t="inlineStr">
        <is>
          <t>L1 Conceptual Design</t>
        </is>
      </c>
      <c r="C389" s="199" t="n">
        <v>2</v>
      </c>
      <c r="D389" s="199" t="inlineStr">
        <is>
          <t>T1 Primary</t>
        </is>
      </c>
      <c r="E389" s="199" t="inlineStr">
        <is>
          <t>Buildings &amp; Utilities</t>
        </is>
      </c>
      <c r="F389" s="199" t="n">
        <v>51.3333</v>
      </c>
      <c r="G389" s="199" t="n">
        <v>86</v>
      </c>
      <c r="H389" s="199" t="inlineStr">
        <is>
          <t>No separate deliverable explicitly named</t>
        </is>
      </c>
    </row>
    <row r="390">
      <c r="A390" s="208" t="inlineStr">
        <is>
          <t>RTM-402</t>
        </is>
      </c>
      <c r="B390" s="223" t="inlineStr">
        <is>
          <t>L2 Detailed Design</t>
        </is>
      </c>
      <c r="C390" s="208" t="n">
        <v>3</v>
      </c>
      <c r="D390" s="208" t="inlineStr">
        <is>
          <t>T1 Primary</t>
        </is>
      </c>
      <c r="E390" s="208" t="inlineStr">
        <is>
          <t>Buildings &amp; Utilities</t>
        </is>
      </c>
      <c r="F390" s="208" t="n">
        <v>51.3333</v>
      </c>
      <c r="G390" s="208" t="n">
        <v>86</v>
      </c>
      <c r="H390" s="208" t="inlineStr">
        <is>
          <t>No separate deliverable explicitly named</t>
        </is>
      </c>
    </row>
    <row r="391">
      <c r="A391" s="199" t="inlineStr">
        <is>
          <t>RTM-424</t>
        </is>
      </c>
      <c r="B391" s="222" t="inlineStr">
        <is>
          <t>L1 Conceptual Design</t>
        </is>
      </c>
      <c r="C391" s="199" t="n">
        <v>2</v>
      </c>
      <c r="D391" s="199" t="inlineStr">
        <is>
          <t>T1 Primary</t>
        </is>
      </c>
      <c r="E391" s="199" t="inlineStr">
        <is>
          <t>Buildings &amp; Utilities</t>
        </is>
      </c>
      <c r="F391" s="199" t="n">
        <v>51.3333</v>
      </c>
      <c r="G391" s="199" t="n">
        <v>87</v>
      </c>
      <c r="H391" s="199" t="inlineStr">
        <is>
          <t>No separate deliverable explicitly named</t>
        </is>
      </c>
    </row>
    <row r="392">
      <c r="A392" s="208" t="inlineStr">
        <is>
          <t>RTM-424</t>
        </is>
      </c>
      <c r="B392" s="223" t="inlineStr">
        <is>
          <t>L2 Detailed Design</t>
        </is>
      </c>
      <c r="C392" s="208" t="n">
        <v>3</v>
      </c>
      <c r="D392" s="208" t="inlineStr">
        <is>
          <t>T1 Primary</t>
        </is>
      </c>
      <c r="E392" s="208" t="inlineStr">
        <is>
          <t>Buildings &amp; Utilities</t>
        </is>
      </c>
      <c r="F392" s="208" t="n">
        <v>51.3333</v>
      </c>
      <c r="G392" s="208" t="n">
        <v>87</v>
      </c>
      <c r="H392" s="208" t="inlineStr">
        <is>
          <t>No separate deliverable explicitly named</t>
        </is>
      </c>
    </row>
    <row r="393">
      <c r="A393" s="199" t="inlineStr">
        <is>
          <t>RTM-546</t>
        </is>
      </c>
      <c r="B393" s="222" t="inlineStr">
        <is>
          <t>L1 Conceptual Design</t>
        </is>
      </c>
      <c r="C393" s="199" t="n">
        <v>2</v>
      </c>
      <c r="D393" s="199" t="inlineStr">
        <is>
          <t>T1 Primary</t>
        </is>
      </c>
      <c r="E393" s="199" t="inlineStr">
        <is>
          <t>Acceptance Testing</t>
        </is>
      </c>
      <c r="F393" s="199" t="n">
        <v>51.3333</v>
      </c>
      <c r="G393" s="199" t="n">
        <v>88</v>
      </c>
      <c r="H393" s="199" t="inlineStr">
        <is>
          <t>Procedure / work instruction</t>
        </is>
      </c>
    </row>
    <row r="394">
      <c r="A394" s="208" t="inlineStr">
        <is>
          <t>RTM-546</t>
        </is>
      </c>
      <c r="B394" s="223" t="inlineStr">
        <is>
          <t>L2 Detailed Design</t>
        </is>
      </c>
      <c r="C394" s="208" t="n">
        <v>3</v>
      </c>
      <c r="D394" s="208" t="inlineStr">
        <is>
          <t>T1 Primary</t>
        </is>
      </c>
      <c r="E394" s="208" t="inlineStr">
        <is>
          <t>Acceptance Testing</t>
        </is>
      </c>
      <c r="F394" s="208" t="n">
        <v>51.3333</v>
      </c>
      <c r="G394" s="208" t="n">
        <v>88</v>
      </c>
      <c r="H394" s="208" t="inlineStr">
        <is>
          <t>Procedure / work instruction</t>
        </is>
      </c>
    </row>
    <row r="395">
      <c r="A395" s="199" t="inlineStr">
        <is>
          <t>RTM-547</t>
        </is>
      </c>
      <c r="B395" s="226" t="inlineStr">
        <is>
          <t>L6 Site Acceptance Testing</t>
        </is>
      </c>
      <c r="C395" s="199" t="n">
        <v>8</v>
      </c>
      <c r="D395" s="199" t="inlineStr">
        <is>
          <t>T1 Primary</t>
        </is>
      </c>
      <c r="E395" s="199" t="inlineStr">
        <is>
          <t>Acceptance Testing</t>
        </is>
      </c>
      <c r="F395" s="199" t="n">
        <v>51.3333</v>
      </c>
      <c r="G395" s="199" t="n">
        <v>89</v>
      </c>
      <c r="H395" s="199" t="inlineStr">
        <is>
          <t>Procedure / work instruction</t>
        </is>
      </c>
    </row>
    <row r="396">
      <c r="A396" s="208" t="inlineStr">
        <is>
          <t>RTM-547</t>
        </is>
      </c>
      <c r="B396" s="222" t="inlineStr">
        <is>
          <t>L1 Conceptual Design</t>
        </is>
      </c>
      <c r="C396" s="208" t="n">
        <v>2</v>
      </c>
      <c r="D396" s="208" t="inlineStr">
        <is>
          <t>T1 Primary</t>
        </is>
      </c>
      <c r="E396" s="208" t="inlineStr">
        <is>
          <t>Acceptance Testing</t>
        </is>
      </c>
      <c r="F396" s="208" t="n">
        <v>51.3333</v>
      </c>
      <c r="G396" s="208" t="n">
        <v>89</v>
      </c>
      <c r="H396" s="208" t="inlineStr">
        <is>
          <t>Procedure / work instruction</t>
        </is>
      </c>
    </row>
    <row r="397">
      <c r="A397" s="199" t="inlineStr">
        <is>
          <t>RTM-547</t>
        </is>
      </c>
      <c r="B397" s="223" t="inlineStr">
        <is>
          <t>L2 Detailed Design</t>
        </is>
      </c>
      <c r="C397" s="199" t="n">
        <v>3</v>
      </c>
      <c r="D397" s="199" t="inlineStr">
        <is>
          <t>T1 Primary</t>
        </is>
      </c>
      <c r="E397" s="199" t="inlineStr">
        <is>
          <t>Acceptance Testing</t>
        </is>
      </c>
      <c r="F397" s="199" t="n">
        <v>51.3333</v>
      </c>
      <c r="G397" s="199" t="n">
        <v>89</v>
      </c>
      <c r="H397" s="199" t="inlineStr">
        <is>
          <t>Procedure / work instruction</t>
        </is>
      </c>
    </row>
    <row r="398">
      <c r="A398" s="208" t="inlineStr">
        <is>
          <t>RTM-107</t>
        </is>
      </c>
      <c r="B398" s="222" t="inlineStr">
        <is>
          <t>L1 Conceptual Design</t>
        </is>
      </c>
      <c r="C398" s="208" t="n">
        <v>2</v>
      </c>
      <c r="D398" s="208" t="inlineStr">
        <is>
          <t>T1 Primary</t>
        </is>
      </c>
      <c r="E398" s="208" t="inlineStr">
        <is>
          <t>Subsystems</t>
        </is>
      </c>
      <c r="F398" s="208" t="n">
        <v>50.6667</v>
      </c>
      <c r="G398" s="208" t="n">
        <v>90</v>
      </c>
      <c r="H398" s="208" t="inlineStr">
        <is>
          <t>No separate deliverable explicitly named</t>
        </is>
      </c>
    </row>
    <row r="399">
      <c r="A399" s="199" t="inlineStr">
        <is>
          <t>RTM-107</t>
        </is>
      </c>
      <c r="B399" s="223" t="inlineStr">
        <is>
          <t>L2 Detailed Design</t>
        </is>
      </c>
      <c r="C399" s="199" t="n">
        <v>3</v>
      </c>
      <c r="D399" s="199" t="inlineStr">
        <is>
          <t>T1 Primary</t>
        </is>
      </c>
      <c r="E399" s="199" t="inlineStr">
        <is>
          <t>Subsystems</t>
        </is>
      </c>
      <c r="F399" s="199" t="n">
        <v>50.6667</v>
      </c>
      <c r="G399" s="199" t="n">
        <v>90</v>
      </c>
      <c r="H399" s="199" t="inlineStr">
        <is>
          <t>No separate deliverable explicitly named</t>
        </is>
      </c>
    </row>
    <row r="400">
      <c r="A400" s="208" t="inlineStr">
        <is>
          <t>RTM-227</t>
        </is>
      </c>
      <c r="B400" s="222" t="inlineStr">
        <is>
          <t>L1 Conceptual Design</t>
        </is>
      </c>
      <c r="C400" s="208" t="n">
        <v>2</v>
      </c>
      <c r="D400" s="208" t="inlineStr">
        <is>
          <t>T1 Primary</t>
        </is>
      </c>
      <c r="E400" s="208" t="inlineStr">
        <is>
          <t>Subsystems</t>
        </is>
      </c>
      <c r="F400" s="208" t="n">
        <v>50</v>
      </c>
      <c r="G400" s="208" t="n">
        <v>91</v>
      </c>
      <c r="H400" s="208" t="inlineStr">
        <is>
          <t>No separate deliverable explicitly named</t>
        </is>
      </c>
    </row>
    <row r="401">
      <c r="A401" s="199" t="inlineStr">
        <is>
          <t>RTM-227</t>
        </is>
      </c>
      <c r="B401" s="223" t="inlineStr">
        <is>
          <t>L2 Detailed Design</t>
        </is>
      </c>
      <c r="C401" s="199" t="n">
        <v>3</v>
      </c>
      <c r="D401" s="199" t="inlineStr">
        <is>
          <t>T1 Primary</t>
        </is>
      </c>
      <c r="E401" s="199" t="inlineStr">
        <is>
          <t>Subsystems</t>
        </is>
      </c>
      <c r="F401" s="199" t="n">
        <v>50</v>
      </c>
      <c r="G401" s="199" t="n">
        <v>91</v>
      </c>
      <c r="H401" s="199" t="inlineStr">
        <is>
          <t>No separate deliverable explicitly named</t>
        </is>
      </c>
    </row>
    <row r="402">
      <c r="A402" s="208" t="inlineStr">
        <is>
          <t>RTM-401</t>
        </is>
      </c>
      <c r="B402" s="222" t="inlineStr">
        <is>
          <t>L1 Conceptual Design</t>
        </is>
      </c>
      <c r="C402" s="208" t="n">
        <v>2</v>
      </c>
      <c r="D402" s="208" t="inlineStr">
        <is>
          <t>T1 Primary</t>
        </is>
      </c>
      <c r="E402" s="208" t="inlineStr">
        <is>
          <t>Buildings &amp; Utilities</t>
        </is>
      </c>
      <c r="F402" s="208" t="n">
        <v>50</v>
      </c>
      <c r="G402" s="208" t="n">
        <v>92</v>
      </c>
      <c r="H402" s="208" t="inlineStr">
        <is>
          <t>No separate deliverable explicitly named</t>
        </is>
      </c>
    </row>
    <row r="403">
      <c r="A403" s="199" t="inlineStr">
        <is>
          <t>RTM-401</t>
        </is>
      </c>
      <c r="B403" s="223" t="inlineStr">
        <is>
          <t>L2 Detailed Design</t>
        </is>
      </c>
      <c r="C403" s="199" t="n">
        <v>3</v>
      </c>
      <c r="D403" s="199" t="inlineStr">
        <is>
          <t>T1 Primary</t>
        </is>
      </c>
      <c r="E403" s="199" t="inlineStr">
        <is>
          <t>Buildings &amp; Utilities</t>
        </is>
      </c>
      <c r="F403" s="199" t="n">
        <v>50</v>
      </c>
      <c r="G403" s="199" t="n">
        <v>92</v>
      </c>
      <c r="H403" s="199" t="inlineStr">
        <is>
          <t>No separate deliverable explicitly named</t>
        </is>
      </c>
    </row>
    <row r="404">
      <c r="A404" s="208" t="inlineStr">
        <is>
          <t>RTM-417</t>
        </is>
      </c>
      <c r="B404" s="222" t="inlineStr">
        <is>
          <t>L1 Conceptual Design</t>
        </is>
      </c>
      <c r="C404" s="208" t="n">
        <v>2</v>
      </c>
      <c r="D404" s="208" t="inlineStr">
        <is>
          <t>T1 Primary</t>
        </is>
      </c>
      <c r="E404" s="208" t="inlineStr">
        <is>
          <t>Buildings &amp; Utilities</t>
        </is>
      </c>
      <c r="F404" s="208" t="n">
        <v>50</v>
      </c>
      <c r="G404" s="208" t="n">
        <v>93</v>
      </c>
      <c r="H404" s="208" t="inlineStr">
        <is>
          <t>No separate deliverable explicitly named</t>
        </is>
      </c>
    </row>
    <row r="405">
      <c r="A405" s="199" t="inlineStr">
        <is>
          <t>RTM-417</t>
        </is>
      </c>
      <c r="B405" s="223" t="inlineStr">
        <is>
          <t>L2 Detailed Design</t>
        </is>
      </c>
      <c r="C405" s="199" t="n">
        <v>3</v>
      </c>
      <c r="D405" s="199" t="inlineStr">
        <is>
          <t>T1 Primary</t>
        </is>
      </c>
      <c r="E405" s="199" t="inlineStr">
        <is>
          <t>Buildings &amp; Utilities</t>
        </is>
      </c>
      <c r="F405" s="199" t="n">
        <v>50</v>
      </c>
      <c r="G405" s="199" t="n">
        <v>93</v>
      </c>
      <c r="H405" s="199" t="inlineStr">
        <is>
          <t>No separate deliverable explicitly named</t>
        </is>
      </c>
    </row>
    <row r="406">
      <c r="A406" s="208" t="inlineStr">
        <is>
          <t>RTM-420</t>
        </is>
      </c>
      <c r="B406" s="222" t="inlineStr">
        <is>
          <t>L1 Conceptual Design</t>
        </is>
      </c>
      <c r="C406" s="208" t="n">
        <v>2</v>
      </c>
      <c r="D406" s="208" t="inlineStr">
        <is>
          <t>T1 Primary</t>
        </is>
      </c>
      <c r="E406" s="208" t="inlineStr">
        <is>
          <t>Buildings &amp; Utilities</t>
        </is>
      </c>
      <c r="F406" s="208" t="n">
        <v>50</v>
      </c>
      <c r="G406" s="208" t="n">
        <v>94</v>
      </c>
      <c r="H406" s="208" t="inlineStr">
        <is>
          <t>No separate deliverable explicitly named</t>
        </is>
      </c>
    </row>
    <row r="407">
      <c r="A407" s="199" t="inlineStr">
        <is>
          <t>RTM-420</t>
        </is>
      </c>
      <c r="B407" s="223" t="inlineStr">
        <is>
          <t>L2 Detailed Design</t>
        </is>
      </c>
      <c r="C407" s="199" t="n">
        <v>3</v>
      </c>
      <c r="D407" s="199" t="inlineStr">
        <is>
          <t>T1 Primary</t>
        </is>
      </c>
      <c r="E407" s="199" t="inlineStr">
        <is>
          <t>Buildings &amp; Utilities</t>
        </is>
      </c>
      <c r="F407" s="199" t="n">
        <v>50</v>
      </c>
      <c r="G407" s="199" t="n">
        <v>94</v>
      </c>
      <c r="H407" s="199" t="inlineStr">
        <is>
          <t>No separate deliverable explicitly named</t>
        </is>
      </c>
    </row>
    <row r="408">
      <c r="A408" s="208" t="inlineStr">
        <is>
          <t>RTM-428</t>
        </is>
      </c>
      <c r="B408" s="222" t="inlineStr">
        <is>
          <t>L1 Conceptual Design</t>
        </is>
      </c>
      <c r="C408" s="208" t="n">
        <v>2</v>
      </c>
      <c r="D408" s="208" t="inlineStr">
        <is>
          <t>T1 Primary</t>
        </is>
      </c>
      <c r="E408" s="208" t="inlineStr">
        <is>
          <t>Buildings &amp; Utilities</t>
        </is>
      </c>
      <c r="F408" s="208" t="n">
        <v>50</v>
      </c>
      <c r="G408" s="208" t="n">
        <v>95</v>
      </c>
      <c r="H408" s="208" t="inlineStr">
        <is>
          <t>No separate deliverable explicitly named</t>
        </is>
      </c>
    </row>
    <row r="409">
      <c r="A409" s="199" t="inlineStr">
        <is>
          <t>RTM-428</t>
        </is>
      </c>
      <c r="B409" s="223" t="inlineStr">
        <is>
          <t>L2 Detailed Design</t>
        </is>
      </c>
      <c r="C409" s="199" t="n">
        <v>3</v>
      </c>
      <c r="D409" s="199" t="inlineStr">
        <is>
          <t>T1 Primary</t>
        </is>
      </c>
      <c r="E409" s="199" t="inlineStr">
        <is>
          <t>Buildings &amp; Utilities</t>
        </is>
      </c>
      <c r="F409" s="199" t="n">
        <v>50</v>
      </c>
      <c r="G409" s="199" t="n">
        <v>95</v>
      </c>
      <c r="H409" s="199" t="inlineStr">
        <is>
          <t>No separate deliverable explicitly named</t>
        </is>
      </c>
    </row>
    <row r="410">
      <c r="A410" s="208" t="inlineStr">
        <is>
          <t>RTM-436</t>
        </is>
      </c>
      <c r="B410" s="222" t="inlineStr">
        <is>
          <t>L1 Conceptual Design</t>
        </is>
      </c>
      <c r="C410" s="208" t="n">
        <v>2</v>
      </c>
      <c r="D410" s="208" t="inlineStr">
        <is>
          <t>T1 Primary</t>
        </is>
      </c>
      <c r="E410" s="208" t="inlineStr">
        <is>
          <t>Buildings &amp; Utilities</t>
        </is>
      </c>
      <c r="F410" s="208" t="n">
        <v>50</v>
      </c>
      <c r="G410" s="208" t="n">
        <v>96</v>
      </c>
      <c r="H410" s="208" t="inlineStr">
        <is>
          <t>No separate deliverable explicitly named</t>
        </is>
      </c>
    </row>
    <row r="411">
      <c r="A411" s="199" t="inlineStr">
        <is>
          <t>RTM-436</t>
        </is>
      </c>
      <c r="B411" s="223" t="inlineStr">
        <is>
          <t>L2 Detailed Design</t>
        </is>
      </c>
      <c r="C411" s="199" t="n">
        <v>3</v>
      </c>
      <c r="D411" s="199" t="inlineStr">
        <is>
          <t>T1 Primary</t>
        </is>
      </c>
      <c r="E411" s="199" t="inlineStr">
        <is>
          <t>Buildings &amp; Utilities</t>
        </is>
      </c>
      <c r="F411" s="199" t="n">
        <v>50</v>
      </c>
      <c r="G411" s="199" t="n">
        <v>96</v>
      </c>
      <c r="H411" s="199" t="inlineStr">
        <is>
          <t>No separate deliverable explicitly named</t>
        </is>
      </c>
    </row>
    <row r="412">
      <c r="A412" s="208" t="inlineStr">
        <is>
          <t>RTM-590</t>
        </is>
      </c>
      <c r="B412" s="224" t="inlineStr">
        <is>
          <t>L3 Procurement &amp; Manufacturing / FAT</t>
        </is>
      </c>
      <c r="C412" s="208" t="n">
        <v>4</v>
      </c>
      <c r="D412" s="208" t="inlineStr">
        <is>
          <t>T1 Primary</t>
        </is>
      </c>
      <c r="E412" s="208" t="inlineStr">
        <is>
          <t>Technical Documentation</t>
        </is>
      </c>
      <c r="F412" s="208" t="n">
        <v>50</v>
      </c>
      <c r="G412" s="208" t="n">
        <v>97</v>
      </c>
      <c r="H412" s="208" t="inlineStr">
        <is>
          <t>As-built File; 3D / CAD Model; Drawing / diagram; List / register / matrix</t>
        </is>
      </c>
    </row>
    <row r="413">
      <c r="A413" s="199" t="inlineStr">
        <is>
          <t>RTM-590</t>
        </is>
      </c>
      <c r="B413" s="220" t="inlineStr">
        <is>
          <t>L4 Installation</t>
        </is>
      </c>
      <c r="C413" s="199" t="n">
        <v>6</v>
      </c>
      <c r="D413" s="199" t="inlineStr">
        <is>
          <t>T1 Primary</t>
        </is>
      </c>
      <c r="E413" s="199" t="inlineStr">
        <is>
          <t>Technical Documentation</t>
        </is>
      </c>
      <c r="F413" s="199" t="n">
        <v>50</v>
      </c>
      <c r="G413" s="199" t="n">
        <v>97</v>
      </c>
      <c r="H413" s="199" t="inlineStr">
        <is>
          <t>As-built File; 3D / CAD Model; Drawing / diagram; List / register / matrix</t>
        </is>
      </c>
    </row>
    <row r="414">
      <c r="A414" s="208" t="inlineStr">
        <is>
          <t>RTM-590</t>
        </is>
      </c>
      <c r="B414" s="222" t="inlineStr">
        <is>
          <t>L1 Conceptual Design</t>
        </is>
      </c>
      <c r="C414" s="208" t="n">
        <v>2</v>
      </c>
      <c r="D414" s="208" t="inlineStr">
        <is>
          <t>T1 Primary</t>
        </is>
      </c>
      <c r="E414" s="208" t="inlineStr">
        <is>
          <t>Technical Documentation</t>
        </is>
      </c>
      <c r="F414" s="208" t="n">
        <v>50</v>
      </c>
      <c r="G414" s="208" t="n">
        <v>97</v>
      </c>
      <c r="H414" s="208" t="inlineStr">
        <is>
          <t>As-built File; 3D / CAD Model; Drawing / diagram; List / register / matrix</t>
        </is>
      </c>
    </row>
    <row r="415">
      <c r="A415" s="199" t="inlineStr">
        <is>
          <t>RTM-590</t>
        </is>
      </c>
      <c r="B415" s="223" t="inlineStr">
        <is>
          <t>L2 Detailed Design</t>
        </is>
      </c>
      <c r="C415" s="199" t="n">
        <v>3</v>
      </c>
      <c r="D415" s="199" t="inlineStr">
        <is>
          <t>T1 Primary</t>
        </is>
      </c>
      <c r="E415" s="199" t="inlineStr">
        <is>
          <t>Technical Documentation</t>
        </is>
      </c>
      <c r="F415" s="199" t="n">
        <v>50</v>
      </c>
      <c r="G415" s="199" t="n">
        <v>97</v>
      </c>
      <c r="H415" s="199" t="inlineStr">
        <is>
          <t>As-built File; 3D / CAD Model; Drawing / diagram; List / register / matrix</t>
        </is>
      </c>
    </row>
    <row r="416">
      <c r="A416" s="208" t="inlineStr">
        <is>
          <t>RTM-112</t>
        </is>
      </c>
      <c r="B416" s="222" t="inlineStr">
        <is>
          <t>L1 Conceptual Design</t>
        </is>
      </c>
      <c r="C416" s="208" t="n">
        <v>2</v>
      </c>
      <c r="D416" s="208" t="inlineStr">
        <is>
          <t>T1 Primary</t>
        </is>
      </c>
      <c r="E416" s="208" t="inlineStr">
        <is>
          <t>Subsystems</t>
        </is>
      </c>
      <c r="F416" s="208" t="n">
        <v>49.6667</v>
      </c>
      <c r="G416" s="208" t="n">
        <v>98</v>
      </c>
      <c r="H416" s="208" t="inlineStr">
        <is>
          <t>No separate deliverable explicitly named</t>
        </is>
      </c>
    </row>
    <row r="417">
      <c r="A417" s="199" t="inlineStr">
        <is>
          <t>RTM-112</t>
        </is>
      </c>
      <c r="B417" s="223" t="inlineStr">
        <is>
          <t>L2 Detailed Design</t>
        </is>
      </c>
      <c r="C417" s="199" t="n">
        <v>3</v>
      </c>
      <c r="D417" s="199" t="inlineStr">
        <is>
          <t>T1 Primary</t>
        </is>
      </c>
      <c r="E417" s="199" t="inlineStr">
        <is>
          <t>Subsystems</t>
        </is>
      </c>
      <c r="F417" s="199" t="n">
        <v>49.6667</v>
      </c>
      <c r="G417" s="199" t="n">
        <v>98</v>
      </c>
      <c r="H417" s="199" t="inlineStr">
        <is>
          <t>No separate deliverable explicitly named</t>
        </is>
      </c>
    </row>
    <row r="418">
      <c r="A418" s="208" t="inlineStr">
        <is>
          <t>RTM-039</t>
        </is>
      </c>
      <c r="B418" s="222" t="inlineStr">
        <is>
          <t>L1 Conceptual Design</t>
        </is>
      </c>
      <c r="C418" s="208" t="n">
        <v>2</v>
      </c>
      <c r="D418" s="208" t="inlineStr">
        <is>
          <t>T1 Primary</t>
        </is>
      </c>
      <c r="E418" s="208" t="inlineStr">
        <is>
          <t>Process &amp; Functional</t>
        </is>
      </c>
      <c r="F418" s="208" t="n">
        <v>49.3333</v>
      </c>
      <c r="G418" s="208" t="n">
        <v>99</v>
      </c>
      <c r="H418" s="208" t="inlineStr">
        <is>
          <t>No separate deliverable explicitly named</t>
        </is>
      </c>
    </row>
    <row r="419">
      <c r="A419" s="199" t="inlineStr">
        <is>
          <t>RTM-039</t>
        </is>
      </c>
      <c r="B419" s="223" t="inlineStr">
        <is>
          <t>L2 Detailed Design</t>
        </is>
      </c>
      <c r="C419" s="199" t="n">
        <v>3</v>
      </c>
      <c r="D419" s="199" t="inlineStr">
        <is>
          <t>T1 Primary</t>
        </is>
      </c>
      <c r="E419" s="199" t="inlineStr">
        <is>
          <t>Process &amp; Functional</t>
        </is>
      </c>
      <c r="F419" s="199" t="n">
        <v>49.3333</v>
      </c>
      <c r="G419" s="199" t="n">
        <v>99</v>
      </c>
      <c r="H419" s="199" t="inlineStr">
        <is>
          <t>No separate deliverable explicitly named</t>
        </is>
      </c>
    </row>
    <row r="420">
      <c r="A420" s="208" t="inlineStr">
        <is>
          <t>RTM-101</t>
        </is>
      </c>
      <c r="B420" s="222" t="inlineStr">
        <is>
          <t>L1 Conceptual Design</t>
        </is>
      </c>
      <c r="C420" s="208" t="n">
        <v>2</v>
      </c>
      <c r="D420" s="208" t="inlineStr">
        <is>
          <t>T1 Primary</t>
        </is>
      </c>
      <c r="E420" s="208" t="inlineStr">
        <is>
          <t>Subsystems</t>
        </is>
      </c>
      <c r="F420" s="208" t="n">
        <v>49.3333</v>
      </c>
      <c r="G420" s="208" t="n">
        <v>100</v>
      </c>
      <c r="H420" s="208" t="inlineStr">
        <is>
          <t>No separate deliverable explicitly named</t>
        </is>
      </c>
    </row>
    <row r="421">
      <c r="A421" s="199" t="inlineStr">
        <is>
          <t>RTM-101</t>
        </is>
      </c>
      <c r="B421" s="223" t="inlineStr">
        <is>
          <t>L2 Detailed Design</t>
        </is>
      </c>
      <c r="C421" s="199" t="n">
        <v>3</v>
      </c>
      <c r="D421" s="199" t="inlineStr">
        <is>
          <t>T1 Primary</t>
        </is>
      </c>
      <c r="E421" s="199" t="inlineStr">
        <is>
          <t>Subsystems</t>
        </is>
      </c>
      <c r="F421" s="199" t="n">
        <v>49.3333</v>
      </c>
      <c r="G421" s="199" t="n">
        <v>100</v>
      </c>
      <c r="H421" s="199" t="inlineStr">
        <is>
          <t>No separate deliverable explicitly named</t>
        </is>
      </c>
    </row>
    <row r="422">
      <c r="A422" s="208" t="inlineStr">
        <is>
          <t>RTM-111</t>
        </is>
      </c>
      <c r="B422" s="220" t="inlineStr">
        <is>
          <t>L4 Installation</t>
        </is>
      </c>
      <c r="C422" s="208" t="n">
        <v>6</v>
      </c>
      <c r="D422" s="208" t="inlineStr">
        <is>
          <t>T1 Primary</t>
        </is>
      </c>
      <c r="E422" s="208" t="inlineStr">
        <is>
          <t>Subsystems</t>
        </is>
      </c>
      <c r="F422" s="208" t="n">
        <v>49.3333</v>
      </c>
      <c r="G422" s="208" t="n">
        <v>101</v>
      </c>
      <c r="H422" s="208" t="inlineStr">
        <is>
          <t>No separate deliverable explicitly named</t>
        </is>
      </c>
    </row>
    <row r="423">
      <c r="A423" s="199" t="inlineStr">
        <is>
          <t>RTM-111</t>
        </is>
      </c>
      <c r="B423" s="226" t="inlineStr">
        <is>
          <t>L6 Site Acceptance Testing</t>
        </is>
      </c>
      <c r="C423" s="199" t="n">
        <v>8</v>
      </c>
      <c r="D423" s="199" t="inlineStr">
        <is>
          <t>T1 Primary</t>
        </is>
      </c>
      <c r="E423" s="199" t="inlineStr">
        <is>
          <t>Subsystems</t>
        </is>
      </c>
      <c r="F423" s="199" t="n">
        <v>49.3333</v>
      </c>
      <c r="G423" s="199" t="n">
        <v>101</v>
      </c>
      <c r="H423" s="199" t="inlineStr">
        <is>
          <t>No separate deliverable explicitly named</t>
        </is>
      </c>
    </row>
    <row r="424">
      <c r="A424" s="208" t="inlineStr">
        <is>
          <t>RTM-111</t>
        </is>
      </c>
      <c r="B424" s="222" t="inlineStr">
        <is>
          <t>L1 Conceptual Design</t>
        </is>
      </c>
      <c r="C424" s="208" t="n">
        <v>2</v>
      </c>
      <c r="D424" s="208" t="inlineStr">
        <is>
          <t>T1 Primary</t>
        </is>
      </c>
      <c r="E424" s="208" t="inlineStr">
        <is>
          <t>Subsystems</t>
        </is>
      </c>
      <c r="F424" s="208" t="n">
        <v>49.3333</v>
      </c>
      <c r="G424" s="208" t="n">
        <v>101</v>
      </c>
      <c r="H424" s="208" t="inlineStr">
        <is>
          <t>No separate deliverable explicitly named</t>
        </is>
      </c>
    </row>
    <row r="425">
      <c r="A425" s="199" t="inlineStr">
        <is>
          <t>RTM-111</t>
        </is>
      </c>
      <c r="B425" s="223" t="inlineStr">
        <is>
          <t>L2 Detailed Design</t>
        </is>
      </c>
      <c r="C425" s="199" t="n">
        <v>3</v>
      </c>
      <c r="D425" s="199" t="inlineStr">
        <is>
          <t>T1 Primary</t>
        </is>
      </c>
      <c r="E425" s="199" t="inlineStr">
        <is>
          <t>Subsystems</t>
        </is>
      </c>
      <c r="F425" s="199" t="n">
        <v>49.3333</v>
      </c>
      <c r="G425" s="199" t="n">
        <v>101</v>
      </c>
      <c r="H425" s="199" t="inlineStr">
        <is>
          <t>No separate deliverable explicitly named</t>
        </is>
      </c>
    </row>
    <row r="426">
      <c r="A426" s="208" t="inlineStr">
        <is>
          <t>RTM-224</t>
        </is>
      </c>
      <c r="B426" s="222" t="inlineStr">
        <is>
          <t>L1 Conceptual Design</t>
        </is>
      </c>
      <c r="C426" s="208" t="n">
        <v>2</v>
      </c>
      <c r="D426" s="208" t="inlineStr">
        <is>
          <t>T1 Primary</t>
        </is>
      </c>
      <c r="E426" s="208" t="inlineStr">
        <is>
          <t>Subsystems</t>
        </is>
      </c>
      <c r="F426" s="208" t="n">
        <v>49.3333</v>
      </c>
      <c r="G426" s="208" t="n">
        <v>102</v>
      </c>
      <c r="H426" s="208" t="inlineStr">
        <is>
          <t>No separate deliverable explicitly named</t>
        </is>
      </c>
    </row>
    <row r="427">
      <c r="A427" s="199" t="inlineStr">
        <is>
          <t>RTM-224</t>
        </is>
      </c>
      <c r="B427" s="223" t="inlineStr">
        <is>
          <t>L2 Detailed Design</t>
        </is>
      </c>
      <c r="C427" s="199" t="n">
        <v>3</v>
      </c>
      <c r="D427" s="199" t="inlineStr">
        <is>
          <t>T1 Primary</t>
        </is>
      </c>
      <c r="E427" s="199" t="inlineStr">
        <is>
          <t>Subsystems</t>
        </is>
      </c>
      <c r="F427" s="199" t="n">
        <v>49.3333</v>
      </c>
      <c r="G427" s="199" t="n">
        <v>102</v>
      </c>
      <c r="H427" s="199" t="inlineStr">
        <is>
          <t>No separate deliverable explicitly named</t>
        </is>
      </c>
    </row>
    <row r="428">
      <c r="A428" s="208" t="inlineStr">
        <is>
          <t>RTM-487</t>
        </is>
      </c>
      <c r="B428" s="222" t="inlineStr">
        <is>
          <t>L1 Conceptual Design</t>
        </is>
      </c>
      <c r="C428" s="208" t="n">
        <v>2</v>
      </c>
      <c r="D428" s="208" t="inlineStr">
        <is>
          <t>T1 Primary</t>
        </is>
      </c>
      <c r="E428" s="208" t="inlineStr">
        <is>
          <t>Training</t>
        </is>
      </c>
      <c r="F428" s="208" t="n">
        <v>49.3333</v>
      </c>
      <c r="G428" s="208" t="n">
        <v>103</v>
      </c>
      <c r="H428" s="208" t="inlineStr">
        <is>
          <t>No separate deliverable explicitly named</t>
        </is>
      </c>
    </row>
    <row r="429">
      <c r="A429" s="199" t="inlineStr">
        <is>
          <t>RTM-487</t>
        </is>
      </c>
      <c r="B429" s="223" t="inlineStr">
        <is>
          <t>L2 Detailed Design</t>
        </is>
      </c>
      <c r="C429" s="199" t="n">
        <v>3</v>
      </c>
      <c r="D429" s="199" t="inlineStr">
        <is>
          <t>T1 Primary</t>
        </is>
      </c>
      <c r="E429" s="199" t="inlineStr">
        <is>
          <t>Training</t>
        </is>
      </c>
      <c r="F429" s="199" t="n">
        <v>49.3333</v>
      </c>
      <c r="G429" s="199" t="n">
        <v>103</v>
      </c>
      <c r="H429" s="199" t="inlineStr">
        <is>
          <t>No separate deliverable explicitly named</t>
        </is>
      </c>
    </row>
    <row r="430">
      <c r="A430" s="208" t="inlineStr">
        <is>
          <t>RTM-488</t>
        </is>
      </c>
      <c r="B430" s="222" t="inlineStr">
        <is>
          <t>L1 Conceptual Design</t>
        </is>
      </c>
      <c r="C430" s="208" t="n">
        <v>2</v>
      </c>
      <c r="D430" s="208" t="inlineStr">
        <is>
          <t>T1 Primary</t>
        </is>
      </c>
      <c r="E430" s="208" t="inlineStr">
        <is>
          <t>Training</t>
        </is>
      </c>
      <c r="F430" s="208" t="n">
        <v>48.6667</v>
      </c>
      <c r="G430" s="208" t="n">
        <v>104</v>
      </c>
      <c r="H430" s="208" t="inlineStr">
        <is>
          <t>Procedure / work instruction</t>
        </is>
      </c>
    </row>
    <row r="431">
      <c r="A431" s="199" t="inlineStr">
        <is>
          <t>RTM-488</t>
        </is>
      </c>
      <c r="B431" s="223" t="inlineStr">
        <is>
          <t>L2 Detailed Design</t>
        </is>
      </c>
      <c r="C431" s="199" t="n">
        <v>3</v>
      </c>
      <c r="D431" s="199" t="inlineStr">
        <is>
          <t>T1 Primary</t>
        </is>
      </c>
      <c r="E431" s="199" t="inlineStr">
        <is>
          <t>Training</t>
        </is>
      </c>
      <c r="F431" s="199" t="n">
        <v>48.6667</v>
      </c>
      <c r="G431" s="199" t="n">
        <v>104</v>
      </c>
      <c r="H431" s="199" t="inlineStr">
        <is>
          <t>Procedure / work instruction</t>
        </is>
      </c>
    </row>
    <row r="432">
      <c r="A432" s="208" t="inlineStr">
        <is>
          <t>RTM-576</t>
        </is>
      </c>
      <c r="B432" s="224" t="inlineStr">
        <is>
          <t>L3 Procurement &amp; Manufacturing / FAT</t>
        </is>
      </c>
      <c r="C432" s="208" t="n">
        <v>4</v>
      </c>
      <c r="D432" s="208" t="inlineStr">
        <is>
          <t>T1 Primary</t>
        </is>
      </c>
      <c r="E432" s="208" t="inlineStr">
        <is>
          <t>Technical Documentation</t>
        </is>
      </c>
      <c r="F432" s="208" t="n">
        <v>48.6667</v>
      </c>
      <c r="G432" s="208" t="n">
        <v>105</v>
      </c>
      <c r="H432" s="208" t="inlineStr">
        <is>
          <t>Manufacturing File; Risk Assessment / HAZOP / FMECA; 3D / CAD Model; Certificate / calibration evidence; Procedure / work instruction; Drawing / diagram</t>
        </is>
      </c>
    </row>
    <row r="433">
      <c r="A433" s="199" t="inlineStr">
        <is>
          <t>RTM-576</t>
        </is>
      </c>
      <c r="B433" s="220" t="inlineStr">
        <is>
          <t>L4 Installation</t>
        </is>
      </c>
      <c r="C433" s="199" t="n">
        <v>6</v>
      </c>
      <c r="D433" s="199" t="inlineStr">
        <is>
          <t>T1 Primary</t>
        </is>
      </c>
      <c r="E433" s="199" t="inlineStr">
        <is>
          <t>Technical Documentation</t>
        </is>
      </c>
      <c r="F433" s="199" t="n">
        <v>48.6667</v>
      </c>
      <c r="G433" s="199" t="n">
        <v>105</v>
      </c>
      <c r="H433" s="199" t="inlineStr">
        <is>
          <t>Manufacturing File; Risk Assessment / HAZOP / FMECA; 3D / CAD Model; Certificate / calibration evidence; Procedure / work instruction; Drawing / diagram</t>
        </is>
      </c>
    </row>
    <row r="434">
      <c r="A434" s="208" t="inlineStr">
        <is>
          <t>RTM-576</t>
        </is>
      </c>
      <c r="B434" s="222" t="inlineStr">
        <is>
          <t>L1 Conceptual Design</t>
        </is>
      </c>
      <c r="C434" s="208" t="n">
        <v>2</v>
      </c>
      <c r="D434" s="208" t="inlineStr">
        <is>
          <t>T1 Primary</t>
        </is>
      </c>
      <c r="E434" s="208" t="inlineStr">
        <is>
          <t>Technical Documentation</t>
        </is>
      </c>
      <c r="F434" s="208" t="n">
        <v>48.6667</v>
      </c>
      <c r="G434" s="208" t="n">
        <v>105</v>
      </c>
      <c r="H434" s="208" t="inlineStr">
        <is>
          <t>Manufacturing File; Risk Assessment / HAZOP / FMECA; 3D / CAD Model; Certificate / calibration evidence; Procedure / work instruction; Drawing / diagram</t>
        </is>
      </c>
    </row>
    <row r="435">
      <c r="A435" s="199" t="inlineStr">
        <is>
          <t>RTM-576</t>
        </is>
      </c>
      <c r="B435" s="223" t="inlineStr">
        <is>
          <t>L2 Detailed Design</t>
        </is>
      </c>
      <c r="C435" s="199" t="n">
        <v>3</v>
      </c>
      <c r="D435" s="199" t="inlineStr">
        <is>
          <t>T1 Primary</t>
        </is>
      </c>
      <c r="E435" s="199" t="inlineStr">
        <is>
          <t>Technical Documentation</t>
        </is>
      </c>
      <c r="F435" s="199" t="n">
        <v>48.6667</v>
      </c>
      <c r="G435" s="199" t="n">
        <v>105</v>
      </c>
      <c r="H435" s="199" t="inlineStr">
        <is>
          <t>Manufacturing File; Risk Assessment / HAZOP / FMECA; 3D / CAD Model; Certificate / calibration evidence; Procedure / work instruction; Drawing / diagram</t>
        </is>
      </c>
    </row>
    <row r="436">
      <c r="A436" s="208" t="inlineStr">
        <is>
          <t>RTM-370</t>
        </is>
      </c>
      <c r="B436" s="228" t="inlineStr">
        <is>
          <t>Warranty</t>
        </is>
      </c>
      <c r="C436" s="208" t="n">
        <v>10</v>
      </c>
      <c r="D436" s="208" t="inlineStr">
        <is>
          <t>T1 Primary</t>
        </is>
      </c>
      <c r="E436" s="208" t="inlineStr">
        <is>
          <t>Control &amp; Interlock</t>
        </is>
      </c>
      <c r="F436" s="208" t="n">
        <v>48.3333</v>
      </c>
      <c r="G436" s="208" t="n">
        <v>106</v>
      </c>
      <c r="H436" s="208" t="inlineStr">
        <is>
          <t>No separate deliverable explicitly named</t>
        </is>
      </c>
    </row>
    <row r="437">
      <c r="A437" s="199" t="inlineStr">
        <is>
          <t>RTM-370</t>
        </is>
      </c>
      <c r="B437" s="222" t="inlineStr">
        <is>
          <t>L1 Conceptual Design</t>
        </is>
      </c>
      <c r="C437" s="199" t="n">
        <v>2</v>
      </c>
      <c r="D437" s="199" t="inlineStr">
        <is>
          <t>T1 Primary</t>
        </is>
      </c>
      <c r="E437" s="199" t="inlineStr">
        <is>
          <t>Control &amp; Interlock</t>
        </is>
      </c>
      <c r="F437" s="199" t="n">
        <v>48.3333</v>
      </c>
      <c r="G437" s="199" t="n">
        <v>106</v>
      </c>
      <c r="H437" s="199" t="inlineStr">
        <is>
          <t>No separate deliverable explicitly named</t>
        </is>
      </c>
    </row>
    <row r="438">
      <c r="A438" s="208" t="inlineStr">
        <is>
          <t>RTM-370</t>
        </is>
      </c>
      <c r="B438" s="223" t="inlineStr">
        <is>
          <t>L2 Detailed Design</t>
        </is>
      </c>
      <c r="C438" s="208" t="n">
        <v>3</v>
      </c>
      <c r="D438" s="208" t="inlineStr">
        <is>
          <t>T1 Primary</t>
        </is>
      </c>
      <c r="E438" s="208" t="inlineStr">
        <is>
          <t>Control &amp; Interlock</t>
        </is>
      </c>
      <c r="F438" s="208" t="n">
        <v>48.3333</v>
      </c>
      <c r="G438" s="208" t="n">
        <v>106</v>
      </c>
      <c r="H438" s="208" t="inlineStr">
        <is>
          <t>No separate deliverable explicitly named</t>
        </is>
      </c>
    </row>
    <row r="439">
      <c r="A439" s="199" t="inlineStr">
        <is>
          <t>RTM-017</t>
        </is>
      </c>
      <c r="B439" s="226" t="inlineStr">
        <is>
          <t>L6 Site Acceptance Testing</t>
        </is>
      </c>
      <c r="C439" s="199" t="n">
        <v>8</v>
      </c>
      <c r="D439" s="199" t="inlineStr">
        <is>
          <t>T1 Primary</t>
        </is>
      </c>
      <c r="E439" s="199" t="inlineStr">
        <is>
          <t>Process &amp; Functional</t>
        </is>
      </c>
      <c r="F439" s="199" t="n">
        <v>48</v>
      </c>
      <c r="G439" s="199" t="n">
        <v>107</v>
      </c>
      <c r="H439" s="199" t="inlineStr">
        <is>
          <t>No separate deliverable explicitly named</t>
        </is>
      </c>
    </row>
    <row r="440">
      <c r="A440" s="208" t="inlineStr">
        <is>
          <t>RTM-017</t>
        </is>
      </c>
      <c r="B440" s="222" t="inlineStr">
        <is>
          <t>L1 Conceptual Design</t>
        </is>
      </c>
      <c r="C440" s="208" t="n">
        <v>2</v>
      </c>
      <c r="D440" s="208" t="inlineStr">
        <is>
          <t>T1 Primary</t>
        </is>
      </c>
      <c r="E440" s="208" t="inlineStr">
        <is>
          <t>Process &amp; Functional</t>
        </is>
      </c>
      <c r="F440" s="208" t="n">
        <v>48</v>
      </c>
      <c r="G440" s="208" t="n">
        <v>107</v>
      </c>
      <c r="H440" s="208" t="inlineStr">
        <is>
          <t>No separate deliverable explicitly named</t>
        </is>
      </c>
    </row>
    <row r="441">
      <c r="A441" s="199" t="inlineStr">
        <is>
          <t>RTM-017</t>
        </is>
      </c>
      <c r="B441" s="223" t="inlineStr">
        <is>
          <t>L2 Detailed Design</t>
        </is>
      </c>
      <c r="C441" s="199" t="n">
        <v>3</v>
      </c>
      <c r="D441" s="199" t="inlineStr">
        <is>
          <t>T1 Primary</t>
        </is>
      </c>
      <c r="E441" s="199" t="inlineStr">
        <is>
          <t>Process &amp; Functional</t>
        </is>
      </c>
      <c r="F441" s="199" t="n">
        <v>48</v>
      </c>
      <c r="G441" s="199" t="n">
        <v>107</v>
      </c>
      <c r="H441" s="199" t="inlineStr">
        <is>
          <t>No separate deliverable explicitly named</t>
        </is>
      </c>
    </row>
    <row r="442">
      <c r="A442" s="208" t="inlineStr">
        <is>
          <t>RTM-070</t>
        </is>
      </c>
      <c r="B442" s="222" t="inlineStr">
        <is>
          <t>L1 Conceptual Design</t>
        </is>
      </c>
      <c r="C442" s="208" t="n">
        <v>2</v>
      </c>
      <c r="D442" s="208" t="inlineStr">
        <is>
          <t>T1 Primary</t>
        </is>
      </c>
      <c r="E442" s="208" t="inlineStr">
        <is>
          <t>Global Design Criteria</t>
        </is>
      </c>
      <c r="F442" s="208" t="n">
        <v>47.6667</v>
      </c>
      <c r="G442" s="208" t="n">
        <v>108</v>
      </c>
      <c r="H442" s="208" t="inlineStr">
        <is>
          <t>No separate deliverable explicitly named</t>
        </is>
      </c>
    </row>
    <row r="443">
      <c r="A443" s="199" t="inlineStr">
        <is>
          <t>RTM-070</t>
        </is>
      </c>
      <c r="B443" s="223" t="inlineStr">
        <is>
          <t>L2 Detailed Design</t>
        </is>
      </c>
      <c r="C443" s="199" t="n">
        <v>3</v>
      </c>
      <c r="D443" s="199" t="inlineStr">
        <is>
          <t>T1 Primary</t>
        </is>
      </c>
      <c r="E443" s="199" t="inlineStr">
        <is>
          <t>Global Design Criteria</t>
        </is>
      </c>
      <c r="F443" s="199" t="n">
        <v>47.6667</v>
      </c>
      <c r="G443" s="199" t="n">
        <v>108</v>
      </c>
      <c r="H443" s="199" t="inlineStr">
        <is>
          <t>No separate deliverable explicitly named</t>
        </is>
      </c>
    </row>
    <row r="444">
      <c r="A444" s="208" t="inlineStr">
        <is>
          <t>RTM-079</t>
        </is>
      </c>
      <c r="B444" s="226" t="inlineStr">
        <is>
          <t>L6 Site Acceptance Testing</t>
        </is>
      </c>
      <c r="C444" s="208" t="n">
        <v>8</v>
      </c>
      <c r="D444" s="208" t="inlineStr">
        <is>
          <t>T1 Primary</t>
        </is>
      </c>
      <c r="E444" s="208" t="inlineStr">
        <is>
          <t>Subsystems</t>
        </is>
      </c>
      <c r="F444" s="208" t="n">
        <v>47.6667</v>
      </c>
      <c r="G444" s="208" t="n">
        <v>109</v>
      </c>
      <c r="H444" s="208" t="inlineStr">
        <is>
          <t>Quality Assurance Plan (QAP); Risk Assessment / HAZOP / FMECA</t>
        </is>
      </c>
    </row>
    <row r="445">
      <c r="A445" s="199" t="inlineStr">
        <is>
          <t>RTM-079</t>
        </is>
      </c>
      <c r="B445" s="222" t="inlineStr">
        <is>
          <t>L1 Conceptual Design</t>
        </is>
      </c>
      <c r="C445" s="199" t="n">
        <v>2</v>
      </c>
      <c r="D445" s="199" t="inlineStr">
        <is>
          <t>T1 Primary</t>
        </is>
      </c>
      <c r="E445" s="199" t="inlineStr">
        <is>
          <t>Subsystems</t>
        </is>
      </c>
      <c r="F445" s="199" t="n">
        <v>47.6667</v>
      </c>
      <c r="G445" s="199" t="n">
        <v>109</v>
      </c>
      <c r="H445" s="199" t="inlineStr">
        <is>
          <t>Quality Assurance Plan (QAP); Risk Assessment / HAZOP / FMECA</t>
        </is>
      </c>
    </row>
    <row r="446">
      <c r="A446" s="208" t="inlineStr">
        <is>
          <t>RTM-079</t>
        </is>
      </c>
      <c r="B446" s="223" t="inlineStr">
        <is>
          <t>L2 Detailed Design</t>
        </is>
      </c>
      <c r="C446" s="208" t="n">
        <v>3</v>
      </c>
      <c r="D446" s="208" t="inlineStr">
        <is>
          <t>T1 Primary</t>
        </is>
      </c>
      <c r="E446" s="208" t="inlineStr">
        <is>
          <t>Subsystems</t>
        </is>
      </c>
      <c r="F446" s="208" t="n">
        <v>47.6667</v>
      </c>
      <c r="G446" s="208" t="n">
        <v>109</v>
      </c>
      <c r="H446" s="208" t="inlineStr">
        <is>
          <t>Quality Assurance Plan (QAP); Risk Assessment / HAZOP / FMECA</t>
        </is>
      </c>
    </row>
    <row r="447">
      <c r="A447" s="199" t="inlineStr">
        <is>
          <t>RTM-714</t>
        </is>
      </c>
      <c r="B447" s="228" t="inlineStr">
        <is>
          <t>Warranty</t>
        </is>
      </c>
      <c r="C447" s="199" t="n">
        <v>10</v>
      </c>
      <c r="D447" s="199" t="inlineStr">
        <is>
          <t>T1 Primary</t>
        </is>
      </c>
      <c r="E447" s="199" t="inlineStr">
        <is>
          <t>Acceptance &amp; Warranty</t>
        </is>
      </c>
      <c r="F447" s="199" t="n">
        <v>47</v>
      </c>
      <c r="G447" s="199" t="n">
        <v>110</v>
      </c>
      <c r="H447" s="199" t="inlineStr">
        <is>
          <t>No separate deliverable explicitly named</t>
        </is>
      </c>
    </row>
    <row r="448">
      <c r="A448" s="208" t="inlineStr">
        <is>
          <t>RTM-714</t>
        </is>
      </c>
      <c r="B448" s="227" t="inlineStr">
        <is>
          <t>PAC / Handover</t>
        </is>
      </c>
      <c r="C448" s="208" t="n">
        <v>9</v>
      </c>
      <c r="D448" s="208" t="inlineStr">
        <is>
          <t>T1 Primary</t>
        </is>
      </c>
      <c r="E448" s="208" t="inlineStr">
        <is>
          <t>Acceptance &amp; Warranty</t>
        </is>
      </c>
      <c r="F448" s="208" t="n">
        <v>47</v>
      </c>
      <c r="G448" s="208" t="n">
        <v>110</v>
      </c>
      <c r="H448" s="208" t="inlineStr">
        <is>
          <t>No separate deliverable explicitly named</t>
        </is>
      </c>
    </row>
    <row r="449">
      <c r="A449" s="199" t="inlineStr">
        <is>
          <t>RTM-714</t>
        </is>
      </c>
      <c r="B449" s="229" t="inlineStr">
        <is>
          <t>FAC</t>
        </is>
      </c>
      <c r="C449" s="199" t="n">
        <v>5</v>
      </c>
      <c r="D449" s="199" t="inlineStr">
        <is>
          <t>T1 Primary</t>
        </is>
      </c>
      <c r="E449" s="199" t="inlineStr">
        <is>
          <t>Acceptance &amp; Warranty</t>
        </is>
      </c>
      <c r="F449" s="199" t="n">
        <v>47</v>
      </c>
      <c r="G449" s="199" t="n">
        <v>110</v>
      </c>
      <c r="H449" s="199" t="inlineStr">
        <is>
          <t>No separate deliverable explicitly named</t>
        </is>
      </c>
    </row>
    <row r="450">
      <c r="A450" s="208" t="inlineStr">
        <is>
          <t>RTM-169</t>
        </is>
      </c>
      <c r="B450" s="222" t="inlineStr">
        <is>
          <t>L1 Conceptual Design</t>
        </is>
      </c>
      <c r="C450" s="208" t="n">
        <v>2</v>
      </c>
      <c r="D450" s="208" t="inlineStr">
        <is>
          <t>T1 Primary</t>
        </is>
      </c>
      <c r="E450" s="208" t="inlineStr">
        <is>
          <t>Subsystems</t>
        </is>
      </c>
      <c r="F450" s="208" t="n">
        <v>46.6667</v>
      </c>
      <c r="G450" s="208" t="n">
        <v>111</v>
      </c>
      <c r="H450" s="208" t="inlineStr">
        <is>
          <t>No separate deliverable explicitly named</t>
        </is>
      </c>
    </row>
    <row r="451">
      <c r="A451" s="199" t="inlineStr">
        <is>
          <t>RTM-169</t>
        </is>
      </c>
      <c r="B451" s="223" t="inlineStr">
        <is>
          <t>L2 Detailed Design</t>
        </is>
      </c>
      <c r="C451" s="199" t="n">
        <v>3</v>
      </c>
      <c r="D451" s="199" t="inlineStr">
        <is>
          <t>T1 Primary</t>
        </is>
      </c>
      <c r="E451" s="199" t="inlineStr">
        <is>
          <t>Subsystems</t>
        </is>
      </c>
      <c r="F451" s="199" t="n">
        <v>46.6667</v>
      </c>
      <c r="G451" s="199" t="n">
        <v>111</v>
      </c>
      <c r="H451" s="199" t="inlineStr">
        <is>
          <t>No separate deliverable explicitly named</t>
        </is>
      </c>
    </row>
    <row r="452">
      <c r="A452" s="208" t="inlineStr">
        <is>
          <t>RTM-170</t>
        </is>
      </c>
      <c r="B452" s="222" t="inlineStr">
        <is>
          <t>L1 Conceptual Design</t>
        </is>
      </c>
      <c r="C452" s="208" t="n">
        <v>2</v>
      </c>
      <c r="D452" s="208" t="inlineStr">
        <is>
          <t>T1 Primary</t>
        </is>
      </c>
      <c r="E452" s="208" t="inlineStr">
        <is>
          <t>Subsystems</t>
        </is>
      </c>
      <c r="F452" s="208" t="n">
        <v>46.6667</v>
      </c>
      <c r="G452" s="208" t="n">
        <v>112</v>
      </c>
      <c r="H452" s="208" t="inlineStr">
        <is>
          <t>No separate deliverable explicitly named</t>
        </is>
      </c>
    </row>
    <row r="453">
      <c r="A453" s="199" t="inlineStr">
        <is>
          <t>RTM-170</t>
        </is>
      </c>
      <c r="B453" s="223" t="inlineStr">
        <is>
          <t>L2 Detailed Design</t>
        </is>
      </c>
      <c r="C453" s="199" t="n">
        <v>3</v>
      </c>
      <c r="D453" s="199" t="inlineStr">
        <is>
          <t>T1 Primary</t>
        </is>
      </c>
      <c r="E453" s="199" t="inlineStr">
        <is>
          <t>Subsystems</t>
        </is>
      </c>
      <c r="F453" s="199" t="n">
        <v>46.6667</v>
      </c>
      <c r="G453" s="199" t="n">
        <v>112</v>
      </c>
      <c r="H453" s="199" t="inlineStr">
        <is>
          <t>No separate deliverable explicitly named</t>
        </is>
      </c>
    </row>
    <row r="454">
      <c r="A454" s="208" t="inlineStr">
        <is>
          <t>RTM-191</t>
        </is>
      </c>
      <c r="B454" s="222" t="inlineStr">
        <is>
          <t>L1 Conceptual Design</t>
        </is>
      </c>
      <c r="C454" s="208" t="n">
        <v>2</v>
      </c>
      <c r="D454" s="208" t="inlineStr">
        <is>
          <t>T1 Primary</t>
        </is>
      </c>
      <c r="E454" s="208" t="inlineStr">
        <is>
          <t>Subsystems</t>
        </is>
      </c>
      <c r="F454" s="208" t="n">
        <v>46.6667</v>
      </c>
      <c r="G454" s="208" t="n">
        <v>113</v>
      </c>
      <c r="H454" s="208" t="inlineStr">
        <is>
          <t>No separate deliverable explicitly named</t>
        </is>
      </c>
    </row>
    <row r="455">
      <c r="A455" s="199" t="inlineStr">
        <is>
          <t>RTM-191</t>
        </is>
      </c>
      <c r="B455" s="223" t="inlineStr">
        <is>
          <t>L2 Detailed Design</t>
        </is>
      </c>
      <c r="C455" s="199" t="n">
        <v>3</v>
      </c>
      <c r="D455" s="199" t="inlineStr">
        <is>
          <t>T1 Primary</t>
        </is>
      </c>
      <c r="E455" s="199" t="inlineStr">
        <is>
          <t>Subsystems</t>
        </is>
      </c>
      <c r="F455" s="199" t="n">
        <v>46.6667</v>
      </c>
      <c r="G455" s="199" t="n">
        <v>113</v>
      </c>
      <c r="H455" s="199" t="inlineStr">
        <is>
          <t>No separate deliverable explicitly named</t>
        </is>
      </c>
    </row>
    <row r="456">
      <c r="A456" s="208" t="inlineStr">
        <is>
          <t>RTM-172</t>
        </is>
      </c>
      <c r="B456" s="222" t="inlineStr">
        <is>
          <t>L1 Conceptual Design</t>
        </is>
      </c>
      <c r="C456" s="208" t="n">
        <v>2</v>
      </c>
      <c r="D456" s="208" t="inlineStr">
        <is>
          <t>T1 Primary</t>
        </is>
      </c>
      <c r="E456" s="208" t="inlineStr">
        <is>
          <t>Subsystems</t>
        </is>
      </c>
      <c r="F456" s="208" t="n">
        <v>46</v>
      </c>
      <c r="G456" s="208" t="n">
        <v>114</v>
      </c>
      <c r="H456" s="208" t="inlineStr">
        <is>
          <t>No separate deliverable explicitly named</t>
        </is>
      </c>
    </row>
    <row r="457">
      <c r="A457" s="199" t="inlineStr">
        <is>
          <t>RTM-172</t>
        </is>
      </c>
      <c r="B457" s="223" t="inlineStr">
        <is>
          <t>L2 Detailed Design</t>
        </is>
      </c>
      <c r="C457" s="199" t="n">
        <v>3</v>
      </c>
      <c r="D457" s="199" t="inlineStr">
        <is>
          <t>T1 Primary</t>
        </is>
      </c>
      <c r="E457" s="199" t="inlineStr">
        <is>
          <t>Subsystems</t>
        </is>
      </c>
      <c r="F457" s="199" t="n">
        <v>46</v>
      </c>
      <c r="G457" s="199" t="n">
        <v>114</v>
      </c>
      <c r="H457" s="199" t="inlineStr">
        <is>
          <t>No separate deliverable explicitly named</t>
        </is>
      </c>
    </row>
    <row r="458">
      <c r="A458" s="208" t="inlineStr">
        <is>
          <t>RTM-194</t>
        </is>
      </c>
      <c r="B458" s="222" t="inlineStr">
        <is>
          <t>L1 Conceptual Design</t>
        </is>
      </c>
      <c r="C458" s="208" t="n">
        <v>2</v>
      </c>
      <c r="D458" s="208" t="inlineStr">
        <is>
          <t>T1 Primary</t>
        </is>
      </c>
      <c r="E458" s="208" t="inlineStr">
        <is>
          <t>Subsystems</t>
        </is>
      </c>
      <c r="F458" s="208" t="n">
        <v>46</v>
      </c>
      <c r="G458" s="208" t="n">
        <v>115</v>
      </c>
      <c r="H458" s="208" t="inlineStr">
        <is>
          <t>No separate deliverable explicitly named</t>
        </is>
      </c>
    </row>
    <row r="459">
      <c r="A459" s="199" t="inlineStr">
        <is>
          <t>RTM-194</t>
        </is>
      </c>
      <c r="B459" s="223" t="inlineStr">
        <is>
          <t>L2 Detailed Design</t>
        </is>
      </c>
      <c r="C459" s="199" t="n">
        <v>3</v>
      </c>
      <c r="D459" s="199" t="inlineStr">
        <is>
          <t>T1 Primary</t>
        </is>
      </c>
      <c r="E459" s="199" t="inlineStr">
        <is>
          <t>Subsystems</t>
        </is>
      </c>
      <c r="F459" s="199" t="n">
        <v>46</v>
      </c>
      <c r="G459" s="199" t="n">
        <v>115</v>
      </c>
      <c r="H459" s="199" t="inlineStr">
        <is>
          <t>No separate deliverable explicitly named</t>
        </is>
      </c>
    </row>
    <row r="460">
      <c r="A460" s="208" t="inlineStr">
        <is>
          <t>RTM-242</t>
        </is>
      </c>
      <c r="B460" s="222" t="inlineStr">
        <is>
          <t>L1 Conceptual Design</t>
        </is>
      </c>
      <c r="C460" s="208" t="n">
        <v>2</v>
      </c>
      <c r="D460" s="208" t="inlineStr">
        <is>
          <t>T1 Primary</t>
        </is>
      </c>
      <c r="E460" s="208" t="inlineStr">
        <is>
          <t>Subsystems</t>
        </is>
      </c>
      <c r="F460" s="208" t="n">
        <v>46</v>
      </c>
      <c r="G460" s="208" t="n">
        <v>116</v>
      </c>
      <c r="H460" s="208" t="inlineStr">
        <is>
          <t>No separate deliverable explicitly named</t>
        </is>
      </c>
    </row>
    <row r="461">
      <c r="A461" s="199" t="inlineStr">
        <is>
          <t>RTM-242</t>
        </is>
      </c>
      <c r="B461" s="223" t="inlineStr">
        <is>
          <t>L2 Detailed Design</t>
        </is>
      </c>
      <c r="C461" s="199" t="n">
        <v>3</v>
      </c>
      <c r="D461" s="199" t="inlineStr">
        <is>
          <t>T1 Primary</t>
        </is>
      </c>
      <c r="E461" s="199" t="inlineStr">
        <is>
          <t>Subsystems</t>
        </is>
      </c>
      <c r="F461" s="199" t="n">
        <v>46</v>
      </c>
      <c r="G461" s="199" t="n">
        <v>116</v>
      </c>
      <c r="H461" s="199" t="inlineStr">
        <is>
          <t>No separate deliverable explicitly named</t>
        </is>
      </c>
    </row>
    <row r="462">
      <c r="A462" s="208" t="inlineStr">
        <is>
          <t>RTM-275</t>
        </is>
      </c>
      <c r="B462" s="222" t="inlineStr">
        <is>
          <t>L1 Conceptual Design</t>
        </is>
      </c>
      <c r="C462" s="208" t="n">
        <v>2</v>
      </c>
      <c r="D462" s="208" t="inlineStr">
        <is>
          <t>T1 Primary</t>
        </is>
      </c>
      <c r="E462" s="208" t="inlineStr">
        <is>
          <t>Subsystems</t>
        </is>
      </c>
      <c r="F462" s="208" t="n">
        <v>46</v>
      </c>
      <c r="G462" s="208" t="n">
        <v>117</v>
      </c>
      <c r="H462" s="208" t="inlineStr">
        <is>
          <t>No separate deliverable explicitly named</t>
        </is>
      </c>
    </row>
    <row r="463">
      <c r="A463" s="199" t="inlineStr">
        <is>
          <t>RTM-275</t>
        </is>
      </c>
      <c r="B463" s="223" t="inlineStr">
        <is>
          <t>L2 Detailed Design</t>
        </is>
      </c>
      <c r="C463" s="199" t="n">
        <v>3</v>
      </c>
      <c r="D463" s="199" t="inlineStr">
        <is>
          <t>T1 Primary</t>
        </is>
      </c>
      <c r="E463" s="199" t="inlineStr">
        <is>
          <t>Subsystems</t>
        </is>
      </c>
      <c r="F463" s="199" t="n">
        <v>46</v>
      </c>
      <c r="G463" s="199" t="n">
        <v>117</v>
      </c>
      <c r="H463" s="199" t="inlineStr">
        <is>
          <t>No separate deliverable explicitly named</t>
        </is>
      </c>
    </row>
    <row r="464">
      <c r="A464" s="208" t="inlineStr">
        <is>
          <t>RTM-278</t>
        </is>
      </c>
      <c r="B464" s="222" t="inlineStr">
        <is>
          <t>L1 Conceptual Design</t>
        </is>
      </c>
      <c r="C464" s="208" t="n">
        <v>2</v>
      </c>
      <c r="D464" s="208" t="inlineStr">
        <is>
          <t>T1 Primary</t>
        </is>
      </c>
      <c r="E464" s="208" t="inlineStr">
        <is>
          <t>Subsystems</t>
        </is>
      </c>
      <c r="F464" s="208" t="n">
        <v>46</v>
      </c>
      <c r="G464" s="208" t="n">
        <v>118</v>
      </c>
      <c r="H464" s="208" t="inlineStr">
        <is>
          <t>No separate deliverable explicitly named</t>
        </is>
      </c>
    </row>
    <row r="465">
      <c r="A465" s="199" t="inlineStr">
        <is>
          <t>RTM-278</t>
        </is>
      </c>
      <c r="B465" s="223" t="inlineStr">
        <is>
          <t>L2 Detailed Design</t>
        </is>
      </c>
      <c r="C465" s="199" t="n">
        <v>3</v>
      </c>
      <c r="D465" s="199" t="inlineStr">
        <is>
          <t>T1 Primary</t>
        </is>
      </c>
      <c r="E465" s="199" t="inlineStr">
        <is>
          <t>Subsystems</t>
        </is>
      </c>
      <c r="F465" s="199" t="n">
        <v>46</v>
      </c>
      <c r="G465" s="199" t="n">
        <v>118</v>
      </c>
      <c r="H465" s="199" t="inlineStr">
        <is>
          <t>No separate deliverable explicitly named</t>
        </is>
      </c>
    </row>
    <row r="466">
      <c r="A466" s="208" t="inlineStr">
        <is>
          <t>RTM-409</t>
        </is>
      </c>
      <c r="B466" s="222" t="inlineStr">
        <is>
          <t>L1 Conceptual Design</t>
        </is>
      </c>
      <c r="C466" s="208" t="n">
        <v>2</v>
      </c>
      <c r="D466" s="208" t="inlineStr">
        <is>
          <t>T1 Primary</t>
        </is>
      </c>
      <c r="E466" s="208" t="inlineStr">
        <is>
          <t>Buildings &amp; Utilities</t>
        </is>
      </c>
      <c r="F466" s="208" t="n">
        <v>46</v>
      </c>
      <c r="G466" s="208" t="n">
        <v>119</v>
      </c>
      <c r="H466" s="208" t="inlineStr">
        <is>
          <t>No separate deliverable explicitly named</t>
        </is>
      </c>
    </row>
    <row r="467">
      <c r="A467" s="199" t="inlineStr">
        <is>
          <t>RTM-409</t>
        </is>
      </c>
      <c r="B467" s="223" t="inlineStr">
        <is>
          <t>L2 Detailed Design</t>
        </is>
      </c>
      <c r="C467" s="199" t="n">
        <v>3</v>
      </c>
      <c r="D467" s="199" t="inlineStr">
        <is>
          <t>T1 Primary</t>
        </is>
      </c>
      <c r="E467" s="199" t="inlineStr">
        <is>
          <t>Buildings &amp; Utilities</t>
        </is>
      </c>
      <c r="F467" s="199" t="n">
        <v>46</v>
      </c>
      <c r="G467" s="199" t="n">
        <v>119</v>
      </c>
      <c r="H467" s="199" t="inlineStr">
        <is>
          <t>No separate deliverable explicitly named</t>
        </is>
      </c>
    </row>
    <row r="468">
      <c r="A468" s="208" t="inlineStr">
        <is>
          <t>RTM-414</t>
        </is>
      </c>
      <c r="B468" s="222" t="inlineStr">
        <is>
          <t>L1 Conceptual Design</t>
        </is>
      </c>
      <c r="C468" s="208" t="n">
        <v>2</v>
      </c>
      <c r="D468" s="208" t="inlineStr">
        <is>
          <t>T1 Primary</t>
        </is>
      </c>
      <c r="E468" s="208" t="inlineStr">
        <is>
          <t>Buildings &amp; Utilities</t>
        </is>
      </c>
      <c r="F468" s="208" t="n">
        <v>46</v>
      </c>
      <c r="G468" s="208" t="n">
        <v>120</v>
      </c>
      <c r="H468" s="208" t="inlineStr">
        <is>
          <t>No separate deliverable explicitly named</t>
        </is>
      </c>
    </row>
    <row r="469">
      <c r="A469" s="199" t="inlineStr">
        <is>
          <t>RTM-414</t>
        </is>
      </c>
      <c r="B469" s="223" t="inlineStr">
        <is>
          <t>L2 Detailed Design</t>
        </is>
      </c>
      <c r="C469" s="199" t="n">
        <v>3</v>
      </c>
      <c r="D469" s="199" t="inlineStr">
        <is>
          <t>T1 Primary</t>
        </is>
      </c>
      <c r="E469" s="199" t="inlineStr">
        <is>
          <t>Buildings &amp; Utilities</t>
        </is>
      </c>
      <c r="F469" s="199" t="n">
        <v>46</v>
      </c>
      <c r="G469" s="199" t="n">
        <v>120</v>
      </c>
      <c r="H469" s="199" t="inlineStr">
        <is>
          <t>No separate deliverable explicitly named</t>
        </is>
      </c>
    </row>
    <row r="470">
      <c r="A470" s="208" t="inlineStr">
        <is>
          <t>RTM-421</t>
        </is>
      </c>
      <c r="B470" s="222" t="inlineStr">
        <is>
          <t>L1 Conceptual Design</t>
        </is>
      </c>
      <c r="C470" s="208" t="n">
        <v>2</v>
      </c>
      <c r="D470" s="208" t="inlineStr">
        <is>
          <t>T1 Primary</t>
        </is>
      </c>
      <c r="E470" s="208" t="inlineStr">
        <is>
          <t>Buildings &amp; Utilities</t>
        </is>
      </c>
      <c r="F470" s="208" t="n">
        <v>46</v>
      </c>
      <c r="G470" s="208" t="n">
        <v>121</v>
      </c>
      <c r="H470" s="208" t="inlineStr">
        <is>
          <t>No separate deliverable explicitly named</t>
        </is>
      </c>
    </row>
    <row r="471">
      <c r="A471" s="199" t="inlineStr">
        <is>
          <t>RTM-421</t>
        </is>
      </c>
      <c r="B471" s="223" t="inlineStr">
        <is>
          <t>L2 Detailed Design</t>
        </is>
      </c>
      <c r="C471" s="199" t="n">
        <v>3</v>
      </c>
      <c r="D471" s="199" t="inlineStr">
        <is>
          <t>T1 Primary</t>
        </is>
      </c>
      <c r="E471" s="199" t="inlineStr">
        <is>
          <t>Buildings &amp; Utilities</t>
        </is>
      </c>
      <c r="F471" s="199" t="n">
        <v>46</v>
      </c>
      <c r="G471" s="199" t="n">
        <v>121</v>
      </c>
      <c r="H471" s="199" t="inlineStr">
        <is>
          <t>No separate deliverable explicitly named</t>
        </is>
      </c>
    </row>
    <row r="472">
      <c r="A472" s="208" t="inlineStr">
        <is>
          <t>RTM-422</t>
        </is>
      </c>
      <c r="B472" s="222" t="inlineStr">
        <is>
          <t>L1 Conceptual Design</t>
        </is>
      </c>
      <c r="C472" s="208" t="n">
        <v>2</v>
      </c>
      <c r="D472" s="208" t="inlineStr">
        <is>
          <t>T1 Primary</t>
        </is>
      </c>
      <c r="E472" s="208" t="inlineStr">
        <is>
          <t>Buildings &amp; Utilities</t>
        </is>
      </c>
      <c r="F472" s="208" t="n">
        <v>46</v>
      </c>
      <c r="G472" s="208" t="n">
        <v>122</v>
      </c>
      <c r="H472" s="208" t="inlineStr">
        <is>
          <t>No separate deliverable explicitly named</t>
        </is>
      </c>
    </row>
    <row r="473">
      <c r="A473" s="199" t="inlineStr">
        <is>
          <t>RTM-422</t>
        </is>
      </c>
      <c r="B473" s="223" t="inlineStr">
        <is>
          <t>L2 Detailed Design</t>
        </is>
      </c>
      <c r="C473" s="199" t="n">
        <v>3</v>
      </c>
      <c r="D473" s="199" t="inlineStr">
        <is>
          <t>T1 Primary</t>
        </is>
      </c>
      <c r="E473" s="199" t="inlineStr">
        <is>
          <t>Buildings &amp; Utilities</t>
        </is>
      </c>
      <c r="F473" s="199" t="n">
        <v>46</v>
      </c>
      <c r="G473" s="199" t="n">
        <v>122</v>
      </c>
      <c r="H473" s="199" t="inlineStr">
        <is>
          <t>No separate deliverable explicitly named</t>
        </is>
      </c>
    </row>
    <row r="474">
      <c r="A474" s="208" t="inlineStr">
        <is>
          <t>RTM-423</t>
        </is>
      </c>
      <c r="B474" s="222" t="inlineStr">
        <is>
          <t>L1 Conceptual Design</t>
        </is>
      </c>
      <c r="C474" s="208" t="n">
        <v>2</v>
      </c>
      <c r="D474" s="208" t="inlineStr">
        <is>
          <t>T1 Primary</t>
        </is>
      </c>
      <c r="E474" s="208" t="inlineStr">
        <is>
          <t>Buildings &amp; Utilities</t>
        </is>
      </c>
      <c r="F474" s="208" t="n">
        <v>46</v>
      </c>
      <c r="G474" s="208" t="n">
        <v>123</v>
      </c>
      <c r="H474" s="208" t="inlineStr">
        <is>
          <t>No separate deliverable explicitly named</t>
        </is>
      </c>
    </row>
    <row r="475">
      <c r="A475" s="199" t="inlineStr">
        <is>
          <t>RTM-423</t>
        </is>
      </c>
      <c r="B475" s="223" t="inlineStr">
        <is>
          <t>L2 Detailed Design</t>
        </is>
      </c>
      <c r="C475" s="199" t="n">
        <v>3</v>
      </c>
      <c r="D475" s="199" t="inlineStr">
        <is>
          <t>T1 Primary</t>
        </is>
      </c>
      <c r="E475" s="199" t="inlineStr">
        <is>
          <t>Buildings &amp; Utilities</t>
        </is>
      </c>
      <c r="F475" s="199" t="n">
        <v>46</v>
      </c>
      <c r="G475" s="199" t="n">
        <v>123</v>
      </c>
      <c r="H475" s="199" t="inlineStr">
        <is>
          <t>No separate deliverable explicitly named</t>
        </is>
      </c>
    </row>
    <row r="476">
      <c r="A476" s="208" t="inlineStr">
        <is>
          <t>RTM-425</t>
        </is>
      </c>
      <c r="B476" s="222" t="inlineStr">
        <is>
          <t>L1 Conceptual Design</t>
        </is>
      </c>
      <c r="C476" s="208" t="n">
        <v>2</v>
      </c>
      <c r="D476" s="208" t="inlineStr">
        <is>
          <t>T1 Primary</t>
        </is>
      </c>
      <c r="E476" s="208" t="inlineStr">
        <is>
          <t>Buildings &amp; Utilities</t>
        </is>
      </c>
      <c r="F476" s="208" t="n">
        <v>46</v>
      </c>
      <c r="G476" s="208" t="n">
        <v>124</v>
      </c>
      <c r="H476" s="208" t="inlineStr">
        <is>
          <t>No separate deliverable explicitly named</t>
        </is>
      </c>
    </row>
    <row r="477">
      <c r="A477" s="199" t="inlineStr">
        <is>
          <t>RTM-425</t>
        </is>
      </c>
      <c r="B477" s="223" t="inlineStr">
        <is>
          <t>L2 Detailed Design</t>
        </is>
      </c>
      <c r="C477" s="199" t="n">
        <v>3</v>
      </c>
      <c r="D477" s="199" t="inlineStr">
        <is>
          <t>T1 Primary</t>
        </is>
      </c>
      <c r="E477" s="199" t="inlineStr">
        <is>
          <t>Buildings &amp; Utilities</t>
        </is>
      </c>
      <c r="F477" s="199" t="n">
        <v>46</v>
      </c>
      <c r="G477" s="199" t="n">
        <v>124</v>
      </c>
      <c r="H477" s="199" t="inlineStr">
        <is>
          <t>No separate deliverable explicitly named</t>
        </is>
      </c>
    </row>
    <row r="478">
      <c r="A478" s="208" t="inlineStr">
        <is>
          <t>RTM-426</t>
        </is>
      </c>
      <c r="B478" s="222" t="inlineStr">
        <is>
          <t>L1 Conceptual Design</t>
        </is>
      </c>
      <c r="C478" s="208" t="n">
        <v>2</v>
      </c>
      <c r="D478" s="208" t="inlineStr">
        <is>
          <t>T1 Primary</t>
        </is>
      </c>
      <c r="E478" s="208" t="inlineStr">
        <is>
          <t>Buildings &amp; Utilities</t>
        </is>
      </c>
      <c r="F478" s="208" t="n">
        <v>46</v>
      </c>
      <c r="G478" s="208" t="n">
        <v>125</v>
      </c>
      <c r="H478" s="208" t="inlineStr">
        <is>
          <t>No separate deliverable explicitly named</t>
        </is>
      </c>
    </row>
    <row r="479">
      <c r="A479" s="199" t="inlineStr">
        <is>
          <t>RTM-426</t>
        </is>
      </c>
      <c r="B479" s="223" t="inlineStr">
        <is>
          <t>L2 Detailed Design</t>
        </is>
      </c>
      <c r="C479" s="199" t="n">
        <v>3</v>
      </c>
      <c r="D479" s="199" t="inlineStr">
        <is>
          <t>T1 Primary</t>
        </is>
      </c>
      <c r="E479" s="199" t="inlineStr">
        <is>
          <t>Buildings &amp; Utilities</t>
        </is>
      </c>
      <c r="F479" s="199" t="n">
        <v>46</v>
      </c>
      <c r="G479" s="199" t="n">
        <v>125</v>
      </c>
      <c r="H479" s="199" t="inlineStr">
        <is>
          <t>No separate deliverable explicitly named</t>
        </is>
      </c>
    </row>
    <row r="480">
      <c r="A480" s="208" t="inlineStr">
        <is>
          <t>RTM-427</t>
        </is>
      </c>
      <c r="B480" s="222" t="inlineStr">
        <is>
          <t>L1 Conceptual Design</t>
        </is>
      </c>
      <c r="C480" s="208" t="n">
        <v>2</v>
      </c>
      <c r="D480" s="208" t="inlineStr">
        <is>
          <t>T1 Primary</t>
        </is>
      </c>
      <c r="E480" s="208" t="inlineStr">
        <is>
          <t>Buildings &amp; Utilities</t>
        </is>
      </c>
      <c r="F480" s="208" t="n">
        <v>46</v>
      </c>
      <c r="G480" s="208" t="n">
        <v>126</v>
      </c>
      <c r="H480" s="208" t="inlineStr">
        <is>
          <t>No separate deliverable explicitly named</t>
        </is>
      </c>
    </row>
    <row r="481">
      <c r="A481" s="199" t="inlineStr">
        <is>
          <t>RTM-427</t>
        </is>
      </c>
      <c r="B481" s="223" t="inlineStr">
        <is>
          <t>L2 Detailed Design</t>
        </is>
      </c>
      <c r="C481" s="199" t="n">
        <v>3</v>
      </c>
      <c r="D481" s="199" t="inlineStr">
        <is>
          <t>T1 Primary</t>
        </is>
      </c>
      <c r="E481" s="199" t="inlineStr">
        <is>
          <t>Buildings &amp; Utilities</t>
        </is>
      </c>
      <c r="F481" s="199" t="n">
        <v>46</v>
      </c>
      <c r="G481" s="199" t="n">
        <v>126</v>
      </c>
      <c r="H481" s="199" t="inlineStr">
        <is>
          <t>No separate deliverable explicitly named</t>
        </is>
      </c>
    </row>
    <row r="482">
      <c r="A482" s="208" t="inlineStr">
        <is>
          <t>RTM-685</t>
        </is>
      </c>
      <c r="B482" s="221" t="inlineStr">
        <is>
          <t>L0 Tender / Offer</t>
        </is>
      </c>
      <c r="C482" s="208" t="n">
        <v>1</v>
      </c>
      <c r="D482" s="208" t="inlineStr">
        <is>
          <t>T1 Primary</t>
        </is>
      </c>
      <c r="E482" s="208" t="inlineStr">
        <is>
          <t>Quality Assurance &amp; Control</t>
        </is>
      </c>
      <c r="F482" s="208" t="n">
        <v>46</v>
      </c>
      <c r="G482" s="208" t="n">
        <v>127</v>
      </c>
      <c r="H482" s="208" t="inlineStr">
        <is>
          <t>Certificate / calibration evidence</t>
        </is>
      </c>
    </row>
    <row r="483">
      <c r="A483" s="199" t="inlineStr">
        <is>
          <t>RTM-685</t>
        </is>
      </c>
      <c r="B483" s="222" t="inlineStr">
        <is>
          <t>L1 Conceptual Design</t>
        </is>
      </c>
      <c r="C483" s="199" t="n">
        <v>2</v>
      </c>
      <c r="D483" s="199" t="inlineStr">
        <is>
          <t>T1 Primary</t>
        </is>
      </c>
      <c r="E483" s="199" t="inlineStr">
        <is>
          <t>Quality Assurance &amp; Control</t>
        </is>
      </c>
      <c r="F483" s="199" t="n">
        <v>46</v>
      </c>
      <c r="G483" s="199" t="n">
        <v>127</v>
      </c>
      <c r="H483" s="199" t="inlineStr">
        <is>
          <t>Certificate / calibration evidence</t>
        </is>
      </c>
    </row>
    <row r="484">
      <c r="A484" s="208" t="inlineStr">
        <is>
          <t>RTM-685</t>
        </is>
      </c>
      <c r="B484" s="223" t="inlineStr">
        <is>
          <t>L2 Detailed Design</t>
        </is>
      </c>
      <c r="C484" s="208" t="n">
        <v>3</v>
      </c>
      <c r="D484" s="208" t="inlineStr">
        <is>
          <t>T1 Primary</t>
        </is>
      </c>
      <c r="E484" s="208" t="inlineStr">
        <is>
          <t>Quality Assurance &amp; Control</t>
        </is>
      </c>
      <c r="F484" s="208" t="n">
        <v>46</v>
      </c>
      <c r="G484" s="208" t="n">
        <v>127</v>
      </c>
      <c r="H484" s="208" t="inlineStr">
        <is>
          <t>Certificate / calibration evidence</t>
        </is>
      </c>
    </row>
    <row r="485">
      <c r="A485" s="199" t="inlineStr">
        <is>
          <t>RTM-685</t>
        </is>
      </c>
      <c r="B485" s="224" t="inlineStr">
        <is>
          <t>L3 Procurement &amp; Manufacturing / FAT</t>
        </is>
      </c>
      <c r="C485" s="199" t="n">
        <v>4</v>
      </c>
      <c r="D485" s="199" t="inlineStr">
        <is>
          <t>T1 Primary</t>
        </is>
      </c>
      <c r="E485" s="199" t="inlineStr">
        <is>
          <t>Quality Assurance &amp; Control</t>
        </is>
      </c>
      <c r="F485" s="199" t="n">
        <v>46</v>
      </c>
      <c r="G485" s="199" t="n">
        <v>127</v>
      </c>
      <c r="H485" s="199" t="inlineStr">
        <is>
          <t>Certificate / calibration evidence</t>
        </is>
      </c>
    </row>
    <row r="486">
      <c r="A486" s="208" t="inlineStr">
        <is>
          <t>RTM-685</t>
        </is>
      </c>
      <c r="B486" s="220" t="inlineStr">
        <is>
          <t>L4 Installation</t>
        </is>
      </c>
      <c r="C486" s="208" t="n">
        <v>6</v>
      </c>
      <c r="D486" s="208" t="inlineStr">
        <is>
          <t>T1 Primary</t>
        </is>
      </c>
      <c r="E486" s="208" t="inlineStr">
        <is>
          <t>Quality Assurance &amp; Control</t>
        </is>
      </c>
      <c r="F486" s="208" t="n">
        <v>46</v>
      </c>
      <c r="G486" s="208" t="n">
        <v>127</v>
      </c>
      <c r="H486" s="208" t="inlineStr">
        <is>
          <t>Certificate / calibration evidence</t>
        </is>
      </c>
    </row>
    <row r="487">
      <c r="A487" s="199" t="inlineStr">
        <is>
          <t>RTM-685</t>
        </is>
      </c>
      <c r="B487" s="225" t="inlineStr">
        <is>
          <t>L5 Standalone Commissioning</t>
        </is>
      </c>
      <c r="C487" s="199" t="n">
        <v>7</v>
      </c>
      <c r="D487" s="199" t="inlineStr">
        <is>
          <t>T1 Primary</t>
        </is>
      </c>
      <c r="E487" s="199" t="inlineStr">
        <is>
          <t>Quality Assurance &amp; Control</t>
        </is>
      </c>
      <c r="F487" s="199" t="n">
        <v>46</v>
      </c>
      <c r="G487" s="199" t="n">
        <v>127</v>
      </c>
      <c r="H487" s="199" t="inlineStr">
        <is>
          <t>Certificate / calibration evidence</t>
        </is>
      </c>
    </row>
    <row r="488">
      <c r="A488" s="208" t="inlineStr">
        <is>
          <t>RTM-685</t>
        </is>
      </c>
      <c r="B488" s="226" t="inlineStr">
        <is>
          <t>L6 Site Acceptance Testing</t>
        </is>
      </c>
      <c r="C488" s="208" t="n">
        <v>8</v>
      </c>
      <c r="D488" s="208" t="inlineStr">
        <is>
          <t>T1 Primary</t>
        </is>
      </c>
      <c r="E488" s="208" t="inlineStr">
        <is>
          <t>Quality Assurance &amp; Control</t>
        </is>
      </c>
      <c r="F488" s="208" t="n">
        <v>46</v>
      </c>
      <c r="G488" s="208" t="n">
        <v>127</v>
      </c>
      <c r="H488" s="208" t="inlineStr">
        <is>
          <t>Certificate / calibration evidence</t>
        </is>
      </c>
    </row>
    <row r="489">
      <c r="A489" s="199" t="inlineStr">
        <is>
          <t>RTM-208</t>
        </is>
      </c>
      <c r="B489" s="222" t="inlineStr">
        <is>
          <t>L1 Conceptual Design</t>
        </is>
      </c>
      <c r="C489" s="199" t="n">
        <v>2</v>
      </c>
      <c r="D489" s="199" t="inlineStr">
        <is>
          <t>T1 Primary</t>
        </is>
      </c>
      <c r="E489" s="199" t="inlineStr">
        <is>
          <t>Subsystems</t>
        </is>
      </c>
      <c r="F489" s="199" t="n">
        <v>45.3333</v>
      </c>
      <c r="G489" s="199" t="n">
        <v>128</v>
      </c>
      <c r="H489" s="199" t="inlineStr">
        <is>
          <t>No separate deliverable explicitly named</t>
        </is>
      </c>
    </row>
    <row r="490">
      <c r="A490" s="208" t="inlineStr">
        <is>
          <t>RTM-208</t>
        </is>
      </c>
      <c r="B490" s="223" t="inlineStr">
        <is>
          <t>L2 Detailed Design</t>
        </is>
      </c>
      <c r="C490" s="208" t="n">
        <v>3</v>
      </c>
      <c r="D490" s="208" t="inlineStr">
        <is>
          <t>T1 Primary</t>
        </is>
      </c>
      <c r="E490" s="208" t="inlineStr">
        <is>
          <t>Subsystems</t>
        </is>
      </c>
      <c r="F490" s="208" t="n">
        <v>45.3333</v>
      </c>
      <c r="G490" s="208" t="n">
        <v>128</v>
      </c>
      <c r="H490" s="208" t="inlineStr">
        <is>
          <t>No separate deliverable explicitly named</t>
        </is>
      </c>
    </row>
    <row r="491">
      <c r="A491" s="199" t="inlineStr">
        <is>
          <t>RTM-542</t>
        </is>
      </c>
      <c r="B491" s="226" t="inlineStr">
        <is>
          <t>L6 Site Acceptance Testing</t>
        </is>
      </c>
      <c r="C491" s="199" t="n">
        <v>8</v>
      </c>
      <c r="D491" s="199" t="inlineStr">
        <is>
          <t>T1 Primary</t>
        </is>
      </c>
      <c r="E491" s="199" t="inlineStr">
        <is>
          <t>Acceptance Testing</t>
        </is>
      </c>
      <c r="F491" s="199" t="n">
        <v>45.3333</v>
      </c>
      <c r="G491" s="199" t="n">
        <v>129</v>
      </c>
      <c r="H491" s="199" t="inlineStr">
        <is>
          <t>No separate deliverable explicitly named</t>
        </is>
      </c>
    </row>
    <row r="492">
      <c r="A492" s="208" t="inlineStr">
        <is>
          <t>RTM-542</t>
        </is>
      </c>
      <c r="B492" s="222" t="inlineStr">
        <is>
          <t>L1 Conceptual Design</t>
        </is>
      </c>
      <c r="C492" s="208" t="n">
        <v>2</v>
      </c>
      <c r="D492" s="208" t="inlineStr">
        <is>
          <t>T1 Primary</t>
        </is>
      </c>
      <c r="E492" s="208" t="inlineStr">
        <is>
          <t>Acceptance Testing</t>
        </is>
      </c>
      <c r="F492" s="208" t="n">
        <v>45.3333</v>
      </c>
      <c r="G492" s="208" t="n">
        <v>129</v>
      </c>
      <c r="H492" s="208" t="inlineStr">
        <is>
          <t>No separate deliverable explicitly named</t>
        </is>
      </c>
    </row>
    <row r="493">
      <c r="A493" s="199" t="inlineStr">
        <is>
          <t>RTM-542</t>
        </is>
      </c>
      <c r="B493" s="223" t="inlineStr">
        <is>
          <t>L2 Detailed Design</t>
        </is>
      </c>
      <c r="C493" s="199" t="n">
        <v>3</v>
      </c>
      <c r="D493" s="199" t="inlineStr">
        <is>
          <t>T1 Primary</t>
        </is>
      </c>
      <c r="E493" s="199" t="inlineStr">
        <is>
          <t>Acceptance Testing</t>
        </is>
      </c>
      <c r="F493" s="199" t="n">
        <v>45.3333</v>
      </c>
      <c r="G493" s="199" t="n">
        <v>129</v>
      </c>
      <c r="H493" s="199" t="inlineStr">
        <is>
          <t>No separate deliverable explicitly named</t>
        </is>
      </c>
    </row>
    <row r="494">
      <c r="A494" s="208" t="inlineStr">
        <is>
          <t>RTM-656</t>
        </is>
      </c>
      <c r="B494" s="227" t="inlineStr">
        <is>
          <t>PAC / Handover</t>
        </is>
      </c>
      <c r="C494" s="208" t="n">
        <v>9</v>
      </c>
      <c r="D494" s="208" t="inlineStr">
        <is>
          <t>T1 Primary</t>
        </is>
      </c>
      <c r="E494" s="208" t="inlineStr">
        <is>
          <t>Quality Assurance &amp; Control</t>
        </is>
      </c>
      <c r="F494" s="208" t="n">
        <v>44.6667</v>
      </c>
      <c r="G494" s="208" t="n">
        <v>130</v>
      </c>
      <c r="H494" s="208" t="inlineStr">
        <is>
          <t>No separate deliverable explicitly named</t>
        </is>
      </c>
    </row>
    <row r="495">
      <c r="A495" s="199" t="inlineStr">
        <is>
          <t>RTM-656</t>
        </is>
      </c>
      <c r="B495" s="221" t="inlineStr">
        <is>
          <t>L0 Tender / Offer</t>
        </is>
      </c>
      <c r="C495" s="199" t="n">
        <v>1</v>
      </c>
      <c r="D495" s="199" t="inlineStr">
        <is>
          <t>T1 Primary</t>
        </is>
      </c>
      <c r="E495" s="199" t="inlineStr">
        <is>
          <t>Quality Assurance &amp; Control</t>
        </is>
      </c>
      <c r="F495" s="199" t="n">
        <v>44.6667</v>
      </c>
      <c r="G495" s="199" t="n">
        <v>130</v>
      </c>
      <c r="H495" s="199" t="inlineStr">
        <is>
          <t>No separate deliverable explicitly named</t>
        </is>
      </c>
    </row>
    <row r="496">
      <c r="A496" s="208" t="inlineStr">
        <is>
          <t>RTM-656</t>
        </is>
      </c>
      <c r="B496" s="222" t="inlineStr">
        <is>
          <t>L1 Conceptual Design</t>
        </is>
      </c>
      <c r="C496" s="208" t="n">
        <v>2</v>
      </c>
      <c r="D496" s="208" t="inlineStr">
        <is>
          <t>T1 Primary</t>
        </is>
      </c>
      <c r="E496" s="208" t="inlineStr">
        <is>
          <t>Quality Assurance &amp; Control</t>
        </is>
      </c>
      <c r="F496" s="208" t="n">
        <v>44.6667</v>
      </c>
      <c r="G496" s="208" t="n">
        <v>130</v>
      </c>
      <c r="H496" s="208" t="inlineStr">
        <is>
          <t>No separate deliverable explicitly named</t>
        </is>
      </c>
    </row>
    <row r="497">
      <c r="A497" s="199" t="inlineStr">
        <is>
          <t>RTM-656</t>
        </is>
      </c>
      <c r="B497" s="223" t="inlineStr">
        <is>
          <t>L2 Detailed Design</t>
        </is>
      </c>
      <c r="C497" s="199" t="n">
        <v>3</v>
      </c>
      <c r="D497" s="199" t="inlineStr">
        <is>
          <t>T1 Primary</t>
        </is>
      </c>
      <c r="E497" s="199" t="inlineStr">
        <is>
          <t>Quality Assurance &amp; Control</t>
        </is>
      </c>
      <c r="F497" s="199" t="n">
        <v>44.6667</v>
      </c>
      <c r="G497" s="199" t="n">
        <v>130</v>
      </c>
      <c r="H497" s="199" t="inlineStr">
        <is>
          <t>No separate deliverable explicitly named</t>
        </is>
      </c>
    </row>
    <row r="498">
      <c r="A498" s="208" t="inlineStr">
        <is>
          <t>RTM-656</t>
        </is>
      </c>
      <c r="B498" s="224" t="inlineStr">
        <is>
          <t>L3 Procurement &amp; Manufacturing / FAT</t>
        </is>
      </c>
      <c r="C498" s="208" t="n">
        <v>4</v>
      </c>
      <c r="D498" s="208" t="inlineStr">
        <is>
          <t>T1 Primary</t>
        </is>
      </c>
      <c r="E498" s="208" t="inlineStr">
        <is>
          <t>Quality Assurance &amp; Control</t>
        </is>
      </c>
      <c r="F498" s="208" t="n">
        <v>44.6667</v>
      </c>
      <c r="G498" s="208" t="n">
        <v>130</v>
      </c>
      <c r="H498" s="208" t="inlineStr">
        <is>
          <t>No separate deliverable explicitly named</t>
        </is>
      </c>
    </row>
    <row r="499">
      <c r="A499" s="199" t="inlineStr">
        <is>
          <t>RTM-656</t>
        </is>
      </c>
      <c r="B499" s="220" t="inlineStr">
        <is>
          <t>L4 Installation</t>
        </is>
      </c>
      <c r="C499" s="199" t="n">
        <v>6</v>
      </c>
      <c r="D499" s="199" t="inlineStr">
        <is>
          <t>T1 Primary</t>
        </is>
      </c>
      <c r="E499" s="199" t="inlineStr">
        <is>
          <t>Quality Assurance &amp; Control</t>
        </is>
      </c>
      <c r="F499" s="199" t="n">
        <v>44.6667</v>
      </c>
      <c r="G499" s="199" t="n">
        <v>130</v>
      </c>
      <c r="H499" s="199" t="inlineStr">
        <is>
          <t>No separate deliverable explicitly named</t>
        </is>
      </c>
    </row>
    <row r="500">
      <c r="A500" s="208" t="inlineStr">
        <is>
          <t>RTM-656</t>
        </is>
      </c>
      <c r="B500" s="225" t="inlineStr">
        <is>
          <t>L5 Standalone Commissioning</t>
        </is>
      </c>
      <c r="C500" s="208" t="n">
        <v>7</v>
      </c>
      <c r="D500" s="208" t="inlineStr">
        <is>
          <t>T1 Primary</t>
        </is>
      </c>
      <c r="E500" s="208" t="inlineStr">
        <is>
          <t>Quality Assurance &amp; Control</t>
        </is>
      </c>
      <c r="F500" s="208" t="n">
        <v>44.6667</v>
      </c>
      <c r="G500" s="208" t="n">
        <v>130</v>
      </c>
      <c r="H500" s="208" t="inlineStr">
        <is>
          <t>No separate deliverable explicitly named</t>
        </is>
      </c>
    </row>
    <row r="501">
      <c r="A501" s="199" t="inlineStr">
        <is>
          <t>RTM-656</t>
        </is>
      </c>
      <c r="B501" s="226" t="inlineStr">
        <is>
          <t>L6 Site Acceptance Testing</t>
        </is>
      </c>
      <c r="C501" s="199" t="n">
        <v>8</v>
      </c>
      <c r="D501" s="199" t="inlineStr">
        <is>
          <t>T1 Primary</t>
        </is>
      </c>
      <c r="E501" s="199" t="inlineStr">
        <is>
          <t>Quality Assurance &amp; Control</t>
        </is>
      </c>
      <c r="F501" s="199" t="n">
        <v>44.6667</v>
      </c>
      <c r="G501" s="199" t="n">
        <v>130</v>
      </c>
      <c r="H501" s="199" t="inlineStr">
        <is>
          <t>No separate deliverable explicitly named</t>
        </is>
      </c>
    </row>
    <row r="502">
      <c r="A502" s="208" t="inlineStr">
        <is>
          <t>RTM-059</t>
        </is>
      </c>
      <c r="B502" s="222" t="inlineStr">
        <is>
          <t>L1 Conceptual Design</t>
        </is>
      </c>
      <c r="C502" s="208" t="n">
        <v>2</v>
      </c>
      <c r="D502" s="208" t="inlineStr">
        <is>
          <t>T1 Primary</t>
        </is>
      </c>
      <c r="E502" s="208" t="inlineStr">
        <is>
          <t>Global Design Criteria</t>
        </is>
      </c>
      <c r="F502" s="208" t="n">
        <v>44.6667</v>
      </c>
      <c r="G502" s="208" t="n">
        <v>131</v>
      </c>
      <c r="H502" s="208" t="inlineStr">
        <is>
          <t>Availability &amp; Reliability Assessment</t>
        </is>
      </c>
    </row>
    <row r="503">
      <c r="A503" s="199" t="inlineStr">
        <is>
          <t>RTM-059</t>
        </is>
      </c>
      <c r="B503" s="223" t="inlineStr">
        <is>
          <t>L2 Detailed Design</t>
        </is>
      </c>
      <c r="C503" s="199" t="n">
        <v>3</v>
      </c>
      <c r="D503" s="199" t="inlineStr">
        <is>
          <t>T1 Primary</t>
        </is>
      </c>
      <c r="E503" s="199" t="inlineStr">
        <is>
          <t>Global Design Criteria</t>
        </is>
      </c>
      <c r="F503" s="199" t="n">
        <v>44.6667</v>
      </c>
      <c r="G503" s="199" t="n">
        <v>131</v>
      </c>
      <c r="H503" s="199" t="inlineStr">
        <is>
          <t>Availability &amp; Reliability Assessment</t>
        </is>
      </c>
    </row>
    <row r="504">
      <c r="A504" s="208" t="inlineStr">
        <is>
          <t>RTM-108</t>
        </is>
      </c>
      <c r="B504" s="222" t="inlineStr">
        <is>
          <t>L1 Conceptual Design</t>
        </is>
      </c>
      <c r="C504" s="208" t="n">
        <v>2</v>
      </c>
      <c r="D504" s="208" t="inlineStr">
        <is>
          <t>T1 Primary</t>
        </is>
      </c>
      <c r="E504" s="208" t="inlineStr">
        <is>
          <t>Subsystems</t>
        </is>
      </c>
      <c r="F504" s="208" t="n">
        <v>44.3333</v>
      </c>
      <c r="G504" s="208" t="n">
        <v>132</v>
      </c>
      <c r="H504" s="208" t="inlineStr">
        <is>
          <t>No separate deliverable explicitly named</t>
        </is>
      </c>
    </row>
    <row r="505">
      <c r="A505" s="199" t="inlineStr">
        <is>
          <t>RTM-108</t>
        </is>
      </c>
      <c r="B505" s="223" t="inlineStr">
        <is>
          <t>L2 Detailed Design</t>
        </is>
      </c>
      <c r="C505" s="199" t="n">
        <v>3</v>
      </c>
      <c r="D505" s="199" t="inlineStr">
        <is>
          <t>T1 Primary</t>
        </is>
      </c>
      <c r="E505" s="199" t="inlineStr">
        <is>
          <t>Subsystems</t>
        </is>
      </c>
      <c r="F505" s="199" t="n">
        <v>44.3333</v>
      </c>
      <c r="G505" s="199" t="n">
        <v>132</v>
      </c>
      <c r="H505" s="199" t="inlineStr">
        <is>
          <t>No separate deliverable explicitly named</t>
        </is>
      </c>
    </row>
    <row r="506">
      <c r="A506" s="208" t="inlineStr">
        <is>
          <t>RTM-022</t>
        </is>
      </c>
      <c r="B506" s="222" t="inlineStr">
        <is>
          <t>L1 Conceptual Design</t>
        </is>
      </c>
      <c r="C506" s="208" t="n">
        <v>2</v>
      </c>
      <c r="D506" s="208" t="inlineStr">
        <is>
          <t>T1 Primary</t>
        </is>
      </c>
      <c r="E506" s="208" t="inlineStr">
        <is>
          <t>Process &amp; Functional</t>
        </is>
      </c>
      <c r="F506" s="208" t="n">
        <v>44</v>
      </c>
      <c r="G506" s="208" t="n">
        <v>133</v>
      </c>
      <c r="H506" s="208" t="inlineStr">
        <is>
          <t>No separate deliverable explicitly named</t>
        </is>
      </c>
    </row>
    <row r="507">
      <c r="A507" s="199" t="inlineStr">
        <is>
          <t>RTM-022</t>
        </is>
      </c>
      <c r="B507" s="223" t="inlineStr">
        <is>
          <t>L2 Detailed Design</t>
        </is>
      </c>
      <c r="C507" s="199" t="n">
        <v>3</v>
      </c>
      <c r="D507" s="199" t="inlineStr">
        <is>
          <t>T1 Primary</t>
        </is>
      </c>
      <c r="E507" s="199" t="inlineStr">
        <is>
          <t>Process &amp; Functional</t>
        </is>
      </c>
      <c r="F507" s="199" t="n">
        <v>44</v>
      </c>
      <c r="G507" s="199" t="n">
        <v>133</v>
      </c>
      <c r="H507" s="199" t="inlineStr">
        <is>
          <t>No separate deliverable explicitly named</t>
        </is>
      </c>
    </row>
    <row r="508">
      <c r="A508" s="208" t="inlineStr">
        <is>
          <t>RTM-024</t>
        </is>
      </c>
      <c r="B508" s="222" t="inlineStr">
        <is>
          <t>L1 Conceptual Design</t>
        </is>
      </c>
      <c r="C508" s="208" t="n">
        <v>2</v>
      </c>
      <c r="D508" s="208" t="inlineStr">
        <is>
          <t>T1 Primary</t>
        </is>
      </c>
      <c r="E508" s="208" t="inlineStr">
        <is>
          <t>Process &amp; Functional</t>
        </is>
      </c>
      <c r="F508" s="208" t="n">
        <v>44</v>
      </c>
      <c r="G508" s="208" t="n">
        <v>134</v>
      </c>
      <c r="H508" s="208" t="inlineStr">
        <is>
          <t>No separate deliverable explicitly named</t>
        </is>
      </c>
    </row>
    <row r="509">
      <c r="A509" s="199" t="inlineStr">
        <is>
          <t>RTM-024</t>
        </is>
      </c>
      <c r="B509" s="223" t="inlineStr">
        <is>
          <t>L2 Detailed Design</t>
        </is>
      </c>
      <c r="C509" s="199" t="n">
        <v>3</v>
      </c>
      <c r="D509" s="199" t="inlineStr">
        <is>
          <t>T1 Primary</t>
        </is>
      </c>
      <c r="E509" s="199" t="inlineStr">
        <is>
          <t>Process &amp; Functional</t>
        </is>
      </c>
      <c r="F509" s="199" t="n">
        <v>44</v>
      </c>
      <c r="G509" s="199" t="n">
        <v>134</v>
      </c>
      <c r="H509" s="199" t="inlineStr">
        <is>
          <t>No separate deliverable explicitly named</t>
        </is>
      </c>
    </row>
    <row r="510">
      <c r="A510" s="208" t="inlineStr">
        <is>
          <t>RTM-027</t>
        </is>
      </c>
      <c r="B510" s="222" t="inlineStr">
        <is>
          <t>L1 Conceptual Design</t>
        </is>
      </c>
      <c r="C510" s="208" t="n">
        <v>2</v>
      </c>
      <c r="D510" s="208" t="inlineStr">
        <is>
          <t>T1 Primary</t>
        </is>
      </c>
      <c r="E510" s="208" t="inlineStr">
        <is>
          <t>Process &amp; Functional</t>
        </is>
      </c>
      <c r="F510" s="208" t="n">
        <v>44</v>
      </c>
      <c r="G510" s="208" t="n">
        <v>135</v>
      </c>
      <c r="H510" s="208" t="inlineStr">
        <is>
          <t>Procedure / work instruction</t>
        </is>
      </c>
    </row>
    <row r="511">
      <c r="A511" s="199" t="inlineStr">
        <is>
          <t>RTM-027</t>
        </is>
      </c>
      <c r="B511" s="223" t="inlineStr">
        <is>
          <t>L2 Detailed Design</t>
        </is>
      </c>
      <c r="C511" s="199" t="n">
        <v>3</v>
      </c>
      <c r="D511" s="199" t="inlineStr">
        <is>
          <t>T1 Primary</t>
        </is>
      </c>
      <c r="E511" s="199" t="inlineStr">
        <is>
          <t>Process &amp; Functional</t>
        </is>
      </c>
      <c r="F511" s="199" t="n">
        <v>44</v>
      </c>
      <c r="G511" s="199" t="n">
        <v>135</v>
      </c>
      <c r="H511" s="199" t="inlineStr">
        <is>
          <t>Procedure / work instruction</t>
        </is>
      </c>
    </row>
    <row r="512">
      <c r="A512" s="208" t="inlineStr">
        <is>
          <t>RTM-078</t>
        </is>
      </c>
      <c r="B512" s="222" t="inlineStr">
        <is>
          <t>L1 Conceptual Design</t>
        </is>
      </c>
      <c r="C512" s="208" t="n">
        <v>2</v>
      </c>
      <c r="D512" s="208" t="inlineStr">
        <is>
          <t>T1 Primary</t>
        </is>
      </c>
      <c r="E512" s="208" t="inlineStr">
        <is>
          <t>Global Design Criteria</t>
        </is>
      </c>
      <c r="F512" s="208" t="n">
        <v>44</v>
      </c>
      <c r="G512" s="208" t="n">
        <v>136</v>
      </c>
      <c r="H512" s="208" t="inlineStr">
        <is>
          <t>No separate deliverable explicitly named</t>
        </is>
      </c>
    </row>
    <row r="513">
      <c r="A513" s="199" t="inlineStr">
        <is>
          <t>RTM-078</t>
        </is>
      </c>
      <c r="B513" s="223" t="inlineStr">
        <is>
          <t>L2 Detailed Design</t>
        </is>
      </c>
      <c r="C513" s="199" t="n">
        <v>3</v>
      </c>
      <c r="D513" s="199" t="inlineStr">
        <is>
          <t>T1 Primary</t>
        </is>
      </c>
      <c r="E513" s="199" t="inlineStr">
        <is>
          <t>Global Design Criteria</t>
        </is>
      </c>
      <c r="F513" s="199" t="n">
        <v>44</v>
      </c>
      <c r="G513" s="199" t="n">
        <v>136</v>
      </c>
      <c r="H513" s="199" t="inlineStr">
        <is>
          <t>No separate deliverable explicitly named</t>
        </is>
      </c>
    </row>
    <row r="514">
      <c r="A514" s="208" t="inlineStr">
        <is>
          <t>RTM-209</t>
        </is>
      </c>
      <c r="B514" s="222" t="inlineStr">
        <is>
          <t>L1 Conceptual Design</t>
        </is>
      </c>
      <c r="C514" s="208" t="n">
        <v>2</v>
      </c>
      <c r="D514" s="208" t="inlineStr">
        <is>
          <t>T1 Primary</t>
        </is>
      </c>
      <c r="E514" s="208" t="inlineStr">
        <is>
          <t>Subsystems</t>
        </is>
      </c>
      <c r="F514" s="208" t="n">
        <v>44</v>
      </c>
      <c r="G514" s="208" t="n">
        <v>137</v>
      </c>
      <c r="H514" s="208" t="inlineStr">
        <is>
          <t>Procedure / work instruction</t>
        </is>
      </c>
    </row>
    <row r="515">
      <c r="A515" s="199" t="inlineStr">
        <is>
          <t>RTM-209</t>
        </is>
      </c>
      <c r="B515" s="223" t="inlineStr">
        <is>
          <t>L2 Detailed Design</t>
        </is>
      </c>
      <c r="C515" s="199" t="n">
        <v>3</v>
      </c>
      <c r="D515" s="199" t="inlineStr">
        <is>
          <t>T1 Primary</t>
        </is>
      </c>
      <c r="E515" s="199" t="inlineStr">
        <is>
          <t>Subsystems</t>
        </is>
      </c>
      <c r="F515" s="199" t="n">
        <v>44</v>
      </c>
      <c r="G515" s="199" t="n">
        <v>137</v>
      </c>
      <c r="H515" s="199" t="inlineStr">
        <is>
          <t>Procedure / work instruction</t>
        </is>
      </c>
    </row>
    <row r="516">
      <c r="A516" s="208" t="inlineStr">
        <is>
          <t>RTM-389</t>
        </is>
      </c>
      <c r="B516" s="226" t="inlineStr">
        <is>
          <t>L6 Site Acceptance Testing</t>
        </is>
      </c>
      <c r="C516" s="208" t="n">
        <v>8</v>
      </c>
      <c r="D516" s="208" t="inlineStr">
        <is>
          <t>T1 Primary</t>
        </is>
      </c>
      <c r="E516" s="208" t="inlineStr">
        <is>
          <t>Buildings &amp; Utilities</t>
        </is>
      </c>
      <c r="F516" s="208" t="n">
        <v>44</v>
      </c>
      <c r="G516" s="208" t="n">
        <v>138</v>
      </c>
      <c r="H516" s="208" t="inlineStr">
        <is>
          <t>No separate deliverable explicitly named</t>
        </is>
      </c>
    </row>
    <row r="517">
      <c r="A517" s="199" t="inlineStr">
        <is>
          <t>RTM-389</t>
        </is>
      </c>
      <c r="B517" s="222" t="inlineStr">
        <is>
          <t>L1 Conceptual Design</t>
        </is>
      </c>
      <c r="C517" s="199" t="n">
        <v>2</v>
      </c>
      <c r="D517" s="199" t="inlineStr">
        <is>
          <t>T1 Primary</t>
        </is>
      </c>
      <c r="E517" s="199" t="inlineStr">
        <is>
          <t>Buildings &amp; Utilities</t>
        </is>
      </c>
      <c r="F517" s="199" t="n">
        <v>44</v>
      </c>
      <c r="G517" s="199" t="n">
        <v>138</v>
      </c>
      <c r="H517" s="199" t="inlineStr">
        <is>
          <t>No separate deliverable explicitly named</t>
        </is>
      </c>
    </row>
    <row r="518">
      <c r="A518" s="208" t="inlineStr">
        <is>
          <t>RTM-389</t>
        </is>
      </c>
      <c r="B518" s="223" t="inlineStr">
        <is>
          <t>L2 Detailed Design</t>
        </is>
      </c>
      <c r="C518" s="208" t="n">
        <v>3</v>
      </c>
      <c r="D518" s="208" t="inlineStr">
        <is>
          <t>T1 Primary</t>
        </is>
      </c>
      <c r="E518" s="208" t="inlineStr">
        <is>
          <t>Buildings &amp; Utilities</t>
        </is>
      </c>
      <c r="F518" s="208" t="n">
        <v>44</v>
      </c>
      <c r="G518" s="208" t="n">
        <v>138</v>
      </c>
      <c r="H518" s="208" t="inlineStr">
        <is>
          <t>No separate deliverable explicitly named</t>
        </is>
      </c>
    </row>
    <row r="519">
      <c r="A519" s="199" t="inlineStr">
        <is>
          <t>RTM-545</t>
        </is>
      </c>
      <c r="B519" s="226" t="inlineStr">
        <is>
          <t>L6 Site Acceptance Testing</t>
        </is>
      </c>
      <c r="C519" s="199" t="n">
        <v>8</v>
      </c>
      <c r="D519" s="199" t="inlineStr">
        <is>
          <t>T1 Primary</t>
        </is>
      </c>
      <c r="E519" s="199" t="inlineStr">
        <is>
          <t>Acceptance Testing</t>
        </is>
      </c>
      <c r="F519" s="199" t="n">
        <v>44</v>
      </c>
      <c r="G519" s="199" t="n">
        <v>139</v>
      </c>
      <c r="H519" s="199" t="inlineStr">
        <is>
          <t>Procedure / work instruction</t>
        </is>
      </c>
    </row>
    <row r="520">
      <c r="A520" s="208" t="inlineStr">
        <is>
          <t>RTM-545</t>
        </is>
      </c>
      <c r="B520" s="222" t="inlineStr">
        <is>
          <t>L1 Conceptual Design</t>
        </is>
      </c>
      <c r="C520" s="208" t="n">
        <v>2</v>
      </c>
      <c r="D520" s="208" t="inlineStr">
        <is>
          <t>T1 Primary</t>
        </is>
      </c>
      <c r="E520" s="208" t="inlineStr">
        <is>
          <t>Acceptance Testing</t>
        </is>
      </c>
      <c r="F520" s="208" t="n">
        <v>44</v>
      </c>
      <c r="G520" s="208" t="n">
        <v>139</v>
      </c>
      <c r="H520" s="208" t="inlineStr">
        <is>
          <t>Procedure / work instruction</t>
        </is>
      </c>
    </row>
    <row r="521">
      <c r="A521" s="199" t="inlineStr">
        <is>
          <t>RTM-545</t>
        </is>
      </c>
      <c r="B521" s="223" t="inlineStr">
        <is>
          <t>L2 Detailed Design</t>
        </is>
      </c>
      <c r="C521" s="199" t="n">
        <v>3</v>
      </c>
      <c r="D521" s="199" t="inlineStr">
        <is>
          <t>T1 Primary</t>
        </is>
      </c>
      <c r="E521" s="199" t="inlineStr">
        <is>
          <t>Acceptance Testing</t>
        </is>
      </c>
      <c r="F521" s="199" t="n">
        <v>44</v>
      </c>
      <c r="G521" s="199" t="n">
        <v>139</v>
      </c>
      <c r="H521" s="199" t="inlineStr">
        <is>
          <t>Procedure / work instruction</t>
        </is>
      </c>
    </row>
    <row r="522">
      <c r="A522" s="208" t="inlineStr">
        <is>
          <t>RTM-433</t>
        </is>
      </c>
      <c r="B522" s="222" t="inlineStr">
        <is>
          <t>L1 Conceptual Design</t>
        </is>
      </c>
      <c r="C522" s="208" t="n">
        <v>2</v>
      </c>
      <c r="D522" s="208" t="inlineStr">
        <is>
          <t>T1 Primary</t>
        </is>
      </c>
      <c r="E522" s="208" t="inlineStr">
        <is>
          <t>Buildings &amp; Utilities</t>
        </is>
      </c>
      <c r="F522" s="208" t="n">
        <v>43.3333</v>
      </c>
      <c r="G522" s="208" t="n">
        <v>140</v>
      </c>
      <c r="H522" s="208" t="inlineStr">
        <is>
          <t>No separate deliverable explicitly named</t>
        </is>
      </c>
    </row>
    <row r="523">
      <c r="A523" s="199" t="inlineStr">
        <is>
          <t>RTM-433</t>
        </is>
      </c>
      <c r="B523" s="223" t="inlineStr">
        <is>
          <t>L2 Detailed Design</t>
        </is>
      </c>
      <c r="C523" s="199" t="n">
        <v>3</v>
      </c>
      <c r="D523" s="199" t="inlineStr">
        <is>
          <t>T1 Primary</t>
        </is>
      </c>
      <c r="E523" s="199" t="inlineStr">
        <is>
          <t>Buildings &amp; Utilities</t>
        </is>
      </c>
      <c r="F523" s="199" t="n">
        <v>43.3333</v>
      </c>
      <c r="G523" s="199" t="n">
        <v>140</v>
      </c>
      <c r="H523" s="199" t="inlineStr">
        <is>
          <t>No separate deliverable explicitly named</t>
        </is>
      </c>
    </row>
    <row r="524">
      <c r="A524" s="208" t="inlineStr">
        <is>
          <t>RTM-015</t>
        </is>
      </c>
      <c r="B524" s="223" t="inlineStr">
        <is>
          <t>L2 Detailed Design</t>
        </is>
      </c>
      <c r="C524" s="208" t="n">
        <v>3</v>
      </c>
      <c r="D524" s="208" t="inlineStr">
        <is>
          <t>T1 Primary</t>
        </is>
      </c>
      <c r="E524" s="208" t="inlineStr">
        <is>
          <t>Process &amp; Functional</t>
        </is>
      </c>
      <c r="F524" s="208" t="n">
        <v>43.3333</v>
      </c>
      <c r="G524" s="208" t="n">
        <v>141</v>
      </c>
      <c r="H524" s="208" t="inlineStr">
        <is>
          <t>No separate deliverable explicitly named</t>
        </is>
      </c>
    </row>
    <row r="525">
      <c r="A525" s="199" t="inlineStr">
        <is>
          <t>RTM-015</t>
        </is>
      </c>
      <c r="B525" s="222" t="inlineStr">
        <is>
          <t>L1 Conceptual Design</t>
        </is>
      </c>
      <c r="C525" s="199" t="n">
        <v>2</v>
      </c>
      <c r="D525" s="199" t="inlineStr">
        <is>
          <t>T1 Primary</t>
        </is>
      </c>
      <c r="E525" s="199" t="inlineStr">
        <is>
          <t>Process &amp; Functional</t>
        </is>
      </c>
      <c r="F525" s="199" t="n">
        <v>43.3333</v>
      </c>
      <c r="G525" s="199" t="n">
        <v>141</v>
      </c>
      <c r="H525" s="199" t="inlineStr">
        <is>
          <t>No separate deliverable explicitly named</t>
        </is>
      </c>
    </row>
    <row r="526">
      <c r="A526" s="208" t="inlineStr">
        <is>
          <t>RTM-333</t>
        </is>
      </c>
      <c r="B526" s="222" t="inlineStr">
        <is>
          <t>L1 Conceptual Design</t>
        </is>
      </c>
      <c r="C526" s="208" t="n">
        <v>2</v>
      </c>
      <c r="D526" s="208" t="inlineStr">
        <is>
          <t>T1 Primary</t>
        </is>
      </c>
      <c r="E526" s="208" t="inlineStr">
        <is>
          <t>Control &amp; Interlock</t>
        </is>
      </c>
      <c r="F526" s="208" t="n">
        <v>43.3333</v>
      </c>
      <c r="G526" s="208" t="n">
        <v>142</v>
      </c>
      <c r="H526" s="208" t="inlineStr">
        <is>
          <t>No separate deliverable explicitly named</t>
        </is>
      </c>
    </row>
    <row r="527">
      <c r="A527" s="199" t="inlineStr">
        <is>
          <t>RTM-333</t>
        </is>
      </c>
      <c r="B527" s="223" t="inlineStr">
        <is>
          <t>L2 Detailed Design</t>
        </is>
      </c>
      <c r="C527" s="199" t="n">
        <v>3</v>
      </c>
      <c r="D527" s="199" t="inlineStr">
        <is>
          <t>T1 Primary</t>
        </is>
      </c>
      <c r="E527" s="199" t="inlineStr">
        <is>
          <t>Control &amp; Interlock</t>
        </is>
      </c>
      <c r="F527" s="199" t="n">
        <v>43.3333</v>
      </c>
      <c r="G527" s="199" t="n">
        <v>142</v>
      </c>
      <c r="H527" s="199" t="inlineStr">
        <is>
          <t>No separate deliverable explicitly named</t>
        </is>
      </c>
    </row>
    <row r="528">
      <c r="A528" s="208" t="inlineStr">
        <is>
          <t>RTM-109</t>
        </is>
      </c>
      <c r="B528" s="226" t="inlineStr">
        <is>
          <t>L6 Site Acceptance Testing</t>
        </is>
      </c>
      <c r="C528" s="208" t="n">
        <v>8</v>
      </c>
      <c r="D528" s="208" t="inlineStr">
        <is>
          <t>T1 Primary</t>
        </is>
      </c>
      <c r="E528" s="208" t="inlineStr">
        <is>
          <t>Subsystems</t>
        </is>
      </c>
      <c r="F528" s="208" t="n">
        <v>42.6667</v>
      </c>
      <c r="G528" s="208" t="n">
        <v>143</v>
      </c>
      <c r="H528" s="208" t="inlineStr">
        <is>
          <t>No separate deliverable explicitly named</t>
        </is>
      </c>
    </row>
    <row r="529">
      <c r="A529" s="199" t="inlineStr">
        <is>
          <t>RTM-109</t>
        </is>
      </c>
      <c r="B529" s="222" t="inlineStr">
        <is>
          <t>L1 Conceptual Design</t>
        </is>
      </c>
      <c r="C529" s="199" t="n">
        <v>2</v>
      </c>
      <c r="D529" s="199" t="inlineStr">
        <is>
          <t>T1 Primary</t>
        </is>
      </c>
      <c r="E529" s="199" t="inlineStr">
        <is>
          <t>Subsystems</t>
        </is>
      </c>
      <c r="F529" s="199" t="n">
        <v>42.6667</v>
      </c>
      <c r="G529" s="199" t="n">
        <v>143</v>
      </c>
      <c r="H529" s="199" t="inlineStr">
        <is>
          <t>No separate deliverable explicitly named</t>
        </is>
      </c>
    </row>
    <row r="530">
      <c r="A530" s="208" t="inlineStr">
        <is>
          <t>RTM-109</t>
        </is>
      </c>
      <c r="B530" s="223" t="inlineStr">
        <is>
          <t>L2 Detailed Design</t>
        </is>
      </c>
      <c r="C530" s="208" t="n">
        <v>3</v>
      </c>
      <c r="D530" s="208" t="inlineStr">
        <is>
          <t>T1 Primary</t>
        </is>
      </c>
      <c r="E530" s="208" t="inlineStr">
        <is>
          <t>Subsystems</t>
        </is>
      </c>
      <c r="F530" s="208" t="n">
        <v>42.6667</v>
      </c>
      <c r="G530" s="208" t="n">
        <v>143</v>
      </c>
      <c r="H530" s="208" t="inlineStr">
        <is>
          <t>No separate deliverable explicitly named</t>
        </is>
      </c>
    </row>
    <row r="531">
      <c r="A531" s="199" t="inlineStr">
        <is>
          <t>RTM-092</t>
        </is>
      </c>
      <c r="B531" s="222" t="inlineStr">
        <is>
          <t>L1 Conceptual Design</t>
        </is>
      </c>
      <c r="C531" s="199" t="n">
        <v>2</v>
      </c>
      <c r="D531" s="199" t="inlineStr">
        <is>
          <t>T1 Primary</t>
        </is>
      </c>
      <c r="E531" s="199" t="inlineStr">
        <is>
          <t>Subsystems</t>
        </is>
      </c>
      <c r="F531" s="199" t="n">
        <v>42.6667</v>
      </c>
      <c r="G531" s="199" t="n">
        <v>144</v>
      </c>
      <c r="H531" s="199" t="inlineStr">
        <is>
          <t>No separate deliverable explicitly named</t>
        </is>
      </c>
    </row>
    <row r="532">
      <c r="A532" s="208" t="inlineStr">
        <is>
          <t>RTM-092</t>
        </is>
      </c>
      <c r="B532" s="223" t="inlineStr">
        <is>
          <t>L2 Detailed Design</t>
        </is>
      </c>
      <c r="C532" s="208" t="n">
        <v>3</v>
      </c>
      <c r="D532" s="208" t="inlineStr">
        <is>
          <t>T1 Primary</t>
        </is>
      </c>
      <c r="E532" s="208" t="inlineStr">
        <is>
          <t>Subsystems</t>
        </is>
      </c>
      <c r="F532" s="208" t="n">
        <v>42.6667</v>
      </c>
      <c r="G532" s="208" t="n">
        <v>144</v>
      </c>
      <c r="H532" s="208" t="inlineStr">
        <is>
          <t>No separate deliverable explicitly named</t>
        </is>
      </c>
    </row>
    <row r="533">
      <c r="A533" s="199" t="inlineStr">
        <is>
          <t>RTM-313</t>
        </is>
      </c>
      <c r="B533" s="222" t="inlineStr">
        <is>
          <t>L1 Conceptual Design</t>
        </is>
      </c>
      <c r="C533" s="199" t="n">
        <v>2</v>
      </c>
      <c r="D533" s="199" t="inlineStr">
        <is>
          <t>T1 Primary</t>
        </is>
      </c>
      <c r="E533" s="199" t="inlineStr">
        <is>
          <t>Control &amp; Interlock</t>
        </is>
      </c>
      <c r="F533" s="199" t="n">
        <v>42.6667</v>
      </c>
      <c r="G533" s="199" t="n">
        <v>145</v>
      </c>
      <c r="H533" s="199" t="inlineStr">
        <is>
          <t>Quality Assurance Plan (QAP); List / register / matrix</t>
        </is>
      </c>
    </row>
    <row r="534">
      <c r="A534" s="208" t="inlineStr">
        <is>
          <t>RTM-313</t>
        </is>
      </c>
      <c r="B534" s="223" t="inlineStr">
        <is>
          <t>L2 Detailed Design</t>
        </is>
      </c>
      <c r="C534" s="208" t="n">
        <v>3</v>
      </c>
      <c r="D534" s="208" t="inlineStr">
        <is>
          <t>T1 Primary</t>
        </is>
      </c>
      <c r="E534" s="208" t="inlineStr">
        <is>
          <t>Control &amp; Interlock</t>
        </is>
      </c>
      <c r="F534" s="208" t="n">
        <v>42.6667</v>
      </c>
      <c r="G534" s="208" t="n">
        <v>145</v>
      </c>
      <c r="H534" s="208" t="inlineStr">
        <is>
          <t>Quality Assurance Plan (QAP); List / register / matrix</t>
        </is>
      </c>
    </row>
    <row r="535">
      <c r="A535" s="199" t="inlineStr">
        <is>
          <t>RTM-042</t>
        </is>
      </c>
      <c r="B535" s="222" t="inlineStr">
        <is>
          <t>L1 Conceptual Design</t>
        </is>
      </c>
      <c r="C535" s="199" t="n">
        <v>2</v>
      </c>
      <c r="D535" s="199" t="inlineStr">
        <is>
          <t>T1 Primary</t>
        </is>
      </c>
      <c r="E535" s="199" t="inlineStr">
        <is>
          <t>Process &amp; Functional</t>
        </is>
      </c>
      <c r="F535" s="199" t="n">
        <v>42</v>
      </c>
      <c r="G535" s="199" t="n">
        <v>146</v>
      </c>
      <c r="H535" s="199" t="inlineStr">
        <is>
          <t>No separate deliverable explicitly named</t>
        </is>
      </c>
    </row>
    <row r="536">
      <c r="A536" s="208" t="inlineStr">
        <is>
          <t>RTM-042</t>
        </is>
      </c>
      <c r="B536" s="223" t="inlineStr">
        <is>
          <t>L2 Detailed Design</t>
        </is>
      </c>
      <c r="C536" s="208" t="n">
        <v>3</v>
      </c>
      <c r="D536" s="208" t="inlineStr">
        <is>
          <t>T1 Primary</t>
        </is>
      </c>
      <c r="E536" s="208" t="inlineStr">
        <is>
          <t>Process &amp; Functional</t>
        </is>
      </c>
      <c r="F536" s="208" t="n">
        <v>42</v>
      </c>
      <c r="G536" s="208" t="n">
        <v>146</v>
      </c>
      <c r="H536" s="208" t="inlineStr">
        <is>
          <t>No separate deliverable explicitly named</t>
        </is>
      </c>
    </row>
    <row r="537">
      <c r="A537" s="199" t="inlineStr">
        <is>
          <t>RTM-052</t>
        </is>
      </c>
      <c r="B537" s="222" t="inlineStr">
        <is>
          <t>L1 Conceptual Design</t>
        </is>
      </c>
      <c r="C537" s="199" t="n">
        <v>2</v>
      </c>
      <c r="D537" s="199" t="inlineStr">
        <is>
          <t>T1 Primary</t>
        </is>
      </c>
      <c r="E537" s="199" t="inlineStr">
        <is>
          <t>Process &amp; Functional</t>
        </is>
      </c>
      <c r="F537" s="199" t="n">
        <v>42</v>
      </c>
      <c r="G537" s="199" t="n">
        <v>147</v>
      </c>
      <c r="H537" s="199" t="inlineStr">
        <is>
          <t>No separate deliverable explicitly named</t>
        </is>
      </c>
    </row>
    <row r="538">
      <c r="A538" s="208" t="inlineStr">
        <is>
          <t>RTM-052</t>
        </is>
      </c>
      <c r="B538" s="223" t="inlineStr">
        <is>
          <t>L2 Detailed Design</t>
        </is>
      </c>
      <c r="C538" s="208" t="n">
        <v>3</v>
      </c>
      <c r="D538" s="208" t="inlineStr">
        <is>
          <t>T1 Primary</t>
        </is>
      </c>
      <c r="E538" s="208" t="inlineStr">
        <is>
          <t>Process &amp; Functional</t>
        </is>
      </c>
      <c r="F538" s="208" t="n">
        <v>42</v>
      </c>
      <c r="G538" s="208" t="n">
        <v>147</v>
      </c>
      <c r="H538" s="208" t="inlineStr">
        <is>
          <t>No separate deliverable explicitly named</t>
        </is>
      </c>
    </row>
    <row r="539">
      <c r="A539" s="199" t="inlineStr">
        <is>
          <t>RTM-226</t>
        </is>
      </c>
      <c r="B539" s="222" t="inlineStr">
        <is>
          <t>L1 Conceptual Design</t>
        </is>
      </c>
      <c r="C539" s="199" t="n">
        <v>2</v>
      </c>
      <c r="D539" s="199" t="inlineStr">
        <is>
          <t>T1 Primary</t>
        </is>
      </c>
      <c r="E539" s="199" t="inlineStr">
        <is>
          <t>Subsystems</t>
        </is>
      </c>
      <c r="F539" s="199" t="n">
        <v>42</v>
      </c>
      <c r="G539" s="199" t="n">
        <v>148</v>
      </c>
      <c r="H539" s="199" t="inlineStr">
        <is>
          <t>No separate deliverable explicitly named</t>
        </is>
      </c>
    </row>
    <row r="540">
      <c r="A540" s="208" t="inlineStr">
        <is>
          <t>RTM-226</t>
        </is>
      </c>
      <c r="B540" s="223" t="inlineStr">
        <is>
          <t>L2 Detailed Design</t>
        </is>
      </c>
      <c r="C540" s="208" t="n">
        <v>3</v>
      </c>
      <c r="D540" s="208" t="inlineStr">
        <is>
          <t>T1 Primary</t>
        </is>
      </c>
      <c r="E540" s="208" t="inlineStr">
        <is>
          <t>Subsystems</t>
        </is>
      </c>
      <c r="F540" s="208" t="n">
        <v>42</v>
      </c>
      <c r="G540" s="208" t="n">
        <v>148</v>
      </c>
      <c r="H540" s="208" t="inlineStr">
        <is>
          <t>No separate deliverable explicitly named</t>
        </is>
      </c>
    </row>
    <row r="541">
      <c r="A541" s="199" t="inlineStr">
        <is>
          <t>RTM-484</t>
        </is>
      </c>
      <c r="B541" s="220" t="inlineStr">
        <is>
          <t>L4 Installation</t>
        </is>
      </c>
      <c r="C541" s="199" t="n">
        <v>6</v>
      </c>
      <c r="D541" s="199" t="inlineStr">
        <is>
          <t>T1 Primary</t>
        </is>
      </c>
      <c r="E541" s="199" t="inlineStr">
        <is>
          <t>Training</t>
        </is>
      </c>
      <c r="F541" s="199" t="n">
        <v>42</v>
      </c>
      <c r="G541" s="199" t="n">
        <v>149</v>
      </c>
      <c r="H541" s="199" t="inlineStr">
        <is>
          <t>Training Programme / Materials</t>
        </is>
      </c>
    </row>
    <row r="542">
      <c r="A542" s="208" t="inlineStr">
        <is>
          <t>RTM-484</t>
        </is>
      </c>
      <c r="B542" s="222" t="inlineStr">
        <is>
          <t>L1 Conceptual Design</t>
        </is>
      </c>
      <c r="C542" s="208" t="n">
        <v>2</v>
      </c>
      <c r="D542" s="208" t="inlineStr">
        <is>
          <t>T1 Primary</t>
        </is>
      </c>
      <c r="E542" s="208" t="inlineStr">
        <is>
          <t>Training</t>
        </is>
      </c>
      <c r="F542" s="208" t="n">
        <v>42</v>
      </c>
      <c r="G542" s="208" t="n">
        <v>149</v>
      </c>
      <c r="H542" s="208" t="inlineStr">
        <is>
          <t>Training Programme / Materials</t>
        </is>
      </c>
    </row>
    <row r="543">
      <c r="A543" s="199" t="inlineStr">
        <is>
          <t>RTM-484</t>
        </is>
      </c>
      <c r="B543" s="223" t="inlineStr">
        <is>
          <t>L2 Detailed Design</t>
        </is>
      </c>
      <c r="C543" s="199" t="n">
        <v>3</v>
      </c>
      <c r="D543" s="199" t="inlineStr">
        <is>
          <t>T1 Primary</t>
        </is>
      </c>
      <c r="E543" s="199" t="inlineStr">
        <is>
          <t>Training</t>
        </is>
      </c>
      <c r="F543" s="199" t="n">
        <v>42</v>
      </c>
      <c r="G543" s="199" t="n">
        <v>149</v>
      </c>
      <c r="H543" s="199" t="inlineStr">
        <is>
          <t>Training Programme / Materials</t>
        </is>
      </c>
    </row>
    <row r="544">
      <c r="A544" s="208" t="inlineStr">
        <is>
          <t>RTM-511</t>
        </is>
      </c>
      <c r="B544" s="222" t="inlineStr">
        <is>
          <t>L1 Conceptual Design</t>
        </is>
      </c>
      <c r="C544" s="208" t="n">
        <v>2</v>
      </c>
      <c r="D544" s="208" t="inlineStr">
        <is>
          <t>T1 Primary</t>
        </is>
      </c>
      <c r="E544" s="208" t="inlineStr">
        <is>
          <t>Acceptance Testing</t>
        </is>
      </c>
      <c r="F544" s="208" t="n">
        <v>42</v>
      </c>
      <c r="G544" s="208" t="n">
        <v>150</v>
      </c>
      <c r="H544" s="208" t="inlineStr">
        <is>
          <t>No separate deliverable explicitly named</t>
        </is>
      </c>
    </row>
    <row r="545">
      <c r="A545" s="199" t="inlineStr">
        <is>
          <t>RTM-511</t>
        </is>
      </c>
      <c r="B545" s="223" t="inlineStr">
        <is>
          <t>L2 Detailed Design</t>
        </is>
      </c>
      <c r="C545" s="199" t="n">
        <v>3</v>
      </c>
      <c r="D545" s="199" t="inlineStr">
        <is>
          <t>T1 Primary</t>
        </is>
      </c>
      <c r="E545" s="199" t="inlineStr">
        <is>
          <t>Acceptance Testing</t>
        </is>
      </c>
      <c r="F545" s="199" t="n">
        <v>42</v>
      </c>
      <c r="G545" s="199" t="n">
        <v>150</v>
      </c>
      <c r="H545" s="199" t="inlineStr">
        <is>
          <t>No separate deliverable explicitly named</t>
        </is>
      </c>
    </row>
    <row r="546">
      <c r="A546" s="208" t="inlineStr">
        <is>
          <t>RTM-513</t>
        </is>
      </c>
      <c r="B546" s="226" t="inlineStr">
        <is>
          <t>L6 Site Acceptance Testing</t>
        </is>
      </c>
      <c r="C546" s="208" t="n">
        <v>8</v>
      </c>
      <c r="D546" s="208" t="inlineStr">
        <is>
          <t>T1 Primary</t>
        </is>
      </c>
      <c r="E546" s="208" t="inlineStr">
        <is>
          <t>Acceptance Testing</t>
        </is>
      </c>
      <c r="F546" s="208" t="n">
        <v>42</v>
      </c>
      <c r="G546" s="208" t="n">
        <v>151</v>
      </c>
      <c r="H546" s="208" t="inlineStr">
        <is>
          <t>No separate deliverable explicitly named</t>
        </is>
      </c>
    </row>
    <row r="547">
      <c r="A547" s="199" t="inlineStr">
        <is>
          <t>RTM-513</t>
        </is>
      </c>
      <c r="B547" s="222" t="inlineStr">
        <is>
          <t>L1 Conceptual Design</t>
        </is>
      </c>
      <c r="C547" s="199" t="n">
        <v>2</v>
      </c>
      <c r="D547" s="199" t="inlineStr">
        <is>
          <t>T1 Primary</t>
        </is>
      </c>
      <c r="E547" s="199" t="inlineStr">
        <is>
          <t>Acceptance Testing</t>
        </is>
      </c>
      <c r="F547" s="199" t="n">
        <v>42</v>
      </c>
      <c r="G547" s="199" t="n">
        <v>151</v>
      </c>
      <c r="H547" s="199" t="inlineStr">
        <is>
          <t>No separate deliverable explicitly named</t>
        </is>
      </c>
    </row>
    <row r="548">
      <c r="A548" s="208" t="inlineStr">
        <is>
          <t>RTM-513</t>
        </is>
      </c>
      <c r="B548" s="223" t="inlineStr">
        <is>
          <t>L2 Detailed Design</t>
        </is>
      </c>
      <c r="C548" s="208" t="n">
        <v>3</v>
      </c>
      <c r="D548" s="208" t="inlineStr">
        <is>
          <t>T1 Primary</t>
        </is>
      </c>
      <c r="E548" s="208" t="inlineStr">
        <is>
          <t>Acceptance Testing</t>
        </is>
      </c>
      <c r="F548" s="208" t="n">
        <v>42</v>
      </c>
      <c r="G548" s="208" t="n">
        <v>151</v>
      </c>
      <c r="H548" s="208" t="inlineStr">
        <is>
          <t>No separate deliverable explicitly named</t>
        </is>
      </c>
    </row>
    <row r="549">
      <c r="A549" s="199" t="inlineStr">
        <is>
          <t>RTM-036</t>
        </is>
      </c>
      <c r="B549" s="222" t="inlineStr">
        <is>
          <t>L1 Conceptual Design</t>
        </is>
      </c>
      <c r="C549" s="199" t="n">
        <v>2</v>
      </c>
      <c r="D549" s="199" t="inlineStr">
        <is>
          <t>T1 Primary</t>
        </is>
      </c>
      <c r="E549" s="199" t="inlineStr">
        <is>
          <t>Process &amp; Functional</t>
        </is>
      </c>
      <c r="F549" s="199" t="n">
        <v>41.3333</v>
      </c>
      <c r="G549" s="199" t="n">
        <v>152</v>
      </c>
      <c r="H549" s="199" t="inlineStr">
        <is>
          <t>No separate deliverable explicitly named</t>
        </is>
      </c>
    </row>
    <row r="550">
      <c r="A550" s="208" t="inlineStr">
        <is>
          <t>RTM-036</t>
        </is>
      </c>
      <c r="B550" s="223" t="inlineStr">
        <is>
          <t>L2 Detailed Design</t>
        </is>
      </c>
      <c r="C550" s="208" t="n">
        <v>3</v>
      </c>
      <c r="D550" s="208" t="inlineStr">
        <is>
          <t>T1 Primary</t>
        </is>
      </c>
      <c r="E550" s="208" t="inlineStr">
        <is>
          <t>Process &amp; Functional</t>
        </is>
      </c>
      <c r="F550" s="208" t="n">
        <v>41.3333</v>
      </c>
      <c r="G550" s="208" t="n">
        <v>152</v>
      </c>
      <c r="H550" s="208" t="inlineStr">
        <is>
          <t>No separate deliverable explicitly named</t>
        </is>
      </c>
    </row>
    <row r="551">
      <c r="A551" s="199" t="inlineStr">
        <is>
          <t>RTM-198</t>
        </is>
      </c>
      <c r="B551" s="226" t="inlineStr">
        <is>
          <t>L6 Site Acceptance Testing</t>
        </is>
      </c>
      <c r="C551" s="199" t="n">
        <v>8</v>
      </c>
      <c r="D551" s="199" t="inlineStr">
        <is>
          <t>T1 Primary</t>
        </is>
      </c>
      <c r="E551" s="199" t="inlineStr">
        <is>
          <t>Subsystems</t>
        </is>
      </c>
      <c r="F551" s="199" t="n">
        <v>41.3333</v>
      </c>
      <c r="G551" s="199" t="n">
        <v>153</v>
      </c>
      <c r="H551" s="199" t="inlineStr">
        <is>
          <t>No separate deliverable explicitly named</t>
        </is>
      </c>
    </row>
    <row r="552">
      <c r="A552" s="208" t="inlineStr">
        <is>
          <t>RTM-198</t>
        </is>
      </c>
      <c r="B552" s="222" t="inlineStr">
        <is>
          <t>L1 Conceptual Design</t>
        </is>
      </c>
      <c r="C552" s="208" t="n">
        <v>2</v>
      </c>
      <c r="D552" s="208" t="inlineStr">
        <is>
          <t>T1 Primary</t>
        </is>
      </c>
      <c r="E552" s="208" t="inlineStr">
        <is>
          <t>Subsystems</t>
        </is>
      </c>
      <c r="F552" s="208" t="n">
        <v>41.3333</v>
      </c>
      <c r="G552" s="208" t="n">
        <v>153</v>
      </c>
      <c r="H552" s="208" t="inlineStr">
        <is>
          <t>No separate deliverable explicitly named</t>
        </is>
      </c>
    </row>
    <row r="553">
      <c r="A553" s="199" t="inlineStr">
        <is>
          <t>RTM-198</t>
        </is>
      </c>
      <c r="B553" s="223" t="inlineStr">
        <is>
          <t>L2 Detailed Design</t>
        </is>
      </c>
      <c r="C553" s="199" t="n">
        <v>3</v>
      </c>
      <c r="D553" s="199" t="inlineStr">
        <is>
          <t>T1 Primary</t>
        </is>
      </c>
      <c r="E553" s="199" t="inlineStr">
        <is>
          <t>Subsystems</t>
        </is>
      </c>
      <c r="F553" s="199" t="n">
        <v>41.3333</v>
      </c>
      <c r="G553" s="199" t="n">
        <v>153</v>
      </c>
      <c r="H553" s="199" t="inlineStr">
        <is>
          <t>No separate deliverable explicitly named</t>
        </is>
      </c>
    </row>
    <row r="554">
      <c r="A554" s="208" t="inlineStr">
        <is>
          <t>RTM-312</t>
        </is>
      </c>
      <c r="B554" s="222" t="inlineStr">
        <is>
          <t>L1 Conceptual Design</t>
        </is>
      </c>
      <c r="C554" s="208" t="n">
        <v>2</v>
      </c>
      <c r="D554" s="208" t="inlineStr">
        <is>
          <t>T1 Primary</t>
        </is>
      </c>
      <c r="E554" s="208" t="inlineStr">
        <is>
          <t>Control &amp; Interlock</t>
        </is>
      </c>
      <c r="F554" s="208" t="n">
        <v>41.3333</v>
      </c>
      <c r="G554" s="208" t="n">
        <v>154</v>
      </c>
      <c r="H554" s="208" t="inlineStr">
        <is>
          <t>No separate deliverable explicitly named</t>
        </is>
      </c>
    </row>
    <row r="555">
      <c r="A555" s="199" t="inlineStr">
        <is>
          <t>RTM-312</t>
        </is>
      </c>
      <c r="B555" s="223" t="inlineStr">
        <is>
          <t>L2 Detailed Design</t>
        </is>
      </c>
      <c r="C555" s="199" t="n">
        <v>3</v>
      </c>
      <c r="D555" s="199" t="inlineStr">
        <is>
          <t>T1 Primary</t>
        </is>
      </c>
      <c r="E555" s="199" t="inlineStr">
        <is>
          <t>Control &amp; Interlock</t>
        </is>
      </c>
      <c r="F555" s="199" t="n">
        <v>41.3333</v>
      </c>
      <c r="G555" s="199" t="n">
        <v>154</v>
      </c>
      <c r="H555" s="199" t="inlineStr">
        <is>
          <t>No separate deliverable explicitly named</t>
        </is>
      </c>
    </row>
    <row r="556">
      <c r="A556" s="208" t="inlineStr">
        <is>
          <t>RTM-322</t>
        </is>
      </c>
      <c r="B556" s="226" t="inlineStr">
        <is>
          <t>L6 Site Acceptance Testing</t>
        </is>
      </c>
      <c r="C556" s="208" t="n">
        <v>8</v>
      </c>
      <c r="D556" s="208" t="inlineStr">
        <is>
          <t>T1 Primary</t>
        </is>
      </c>
      <c r="E556" s="208" t="inlineStr">
        <is>
          <t>Control &amp; Interlock</t>
        </is>
      </c>
      <c r="F556" s="208" t="n">
        <v>41.3333</v>
      </c>
      <c r="G556" s="208" t="n">
        <v>155</v>
      </c>
      <c r="H556" s="208" t="inlineStr">
        <is>
          <t>List / register / matrix</t>
        </is>
      </c>
    </row>
    <row r="557">
      <c r="A557" s="199" t="inlineStr">
        <is>
          <t>RTM-322</t>
        </is>
      </c>
      <c r="B557" s="222" t="inlineStr">
        <is>
          <t>L1 Conceptual Design</t>
        </is>
      </c>
      <c r="C557" s="199" t="n">
        <v>2</v>
      </c>
      <c r="D557" s="199" t="inlineStr">
        <is>
          <t>T1 Primary</t>
        </is>
      </c>
      <c r="E557" s="199" t="inlineStr">
        <is>
          <t>Control &amp; Interlock</t>
        </is>
      </c>
      <c r="F557" s="199" t="n">
        <v>41.3333</v>
      </c>
      <c r="G557" s="199" t="n">
        <v>155</v>
      </c>
      <c r="H557" s="199" t="inlineStr">
        <is>
          <t>List / register / matrix</t>
        </is>
      </c>
    </row>
    <row r="558">
      <c r="A558" s="208" t="inlineStr">
        <is>
          <t>RTM-322</t>
        </is>
      </c>
      <c r="B558" s="223" t="inlineStr">
        <is>
          <t>L2 Detailed Design</t>
        </is>
      </c>
      <c r="C558" s="208" t="n">
        <v>3</v>
      </c>
      <c r="D558" s="208" t="inlineStr">
        <is>
          <t>T1 Primary</t>
        </is>
      </c>
      <c r="E558" s="208" t="inlineStr">
        <is>
          <t>Control &amp; Interlock</t>
        </is>
      </c>
      <c r="F558" s="208" t="n">
        <v>41.3333</v>
      </c>
      <c r="G558" s="208" t="n">
        <v>155</v>
      </c>
      <c r="H558" s="208" t="inlineStr">
        <is>
          <t>List / register / matrix</t>
        </is>
      </c>
    </row>
    <row r="559">
      <c r="A559" s="199" t="inlineStr">
        <is>
          <t>RTM-324</t>
        </is>
      </c>
      <c r="B559" s="226" t="inlineStr">
        <is>
          <t>L6 Site Acceptance Testing</t>
        </is>
      </c>
      <c r="C559" s="199" t="n">
        <v>8</v>
      </c>
      <c r="D559" s="199" t="inlineStr">
        <is>
          <t>T1 Primary</t>
        </is>
      </c>
      <c r="E559" s="199" t="inlineStr">
        <is>
          <t>Control &amp; Interlock</t>
        </is>
      </c>
      <c r="F559" s="199" t="n">
        <v>41.3333</v>
      </c>
      <c r="G559" s="199" t="n">
        <v>156</v>
      </c>
      <c r="H559" s="199" t="inlineStr">
        <is>
          <t>No separate deliverable explicitly named</t>
        </is>
      </c>
    </row>
    <row r="560">
      <c r="A560" s="208" t="inlineStr">
        <is>
          <t>RTM-324</t>
        </is>
      </c>
      <c r="B560" s="222" t="inlineStr">
        <is>
          <t>L1 Conceptual Design</t>
        </is>
      </c>
      <c r="C560" s="208" t="n">
        <v>2</v>
      </c>
      <c r="D560" s="208" t="inlineStr">
        <is>
          <t>T1 Primary</t>
        </is>
      </c>
      <c r="E560" s="208" t="inlineStr">
        <is>
          <t>Control &amp; Interlock</t>
        </is>
      </c>
      <c r="F560" s="208" t="n">
        <v>41.3333</v>
      </c>
      <c r="G560" s="208" t="n">
        <v>156</v>
      </c>
      <c r="H560" s="208" t="inlineStr">
        <is>
          <t>No separate deliverable explicitly named</t>
        </is>
      </c>
    </row>
    <row r="561">
      <c r="A561" s="199" t="inlineStr">
        <is>
          <t>RTM-324</t>
        </is>
      </c>
      <c r="B561" s="223" t="inlineStr">
        <is>
          <t>L2 Detailed Design</t>
        </is>
      </c>
      <c r="C561" s="199" t="n">
        <v>3</v>
      </c>
      <c r="D561" s="199" t="inlineStr">
        <is>
          <t>T1 Primary</t>
        </is>
      </c>
      <c r="E561" s="199" t="inlineStr">
        <is>
          <t>Control &amp; Interlock</t>
        </is>
      </c>
      <c r="F561" s="199" t="n">
        <v>41.3333</v>
      </c>
      <c r="G561" s="199" t="n">
        <v>156</v>
      </c>
      <c r="H561" s="199" t="inlineStr">
        <is>
          <t>No separate deliverable explicitly named</t>
        </is>
      </c>
    </row>
    <row r="562">
      <c r="A562" s="208" t="inlineStr">
        <is>
          <t>RTM-642</t>
        </is>
      </c>
      <c r="B562" s="224" t="inlineStr">
        <is>
          <t>L3 Procurement &amp; Manufacturing / FAT</t>
        </is>
      </c>
      <c r="C562" s="208" t="n">
        <v>4</v>
      </c>
      <c r="D562" s="208" t="inlineStr">
        <is>
          <t>T1 Primary</t>
        </is>
      </c>
      <c r="E562" s="208" t="inlineStr">
        <is>
          <t>Quality Assurance &amp; Control</t>
        </is>
      </c>
      <c r="F562" s="208" t="n">
        <v>41.3333</v>
      </c>
      <c r="G562" s="208" t="n">
        <v>157</v>
      </c>
      <c r="H562" s="208" t="inlineStr">
        <is>
          <t>FAT Report; SAT Report; Commissioning Report; Quality Assurance Plan (QAP); Manufacturing and Inspection Plan (MIP); Responsibility Matrix</t>
        </is>
      </c>
    </row>
    <row r="563">
      <c r="A563" s="199" t="inlineStr">
        <is>
          <t>RTM-642</t>
        </is>
      </c>
      <c r="B563" s="220" t="inlineStr">
        <is>
          <t>L4 Installation</t>
        </is>
      </c>
      <c r="C563" s="199" t="n">
        <v>6</v>
      </c>
      <c r="D563" s="199" t="inlineStr">
        <is>
          <t>T1 Primary</t>
        </is>
      </c>
      <c r="E563" s="199" t="inlineStr">
        <is>
          <t>Quality Assurance &amp; Control</t>
        </is>
      </c>
      <c r="F563" s="199" t="n">
        <v>41.3333</v>
      </c>
      <c r="G563" s="199" t="n">
        <v>157</v>
      </c>
      <c r="H563" s="199" t="inlineStr">
        <is>
          <t>FAT Report; SAT Report; Commissioning Report; Quality Assurance Plan (QAP); Manufacturing and Inspection Plan (MIP); Responsibility Matrix</t>
        </is>
      </c>
    </row>
    <row r="564">
      <c r="A564" s="208" t="inlineStr">
        <is>
          <t>RTM-642</t>
        </is>
      </c>
      <c r="B564" s="226" t="inlineStr">
        <is>
          <t>L6 Site Acceptance Testing</t>
        </is>
      </c>
      <c r="C564" s="208" t="n">
        <v>8</v>
      </c>
      <c r="D564" s="208" t="inlineStr">
        <is>
          <t>T1 Primary</t>
        </is>
      </c>
      <c r="E564" s="208" t="inlineStr">
        <is>
          <t>Quality Assurance &amp; Control</t>
        </is>
      </c>
      <c r="F564" s="208" t="n">
        <v>41.3333</v>
      </c>
      <c r="G564" s="208" t="n">
        <v>157</v>
      </c>
      <c r="H564" s="208" t="inlineStr">
        <is>
          <t>FAT Report; SAT Report; Commissioning Report; Quality Assurance Plan (QAP); Manufacturing and Inspection Plan (MIP); Responsibility Matrix</t>
        </is>
      </c>
    </row>
    <row r="565">
      <c r="A565" s="199" t="inlineStr">
        <is>
          <t>RTM-642</t>
        </is>
      </c>
      <c r="B565" s="221" t="inlineStr">
        <is>
          <t>L0 Tender / Offer</t>
        </is>
      </c>
      <c r="C565" s="199" t="n">
        <v>1</v>
      </c>
      <c r="D565" s="199" t="inlineStr">
        <is>
          <t>T1 Primary</t>
        </is>
      </c>
      <c r="E565" s="199" t="inlineStr">
        <is>
          <t>Quality Assurance &amp; Control</t>
        </is>
      </c>
      <c r="F565" s="199" t="n">
        <v>41.3333</v>
      </c>
      <c r="G565" s="199" t="n">
        <v>157</v>
      </c>
      <c r="H565" s="199" t="inlineStr">
        <is>
          <t>FAT Report; SAT Report; Commissioning Report; Quality Assurance Plan (QAP); Manufacturing and Inspection Plan (MIP); Responsibility Matrix</t>
        </is>
      </c>
    </row>
    <row r="566">
      <c r="A566" s="208" t="inlineStr">
        <is>
          <t>RTM-642</t>
        </is>
      </c>
      <c r="B566" s="222" t="inlineStr">
        <is>
          <t>L1 Conceptual Design</t>
        </is>
      </c>
      <c r="C566" s="208" t="n">
        <v>2</v>
      </c>
      <c r="D566" s="208" t="inlineStr">
        <is>
          <t>T1 Primary</t>
        </is>
      </c>
      <c r="E566" s="208" t="inlineStr">
        <is>
          <t>Quality Assurance &amp; Control</t>
        </is>
      </c>
      <c r="F566" s="208" t="n">
        <v>41.3333</v>
      </c>
      <c r="G566" s="208" t="n">
        <v>157</v>
      </c>
      <c r="H566" s="208" t="inlineStr">
        <is>
          <t>FAT Report; SAT Report; Commissioning Report; Quality Assurance Plan (QAP); Manufacturing and Inspection Plan (MIP); Responsibility Matrix</t>
        </is>
      </c>
    </row>
    <row r="567">
      <c r="A567" s="199" t="inlineStr">
        <is>
          <t>RTM-642</t>
        </is>
      </c>
      <c r="B567" s="223" t="inlineStr">
        <is>
          <t>L2 Detailed Design</t>
        </is>
      </c>
      <c r="C567" s="199" t="n">
        <v>3</v>
      </c>
      <c r="D567" s="199" t="inlineStr">
        <is>
          <t>T1 Primary</t>
        </is>
      </c>
      <c r="E567" s="199" t="inlineStr">
        <is>
          <t>Quality Assurance &amp; Control</t>
        </is>
      </c>
      <c r="F567" s="199" t="n">
        <v>41.3333</v>
      </c>
      <c r="G567" s="199" t="n">
        <v>157</v>
      </c>
      <c r="H567" s="199" t="inlineStr">
        <is>
          <t>FAT Report; SAT Report; Commissioning Report; Quality Assurance Plan (QAP); Manufacturing and Inspection Plan (MIP); Responsibility Matrix</t>
        </is>
      </c>
    </row>
    <row r="568">
      <c r="A568" s="208" t="inlineStr">
        <is>
          <t>RTM-642</t>
        </is>
      </c>
      <c r="B568" s="225" t="inlineStr">
        <is>
          <t>L5 Standalone Commissioning</t>
        </is>
      </c>
      <c r="C568" s="208" t="n">
        <v>7</v>
      </c>
      <c r="D568" s="208" t="inlineStr">
        <is>
          <t>T1 Primary</t>
        </is>
      </c>
      <c r="E568" s="208" t="inlineStr">
        <is>
          <t>Quality Assurance &amp; Control</t>
        </is>
      </c>
      <c r="F568" s="208" t="n">
        <v>41.3333</v>
      </c>
      <c r="G568" s="208" t="n">
        <v>157</v>
      </c>
      <c r="H568" s="208" t="inlineStr">
        <is>
          <t>FAT Report; SAT Report; Commissioning Report; Quality Assurance Plan (QAP); Manufacturing and Inspection Plan (MIP); Responsibility Matrix</t>
        </is>
      </c>
    </row>
    <row r="569">
      <c r="A569" s="199" t="inlineStr">
        <is>
          <t>RTM-660</t>
        </is>
      </c>
      <c r="B569" s="221" t="inlineStr">
        <is>
          <t>L0 Tender / Offer</t>
        </is>
      </c>
      <c r="C569" s="199" t="n">
        <v>1</v>
      </c>
      <c r="D569" s="199" t="inlineStr">
        <is>
          <t>T1 Primary</t>
        </is>
      </c>
      <c r="E569" s="199" t="inlineStr">
        <is>
          <t>Quality Assurance &amp; Control</t>
        </is>
      </c>
      <c r="F569" s="199" t="n">
        <v>41.3333</v>
      </c>
      <c r="G569" s="199" t="n">
        <v>158</v>
      </c>
      <c r="H569" s="199" t="inlineStr">
        <is>
          <t>No separate deliverable explicitly named</t>
        </is>
      </c>
    </row>
    <row r="570">
      <c r="A570" s="208" t="inlineStr">
        <is>
          <t>RTM-660</t>
        </is>
      </c>
      <c r="B570" s="222" t="inlineStr">
        <is>
          <t>L1 Conceptual Design</t>
        </is>
      </c>
      <c r="C570" s="208" t="n">
        <v>2</v>
      </c>
      <c r="D570" s="208" t="inlineStr">
        <is>
          <t>T1 Primary</t>
        </is>
      </c>
      <c r="E570" s="208" t="inlineStr">
        <is>
          <t>Quality Assurance &amp; Control</t>
        </is>
      </c>
      <c r="F570" s="208" t="n">
        <v>41.3333</v>
      </c>
      <c r="G570" s="208" t="n">
        <v>158</v>
      </c>
      <c r="H570" s="208" t="inlineStr">
        <is>
          <t>No separate deliverable explicitly named</t>
        </is>
      </c>
    </row>
    <row r="571">
      <c r="A571" s="199" t="inlineStr">
        <is>
          <t>RTM-660</t>
        </is>
      </c>
      <c r="B571" s="223" t="inlineStr">
        <is>
          <t>L2 Detailed Design</t>
        </is>
      </c>
      <c r="C571" s="199" t="n">
        <v>3</v>
      </c>
      <c r="D571" s="199" t="inlineStr">
        <is>
          <t>T1 Primary</t>
        </is>
      </c>
      <c r="E571" s="199" t="inlineStr">
        <is>
          <t>Quality Assurance &amp; Control</t>
        </is>
      </c>
      <c r="F571" s="199" t="n">
        <v>41.3333</v>
      </c>
      <c r="G571" s="199" t="n">
        <v>158</v>
      </c>
      <c r="H571" s="199" t="inlineStr">
        <is>
          <t>No separate deliverable explicitly named</t>
        </is>
      </c>
    </row>
    <row r="572">
      <c r="A572" s="208" t="inlineStr">
        <is>
          <t>RTM-660</t>
        </is>
      </c>
      <c r="B572" s="224" t="inlineStr">
        <is>
          <t>L3 Procurement &amp; Manufacturing / FAT</t>
        </is>
      </c>
      <c r="C572" s="208" t="n">
        <v>4</v>
      </c>
      <c r="D572" s="208" t="inlineStr">
        <is>
          <t>T1 Primary</t>
        </is>
      </c>
      <c r="E572" s="208" t="inlineStr">
        <is>
          <t>Quality Assurance &amp; Control</t>
        </is>
      </c>
      <c r="F572" s="208" t="n">
        <v>41.3333</v>
      </c>
      <c r="G572" s="208" t="n">
        <v>158</v>
      </c>
      <c r="H572" s="208" t="inlineStr">
        <is>
          <t>No separate deliverable explicitly named</t>
        </is>
      </c>
    </row>
    <row r="573">
      <c r="A573" s="199" t="inlineStr">
        <is>
          <t>RTM-660</t>
        </is>
      </c>
      <c r="B573" s="220" t="inlineStr">
        <is>
          <t>L4 Installation</t>
        </is>
      </c>
      <c r="C573" s="199" t="n">
        <v>6</v>
      </c>
      <c r="D573" s="199" t="inlineStr">
        <is>
          <t>T1 Primary</t>
        </is>
      </c>
      <c r="E573" s="199" t="inlineStr">
        <is>
          <t>Quality Assurance &amp; Control</t>
        </is>
      </c>
      <c r="F573" s="199" t="n">
        <v>41.3333</v>
      </c>
      <c r="G573" s="199" t="n">
        <v>158</v>
      </c>
      <c r="H573" s="199" t="inlineStr">
        <is>
          <t>No separate deliverable explicitly named</t>
        </is>
      </c>
    </row>
    <row r="574">
      <c r="A574" s="208" t="inlineStr">
        <is>
          <t>RTM-660</t>
        </is>
      </c>
      <c r="B574" s="225" t="inlineStr">
        <is>
          <t>L5 Standalone Commissioning</t>
        </is>
      </c>
      <c r="C574" s="208" t="n">
        <v>7</v>
      </c>
      <c r="D574" s="208" t="inlineStr">
        <is>
          <t>T1 Primary</t>
        </is>
      </c>
      <c r="E574" s="208" t="inlineStr">
        <is>
          <t>Quality Assurance &amp; Control</t>
        </is>
      </c>
      <c r="F574" s="208" t="n">
        <v>41.3333</v>
      </c>
      <c r="G574" s="208" t="n">
        <v>158</v>
      </c>
      <c r="H574" s="208" t="inlineStr">
        <is>
          <t>No separate deliverable explicitly named</t>
        </is>
      </c>
    </row>
    <row r="575">
      <c r="A575" s="199" t="inlineStr">
        <is>
          <t>RTM-660</t>
        </is>
      </c>
      <c r="B575" s="226" t="inlineStr">
        <is>
          <t>L6 Site Acceptance Testing</t>
        </is>
      </c>
      <c r="C575" s="199" t="n">
        <v>8</v>
      </c>
      <c r="D575" s="199" t="inlineStr">
        <is>
          <t>T1 Primary</t>
        </is>
      </c>
      <c r="E575" s="199" t="inlineStr">
        <is>
          <t>Quality Assurance &amp; Control</t>
        </is>
      </c>
      <c r="F575" s="199" t="n">
        <v>41.3333</v>
      </c>
      <c r="G575" s="199" t="n">
        <v>158</v>
      </c>
      <c r="H575" s="199" t="inlineStr">
        <is>
          <t>No separate deliverable explicitly named</t>
        </is>
      </c>
    </row>
    <row r="576">
      <c r="A576" s="208" t="inlineStr">
        <is>
          <t>RTM-068</t>
        </is>
      </c>
      <c r="B576" s="226" t="inlineStr">
        <is>
          <t>L6 Site Acceptance Testing</t>
        </is>
      </c>
      <c r="C576" s="208" t="n">
        <v>8</v>
      </c>
      <c r="D576" s="208" t="inlineStr">
        <is>
          <t>T1 Primary</t>
        </is>
      </c>
      <c r="E576" s="208" t="inlineStr">
        <is>
          <t>Global Design Criteria</t>
        </is>
      </c>
      <c r="F576" s="208" t="n">
        <v>41</v>
      </c>
      <c r="G576" s="208" t="n">
        <v>159</v>
      </c>
      <c r="H576" s="208" t="inlineStr">
        <is>
          <t>No separate deliverable explicitly named</t>
        </is>
      </c>
    </row>
    <row r="577">
      <c r="A577" s="199" t="inlineStr">
        <is>
          <t>RTM-068</t>
        </is>
      </c>
      <c r="B577" s="222" t="inlineStr">
        <is>
          <t>L1 Conceptual Design</t>
        </is>
      </c>
      <c r="C577" s="199" t="n">
        <v>2</v>
      </c>
      <c r="D577" s="199" t="inlineStr">
        <is>
          <t>T1 Primary</t>
        </is>
      </c>
      <c r="E577" s="199" t="inlineStr">
        <is>
          <t>Global Design Criteria</t>
        </is>
      </c>
      <c r="F577" s="199" t="n">
        <v>41</v>
      </c>
      <c r="G577" s="199" t="n">
        <v>159</v>
      </c>
      <c r="H577" s="199" t="inlineStr">
        <is>
          <t>No separate deliverable explicitly named</t>
        </is>
      </c>
    </row>
    <row r="578">
      <c r="A578" s="208" t="inlineStr">
        <is>
          <t>RTM-068</t>
        </is>
      </c>
      <c r="B578" s="223" t="inlineStr">
        <is>
          <t>L2 Detailed Design</t>
        </is>
      </c>
      <c r="C578" s="208" t="n">
        <v>3</v>
      </c>
      <c r="D578" s="208" t="inlineStr">
        <is>
          <t>T1 Primary</t>
        </is>
      </c>
      <c r="E578" s="208" t="inlineStr">
        <is>
          <t>Global Design Criteria</t>
        </is>
      </c>
      <c r="F578" s="208" t="n">
        <v>41</v>
      </c>
      <c r="G578" s="208" t="n">
        <v>159</v>
      </c>
      <c r="H578" s="208" t="inlineStr">
        <is>
          <t>No separate deliverable explicitly named</t>
        </is>
      </c>
    </row>
    <row r="579">
      <c r="A579" s="199" t="inlineStr">
        <is>
          <t>RTM-550</t>
        </is>
      </c>
      <c r="B579" s="226" t="inlineStr">
        <is>
          <t>L6 Site Acceptance Testing</t>
        </is>
      </c>
      <c r="C579" s="199" t="n">
        <v>8</v>
      </c>
      <c r="D579" s="199" t="inlineStr">
        <is>
          <t>T1 Primary</t>
        </is>
      </c>
      <c r="E579" s="199" t="inlineStr">
        <is>
          <t>Acceptance Testing</t>
        </is>
      </c>
      <c r="F579" s="199" t="n">
        <v>40.6667</v>
      </c>
      <c r="G579" s="199" t="n">
        <v>160</v>
      </c>
      <c r="H579" s="199" t="inlineStr">
        <is>
          <t>No separate deliverable explicitly named</t>
        </is>
      </c>
    </row>
    <row r="580">
      <c r="A580" s="208" t="inlineStr">
        <is>
          <t>RTM-550</t>
        </is>
      </c>
      <c r="B580" s="222" t="inlineStr">
        <is>
          <t>L1 Conceptual Design</t>
        </is>
      </c>
      <c r="C580" s="208" t="n">
        <v>2</v>
      </c>
      <c r="D580" s="208" t="inlineStr">
        <is>
          <t>T1 Primary</t>
        </is>
      </c>
      <c r="E580" s="208" t="inlineStr">
        <is>
          <t>Acceptance Testing</t>
        </is>
      </c>
      <c r="F580" s="208" t="n">
        <v>40.6667</v>
      </c>
      <c r="G580" s="208" t="n">
        <v>160</v>
      </c>
      <c r="H580" s="208" t="inlineStr">
        <is>
          <t>No separate deliverable explicitly named</t>
        </is>
      </c>
    </row>
    <row r="581">
      <c r="A581" s="199" t="inlineStr">
        <is>
          <t>RTM-550</t>
        </is>
      </c>
      <c r="B581" s="223" t="inlineStr">
        <is>
          <t>L2 Detailed Design</t>
        </is>
      </c>
      <c r="C581" s="199" t="n">
        <v>3</v>
      </c>
      <c r="D581" s="199" t="inlineStr">
        <is>
          <t>T1 Primary</t>
        </is>
      </c>
      <c r="E581" s="199" t="inlineStr">
        <is>
          <t>Acceptance Testing</t>
        </is>
      </c>
      <c r="F581" s="199" t="n">
        <v>40.6667</v>
      </c>
      <c r="G581" s="199" t="n">
        <v>160</v>
      </c>
      <c r="H581" s="199" t="inlineStr">
        <is>
          <t>No separate deliverable explicitly named</t>
        </is>
      </c>
    </row>
    <row r="582">
      <c r="A582" s="208" t="inlineStr">
        <is>
          <t>RTM-578</t>
        </is>
      </c>
      <c r="B582" s="220" t="inlineStr">
        <is>
          <t>L4 Installation</t>
        </is>
      </c>
      <c r="C582" s="208" t="n">
        <v>6</v>
      </c>
      <c r="D582" s="208" t="inlineStr">
        <is>
          <t>T1 Primary</t>
        </is>
      </c>
      <c r="E582" s="208" t="inlineStr">
        <is>
          <t>Technical Documentation</t>
        </is>
      </c>
      <c r="F582" s="208" t="n">
        <v>40.6667</v>
      </c>
      <c r="G582" s="208" t="n">
        <v>161</v>
      </c>
      <c r="H582" s="208" t="inlineStr">
        <is>
          <t>Installation File; 3D / CAD Model; Procedure / work instruction</t>
        </is>
      </c>
    </row>
    <row r="583">
      <c r="A583" s="199" t="inlineStr">
        <is>
          <t>RTM-578</t>
        </is>
      </c>
      <c r="B583" s="226" t="inlineStr">
        <is>
          <t>L6 Site Acceptance Testing</t>
        </is>
      </c>
      <c r="C583" s="199" t="n">
        <v>8</v>
      </c>
      <c r="D583" s="199" t="inlineStr">
        <is>
          <t>T1 Primary</t>
        </is>
      </c>
      <c r="E583" s="199" t="inlineStr">
        <is>
          <t>Technical Documentation</t>
        </is>
      </c>
      <c r="F583" s="199" t="n">
        <v>40.6667</v>
      </c>
      <c r="G583" s="199" t="n">
        <v>161</v>
      </c>
      <c r="H583" s="199" t="inlineStr">
        <is>
          <t>Installation File; 3D / CAD Model; Procedure / work instruction</t>
        </is>
      </c>
    </row>
    <row r="584">
      <c r="A584" s="208" t="inlineStr">
        <is>
          <t>RTM-578</t>
        </is>
      </c>
      <c r="B584" s="222" t="inlineStr">
        <is>
          <t>L1 Conceptual Design</t>
        </is>
      </c>
      <c r="C584" s="208" t="n">
        <v>2</v>
      </c>
      <c r="D584" s="208" t="inlineStr">
        <is>
          <t>T1 Primary</t>
        </is>
      </c>
      <c r="E584" s="208" t="inlineStr">
        <is>
          <t>Technical Documentation</t>
        </is>
      </c>
      <c r="F584" s="208" t="n">
        <v>40.6667</v>
      </c>
      <c r="G584" s="208" t="n">
        <v>161</v>
      </c>
      <c r="H584" s="208" t="inlineStr">
        <is>
          <t>Installation File; 3D / CAD Model; Procedure / work instruction</t>
        </is>
      </c>
    </row>
    <row r="585">
      <c r="A585" s="199" t="inlineStr">
        <is>
          <t>RTM-578</t>
        </is>
      </c>
      <c r="B585" s="223" t="inlineStr">
        <is>
          <t>L2 Detailed Design</t>
        </is>
      </c>
      <c r="C585" s="199" t="n">
        <v>3</v>
      </c>
      <c r="D585" s="199" t="inlineStr">
        <is>
          <t>T1 Primary</t>
        </is>
      </c>
      <c r="E585" s="199" t="inlineStr">
        <is>
          <t>Technical Documentation</t>
        </is>
      </c>
      <c r="F585" s="199" t="n">
        <v>40.6667</v>
      </c>
      <c r="G585" s="199" t="n">
        <v>161</v>
      </c>
      <c r="H585" s="199" t="inlineStr">
        <is>
          <t>Installation File; 3D / CAD Model; Procedure / work instruction</t>
        </is>
      </c>
    </row>
    <row r="586">
      <c r="A586" s="208" t="inlineStr">
        <is>
          <t>RTM-470</t>
        </is>
      </c>
      <c r="B586" s="222" t="inlineStr">
        <is>
          <t>L1 Conceptual Design</t>
        </is>
      </c>
      <c r="C586" s="208" t="n">
        <v>2</v>
      </c>
      <c r="D586" s="208" t="inlineStr">
        <is>
          <t>T1 Primary</t>
        </is>
      </c>
      <c r="E586" s="208" t="inlineStr">
        <is>
          <t>Design &amp; Fabrication</t>
        </is>
      </c>
      <c r="F586" s="208" t="n">
        <v>40.6667</v>
      </c>
      <c r="G586" s="208" t="n">
        <v>162</v>
      </c>
      <c r="H586" s="208" t="inlineStr">
        <is>
          <t>No separate deliverable explicitly named</t>
        </is>
      </c>
    </row>
    <row r="587">
      <c r="A587" s="199" t="inlineStr">
        <is>
          <t>RTM-470</t>
        </is>
      </c>
      <c r="B587" s="223" t="inlineStr">
        <is>
          <t>L2 Detailed Design</t>
        </is>
      </c>
      <c r="C587" s="199" t="n">
        <v>3</v>
      </c>
      <c r="D587" s="199" t="inlineStr">
        <is>
          <t>T1 Primary</t>
        </is>
      </c>
      <c r="E587" s="199" t="inlineStr">
        <is>
          <t>Design &amp; Fabrication</t>
        </is>
      </c>
      <c r="F587" s="199" t="n">
        <v>40.6667</v>
      </c>
      <c r="G587" s="199" t="n">
        <v>162</v>
      </c>
      <c r="H587" s="199" t="inlineStr">
        <is>
          <t>No separate deliverable explicitly named</t>
        </is>
      </c>
    </row>
    <row r="588">
      <c r="A588" s="208" t="inlineStr">
        <is>
          <t>RTM-020</t>
        </is>
      </c>
      <c r="B588" s="222" t="inlineStr">
        <is>
          <t>L1 Conceptual Design</t>
        </is>
      </c>
      <c r="C588" s="208" t="n">
        <v>2</v>
      </c>
      <c r="D588" s="208" t="inlineStr">
        <is>
          <t>T1 Primary</t>
        </is>
      </c>
      <c r="E588" s="208" t="inlineStr">
        <is>
          <t>Process &amp; Functional</t>
        </is>
      </c>
      <c r="F588" s="208" t="n">
        <v>40</v>
      </c>
      <c r="G588" s="208" t="n">
        <v>163</v>
      </c>
      <c r="H588" s="208" t="inlineStr">
        <is>
          <t>No separate deliverable explicitly named</t>
        </is>
      </c>
    </row>
    <row r="589">
      <c r="A589" s="199" t="inlineStr">
        <is>
          <t>RTM-020</t>
        </is>
      </c>
      <c r="B589" s="223" t="inlineStr">
        <is>
          <t>L2 Detailed Design</t>
        </is>
      </c>
      <c r="C589" s="199" t="n">
        <v>3</v>
      </c>
      <c r="D589" s="199" t="inlineStr">
        <is>
          <t>T1 Primary</t>
        </is>
      </c>
      <c r="E589" s="199" t="inlineStr">
        <is>
          <t>Process &amp; Functional</t>
        </is>
      </c>
      <c r="F589" s="199" t="n">
        <v>40</v>
      </c>
      <c r="G589" s="199" t="n">
        <v>163</v>
      </c>
      <c r="H589" s="199" t="inlineStr">
        <is>
          <t>No separate deliverable explicitly named</t>
        </is>
      </c>
    </row>
    <row r="590">
      <c r="A590" s="208" t="inlineStr">
        <is>
          <t>RTM-021</t>
        </is>
      </c>
      <c r="B590" s="222" t="inlineStr">
        <is>
          <t>L1 Conceptual Design</t>
        </is>
      </c>
      <c r="C590" s="208" t="n">
        <v>2</v>
      </c>
      <c r="D590" s="208" t="inlineStr">
        <is>
          <t>T1 Primary</t>
        </is>
      </c>
      <c r="E590" s="208" t="inlineStr">
        <is>
          <t>Process &amp; Functional</t>
        </is>
      </c>
      <c r="F590" s="208" t="n">
        <v>40</v>
      </c>
      <c r="G590" s="208" t="n">
        <v>164</v>
      </c>
      <c r="H590" s="208" t="inlineStr">
        <is>
          <t>No separate deliverable explicitly named</t>
        </is>
      </c>
    </row>
    <row r="591">
      <c r="A591" s="199" t="inlineStr">
        <is>
          <t>RTM-021</t>
        </is>
      </c>
      <c r="B591" s="223" t="inlineStr">
        <is>
          <t>L2 Detailed Design</t>
        </is>
      </c>
      <c r="C591" s="199" t="n">
        <v>3</v>
      </c>
      <c r="D591" s="199" t="inlineStr">
        <is>
          <t>T1 Primary</t>
        </is>
      </c>
      <c r="E591" s="199" t="inlineStr">
        <is>
          <t>Process &amp; Functional</t>
        </is>
      </c>
      <c r="F591" s="199" t="n">
        <v>40</v>
      </c>
      <c r="G591" s="199" t="n">
        <v>164</v>
      </c>
      <c r="H591" s="199" t="inlineStr">
        <is>
          <t>No separate deliverable explicitly named</t>
        </is>
      </c>
    </row>
    <row r="592">
      <c r="A592" s="208" t="inlineStr">
        <is>
          <t>RTM-328</t>
        </is>
      </c>
      <c r="B592" s="222" t="inlineStr">
        <is>
          <t>L1 Conceptual Design</t>
        </is>
      </c>
      <c r="C592" s="208" t="n">
        <v>2</v>
      </c>
      <c r="D592" s="208" t="inlineStr">
        <is>
          <t>T1 Primary</t>
        </is>
      </c>
      <c r="E592" s="208" t="inlineStr">
        <is>
          <t>Control &amp; Interlock</t>
        </is>
      </c>
      <c r="F592" s="208" t="n">
        <v>40</v>
      </c>
      <c r="G592" s="208" t="n">
        <v>165</v>
      </c>
      <c r="H592" s="208" t="inlineStr">
        <is>
          <t>No separate deliverable explicitly named</t>
        </is>
      </c>
    </row>
    <row r="593">
      <c r="A593" s="199" t="inlineStr">
        <is>
          <t>RTM-328</t>
        </is>
      </c>
      <c r="B593" s="223" t="inlineStr">
        <is>
          <t>L2 Detailed Design</t>
        </is>
      </c>
      <c r="C593" s="199" t="n">
        <v>3</v>
      </c>
      <c r="D593" s="199" t="inlineStr">
        <is>
          <t>T1 Primary</t>
        </is>
      </c>
      <c r="E593" s="199" t="inlineStr">
        <is>
          <t>Control &amp; Interlock</t>
        </is>
      </c>
      <c r="F593" s="199" t="n">
        <v>40</v>
      </c>
      <c r="G593" s="199" t="n">
        <v>165</v>
      </c>
      <c r="H593" s="199" t="inlineStr">
        <is>
          <t>No separate deliverable explicitly named</t>
        </is>
      </c>
    </row>
    <row r="594">
      <c r="A594" s="208" t="inlineStr">
        <is>
          <t>RTM-256</t>
        </is>
      </c>
      <c r="B594" s="222" t="inlineStr">
        <is>
          <t>L1 Conceptual Design</t>
        </is>
      </c>
      <c r="C594" s="208" t="n">
        <v>2</v>
      </c>
      <c r="D594" s="208" t="inlineStr">
        <is>
          <t>T1 Primary</t>
        </is>
      </c>
      <c r="E594" s="208" t="inlineStr">
        <is>
          <t>Subsystems</t>
        </is>
      </c>
      <c r="F594" s="208" t="n">
        <v>39.3333</v>
      </c>
      <c r="G594" s="208" t="n">
        <v>166</v>
      </c>
      <c r="H594" s="208" t="inlineStr">
        <is>
          <t>No separate deliverable explicitly named</t>
        </is>
      </c>
    </row>
    <row r="595">
      <c r="A595" s="199" t="inlineStr">
        <is>
          <t>RTM-256</t>
        </is>
      </c>
      <c r="B595" s="223" t="inlineStr">
        <is>
          <t>L2 Detailed Design</t>
        </is>
      </c>
      <c r="C595" s="199" t="n">
        <v>3</v>
      </c>
      <c r="D595" s="199" t="inlineStr">
        <is>
          <t>T1 Primary</t>
        </is>
      </c>
      <c r="E595" s="199" t="inlineStr">
        <is>
          <t>Subsystems</t>
        </is>
      </c>
      <c r="F595" s="199" t="n">
        <v>39.3333</v>
      </c>
      <c r="G595" s="199" t="n">
        <v>166</v>
      </c>
      <c r="H595" s="199" t="inlineStr">
        <is>
          <t>No separate deliverable explicitly named</t>
        </is>
      </c>
    </row>
    <row r="596">
      <c r="A596" s="208" t="inlineStr">
        <is>
          <t>RTM-432</t>
        </is>
      </c>
      <c r="B596" s="222" t="inlineStr">
        <is>
          <t>L1 Conceptual Design</t>
        </is>
      </c>
      <c r="C596" s="208" t="n">
        <v>2</v>
      </c>
      <c r="D596" s="208" t="inlineStr">
        <is>
          <t>T1 Primary</t>
        </is>
      </c>
      <c r="E596" s="208" t="inlineStr">
        <is>
          <t>Buildings &amp; Utilities</t>
        </is>
      </c>
      <c r="F596" s="208" t="n">
        <v>39.3333</v>
      </c>
      <c r="G596" s="208" t="n">
        <v>167</v>
      </c>
      <c r="H596" s="208" t="inlineStr">
        <is>
          <t>No separate deliverable explicitly named</t>
        </is>
      </c>
    </row>
    <row r="597">
      <c r="A597" s="199" t="inlineStr">
        <is>
          <t>RTM-432</t>
        </is>
      </c>
      <c r="B597" s="223" t="inlineStr">
        <is>
          <t>L2 Detailed Design</t>
        </is>
      </c>
      <c r="C597" s="199" t="n">
        <v>3</v>
      </c>
      <c r="D597" s="199" t="inlineStr">
        <is>
          <t>T1 Primary</t>
        </is>
      </c>
      <c r="E597" s="199" t="inlineStr">
        <is>
          <t>Buildings &amp; Utilities</t>
        </is>
      </c>
      <c r="F597" s="199" t="n">
        <v>39.3333</v>
      </c>
      <c r="G597" s="199" t="n">
        <v>167</v>
      </c>
      <c r="H597" s="199" t="inlineStr">
        <is>
          <t>No separate deliverable explicitly named</t>
        </is>
      </c>
    </row>
    <row r="598">
      <c r="A598" s="208" t="inlineStr">
        <is>
          <t>RTM-066</t>
        </is>
      </c>
      <c r="B598" s="222" t="inlineStr">
        <is>
          <t>L1 Conceptual Design</t>
        </is>
      </c>
      <c r="C598" s="208" t="n">
        <v>2</v>
      </c>
      <c r="D598" s="208" t="inlineStr">
        <is>
          <t>T1 Primary</t>
        </is>
      </c>
      <c r="E598" s="208" t="inlineStr">
        <is>
          <t>Global Design Criteria</t>
        </is>
      </c>
      <c r="F598" s="208" t="n">
        <v>39</v>
      </c>
      <c r="G598" s="208" t="n">
        <v>168</v>
      </c>
      <c r="H598" s="208" t="inlineStr">
        <is>
          <t>No separate deliverable explicitly named</t>
        </is>
      </c>
    </row>
    <row r="599">
      <c r="A599" s="199" t="inlineStr">
        <is>
          <t>RTM-066</t>
        </is>
      </c>
      <c r="B599" s="223" t="inlineStr">
        <is>
          <t>L2 Detailed Design</t>
        </is>
      </c>
      <c r="C599" s="199" t="n">
        <v>3</v>
      </c>
      <c r="D599" s="199" t="inlineStr">
        <is>
          <t>T1 Primary</t>
        </is>
      </c>
      <c r="E599" s="199" t="inlineStr">
        <is>
          <t>Global Design Criteria</t>
        </is>
      </c>
      <c r="F599" s="199" t="n">
        <v>39</v>
      </c>
      <c r="G599" s="199" t="n">
        <v>168</v>
      </c>
      <c r="H599" s="199" t="inlineStr">
        <is>
          <t>No separate deliverable explicitly named</t>
        </is>
      </c>
    </row>
    <row r="600">
      <c r="A600" s="208" t="inlineStr">
        <is>
          <t>RTM-168</t>
        </is>
      </c>
      <c r="B600" s="222" t="inlineStr">
        <is>
          <t>L1 Conceptual Design</t>
        </is>
      </c>
      <c r="C600" s="208" t="n">
        <v>2</v>
      </c>
      <c r="D600" s="208" t="inlineStr">
        <is>
          <t>T1 Primary</t>
        </is>
      </c>
      <c r="E600" s="208" t="inlineStr">
        <is>
          <t>Subsystems</t>
        </is>
      </c>
      <c r="F600" s="208" t="n">
        <v>38.6667</v>
      </c>
      <c r="G600" s="208" t="n">
        <v>169</v>
      </c>
      <c r="H600" s="208" t="inlineStr">
        <is>
          <t>No separate deliverable explicitly named</t>
        </is>
      </c>
    </row>
    <row r="601">
      <c r="A601" s="199" t="inlineStr">
        <is>
          <t>RTM-168</t>
        </is>
      </c>
      <c r="B601" s="223" t="inlineStr">
        <is>
          <t>L2 Detailed Design</t>
        </is>
      </c>
      <c r="C601" s="199" t="n">
        <v>3</v>
      </c>
      <c r="D601" s="199" t="inlineStr">
        <is>
          <t>T1 Primary</t>
        </is>
      </c>
      <c r="E601" s="199" t="inlineStr">
        <is>
          <t>Subsystems</t>
        </is>
      </c>
      <c r="F601" s="199" t="n">
        <v>38.6667</v>
      </c>
      <c r="G601" s="199" t="n">
        <v>169</v>
      </c>
      <c r="H601" s="199" t="inlineStr">
        <is>
          <t>No separate deliverable explicitly named</t>
        </is>
      </c>
    </row>
    <row r="602">
      <c r="A602" s="208" t="inlineStr">
        <is>
          <t>RTM-174</t>
        </is>
      </c>
      <c r="B602" s="222" t="inlineStr">
        <is>
          <t>L1 Conceptual Design</t>
        </is>
      </c>
      <c r="C602" s="208" t="n">
        <v>2</v>
      </c>
      <c r="D602" s="208" t="inlineStr">
        <is>
          <t>T1 Primary</t>
        </is>
      </c>
      <c r="E602" s="208" t="inlineStr">
        <is>
          <t>Subsystems</t>
        </is>
      </c>
      <c r="F602" s="208" t="n">
        <v>38.6667</v>
      </c>
      <c r="G602" s="208" t="n">
        <v>170</v>
      </c>
      <c r="H602" s="208" t="inlineStr">
        <is>
          <t>Procedure / work instruction</t>
        </is>
      </c>
    </row>
    <row r="603">
      <c r="A603" s="199" t="inlineStr">
        <is>
          <t>RTM-174</t>
        </is>
      </c>
      <c r="B603" s="223" t="inlineStr">
        <is>
          <t>L2 Detailed Design</t>
        </is>
      </c>
      <c r="C603" s="199" t="n">
        <v>3</v>
      </c>
      <c r="D603" s="199" t="inlineStr">
        <is>
          <t>T1 Primary</t>
        </is>
      </c>
      <c r="E603" s="199" t="inlineStr">
        <is>
          <t>Subsystems</t>
        </is>
      </c>
      <c r="F603" s="199" t="n">
        <v>38.6667</v>
      </c>
      <c r="G603" s="199" t="n">
        <v>170</v>
      </c>
      <c r="H603" s="199" t="inlineStr">
        <is>
          <t>Procedure / work instruction</t>
        </is>
      </c>
    </row>
    <row r="604">
      <c r="A604" s="208" t="inlineStr">
        <is>
          <t>RTM-180</t>
        </is>
      </c>
      <c r="B604" s="222" t="inlineStr">
        <is>
          <t>L1 Conceptual Design</t>
        </is>
      </c>
      <c r="C604" s="208" t="n">
        <v>2</v>
      </c>
      <c r="D604" s="208" t="inlineStr">
        <is>
          <t>T1 Primary</t>
        </is>
      </c>
      <c r="E604" s="208" t="inlineStr">
        <is>
          <t>Subsystems</t>
        </is>
      </c>
      <c r="F604" s="208" t="n">
        <v>38.6667</v>
      </c>
      <c r="G604" s="208" t="n">
        <v>171</v>
      </c>
      <c r="H604" s="208" t="inlineStr">
        <is>
          <t>No separate deliverable explicitly named</t>
        </is>
      </c>
    </row>
    <row r="605">
      <c r="A605" s="199" t="inlineStr">
        <is>
          <t>RTM-180</t>
        </is>
      </c>
      <c r="B605" s="223" t="inlineStr">
        <is>
          <t>L2 Detailed Design</t>
        </is>
      </c>
      <c r="C605" s="199" t="n">
        <v>3</v>
      </c>
      <c r="D605" s="199" t="inlineStr">
        <is>
          <t>T1 Primary</t>
        </is>
      </c>
      <c r="E605" s="199" t="inlineStr">
        <is>
          <t>Subsystems</t>
        </is>
      </c>
      <c r="F605" s="199" t="n">
        <v>38.6667</v>
      </c>
      <c r="G605" s="199" t="n">
        <v>171</v>
      </c>
      <c r="H605" s="199" t="inlineStr">
        <is>
          <t>No separate deliverable explicitly named</t>
        </is>
      </c>
    </row>
    <row r="606">
      <c r="A606" s="208" t="inlineStr">
        <is>
          <t>RTM-210</t>
        </is>
      </c>
      <c r="B606" s="222" t="inlineStr">
        <is>
          <t>L1 Conceptual Design</t>
        </is>
      </c>
      <c r="C606" s="208" t="n">
        <v>2</v>
      </c>
      <c r="D606" s="208" t="inlineStr">
        <is>
          <t>T1 Primary</t>
        </is>
      </c>
      <c r="E606" s="208" t="inlineStr">
        <is>
          <t>Subsystems</t>
        </is>
      </c>
      <c r="F606" s="208" t="n">
        <v>38.6667</v>
      </c>
      <c r="G606" s="208" t="n">
        <v>172</v>
      </c>
      <c r="H606" s="208" t="inlineStr">
        <is>
          <t>No separate deliverable explicitly named</t>
        </is>
      </c>
    </row>
    <row r="607">
      <c r="A607" s="199" t="inlineStr">
        <is>
          <t>RTM-210</t>
        </is>
      </c>
      <c r="B607" s="223" t="inlineStr">
        <is>
          <t>L2 Detailed Design</t>
        </is>
      </c>
      <c r="C607" s="199" t="n">
        <v>3</v>
      </c>
      <c r="D607" s="199" t="inlineStr">
        <is>
          <t>T1 Primary</t>
        </is>
      </c>
      <c r="E607" s="199" t="inlineStr">
        <is>
          <t>Subsystems</t>
        </is>
      </c>
      <c r="F607" s="199" t="n">
        <v>38.6667</v>
      </c>
      <c r="G607" s="199" t="n">
        <v>172</v>
      </c>
      <c r="H607" s="199" t="inlineStr">
        <is>
          <t>No separate deliverable explicitly named</t>
        </is>
      </c>
    </row>
    <row r="608">
      <c r="A608" s="208" t="inlineStr">
        <is>
          <t>RTM-216</t>
        </is>
      </c>
      <c r="B608" s="222" t="inlineStr">
        <is>
          <t>L1 Conceptual Design</t>
        </is>
      </c>
      <c r="C608" s="208" t="n">
        <v>2</v>
      </c>
      <c r="D608" s="208" t="inlineStr">
        <is>
          <t>T1 Primary</t>
        </is>
      </c>
      <c r="E608" s="208" t="inlineStr">
        <is>
          <t>Subsystems</t>
        </is>
      </c>
      <c r="F608" s="208" t="n">
        <v>38.6667</v>
      </c>
      <c r="G608" s="208" t="n">
        <v>173</v>
      </c>
      <c r="H608" s="208" t="inlineStr">
        <is>
          <t>No separate deliverable explicitly named</t>
        </is>
      </c>
    </row>
    <row r="609">
      <c r="A609" s="199" t="inlineStr">
        <is>
          <t>RTM-216</t>
        </is>
      </c>
      <c r="B609" s="223" t="inlineStr">
        <is>
          <t>L2 Detailed Design</t>
        </is>
      </c>
      <c r="C609" s="199" t="n">
        <v>3</v>
      </c>
      <c r="D609" s="199" t="inlineStr">
        <is>
          <t>T1 Primary</t>
        </is>
      </c>
      <c r="E609" s="199" t="inlineStr">
        <is>
          <t>Subsystems</t>
        </is>
      </c>
      <c r="F609" s="199" t="n">
        <v>38.6667</v>
      </c>
      <c r="G609" s="199" t="n">
        <v>173</v>
      </c>
      <c r="H609" s="199" t="inlineStr">
        <is>
          <t>No separate deliverable explicitly named</t>
        </is>
      </c>
    </row>
    <row r="610">
      <c r="A610" s="208" t="inlineStr">
        <is>
          <t>RTM-218</t>
        </is>
      </c>
      <c r="B610" s="222" t="inlineStr">
        <is>
          <t>L1 Conceptual Design</t>
        </is>
      </c>
      <c r="C610" s="208" t="n">
        <v>2</v>
      </c>
      <c r="D610" s="208" t="inlineStr">
        <is>
          <t>T1 Primary</t>
        </is>
      </c>
      <c r="E610" s="208" t="inlineStr">
        <is>
          <t>Subsystems</t>
        </is>
      </c>
      <c r="F610" s="208" t="n">
        <v>38.6667</v>
      </c>
      <c r="G610" s="208" t="n">
        <v>174</v>
      </c>
      <c r="H610" s="208" t="inlineStr">
        <is>
          <t>No separate deliverable explicitly named</t>
        </is>
      </c>
    </row>
    <row r="611">
      <c r="A611" s="199" t="inlineStr">
        <is>
          <t>RTM-218</t>
        </is>
      </c>
      <c r="B611" s="223" t="inlineStr">
        <is>
          <t>L2 Detailed Design</t>
        </is>
      </c>
      <c r="C611" s="199" t="n">
        <v>3</v>
      </c>
      <c r="D611" s="199" t="inlineStr">
        <is>
          <t>T1 Primary</t>
        </is>
      </c>
      <c r="E611" s="199" t="inlineStr">
        <is>
          <t>Subsystems</t>
        </is>
      </c>
      <c r="F611" s="199" t="n">
        <v>38.6667</v>
      </c>
      <c r="G611" s="199" t="n">
        <v>174</v>
      </c>
      <c r="H611" s="199" t="inlineStr">
        <is>
          <t>No separate deliverable explicitly named</t>
        </is>
      </c>
    </row>
    <row r="612">
      <c r="A612" s="208" t="inlineStr">
        <is>
          <t>RTM-440</t>
        </is>
      </c>
      <c r="B612" s="222" t="inlineStr">
        <is>
          <t>L1 Conceptual Design</t>
        </is>
      </c>
      <c r="C612" s="208" t="n">
        <v>2</v>
      </c>
      <c r="D612" s="208" t="inlineStr">
        <is>
          <t>T1 Primary</t>
        </is>
      </c>
      <c r="E612" s="208" t="inlineStr">
        <is>
          <t>Design &amp; Fabrication</t>
        </is>
      </c>
      <c r="F612" s="208" t="n">
        <v>38.6667</v>
      </c>
      <c r="G612" s="208" t="n">
        <v>175</v>
      </c>
      <c r="H612" s="208" t="inlineStr">
        <is>
          <t>Drawing / diagram</t>
        </is>
      </c>
    </row>
    <row r="613">
      <c r="A613" s="199" t="inlineStr">
        <is>
          <t>RTM-440</t>
        </is>
      </c>
      <c r="B613" s="223" t="inlineStr">
        <is>
          <t>L2 Detailed Design</t>
        </is>
      </c>
      <c r="C613" s="199" t="n">
        <v>3</v>
      </c>
      <c r="D613" s="199" t="inlineStr">
        <is>
          <t>T1 Primary</t>
        </is>
      </c>
      <c r="E613" s="199" t="inlineStr">
        <is>
          <t>Design &amp; Fabrication</t>
        </is>
      </c>
      <c r="F613" s="199" t="n">
        <v>38.6667</v>
      </c>
      <c r="G613" s="199" t="n">
        <v>175</v>
      </c>
      <c r="H613" s="199" t="inlineStr">
        <is>
          <t>Drawing / diagram</t>
        </is>
      </c>
    </row>
    <row r="614">
      <c r="A614" s="208" t="inlineStr">
        <is>
          <t>RTM-465</t>
        </is>
      </c>
      <c r="B614" s="222" t="inlineStr">
        <is>
          <t>L1 Conceptual Design</t>
        </is>
      </c>
      <c r="C614" s="208" t="n">
        <v>2</v>
      </c>
      <c r="D614" s="208" t="inlineStr">
        <is>
          <t>T1 Primary</t>
        </is>
      </c>
      <c r="E614" s="208" t="inlineStr">
        <is>
          <t>Design &amp; Fabrication</t>
        </is>
      </c>
      <c r="F614" s="208" t="n">
        <v>38.6667</v>
      </c>
      <c r="G614" s="208" t="n">
        <v>176</v>
      </c>
      <c r="H614" s="208" t="inlineStr">
        <is>
          <t>No separate deliverable explicitly named</t>
        </is>
      </c>
    </row>
    <row r="615">
      <c r="A615" s="199" t="inlineStr">
        <is>
          <t>RTM-465</t>
        </is>
      </c>
      <c r="B615" s="223" t="inlineStr">
        <is>
          <t>L2 Detailed Design</t>
        </is>
      </c>
      <c r="C615" s="199" t="n">
        <v>3</v>
      </c>
      <c r="D615" s="199" t="inlineStr">
        <is>
          <t>T1 Primary</t>
        </is>
      </c>
      <c r="E615" s="199" t="inlineStr">
        <is>
          <t>Design &amp; Fabrication</t>
        </is>
      </c>
      <c r="F615" s="199" t="n">
        <v>38.6667</v>
      </c>
      <c r="G615" s="199" t="n">
        <v>176</v>
      </c>
      <c r="H615" s="199" t="inlineStr">
        <is>
          <t>No separate deliverable explicitly named</t>
        </is>
      </c>
    </row>
    <row r="616">
      <c r="A616" s="208" t="inlineStr">
        <is>
          <t>RTM-504</t>
        </is>
      </c>
      <c r="B616" s="226" t="inlineStr">
        <is>
          <t>L6 Site Acceptance Testing</t>
        </is>
      </c>
      <c r="C616" s="208" t="n">
        <v>8</v>
      </c>
      <c r="D616" s="208" t="inlineStr">
        <is>
          <t>T1 Primary</t>
        </is>
      </c>
      <c r="E616" s="208" t="inlineStr">
        <is>
          <t>Acceptance Testing</t>
        </is>
      </c>
      <c r="F616" s="208" t="n">
        <v>38.6667</v>
      </c>
      <c r="G616" s="208" t="n">
        <v>177</v>
      </c>
      <c r="H616" s="208" t="inlineStr">
        <is>
          <t>No separate deliverable explicitly named</t>
        </is>
      </c>
    </row>
    <row r="617">
      <c r="A617" s="199" t="inlineStr">
        <is>
          <t>RTM-504</t>
        </is>
      </c>
      <c r="B617" s="222" t="inlineStr">
        <is>
          <t>L1 Conceptual Design</t>
        </is>
      </c>
      <c r="C617" s="199" t="n">
        <v>2</v>
      </c>
      <c r="D617" s="199" t="inlineStr">
        <is>
          <t>T1 Primary</t>
        </is>
      </c>
      <c r="E617" s="199" t="inlineStr">
        <is>
          <t>Acceptance Testing</t>
        </is>
      </c>
      <c r="F617" s="199" t="n">
        <v>38.6667</v>
      </c>
      <c r="G617" s="199" t="n">
        <v>177</v>
      </c>
      <c r="H617" s="199" t="inlineStr">
        <is>
          <t>No separate deliverable explicitly named</t>
        </is>
      </c>
    </row>
    <row r="618">
      <c r="A618" s="208" t="inlineStr">
        <is>
          <t>RTM-504</t>
        </is>
      </c>
      <c r="B618" s="223" t="inlineStr">
        <is>
          <t>L2 Detailed Design</t>
        </is>
      </c>
      <c r="C618" s="208" t="n">
        <v>3</v>
      </c>
      <c r="D618" s="208" t="inlineStr">
        <is>
          <t>T1 Primary</t>
        </is>
      </c>
      <c r="E618" s="208" t="inlineStr">
        <is>
          <t>Acceptance Testing</t>
        </is>
      </c>
      <c r="F618" s="208" t="n">
        <v>38.6667</v>
      </c>
      <c r="G618" s="208" t="n">
        <v>177</v>
      </c>
      <c r="H618" s="208" t="inlineStr">
        <is>
          <t>No separate deliverable explicitly named</t>
        </is>
      </c>
    </row>
    <row r="619">
      <c r="A619" s="199" t="inlineStr">
        <is>
          <t>RTM-526</t>
        </is>
      </c>
      <c r="B619" s="226" t="inlineStr">
        <is>
          <t>L6 Site Acceptance Testing</t>
        </is>
      </c>
      <c r="C619" s="199" t="n">
        <v>8</v>
      </c>
      <c r="D619" s="199" t="inlineStr">
        <is>
          <t>T1 Primary</t>
        </is>
      </c>
      <c r="E619" s="199" t="inlineStr">
        <is>
          <t>Acceptance Testing</t>
        </is>
      </c>
      <c r="F619" s="199" t="n">
        <v>38.6667</v>
      </c>
      <c r="G619" s="199" t="n">
        <v>178</v>
      </c>
      <c r="H619" s="199" t="inlineStr">
        <is>
          <t>No separate deliverable explicitly named</t>
        </is>
      </c>
    </row>
    <row r="620">
      <c r="A620" s="208" t="inlineStr">
        <is>
          <t>RTM-526</t>
        </is>
      </c>
      <c r="B620" s="222" t="inlineStr">
        <is>
          <t>L1 Conceptual Design</t>
        </is>
      </c>
      <c r="C620" s="208" t="n">
        <v>2</v>
      </c>
      <c r="D620" s="208" t="inlineStr">
        <is>
          <t>T1 Primary</t>
        </is>
      </c>
      <c r="E620" s="208" t="inlineStr">
        <is>
          <t>Acceptance Testing</t>
        </is>
      </c>
      <c r="F620" s="208" t="n">
        <v>38.6667</v>
      </c>
      <c r="G620" s="208" t="n">
        <v>178</v>
      </c>
      <c r="H620" s="208" t="inlineStr">
        <is>
          <t>No separate deliverable explicitly named</t>
        </is>
      </c>
    </row>
    <row r="621">
      <c r="A621" s="199" t="inlineStr">
        <is>
          <t>RTM-526</t>
        </is>
      </c>
      <c r="B621" s="223" t="inlineStr">
        <is>
          <t>L2 Detailed Design</t>
        </is>
      </c>
      <c r="C621" s="199" t="n">
        <v>3</v>
      </c>
      <c r="D621" s="199" t="inlineStr">
        <is>
          <t>T1 Primary</t>
        </is>
      </c>
      <c r="E621" s="199" t="inlineStr">
        <is>
          <t>Acceptance Testing</t>
        </is>
      </c>
      <c r="F621" s="199" t="n">
        <v>38.6667</v>
      </c>
      <c r="G621" s="199" t="n">
        <v>178</v>
      </c>
      <c r="H621" s="199" t="inlineStr">
        <is>
          <t>No separate deliverable explicitly named</t>
        </is>
      </c>
    </row>
    <row r="622">
      <c r="A622" s="208" t="inlineStr">
        <is>
          <t>RTM-527</t>
        </is>
      </c>
      <c r="B622" s="222" t="inlineStr">
        <is>
          <t>L1 Conceptual Design</t>
        </is>
      </c>
      <c r="C622" s="208" t="n">
        <v>2</v>
      </c>
      <c r="D622" s="208" t="inlineStr">
        <is>
          <t>T1 Primary</t>
        </is>
      </c>
      <c r="E622" s="208" t="inlineStr">
        <is>
          <t>Acceptance Testing</t>
        </is>
      </c>
      <c r="F622" s="208" t="n">
        <v>38.6667</v>
      </c>
      <c r="G622" s="208" t="n">
        <v>179</v>
      </c>
      <c r="H622" s="208" t="inlineStr">
        <is>
          <t>No separate deliverable explicitly named</t>
        </is>
      </c>
    </row>
    <row r="623">
      <c r="A623" s="199" t="inlineStr">
        <is>
          <t>RTM-527</t>
        </is>
      </c>
      <c r="B623" s="223" t="inlineStr">
        <is>
          <t>L2 Detailed Design</t>
        </is>
      </c>
      <c r="C623" s="199" t="n">
        <v>3</v>
      </c>
      <c r="D623" s="199" t="inlineStr">
        <is>
          <t>T1 Primary</t>
        </is>
      </c>
      <c r="E623" s="199" t="inlineStr">
        <is>
          <t>Acceptance Testing</t>
        </is>
      </c>
      <c r="F623" s="199" t="n">
        <v>38.6667</v>
      </c>
      <c r="G623" s="199" t="n">
        <v>179</v>
      </c>
      <c r="H623" s="199" t="inlineStr">
        <is>
          <t>No separate deliverable explicitly named</t>
        </is>
      </c>
    </row>
    <row r="624">
      <c r="A624" s="208" t="inlineStr">
        <is>
          <t>RTM-528</t>
        </is>
      </c>
      <c r="B624" s="222" t="inlineStr">
        <is>
          <t>L1 Conceptual Design</t>
        </is>
      </c>
      <c r="C624" s="208" t="n">
        <v>2</v>
      </c>
      <c r="D624" s="208" t="inlineStr">
        <is>
          <t>T1 Primary</t>
        </is>
      </c>
      <c r="E624" s="208" t="inlineStr">
        <is>
          <t>Acceptance Testing</t>
        </is>
      </c>
      <c r="F624" s="208" t="n">
        <v>38.6667</v>
      </c>
      <c r="G624" s="208" t="n">
        <v>180</v>
      </c>
      <c r="H624" s="208" t="inlineStr">
        <is>
          <t>No separate deliverable explicitly named</t>
        </is>
      </c>
    </row>
    <row r="625">
      <c r="A625" s="199" t="inlineStr">
        <is>
          <t>RTM-528</t>
        </is>
      </c>
      <c r="B625" s="223" t="inlineStr">
        <is>
          <t>L2 Detailed Design</t>
        </is>
      </c>
      <c r="C625" s="199" t="n">
        <v>3</v>
      </c>
      <c r="D625" s="199" t="inlineStr">
        <is>
          <t>T1 Primary</t>
        </is>
      </c>
      <c r="E625" s="199" t="inlineStr">
        <is>
          <t>Acceptance Testing</t>
        </is>
      </c>
      <c r="F625" s="199" t="n">
        <v>38.6667</v>
      </c>
      <c r="G625" s="199" t="n">
        <v>180</v>
      </c>
      <c r="H625" s="199" t="inlineStr">
        <is>
          <t>No separate deliverable explicitly named</t>
        </is>
      </c>
    </row>
    <row r="626">
      <c r="A626" s="208" t="inlineStr">
        <is>
          <t>RTM-529</t>
        </is>
      </c>
      <c r="B626" s="222" t="inlineStr">
        <is>
          <t>L1 Conceptual Design</t>
        </is>
      </c>
      <c r="C626" s="208" t="n">
        <v>2</v>
      </c>
      <c r="D626" s="208" t="inlineStr">
        <is>
          <t>T1 Primary</t>
        </is>
      </c>
      <c r="E626" s="208" t="inlineStr">
        <is>
          <t>Acceptance Testing</t>
        </is>
      </c>
      <c r="F626" s="208" t="n">
        <v>38.6667</v>
      </c>
      <c r="G626" s="208" t="n">
        <v>181</v>
      </c>
      <c r="H626" s="208" t="inlineStr">
        <is>
          <t>No separate deliverable explicitly named</t>
        </is>
      </c>
    </row>
    <row r="627">
      <c r="A627" s="199" t="inlineStr">
        <is>
          <t>RTM-529</t>
        </is>
      </c>
      <c r="B627" s="223" t="inlineStr">
        <is>
          <t>L2 Detailed Design</t>
        </is>
      </c>
      <c r="C627" s="199" t="n">
        <v>3</v>
      </c>
      <c r="D627" s="199" t="inlineStr">
        <is>
          <t>T1 Primary</t>
        </is>
      </c>
      <c r="E627" s="199" t="inlineStr">
        <is>
          <t>Acceptance Testing</t>
        </is>
      </c>
      <c r="F627" s="199" t="n">
        <v>38.6667</v>
      </c>
      <c r="G627" s="199" t="n">
        <v>181</v>
      </c>
      <c r="H627" s="199" t="inlineStr">
        <is>
          <t>No separate deliverable explicitly named</t>
        </is>
      </c>
    </row>
    <row r="628">
      <c r="A628" s="208" t="inlineStr">
        <is>
          <t>RTM-534</t>
        </is>
      </c>
      <c r="B628" s="226" t="inlineStr">
        <is>
          <t>L6 Site Acceptance Testing</t>
        </is>
      </c>
      <c r="C628" s="208" t="n">
        <v>8</v>
      </c>
      <c r="D628" s="208" t="inlineStr">
        <is>
          <t>T1 Primary</t>
        </is>
      </c>
      <c r="E628" s="208" t="inlineStr">
        <is>
          <t>Acceptance Testing</t>
        </is>
      </c>
      <c r="F628" s="208" t="n">
        <v>38.6667</v>
      </c>
      <c r="G628" s="208" t="n">
        <v>182</v>
      </c>
      <c r="H628" s="208" t="inlineStr">
        <is>
          <t>No separate deliverable explicitly named</t>
        </is>
      </c>
    </row>
    <row r="629">
      <c r="A629" s="199" t="inlineStr">
        <is>
          <t>RTM-534</t>
        </is>
      </c>
      <c r="B629" s="222" t="inlineStr">
        <is>
          <t>L1 Conceptual Design</t>
        </is>
      </c>
      <c r="C629" s="199" t="n">
        <v>2</v>
      </c>
      <c r="D629" s="199" t="inlineStr">
        <is>
          <t>T1 Primary</t>
        </is>
      </c>
      <c r="E629" s="199" t="inlineStr">
        <is>
          <t>Acceptance Testing</t>
        </is>
      </c>
      <c r="F629" s="199" t="n">
        <v>38.6667</v>
      </c>
      <c r="G629" s="199" t="n">
        <v>182</v>
      </c>
      <c r="H629" s="199" t="inlineStr">
        <is>
          <t>No separate deliverable explicitly named</t>
        </is>
      </c>
    </row>
    <row r="630">
      <c r="A630" s="208" t="inlineStr">
        <is>
          <t>RTM-534</t>
        </is>
      </c>
      <c r="B630" s="223" t="inlineStr">
        <is>
          <t>L2 Detailed Design</t>
        </is>
      </c>
      <c r="C630" s="208" t="n">
        <v>3</v>
      </c>
      <c r="D630" s="208" t="inlineStr">
        <is>
          <t>T1 Primary</t>
        </is>
      </c>
      <c r="E630" s="208" t="inlineStr">
        <is>
          <t>Acceptance Testing</t>
        </is>
      </c>
      <c r="F630" s="208" t="n">
        <v>38.6667</v>
      </c>
      <c r="G630" s="208" t="n">
        <v>182</v>
      </c>
      <c r="H630" s="208" t="inlineStr">
        <is>
          <t>No separate deliverable explicitly named</t>
        </is>
      </c>
    </row>
    <row r="631">
      <c r="A631" s="199" t="inlineStr">
        <is>
          <t>RTM-535</t>
        </is>
      </c>
      <c r="B631" s="226" t="inlineStr">
        <is>
          <t>L6 Site Acceptance Testing</t>
        </is>
      </c>
      <c r="C631" s="199" t="n">
        <v>8</v>
      </c>
      <c r="D631" s="199" t="inlineStr">
        <is>
          <t>T1 Primary</t>
        </is>
      </c>
      <c r="E631" s="199" t="inlineStr">
        <is>
          <t>Acceptance Testing</t>
        </is>
      </c>
      <c r="F631" s="199" t="n">
        <v>38.6667</v>
      </c>
      <c r="G631" s="199" t="n">
        <v>183</v>
      </c>
      <c r="H631" s="199" t="inlineStr">
        <is>
          <t>No separate deliverable explicitly named</t>
        </is>
      </c>
    </row>
    <row r="632">
      <c r="A632" s="208" t="inlineStr">
        <is>
          <t>RTM-535</t>
        </is>
      </c>
      <c r="B632" s="222" t="inlineStr">
        <is>
          <t>L1 Conceptual Design</t>
        </is>
      </c>
      <c r="C632" s="208" t="n">
        <v>2</v>
      </c>
      <c r="D632" s="208" t="inlineStr">
        <is>
          <t>T1 Primary</t>
        </is>
      </c>
      <c r="E632" s="208" t="inlineStr">
        <is>
          <t>Acceptance Testing</t>
        </is>
      </c>
      <c r="F632" s="208" t="n">
        <v>38.6667</v>
      </c>
      <c r="G632" s="208" t="n">
        <v>183</v>
      </c>
      <c r="H632" s="208" t="inlineStr">
        <is>
          <t>No separate deliverable explicitly named</t>
        </is>
      </c>
    </row>
    <row r="633">
      <c r="A633" s="199" t="inlineStr">
        <is>
          <t>RTM-535</t>
        </is>
      </c>
      <c r="B633" s="223" t="inlineStr">
        <is>
          <t>L2 Detailed Design</t>
        </is>
      </c>
      <c r="C633" s="199" t="n">
        <v>3</v>
      </c>
      <c r="D633" s="199" t="inlineStr">
        <is>
          <t>T1 Primary</t>
        </is>
      </c>
      <c r="E633" s="199" t="inlineStr">
        <is>
          <t>Acceptance Testing</t>
        </is>
      </c>
      <c r="F633" s="199" t="n">
        <v>38.6667</v>
      </c>
      <c r="G633" s="199" t="n">
        <v>183</v>
      </c>
      <c r="H633" s="199" t="inlineStr">
        <is>
          <t>No separate deliverable explicitly named</t>
        </is>
      </c>
    </row>
    <row r="634">
      <c r="A634" s="208" t="inlineStr">
        <is>
          <t>RTM-539</t>
        </is>
      </c>
      <c r="B634" s="226" t="inlineStr">
        <is>
          <t>L6 Site Acceptance Testing</t>
        </is>
      </c>
      <c r="C634" s="208" t="n">
        <v>8</v>
      </c>
      <c r="D634" s="208" t="inlineStr">
        <is>
          <t>T1 Primary</t>
        </is>
      </c>
      <c r="E634" s="208" t="inlineStr">
        <is>
          <t>Acceptance Testing</t>
        </is>
      </c>
      <c r="F634" s="208" t="n">
        <v>38.6667</v>
      </c>
      <c r="G634" s="208" t="n">
        <v>184</v>
      </c>
      <c r="H634" s="208" t="inlineStr">
        <is>
          <t>No separate deliverable explicitly named</t>
        </is>
      </c>
    </row>
    <row r="635">
      <c r="A635" s="199" t="inlineStr">
        <is>
          <t>RTM-539</t>
        </is>
      </c>
      <c r="B635" s="222" t="inlineStr">
        <is>
          <t>L1 Conceptual Design</t>
        </is>
      </c>
      <c r="C635" s="199" t="n">
        <v>2</v>
      </c>
      <c r="D635" s="199" t="inlineStr">
        <is>
          <t>T1 Primary</t>
        </is>
      </c>
      <c r="E635" s="199" t="inlineStr">
        <is>
          <t>Acceptance Testing</t>
        </is>
      </c>
      <c r="F635" s="199" t="n">
        <v>38.6667</v>
      </c>
      <c r="G635" s="199" t="n">
        <v>184</v>
      </c>
      <c r="H635" s="199" t="inlineStr">
        <is>
          <t>No separate deliverable explicitly named</t>
        </is>
      </c>
    </row>
    <row r="636">
      <c r="A636" s="208" t="inlineStr">
        <is>
          <t>RTM-539</t>
        </is>
      </c>
      <c r="B636" s="223" t="inlineStr">
        <is>
          <t>L2 Detailed Design</t>
        </is>
      </c>
      <c r="C636" s="208" t="n">
        <v>3</v>
      </c>
      <c r="D636" s="208" t="inlineStr">
        <is>
          <t>T1 Primary</t>
        </is>
      </c>
      <c r="E636" s="208" t="inlineStr">
        <is>
          <t>Acceptance Testing</t>
        </is>
      </c>
      <c r="F636" s="208" t="n">
        <v>38.6667</v>
      </c>
      <c r="G636" s="208" t="n">
        <v>184</v>
      </c>
      <c r="H636" s="208" t="inlineStr">
        <is>
          <t>No separate deliverable explicitly named</t>
        </is>
      </c>
    </row>
    <row r="637">
      <c r="A637" s="199" t="inlineStr">
        <is>
          <t>RTM-540</t>
        </is>
      </c>
      <c r="B637" s="226" t="inlineStr">
        <is>
          <t>L6 Site Acceptance Testing</t>
        </is>
      </c>
      <c r="C637" s="199" t="n">
        <v>8</v>
      </c>
      <c r="D637" s="199" t="inlineStr">
        <is>
          <t>T1 Primary</t>
        </is>
      </c>
      <c r="E637" s="199" t="inlineStr">
        <is>
          <t>Acceptance Testing</t>
        </is>
      </c>
      <c r="F637" s="199" t="n">
        <v>38.6667</v>
      </c>
      <c r="G637" s="199" t="n">
        <v>185</v>
      </c>
      <c r="H637" s="199" t="inlineStr">
        <is>
          <t>No separate deliverable explicitly named</t>
        </is>
      </c>
    </row>
    <row r="638">
      <c r="A638" s="208" t="inlineStr">
        <is>
          <t>RTM-540</t>
        </is>
      </c>
      <c r="B638" s="222" t="inlineStr">
        <is>
          <t>L1 Conceptual Design</t>
        </is>
      </c>
      <c r="C638" s="208" t="n">
        <v>2</v>
      </c>
      <c r="D638" s="208" t="inlineStr">
        <is>
          <t>T1 Primary</t>
        </is>
      </c>
      <c r="E638" s="208" t="inlineStr">
        <is>
          <t>Acceptance Testing</t>
        </is>
      </c>
      <c r="F638" s="208" t="n">
        <v>38.6667</v>
      </c>
      <c r="G638" s="208" t="n">
        <v>185</v>
      </c>
      <c r="H638" s="208" t="inlineStr">
        <is>
          <t>No separate deliverable explicitly named</t>
        </is>
      </c>
    </row>
    <row r="639">
      <c r="A639" s="199" t="inlineStr">
        <is>
          <t>RTM-540</t>
        </is>
      </c>
      <c r="B639" s="223" t="inlineStr">
        <is>
          <t>L2 Detailed Design</t>
        </is>
      </c>
      <c r="C639" s="199" t="n">
        <v>3</v>
      </c>
      <c r="D639" s="199" t="inlineStr">
        <is>
          <t>T1 Primary</t>
        </is>
      </c>
      <c r="E639" s="199" t="inlineStr">
        <is>
          <t>Acceptance Testing</t>
        </is>
      </c>
      <c r="F639" s="199" t="n">
        <v>38.6667</v>
      </c>
      <c r="G639" s="199" t="n">
        <v>185</v>
      </c>
      <c r="H639" s="199" t="inlineStr">
        <is>
          <t>No separate deliverable explicitly named</t>
        </is>
      </c>
    </row>
    <row r="640">
      <c r="A640" s="208" t="inlineStr">
        <is>
          <t>RTM-543</t>
        </is>
      </c>
      <c r="B640" s="226" t="inlineStr">
        <is>
          <t>L6 Site Acceptance Testing</t>
        </is>
      </c>
      <c r="C640" s="208" t="n">
        <v>8</v>
      </c>
      <c r="D640" s="208" t="inlineStr">
        <is>
          <t>T1 Primary</t>
        </is>
      </c>
      <c r="E640" s="208" t="inlineStr">
        <is>
          <t>Acceptance Testing</t>
        </is>
      </c>
      <c r="F640" s="208" t="n">
        <v>38.6667</v>
      </c>
      <c r="G640" s="208" t="n">
        <v>186</v>
      </c>
      <c r="H640" s="208" t="inlineStr">
        <is>
          <t>No separate deliverable explicitly named</t>
        </is>
      </c>
    </row>
    <row r="641">
      <c r="A641" s="199" t="inlineStr">
        <is>
          <t>RTM-543</t>
        </is>
      </c>
      <c r="B641" s="222" t="inlineStr">
        <is>
          <t>L1 Conceptual Design</t>
        </is>
      </c>
      <c r="C641" s="199" t="n">
        <v>2</v>
      </c>
      <c r="D641" s="199" t="inlineStr">
        <is>
          <t>T1 Primary</t>
        </is>
      </c>
      <c r="E641" s="199" t="inlineStr">
        <is>
          <t>Acceptance Testing</t>
        </is>
      </c>
      <c r="F641" s="199" t="n">
        <v>38.6667</v>
      </c>
      <c r="G641" s="199" t="n">
        <v>186</v>
      </c>
      <c r="H641" s="199" t="inlineStr">
        <is>
          <t>No separate deliverable explicitly named</t>
        </is>
      </c>
    </row>
    <row r="642">
      <c r="A642" s="208" t="inlineStr">
        <is>
          <t>RTM-543</t>
        </is>
      </c>
      <c r="B642" s="223" t="inlineStr">
        <is>
          <t>L2 Detailed Design</t>
        </is>
      </c>
      <c r="C642" s="208" t="n">
        <v>3</v>
      </c>
      <c r="D642" s="208" t="inlineStr">
        <is>
          <t>T1 Primary</t>
        </is>
      </c>
      <c r="E642" s="208" t="inlineStr">
        <is>
          <t>Acceptance Testing</t>
        </is>
      </c>
      <c r="F642" s="208" t="n">
        <v>38.6667</v>
      </c>
      <c r="G642" s="208" t="n">
        <v>186</v>
      </c>
      <c r="H642" s="208" t="inlineStr">
        <is>
          <t>No separate deliverable explicitly named</t>
        </is>
      </c>
    </row>
    <row r="643">
      <c r="A643" s="199" t="inlineStr">
        <is>
          <t>RTM-565</t>
        </is>
      </c>
      <c r="B643" s="222" t="inlineStr">
        <is>
          <t>L1 Conceptual Design</t>
        </is>
      </c>
      <c r="C643" s="199" t="n">
        <v>2</v>
      </c>
      <c r="D643" s="199" t="inlineStr">
        <is>
          <t>T1 Primary</t>
        </is>
      </c>
      <c r="E643" s="199" t="inlineStr">
        <is>
          <t>After-Sales</t>
        </is>
      </c>
      <c r="F643" s="199" t="n">
        <v>38.6667</v>
      </c>
      <c r="G643" s="199" t="n">
        <v>187</v>
      </c>
      <c r="H643" s="199" t="inlineStr">
        <is>
          <t>No separate deliverable explicitly named</t>
        </is>
      </c>
    </row>
    <row r="644">
      <c r="A644" s="208" t="inlineStr">
        <is>
          <t>RTM-565</t>
        </is>
      </c>
      <c r="B644" s="223" t="inlineStr">
        <is>
          <t>L2 Detailed Design</t>
        </is>
      </c>
      <c r="C644" s="208" t="n">
        <v>3</v>
      </c>
      <c r="D644" s="208" t="inlineStr">
        <is>
          <t>T1 Primary</t>
        </is>
      </c>
      <c r="E644" s="208" t="inlineStr">
        <is>
          <t>After-Sales</t>
        </is>
      </c>
      <c r="F644" s="208" t="n">
        <v>38.6667</v>
      </c>
      <c r="G644" s="208" t="n">
        <v>187</v>
      </c>
      <c r="H644" s="208" t="inlineStr">
        <is>
          <t>No separate deliverable explicitly named</t>
        </is>
      </c>
    </row>
    <row r="645">
      <c r="A645" s="199" t="inlineStr">
        <is>
          <t>RTM-346</t>
        </is>
      </c>
      <c r="B645" s="222" t="inlineStr">
        <is>
          <t>L1 Conceptual Design</t>
        </is>
      </c>
      <c r="C645" s="199" t="n">
        <v>2</v>
      </c>
      <c r="D645" s="199" t="inlineStr">
        <is>
          <t>T1 Primary</t>
        </is>
      </c>
      <c r="E645" s="199" t="inlineStr">
        <is>
          <t>Control &amp; Interlock</t>
        </is>
      </c>
      <c r="F645" s="199" t="n">
        <v>38.6667</v>
      </c>
      <c r="G645" s="199" t="n">
        <v>188</v>
      </c>
      <c r="H645" s="199" t="inlineStr">
        <is>
          <t>No separate deliverable explicitly named</t>
        </is>
      </c>
    </row>
    <row r="646">
      <c r="A646" s="208" t="inlineStr">
        <is>
          <t>RTM-346</t>
        </is>
      </c>
      <c r="B646" s="223" t="inlineStr">
        <is>
          <t>L2 Detailed Design</t>
        </is>
      </c>
      <c r="C646" s="208" t="n">
        <v>3</v>
      </c>
      <c r="D646" s="208" t="inlineStr">
        <is>
          <t>T1 Primary</t>
        </is>
      </c>
      <c r="E646" s="208" t="inlineStr">
        <is>
          <t>Control &amp; Interlock</t>
        </is>
      </c>
      <c r="F646" s="208" t="n">
        <v>38.6667</v>
      </c>
      <c r="G646" s="208" t="n">
        <v>188</v>
      </c>
      <c r="H646" s="208" t="inlineStr">
        <is>
          <t>No separate deliverable explicitly named</t>
        </is>
      </c>
    </row>
    <row r="647">
      <c r="A647" s="199" t="inlineStr">
        <is>
          <t>RTM-320</t>
        </is>
      </c>
      <c r="B647" s="222" t="inlineStr">
        <is>
          <t>L1 Conceptual Design</t>
        </is>
      </c>
      <c r="C647" s="199" t="n">
        <v>2</v>
      </c>
      <c r="D647" s="199" t="inlineStr">
        <is>
          <t>T1 Primary</t>
        </is>
      </c>
      <c r="E647" s="199" t="inlineStr">
        <is>
          <t>Control &amp; Interlock</t>
        </is>
      </c>
      <c r="F647" s="199" t="n">
        <v>38</v>
      </c>
      <c r="G647" s="199" t="n">
        <v>189</v>
      </c>
      <c r="H647" s="199" t="inlineStr">
        <is>
          <t>No separate deliverable explicitly named</t>
        </is>
      </c>
    </row>
    <row r="648">
      <c r="A648" s="208" t="inlineStr">
        <is>
          <t>RTM-320</t>
        </is>
      </c>
      <c r="B648" s="223" t="inlineStr">
        <is>
          <t>L2 Detailed Design</t>
        </is>
      </c>
      <c r="C648" s="208" t="n">
        <v>3</v>
      </c>
      <c r="D648" s="208" t="inlineStr">
        <is>
          <t>T1 Primary</t>
        </is>
      </c>
      <c r="E648" s="208" t="inlineStr">
        <is>
          <t>Control &amp; Interlock</t>
        </is>
      </c>
      <c r="F648" s="208" t="n">
        <v>38</v>
      </c>
      <c r="G648" s="208" t="n">
        <v>189</v>
      </c>
      <c r="H648" s="208" t="inlineStr">
        <is>
          <t>No separate deliverable explicitly named</t>
        </is>
      </c>
    </row>
    <row r="649">
      <c r="A649" s="199" t="inlineStr">
        <is>
          <t>RTM-352</t>
        </is>
      </c>
      <c r="B649" s="222" t="inlineStr">
        <is>
          <t>L1 Conceptual Design</t>
        </is>
      </c>
      <c r="C649" s="199" t="n">
        <v>2</v>
      </c>
      <c r="D649" s="199" t="inlineStr">
        <is>
          <t>T1 Primary</t>
        </is>
      </c>
      <c r="E649" s="199" t="inlineStr">
        <is>
          <t>Control &amp; Interlock</t>
        </is>
      </c>
      <c r="F649" s="199" t="n">
        <v>38</v>
      </c>
      <c r="G649" s="199" t="n">
        <v>190</v>
      </c>
      <c r="H649" s="199" t="inlineStr">
        <is>
          <t>No separate deliverable explicitly named</t>
        </is>
      </c>
    </row>
    <row r="650">
      <c r="A650" s="208" t="inlineStr">
        <is>
          <t>RTM-352</t>
        </is>
      </c>
      <c r="B650" s="223" t="inlineStr">
        <is>
          <t>L2 Detailed Design</t>
        </is>
      </c>
      <c r="C650" s="208" t="n">
        <v>3</v>
      </c>
      <c r="D650" s="208" t="inlineStr">
        <is>
          <t>T1 Primary</t>
        </is>
      </c>
      <c r="E650" s="208" t="inlineStr">
        <is>
          <t>Control &amp; Interlock</t>
        </is>
      </c>
      <c r="F650" s="208" t="n">
        <v>38</v>
      </c>
      <c r="G650" s="208" t="n">
        <v>190</v>
      </c>
      <c r="H650" s="208" t="inlineStr">
        <is>
          <t>No separate deliverable explicitly named</t>
        </is>
      </c>
    </row>
    <row r="651">
      <c r="A651" s="199" t="inlineStr">
        <is>
          <t>RTM-375</t>
        </is>
      </c>
      <c r="B651" s="222" t="inlineStr">
        <is>
          <t>L1 Conceptual Design</t>
        </is>
      </c>
      <c r="C651" s="199" t="n">
        <v>2</v>
      </c>
      <c r="D651" s="199" t="inlineStr">
        <is>
          <t>T1 Primary</t>
        </is>
      </c>
      <c r="E651" s="199" t="inlineStr">
        <is>
          <t>Control &amp; Interlock</t>
        </is>
      </c>
      <c r="F651" s="199" t="n">
        <v>38</v>
      </c>
      <c r="G651" s="199" t="n">
        <v>191</v>
      </c>
      <c r="H651" s="199" t="inlineStr">
        <is>
          <t>No separate deliverable explicitly named</t>
        </is>
      </c>
    </row>
    <row r="652">
      <c r="A652" s="208" t="inlineStr">
        <is>
          <t>RTM-375</t>
        </is>
      </c>
      <c r="B652" s="223" t="inlineStr">
        <is>
          <t>L2 Detailed Design</t>
        </is>
      </c>
      <c r="C652" s="208" t="n">
        <v>3</v>
      </c>
      <c r="D652" s="208" t="inlineStr">
        <is>
          <t>T1 Primary</t>
        </is>
      </c>
      <c r="E652" s="208" t="inlineStr">
        <is>
          <t>Control &amp; Interlock</t>
        </is>
      </c>
      <c r="F652" s="208" t="n">
        <v>38</v>
      </c>
      <c r="G652" s="208" t="n">
        <v>191</v>
      </c>
      <c r="H652" s="208" t="inlineStr">
        <is>
          <t>No separate deliverable explicitly named</t>
        </is>
      </c>
    </row>
    <row r="653">
      <c r="A653" s="199" t="inlineStr">
        <is>
          <t>RTM-339</t>
        </is>
      </c>
      <c r="B653" s="222" t="inlineStr">
        <is>
          <t>L1 Conceptual Design</t>
        </is>
      </c>
      <c r="C653" s="199" t="n">
        <v>2</v>
      </c>
      <c r="D653" s="199" t="inlineStr">
        <is>
          <t>T1 Primary</t>
        </is>
      </c>
      <c r="E653" s="199" t="inlineStr">
        <is>
          <t>Control &amp; Interlock</t>
        </is>
      </c>
      <c r="F653" s="199" t="n">
        <v>37.6667</v>
      </c>
      <c r="G653" s="199" t="n">
        <v>192</v>
      </c>
      <c r="H653" s="199" t="inlineStr">
        <is>
          <t>No separate deliverable explicitly named</t>
        </is>
      </c>
    </row>
    <row r="654">
      <c r="A654" s="208" t="inlineStr">
        <is>
          <t>RTM-339</t>
        </is>
      </c>
      <c r="B654" s="223" t="inlineStr">
        <is>
          <t>L2 Detailed Design</t>
        </is>
      </c>
      <c r="C654" s="208" t="n">
        <v>3</v>
      </c>
      <c r="D654" s="208" t="inlineStr">
        <is>
          <t>T1 Primary</t>
        </is>
      </c>
      <c r="E654" s="208" t="inlineStr">
        <is>
          <t>Control &amp; Interlock</t>
        </is>
      </c>
      <c r="F654" s="208" t="n">
        <v>37.6667</v>
      </c>
      <c r="G654" s="208" t="n">
        <v>192</v>
      </c>
      <c r="H654" s="208" t="inlineStr">
        <is>
          <t>No separate deliverable explicitly named</t>
        </is>
      </c>
    </row>
    <row r="655">
      <c r="A655" s="199" t="inlineStr">
        <is>
          <t>RTM-086</t>
        </is>
      </c>
      <c r="B655" s="222" t="inlineStr">
        <is>
          <t>L1 Conceptual Design</t>
        </is>
      </c>
      <c r="C655" s="199" t="n">
        <v>2</v>
      </c>
      <c r="D655" s="199" t="inlineStr">
        <is>
          <t>T1 Primary</t>
        </is>
      </c>
      <c r="E655" s="199" t="inlineStr">
        <is>
          <t>Subsystems</t>
        </is>
      </c>
      <c r="F655" s="199" t="n">
        <v>37.3333</v>
      </c>
      <c r="G655" s="199" t="n">
        <v>193</v>
      </c>
      <c r="H655" s="199" t="inlineStr">
        <is>
          <t>No separate deliverable explicitly named</t>
        </is>
      </c>
    </row>
    <row r="656">
      <c r="A656" s="208" t="inlineStr">
        <is>
          <t>RTM-086</t>
        </is>
      </c>
      <c r="B656" s="223" t="inlineStr">
        <is>
          <t>L2 Detailed Design</t>
        </is>
      </c>
      <c r="C656" s="208" t="n">
        <v>3</v>
      </c>
      <c r="D656" s="208" t="inlineStr">
        <is>
          <t>T1 Primary</t>
        </is>
      </c>
      <c r="E656" s="208" t="inlineStr">
        <is>
          <t>Subsystems</t>
        </is>
      </c>
      <c r="F656" s="208" t="n">
        <v>37.3333</v>
      </c>
      <c r="G656" s="208" t="n">
        <v>193</v>
      </c>
      <c r="H656" s="208" t="inlineStr">
        <is>
          <t>No separate deliverable explicitly named</t>
        </is>
      </c>
    </row>
    <row r="657">
      <c r="A657" s="199" t="inlineStr">
        <is>
          <t>RTM-087</t>
        </is>
      </c>
      <c r="B657" s="220" t="inlineStr">
        <is>
          <t>L4 Installation</t>
        </is>
      </c>
      <c r="C657" s="199" t="n">
        <v>6</v>
      </c>
      <c r="D657" s="199" t="inlineStr">
        <is>
          <t>T1 Primary</t>
        </is>
      </c>
      <c r="E657" s="199" t="inlineStr">
        <is>
          <t>Subsystems</t>
        </is>
      </c>
      <c r="F657" s="199" t="n">
        <v>37.3333</v>
      </c>
      <c r="G657" s="199" t="n">
        <v>194</v>
      </c>
      <c r="H657" s="199" t="inlineStr">
        <is>
          <t>No separate deliverable explicitly named</t>
        </is>
      </c>
    </row>
    <row r="658">
      <c r="A658" s="208" t="inlineStr">
        <is>
          <t>RTM-087</t>
        </is>
      </c>
      <c r="B658" s="222" t="inlineStr">
        <is>
          <t>L1 Conceptual Design</t>
        </is>
      </c>
      <c r="C658" s="208" t="n">
        <v>2</v>
      </c>
      <c r="D658" s="208" t="inlineStr">
        <is>
          <t>T1 Primary</t>
        </is>
      </c>
      <c r="E658" s="208" t="inlineStr">
        <is>
          <t>Subsystems</t>
        </is>
      </c>
      <c r="F658" s="208" t="n">
        <v>37.3333</v>
      </c>
      <c r="G658" s="208" t="n">
        <v>194</v>
      </c>
      <c r="H658" s="208" t="inlineStr">
        <is>
          <t>No separate deliverable explicitly named</t>
        </is>
      </c>
    </row>
    <row r="659">
      <c r="A659" s="199" t="inlineStr">
        <is>
          <t>RTM-087</t>
        </is>
      </c>
      <c r="B659" s="223" t="inlineStr">
        <is>
          <t>L2 Detailed Design</t>
        </is>
      </c>
      <c r="C659" s="199" t="n">
        <v>3</v>
      </c>
      <c r="D659" s="199" t="inlineStr">
        <is>
          <t>T1 Primary</t>
        </is>
      </c>
      <c r="E659" s="199" t="inlineStr">
        <is>
          <t>Subsystems</t>
        </is>
      </c>
      <c r="F659" s="199" t="n">
        <v>37.3333</v>
      </c>
      <c r="G659" s="199" t="n">
        <v>194</v>
      </c>
      <c r="H659" s="199" t="inlineStr">
        <is>
          <t>No separate deliverable explicitly named</t>
        </is>
      </c>
    </row>
    <row r="660">
      <c r="A660" s="208" t="inlineStr">
        <is>
          <t>RTM-088</t>
        </is>
      </c>
      <c r="B660" s="222" t="inlineStr">
        <is>
          <t>L1 Conceptual Design</t>
        </is>
      </c>
      <c r="C660" s="208" t="n">
        <v>2</v>
      </c>
      <c r="D660" s="208" t="inlineStr">
        <is>
          <t>T1 Primary</t>
        </is>
      </c>
      <c r="E660" s="208" t="inlineStr">
        <is>
          <t>Subsystems</t>
        </is>
      </c>
      <c r="F660" s="208" t="n">
        <v>37.3333</v>
      </c>
      <c r="G660" s="208" t="n">
        <v>195</v>
      </c>
      <c r="H660" s="208" t="inlineStr">
        <is>
          <t>No separate deliverable explicitly named</t>
        </is>
      </c>
    </row>
    <row r="661">
      <c r="A661" s="199" t="inlineStr">
        <is>
          <t>RTM-088</t>
        </is>
      </c>
      <c r="B661" s="223" t="inlineStr">
        <is>
          <t>L2 Detailed Design</t>
        </is>
      </c>
      <c r="C661" s="199" t="n">
        <v>3</v>
      </c>
      <c r="D661" s="199" t="inlineStr">
        <is>
          <t>T1 Primary</t>
        </is>
      </c>
      <c r="E661" s="199" t="inlineStr">
        <is>
          <t>Subsystems</t>
        </is>
      </c>
      <c r="F661" s="199" t="n">
        <v>37.3333</v>
      </c>
      <c r="G661" s="199" t="n">
        <v>195</v>
      </c>
      <c r="H661" s="199" t="inlineStr">
        <is>
          <t>No separate deliverable explicitly named</t>
        </is>
      </c>
    </row>
    <row r="662">
      <c r="A662" s="208" t="inlineStr">
        <is>
          <t>RTM-114</t>
        </is>
      </c>
      <c r="B662" s="223" t="inlineStr">
        <is>
          <t>L2 Detailed Design</t>
        </is>
      </c>
      <c r="C662" s="208" t="n">
        <v>3</v>
      </c>
      <c r="D662" s="208" t="inlineStr">
        <is>
          <t>T1 Primary</t>
        </is>
      </c>
      <c r="E662" s="208" t="inlineStr">
        <is>
          <t>Subsystems</t>
        </is>
      </c>
      <c r="F662" s="208" t="n">
        <v>37.3333</v>
      </c>
      <c r="G662" s="208" t="n">
        <v>196</v>
      </c>
      <c r="H662" s="208" t="inlineStr">
        <is>
          <t>No separate deliverable explicitly named</t>
        </is>
      </c>
    </row>
    <row r="663">
      <c r="A663" s="199" t="inlineStr">
        <is>
          <t>RTM-114</t>
        </is>
      </c>
      <c r="B663" s="222" t="inlineStr">
        <is>
          <t>L1 Conceptual Design</t>
        </is>
      </c>
      <c r="C663" s="199" t="n">
        <v>2</v>
      </c>
      <c r="D663" s="199" t="inlineStr">
        <is>
          <t>T1 Primary</t>
        </is>
      </c>
      <c r="E663" s="199" t="inlineStr">
        <is>
          <t>Subsystems</t>
        </is>
      </c>
      <c r="F663" s="199" t="n">
        <v>37.3333</v>
      </c>
      <c r="G663" s="199" t="n">
        <v>196</v>
      </c>
      <c r="H663" s="199" t="inlineStr">
        <is>
          <t>No separate deliverable explicitly named</t>
        </is>
      </c>
    </row>
    <row r="664">
      <c r="A664" s="208" t="inlineStr">
        <is>
          <t>RTM-140</t>
        </is>
      </c>
      <c r="B664" s="222" t="inlineStr">
        <is>
          <t>L1 Conceptual Design</t>
        </is>
      </c>
      <c r="C664" s="208" t="n">
        <v>2</v>
      </c>
      <c r="D664" s="208" t="inlineStr">
        <is>
          <t>T1 Primary</t>
        </is>
      </c>
      <c r="E664" s="208" t="inlineStr">
        <is>
          <t>Subsystems</t>
        </is>
      </c>
      <c r="F664" s="208" t="n">
        <v>37.3333</v>
      </c>
      <c r="G664" s="208" t="n">
        <v>197</v>
      </c>
      <c r="H664" s="208" t="inlineStr">
        <is>
          <t>No separate deliverable explicitly named</t>
        </is>
      </c>
    </row>
    <row r="665">
      <c r="A665" s="199" t="inlineStr">
        <is>
          <t>RTM-140</t>
        </is>
      </c>
      <c r="B665" s="223" t="inlineStr">
        <is>
          <t>L2 Detailed Design</t>
        </is>
      </c>
      <c r="C665" s="199" t="n">
        <v>3</v>
      </c>
      <c r="D665" s="199" t="inlineStr">
        <is>
          <t>T1 Primary</t>
        </is>
      </c>
      <c r="E665" s="199" t="inlineStr">
        <is>
          <t>Subsystems</t>
        </is>
      </c>
      <c r="F665" s="199" t="n">
        <v>37.3333</v>
      </c>
      <c r="G665" s="199" t="n">
        <v>197</v>
      </c>
      <c r="H665" s="199" t="inlineStr">
        <is>
          <t>No separate deliverable explicitly named</t>
        </is>
      </c>
    </row>
    <row r="666">
      <c r="A666" s="208" t="inlineStr">
        <is>
          <t>RTM-152</t>
        </is>
      </c>
      <c r="B666" s="222" t="inlineStr">
        <is>
          <t>L1 Conceptual Design</t>
        </is>
      </c>
      <c r="C666" s="208" t="n">
        <v>2</v>
      </c>
      <c r="D666" s="208" t="inlineStr">
        <is>
          <t>T1 Primary</t>
        </is>
      </c>
      <c r="E666" s="208" t="inlineStr">
        <is>
          <t>Subsystems</t>
        </is>
      </c>
      <c r="F666" s="208" t="n">
        <v>37.3333</v>
      </c>
      <c r="G666" s="208" t="n">
        <v>198</v>
      </c>
      <c r="H666" s="208" t="inlineStr">
        <is>
          <t>No separate deliverable explicitly named</t>
        </is>
      </c>
    </row>
    <row r="667">
      <c r="A667" s="199" t="inlineStr">
        <is>
          <t>RTM-152</t>
        </is>
      </c>
      <c r="B667" s="223" t="inlineStr">
        <is>
          <t>L2 Detailed Design</t>
        </is>
      </c>
      <c r="C667" s="199" t="n">
        <v>3</v>
      </c>
      <c r="D667" s="199" t="inlineStr">
        <is>
          <t>T1 Primary</t>
        </is>
      </c>
      <c r="E667" s="199" t="inlineStr">
        <is>
          <t>Subsystems</t>
        </is>
      </c>
      <c r="F667" s="199" t="n">
        <v>37.3333</v>
      </c>
      <c r="G667" s="199" t="n">
        <v>198</v>
      </c>
      <c r="H667" s="199" t="inlineStr">
        <is>
          <t>No separate deliverable explicitly named</t>
        </is>
      </c>
    </row>
    <row r="668">
      <c r="A668" s="208" t="inlineStr">
        <is>
          <t>RTM-559</t>
        </is>
      </c>
      <c r="B668" s="220" t="inlineStr">
        <is>
          <t>L4 Installation</t>
        </is>
      </c>
      <c r="C668" s="208" t="n">
        <v>6</v>
      </c>
      <c r="D668" s="208" t="inlineStr">
        <is>
          <t>T1 Primary</t>
        </is>
      </c>
      <c r="E668" s="208" t="inlineStr">
        <is>
          <t>Other Deliverables</t>
        </is>
      </c>
      <c r="F668" s="208" t="n">
        <v>37.3333</v>
      </c>
      <c r="G668" s="208" t="n">
        <v>199</v>
      </c>
      <c r="H668" s="208" t="inlineStr">
        <is>
          <t>No separate deliverable explicitly named</t>
        </is>
      </c>
    </row>
    <row r="669">
      <c r="A669" s="199" t="inlineStr">
        <is>
          <t>RTM-559</t>
        </is>
      </c>
      <c r="B669" s="222" t="inlineStr">
        <is>
          <t>L1 Conceptual Design</t>
        </is>
      </c>
      <c r="C669" s="199" t="n">
        <v>2</v>
      </c>
      <c r="D669" s="199" t="inlineStr">
        <is>
          <t>T1 Primary</t>
        </is>
      </c>
      <c r="E669" s="199" t="inlineStr">
        <is>
          <t>Other Deliverables</t>
        </is>
      </c>
      <c r="F669" s="199" t="n">
        <v>37.3333</v>
      </c>
      <c r="G669" s="199" t="n">
        <v>199</v>
      </c>
      <c r="H669" s="199" t="inlineStr">
        <is>
          <t>No separate deliverable explicitly named</t>
        </is>
      </c>
    </row>
    <row r="670">
      <c r="A670" s="208" t="inlineStr">
        <is>
          <t>RTM-559</t>
        </is>
      </c>
      <c r="B670" s="223" t="inlineStr">
        <is>
          <t>L2 Detailed Design</t>
        </is>
      </c>
      <c r="C670" s="208" t="n">
        <v>3</v>
      </c>
      <c r="D670" s="208" t="inlineStr">
        <is>
          <t>T1 Primary</t>
        </is>
      </c>
      <c r="E670" s="208" t="inlineStr">
        <is>
          <t>Other Deliverables</t>
        </is>
      </c>
      <c r="F670" s="208" t="n">
        <v>37.3333</v>
      </c>
      <c r="G670" s="208" t="n">
        <v>199</v>
      </c>
      <c r="H670" s="208" t="inlineStr">
        <is>
          <t>No separate deliverable explicitly named</t>
        </is>
      </c>
    </row>
    <row r="671">
      <c r="A671" s="199" t="inlineStr">
        <is>
          <t>RTM-582</t>
        </is>
      </c>
      <c r="B671" s="224" t="inlineStr">
        <is>
          <t>L3 Procurement &amp; Manufacturing / FAT</t>
        </is>
      </c>
      <c r="C671" s="199" t="n">
        <v>4</v>
      </c>
      <c r="D671" s="199" t="inlineStr">
        <is>
          <t>T2 Secondary</t>
        </is>
      </c>
      <c r="E671" s="199" t="inlineStr">
        <is>
          <t>Technical Documentation</t>
        </is>
      </c>
      <c r="F671" s="199" t="n">
        <v>37.3333</v>
      </c>
      <c r="G671" s="199" t="n">
        <v>200</v>
      </c>
      <c r="H671" s="199" t="inlineStr">
        <is>
          <t>Manufacturing File; Installation File; Quality Control Report; Certificate / calibration evidence</t>
        </is>
      </c>
    </row>
    <row r="672">
      <c r="A672" s="208" t="inlineStr">
        <is>
          <t>RTM-582</t>
        </is>
      </c>
      <c r="B672" s="220" t="inlineStr">
        <is>
          <t>L4 Installation</t>
        </is>
      </c>
      <c r="C672" s="208" t="n">
        <v>6</v>
      </c>
      <c r="D672" s="208" t="inlineStr">
        <is>
          <t>T2 Secondary</t>
        </is>
      </c>
      <c r="E672" s="208" t="inlineStr">
        <is>
          <t>Technical Documentation</t>
        </is>
      </c>
      <c r="F672" s="208" t="n">
        <v>37.3333</v>
      </c>
      <c r="G672" s="208" t="n">
        <v>200</v>
      </c>
      <c r="H672" s="208" t="inlineStr">
        <is>
          <t>Manufacturing File; Installation File; Quality Control Report; Certificate / calibration evidence</t>
        </is>
      </c>
    </row>
    <row r="673">
      <c r="A673" s="199" t="inlineStr">
        <is>
          <t>RTM-582</t>
        </is>
      </c>
      <c r="B673" s="222" t="inlineStr">
        <is>
          <t>L1 Conceptual Design</t>
        </is>
      </c>
      <c r="C673" s="199" t="n">
        <v>2</v>
      </c>
      <c r="D673" s="199" t="inlineStr">
        <is>
          <t>T2 Secondary</t>
        </is>
      </c>
      <c r="E673" s="199" t="inlineStr">
        <is>
          <t>Technical Documentation</t>
        </is>
      </c>
      <c r="F673" s="199" t="n">
        <v>37.3333</v>
      </c>
      <c r="G673" s="199" t="n">
        <v>200</v>
      </c>
      <c r="H673" s="199" t="inlineStr">
        <is>
          <t>Manufacturing File; Installation File; Quality Control Report; Certificate / calibration evidence</t>
        </is>
      </c>
    </row>
    <row r="674">
      <c r="A674" s="208" t="inlineStr">
        <is>
          <t>RTM-582</t>
        </is>
      </c>
      <c r="B674" s="223" t="inlineStr">
        <is>
          <t>L2 Detailed Design</t>
        </is>
      </c>
      <c r="C674" s="208" t="n">
        <v>3</v>
      </c>
      <c r="D674" s="208" t="inlineStr">
        <is>
          <t>T2 Secondary</t>
        </is>
      </c>
      <c r="E674" s="208" t="inlineStr">
        <is>
          <t>Technical Documentation</t>
        </is>
      </c>
      <c r="F674" s="208" t="n">
        <v>37.3333</v>
      </c>
      <c r="G674" s="208" t="n">
        <v>200</v>
      </c>
      <c r="H674" s="208" t="inlineStr">
        <is>
          <t>Manufacturing File; Installation File; Quality Control Report; Certificate / calibration evidence</t>
        </is>
      </c>
    </row>
    <row r="675">
      <c r="A675" s="199" t="inlineStr">
        <is>
          <t>RTM-261</t>
        </is>
      </c>
      <c r="B675" s="222" t="inlineStr">
        <is>
          <t>L1 Conceptual Design</t>
        </is>
      </c>
      <c r="C675" s="199" t="n">
        <v>2</v>
      </c>
      <c r="D675" s="199" t="inlineStr">
        <is>
          <t>T2 Secondary</t>
        </is>
      </c>
      <c r="E675" s="199" t="inlineStr">
        <is>
          <t>Subsystems</t>
        </is>
      </c>
      <c r="F675" s="199" t="n">
        <v>36.6667</v>
      </c>
      <c r="G675" s="199" t="n">
        <v>201</v>
      </c>
      <c r="H675" s="199" t="inlineStr">
        <is>
          <t>No separate deliverable explicitly named</t>
        </is>
      </c>
    </row>
    <row r="676">
      <c r="A676" s="208" t="inlineStr">
        <is>
          <t>RTM-261</t>
        </is>
      </c>
      <c r="B676" s="223" t="inlineStr">
        <is>
          <t>L2 Detailed Design</t>
        </is>
      </c>
      <c r="C676" s="208" t="n">
        <v>3</v>
      </c>
      <c r="D676" s="208" t="inlineStr">
        <is>
          <t>T2 Secondary</t>
        </is>
      </c>
      <c r="E676" s="208" t="inlineStr">
        <is>
          <t>Subsystems</t>
        </is>
      </c>
      <c r="F676" s="208" t="n">
        <v>36.6667</v>
      </c>
      <c r="G676" s="208" t="n">
        <v>201</v>
      </c>
      <c r="H676" s="208" t="inlineStr">
        <is>
          <t>No separate deliverable explicitly named</t>
        </is>
      </c>
    </row>
    <row r="677">
      <c r="A677" s="199" t="inlineStr">
        <is>
          <t>RTM-490</t>
        </is>
      </c>
      <c r="B677" s="220" t="inlineStr">
        <is>
          <t>L4 Installation</t>
        </is>
      </c>
      <c r="C677" s="199" t="n">
        <v>6</v>
      </c>
      <c r="D677" s="199" t="inlineStr">
        <is>
          <t>T2 Secondary</t>
        </is>
      </c>
      <c r="E677" s="199" t="inlineStr">
        <is>
          <t>Training</t>
        </is>
      </c>
      <c r="F677" s="199" t="n">
        <v>36.6667</v>
      </c>
      <c r="G677" s="199" t="n">
        <v>202</v>
      </c>
      <c r="H677" s="199" t="inlineStr">
        <is>
          <t>Procedure / work instruction</t>
        </is>
      </c>
    </row>
    <row r="678">
      <c r="A678" s="208" t="inlineStr">
        <is>
          <t>RTM-490</t>
        </is>
      </c>
      <c r="B678" s="227" t="inlineStr">
        <is>
          <t>PAC / Handover</t>
        </is>
      </c>
      <c r="C678" s="208" t="n">
        <v>9</v>
      </c>
      <c r="D678" s="208" t="inlineStr">
        <is>
          <t>T2 Secondary</t>
        </is>
      </c>
      <c r="E678" s="208" t="inlineStr">
        <is>
          <t>Training</t>
        </is>
      </c>
      <c r="F678" s="208" t="n">
        <v>36.6667</v>
      </c>
      <c r="G678" s="208" t="n">
        <v>202</v>
      </c>
      <c r="H678" s="208" t="inlineStr">
        <is>
          <t>Procedure / work instruction</t>
        </is>
      </c>
    </row>
    <row r="679">
      <c r="A679" s="199" t="inlineStr">
        <is>
          <t>RTM-490</t>
        </is>
      </c>
      <c r="B679" s="222" t="inlineStr">
        <is>
          <t>L1 Conceptual Design</t>
        </is>
      </c>
      <c r="C679" s="199" t="n">
        <v>2</v>
      </c>
      <c r="D679" s="199" t="inlineStr">
        <is>
          <t>T2 Secondary</t>
        </is>
      </c>
      <c r="E679" s="199" t="inlineStr">
        <is>
          <t>Training</t>
        </is>
      </c>
      <c r="F679" s="199" t="n">
        <v>36.6667</v>
      </c>
      <c r="G679" s="199" t="n">
        <v>202</v>
      </c>
      <c r="H679" s="199" t="inlineStr">
        <is>
          <t>Procedure / work instruction</t>
        </is>
      </c>
    </row>
    <row r="680">
      <c r="A680" s="208" t="inlineStr">
        <is>
          <t>RTM-490</t>
        </is>
      </c>
      <c r="B680" s="223" t="inlineStr">
        <is>
          <t>L2 Detailed Design</t>
        </is>
      </c>
      <c r="C680" s="208" t="n">
        <v>3</v>
      </c>
      <c r="D680" s="208" t="inlineStr">
        <is>
          <t>T2 Secondary</t>
        </is>
      </c>
      <c r="E680" s="208" t="inlineStr">
        <is>
          <t>Training</t>
        </is>
      </c>
      <c r="F680" s="208" t="n">
        <v>36.6667</v>
      </c>
      <c r="G680" s="208" t="n">
        <v>202</v>
      </c>
      <c r="H680" s="208" t="inlineStr">
        <is>
          <t>Procedure / work instruction</t>
        </is>
      </c>
    </row>
    <row r="681">
      <c r="A681" s="199" t="inlineStr">
        <is>
          <t>RTM-369</t>
        </is>
      </c>
      <c r="B681" s="228" t="inlineStr">
        <is>
          <t>Warranty</t>
        </is>
      </c>
      <c r="C681" s="199" t="n">
        <v>10</v>
      </c>
      <c r="D681" s="199" t="inlineStr">
        <is>
          <t>T2 Secondary</t>
        </is>
      </c>
      <c r="E681" s="199" t="inlineStr">
        <is>
          <t>Control &amp; Interlock</t>
        </is>
      </c>
      <c r="F681" s="199" t="n">
        <v>36.3333</v>
      </c>
      <c r="G681" s="199" t="n">
        <v>203</v>
      </c>
      <c r="H681" s="199" t="inlineStr">
        <is>
          <t>No separate deliverable explicitly named</t>
        </is>
      </c>
    </row>
    <row r="682">
      <c r="A682" s="208" t="inlineStr">
        <is>
          <t>RTM-369</t>
        </is>
      </c>
      <c r="B682" s="222" t="inlineStr">
        <is>
          <t>L1 Conceptual Design</t>
        </is>
      </c>
      <c r="C682" s="208" t="n">
        <v>2</v>
      </c>
      <c r="D682" s="208" t="inlineStr">
        <is>
          <t>T2 Secondary</t>
        </is>
      </c>
      <c r="E682" s="208" t="inlineStr">
        <is>
          <t>Control &amp; Interlock</t>
        </is>
      </c>
      <c r="F682" s="208" t="n">
        <v>36.3333</v>
      </c>
      <c r="G682" s="208" t="n">
        <v>203</v>
      </c>
      <c r="H682" s="208" t="inlineStr">
        <is>
          <t>No separate deliverable explicitly named</t>
        </is>
      </c>
    </row>
    <row r="683">
      <c r="A683" s="199" t="inlineStr">
        <is>
          <t>RTM-369</t>
        </is>
      </c>
      <c r="B683" s="223" t="inlineStr">
        <is>
          <t>L2 Detailed Design</t>
        </is>
      </c>
      <c r="C683" s="199" t="n">
        <v>3</v>
      </c>
      <c r="D683" s="199" t="inlineStr">
        <is>
          <t>T2 Secondary</t>
        </is>
      </c>
      <c r="E683" s="199" t="inlineStr">
        <is>
          <t>Control &amp; Interlock</t>
        </is>
      </c>
      <c r="F683" s="199" t="n">
        <v>36.3333</v>
      </c>
      <c r="G683" s="199" t="n">
        <v>203</v>
      </c>
      <c r="H683" s="199" t="inlineStr">
        <is>
          <t>No separate deliverable explicitly named</t>
        </is>
      </c>
    </row>
    <row r="684">
      <c r="A684" s="208" t="inlineStr">
        <is>
          <t>RTM-012</t>
        </is>
      </c>
      <c r="B684" s="222" t="inlineStr">
        <is>
          <t>L1 Conceptual Design</t>
        </is>
      </c>
      <c r="C684" s="208" t="n">
        <v>2</v>
      </c>
      <c r="D684" s="208" t="inlineStr">
        <is>
          <t>T2 Secondary</t>
        </is>
      </c>
      <c r="E684" s="208" t="inlineStr">
        <is>
          <t>Process &amp; Functional</t>
        </is>
      </c>
      <c r="F684" s="208" t="n">
        <v>36</v>
      </c>
      <c r="G684" s="208" t="n">
        <v>204</v>
      </c>
      <c r="H684" s="208" t="inlineStr">
        <is>
          <t>No separate deliverable explicitly named</t>
        </is>
      </c>
    </row>
    <row r="685">
      <c r="A685" s="199" t="inlineStr">
        <is>
          <t>RTM-012</t>
        </is>
      </c>
      <c r="B685" s="223" t="inlineStr">
        <is>
          <t>L2 Detailed Design</t>
        </is>
      </c>
      <c r="C685" s="199" t="n">
        <v>3</v>
      </c>
      <c r="D685" s="199" t="inlineStr">
        <is>
          <t>T2 Secondary</t>
        </is>
      </c>
      <c r="E685" s="199" t="inlineStr">
        <is>
          <t>Process &amp; Functional</t>
        </is>
      </c>
      <c r="F685" s="199" t="n">
        <v>36</v>
      </c>
      <c r="G685" s="199" t="n">
        <v>204</v>
      </c>
      <c r="H685" s="199" t="inlineStr">
        <is>
          <t>No separate deliverable explicitly named</t>
        </is>
      </c>
    </row>
    <row r="686">
      <c r="A686" s="208" t="inlineStr">
        <is>
          <t>RTM-013</t>
        </is>
      </c>
      <c r="B686" s="222" t="inlineStr">
        <is>
          <t>L1 Conceptual Design</t>
        </is>
      </c>
      <c r="C686" s="208" t="n">
        <v>2</v>
      </c>
      <c r="D686" s="208" t="inlineStr">
        <is>
          <t>T2 Secondary</t>
        </is>
      </c>
      <c r="E686" s="208" t="inlineStr">
        <is>
          <t>Process &amp; Functional</t>
        </is>
      </c>
      <c r="F686" s="208" t="n">
        <v>36</v>
      </c>
      <c r="G686" s="208" t="n">
        <v>205</v>
      </c>
      <c r="H686" s="208" t="inlineStr">
        <is>
          <t>No separate deliverable explicitly named</t>
        </is>
      </c>
    </row>
    <row r="687">
      <c r="A687" s="199" t="inlineStr">
        <is>
          <t>RTM-013</t>
        </is>
      </c>
      <c r="B687" s="223" t="inlineStr">
        <is>
          <t>L2 Detailed Design</t>
        </is>
      </c>
      <c r="C687" s="199" t="n">
        <v>3</v>
      </c>
      <c r="D687" s="199" t="inlineStr">
        <is>
          <t>T2 Secondary</t>
        </is>
      </c>
      <c r="E687" s="199" t="inlineStr">
        <is>
          <t>Process &amp; Functional</t>
        </is>
      </c>
      <c r="F687" s="199" t="n">
        <v>36</v>
      </c>
      <c r="G687" s="199" t="n">
        <v>205</v>
      </c>
      <c r="H687" s="199" t="inlineStr">
        <is>
          <t>No separate deliverable explicitly named</t>
        </is>
      </c>
    </row>
    <row r="688">
      <c r="A688" s="208" t="inlineStr">
        <is>
          <t>RTM-016</t>
        </is>
      </c>
      <c r="B688" s="222" t="inlineStr">
        <is>
          <t>L1 Conceptual Design</t>
        </is>
      </c>
      <c r="C688" s="208" t="n">
        <v>2</v>
      </c>
      <c r="D688" s="208" t="inlineStr">
        <is>
          <t>T2 Secondary</t>
        </is>
      </c>
      <c r="E688" s="208" t="inlineStr">
        <is>
          <t>Process &amp; Functional</t>
        </is>
      </c>
      <c r="F688" s="208" t="n">
        <v>36</v>
      </c>
      <c r="G688" s="208" t="n">
        <v>206</v>
      </c>
      <c r="H688" s="208" t="inlineStr">
        <is>
          <t>No separate deliverable explicitly named</t>
        </is>
      </c>
    </row>
    <row r="689">
      <c r="A689" s="199" t="inlineStr">
        <is>
          <t>RTM-016</t>
        </is>
      </c>
      <c r="B689" s="223" t="inlineStr">
        <is>
          <t>L2 Detailed Design</t>
        </is>
      </c>
      <c r="C689" s="199" t="n">
        <v>3</v>
      </c>
      <c r="D689" s="199" t="inlineStr">
        <is>
          <t>T2 Secondary</t>
        </is>
      </c>
      <c r="E689" s="199" t="inlineStr">
        <is>
          <t>Process &amp; Functional</t>
        </is>
      </c>
      <c r="F689" s="199" t="n">
        <v>36</v>
      </c>
      <c r="G689" s="199" t="n">
        <v>206</v>
      </c>
      <c r="H689" s="199" t="inlineStr">
        <is>
          <t>No separate deliverable explicitly named</t>
        </is>
      </c>
    </row>
    <row r="690">
      <c r="A690" s="208" t="inlineStr">
        <is>
          <t>RTM-018</t>
        </is>
      </c>
      <c r="B690" s="222" t="inlineStr">
        <is>
          <t>L1 Conceptual Design</t>
        </is>
      </c>
      <c r="C690" s="208" t="n">
        <v>2</v>
      </c>
      <c r="D690" s="208" t="inlineStr">
        <is>
          <t>T2 Secondary</t>
        </is>
      </c>
      <c r="E690" s="208" t="inlineStr">
        <is>
          <t>Process &amp; Functional</t>
        </is>
      </c>
      <c r="F690" s="208" t="n">
        <v>36</v>
      </c>
      <c r="G690" s="208" t="n">
        <v>207</v>
      </c>
      <c r="H690" s="208" t="inlineStr">
        <is>
          <t>No separate deliverable explicitly named</t>
        </is>
      </c>
    </row>
    <row r="691">
      <c r="A691" s="199" t="inlineStr">
        <is>
          <t>RTM-018</t>
        </is>
      </c>
      <c r="B691" s="223" t="inlineStr">
        <is>
          <t>L2 Detailed Design</t>
        </is>
      </c>
      <c r="C691" s="199" t="n">
        <v>3</v>
      </c>
      <c r="D691" s="199" t="inlineStr">
        <is>
          <t>T2 Secondary</t>
        </is>
      </c>
      <c r="E691" s="199" t="inlineStr">
        <is>
          <t>Process &amp; Functional</t>
        </is>
      </c>
      <c r="F691" s="199" t="n">
        <v>36</v>
      </c>
      <c r="G691" s="199" t="n">
        <v>207</v>
      </c>
      <c r="H691" s="199" t="inlineStr">
        <is>
          <t>No separate deliverable explicitly named</t>
        </is>
      </c>
    </row>
    <row r="692">
      <c r="A692" s="208" t="inlineStr">
        <is>
          <t>RTM-019</t>
        </is>
      </c>
      <c r="B692" s="222" t="inlineStr">
        <is>
          <t>L1 Conceptual Design</t>
        </is>
      </c>
      <c r="C692" s="208" t="n">
        <v>2</v>
      </c>
      <c r="D692" s="208" t="inlineStr">
        <is>
          <t>T2 Secondary</t>
        </is>
      </c>
      <c r="E692" s="208" t="inlineStr">
        <is>
          <t>Process &amp; Functional</t>
        </is>
      </c>
      <c r="F692" s="208" t="n">
        <v>36</v>
      </c>
      <c r="G692" s="208" t="n">
        <v>208</v>
      </c>
      <c r="H692" s="208" t="inlineStr">
        <is>
          <t>No separate deliverable explicitly named</t>
        </is>
      </c>
    </row>
    <row r="693">
      <c r="A693" s="199" t="inlineStr">
        <is>
          <t>RTM-019</t>
        </is>
      </c>
      <c r="B693" s="223" t="inlineStr">
        <is>
          <t>L2 Detailed Design</t>
        </is>
      </c>
      <c r="C693" s="199" t="n">
        <v>3</v>
      </c>
      <c r="D693" s="199" t="inlineStr">
        <is>
          <t>T2 Secondary</t>
        </is>
      </c>
      <c r="E693" s="199" t="inlineStr">
        <is>
          <t>Process &amp; Functional</t>
        </is>
      </c>
      <c r="F693" s="199" t="n">
        <v>36</v>
      </c>
      <c r="G693" s="199" t="n">
        <v>208</v>
      </c>
      <c r="H693" s="199" t="inlineStr">
        <is>
          <t>No separate deliverable explicitly named</t>
        </is>
      </c>
    </row>
    <row r="694">
      <c r="A694" s="208" t="inlineStr">
        <is>
          <t>RTM-023</t>
        </is>
      </c>
      <c r="B694" s="222" t="inlineStr">
        <is>
          <t>L1 Conceptual Design</t>
        </is>
      </c>
      <c r="C694" s="208" t="n">
        <v>2</v>
      </c>
      <c r="D694" s="208" t="inlineStr">
        <is>
          <t>T2 Secondary</t>
        </is>
      </c>
      <c r="E694" s="208" t="inlineStr">
        <is>
          <t>Process &amp; Functional</t>
        </is>
      </c>
      <c r="F694" s="208" t="n">
        <v>36</v>
      </c>
      <c r="G694" s="208" t="n">
        <v>209</v>
      </c>
      <c r="H694" s="208" t="inlineStr">
        <is>
          <t>No separate deliverable explicitly named</t>
        </is>
      </c>
    </row>
    <row r="695">
      <c r="A695" s="199" t="inlineStr">
        <is>
          <t>RTM-023</t>
        </is>
      </c>
      <c r="B695" s="223" t="inlineStr">
        <is>
          <t>L2 Detailed Design</t>
        </is>
      </c>
      <c r="C695" s="199" t="n">
        <v>3</v>
      </c>
      <c r="D695" s="199" t="inlineStr">
        <is>
          <t>T2 Secondary</t>
        </is>
      </c>
      <c r="E695" s="199" t="inlineStr">
        <is>
          <t>Process &amp; Functional</t>
        </is>
      </c>
      <c r="F695" s="199" t="n">
        <v>36</v>
      </c>
      <c r="G695" s="199" t="n">
        <v>209</v>
      </c>
      <c r="H695" s="199" t="inlineStr">
        <is>
          <t>No separate deliverable explicitly named</t>
        </is>
      </c>
    </row>
    <row r="696">
      <c r="A696" s="208" t="inlineStr">
        <is>
          <t>RTM-025</t>
        </is>
      </c>
      <c r="B696" s="222" t="inlineStr">
        <is>
          <t>L1 Conceptual Design</t>
        </is>
      </c>
      <c r="C696" s="208" t="n">
        <v>2</v>
      </c>
      <c r="D696" s="208" t="inlineStr">
        <is>
          <t>T2 Secondary</t>
        </is>
      </c>
      <c r="E696" s="208" t="inlineStr">
        <is>
          <t>Process &amp; Functional</t>
        </is>
      </c>
      <c r="F696" s="208" t="n">
        <v>36</v>
      </c>
      <c r="G696" s="208" t="n">
        <v>210</v>
      </c>
      <c r="H696" s="208" t="inlineStr">
        <is>
          <t>No separate deliverable explicitly named</t>
        </is>
      </c>
    </row>
    <row r="697">
      <c r="A697" s="199" t="inlineStr">
        <is>
          <t>RTM-025</t>
        </is>
      </c>
      <c r="B697" s="223" t="inlineStr">
        <is>
          <t>L2 Detailed Design</t>
        </is>
      </c>
      <c r="C697" s="199" t="n">
        <v>3</v>
      </c>
      <c r="D697" s="199" t="inlineStr">
        <is>
          <t>T2 Secondary</t>
        </is>
      </c>
      <c r="E697" s="199" t="inlineStr">
        <is>
          <t>Process &amp; Functional</t>
        </is>
      </c>
      <c r="F697" s="199" t="n">
        <v>36</v>
      </c>
      <c r="G697" s="199" t="n">
        <v>210</v>
      </c>
      <c r="H697" s="199" t="inlineStr">
        <is>
          <t>No separate deliverable explicitly named</t>
        </is>
      </c>
    </row>
    <row r="698">
      <c r="A698" s="208" t="inlineStr">
        <is>
          <t>RTM-028</t>
        </is>
      </c>
      <c r="B698" s="222" t="inlineStr">
        <is>
          <t>L1 Conceptual Design</t>
        </is>
      </c>
      <c r="C698" s="208" t="n">
        <v>2</v>
      </c>
      <c r="D698" s="208" t="inlineStr">
        <is>
          <t>T2 Secondary</t>
        </is>
      </c>
      <c r="E698" s="208" t="inlineStr">
        <is>
          <t>Process &amp; Functional</t>
        </is>
      </c>
      <c r="F698" s="208" t="n">
        <v>36</v>
      </c>
      <c r="G698" s="208" t="n">
        <v>211</v>
      </c>
      <c r="H698" s="208" t="inlineStr">
        <is>
          <t>No separate deliverable explicitly named</t>
        </is>
      </c>
    </row>
    <row r="699">
      <c r="A699" s="199" t="inlineStr">
        <is>
          <t>RTM-028</t>
        </is>
      </c>
      <c r="B699" s="223" t="inlineStr">
        <is>
          <t>L2 Detailed Design</t>
        </is>
      </c>
      <c r="C699" s="199" t="n">
        <v>3</v>
      </c>
      <c r="D699" s="199" t="inlineStr">
        <is>
          <t>T2 Secondary</t>
        </is>
      </c>
      <c r="E699" s="199" t="inlineStr">
        <is>
          <t>Process &amp; Functional</t>
        </is>
      </c>
      <c r="F699" s="199" t="n">
        <v>36</v>
      </c>
      <c r="G699" s="199" t="n">
        <v>211</v>
      </c>
      <c r="H699" s="199" t="inlineStr">
        <is>
          <t>No separate deliverable explicitly named</t>
        </is>
      </c>
    </row>
    <row r="700">
      <c r="A700" s="208" t="inlineStr">
        <is>
          <t>RTM-030</t>
        </is>
      </c>
      <c r="B700" s="222" t="inlineStr">
        <is>
          <t>L1 Conceptual Design</t>
        </is>
      </c>
      <c r="C700" s="208" t="n">
        <v>2</v>
      </c>
      <c r="D700" s="208" t="inlineStr">
        <is>
          <t>T2 Secondary</t>
        </is>
      </c>
      <c r="E700" s="208" t="inlineStr">
        <is>
          <t>Process &amp; Functional</t>
        </is>
      </c>
      <c r="F700" s="208" t="n">
        <v>36</v>
      </c>
      <c r="G700" s="208" t="n">
        <v>212</v>
      </c>
      <c r="H700" s="208" t="inlineStr">
        <is>
          <t>No separate deliverable explicitly named</t>
        </is>
      </c>
    </row>
    <row r="701">
      <c r="A701" s="199" t="inlineStr">
        <is>
          <t>RTM-030</t>
        </is>
      </c>
      <c r="B701" s="223" t="inlineStr">
        <is>
          <t>L2 Detailed Design</t>
        </is>
      </c>
      <c r="C701" s="199" t="n">
        <v>3</v>
      </c>
      <c r="D701" s="199" t="inlineStr">
        <is>
          <t>T2 Secondary</t>
        </is>
      </c>
      <c r="E701" s="199" t="inlineStr">
        <is>
          <t>Process &amp; Functional</t>
        </is>
      </c>
      <c r="F701" s="199" t="n">
        <v>36</v>
      </c>
      <c r="G701" s="199" t="n">
        <v>212</v>
      </c>
      <c r="H701" s="199" t="inlineStr">
        <is>
          <t>No separate deliverable explicitly named</t>
        </is>
      </c>
    </row>
    <row r="702">
      <c r="A702" s="208" t="inlineStr">
        <is>
          <t>RTM-031</t>
        </is>
      </c>
      <c r="B702" s="222" t="inlineStr">
        <is>
          <t>L1 Conceptual Design</t>
        </is>
      </c>
      <c r="C702" s="208" t="n">
        <v>2</v>
      </c>
      <c r="D702" s="208" t="inlineStr">
        <is>
          <t>T2 Secondary</t>
        </is>
      </c>
      <c r="E702" s="208" t="inlineStr">
        <is>
          <t>Process &amp; Functional</t>
        </is>
      </c>
      <c r="F702" s="208" t="n">
        <v>36</v>
      </c>
      <c r="G702" s="208" t="n">
        <v>213</v>
      </c>
      <c r="H702" s="208" t="inlineStr">
        <is>
          <t>No separate deliverable explicitly named</t>
        </is>
      </c>
    </row>
    <row r="703">
      <c r="A703" s="199" t="inlineStr">
        <is>
          <t>RTM-031</t>
        </is>
      </c>
      <c r="B703" s="223" t="inlineStr">
        <is>
          <t>L2 Detailed Design</t>
        </is>
      </c>
      <c r="C703" s="199" t="n">
        <v>3</v>
      </c>
      <c r="D703" s="199" t="inlineStr">
        <is>
          <t>T2 Secondary</t>
        </is>
      </c>
      <c r="E703" s="199" t="inlineStr">
        <is>
          <t>Process &amp; Functional</t>
        </is>
      </c>
      <c r="F703" s="199" t="n">
        <v>36</v>
      </c>
      <c r="G703" s="199" t="n">
        <v>213</v>
      </c>
      <c r="H703" s="199" t="inlineStr">
        <is>
          <t>No separate deliverable explicitly named</t>
        </is>
      </c>
    </row>
    <row r="704">
      <c r="A704" s="208" t="inlineStr">
        <is>
          <t>RTM-032</t>
        </is>
      </c>
      <c r="B704" s="222" t="inlineStr">
        <is>
          <t>L1 Conceptual Design</t>
        </is>
      </c>
      <c r="C704" s="208" t="n">
        <v>2</v>
      </c>
      <c r="D704" s="208" t="inlineStr">
        <is>
          <t>T2 Secondary</t>
        </is>
      </c>
      <c r="E704" s="208" t="inlineStr">
        <is>
          <t>Process &amp; Functional</t>
        </is>
      </c>
      <c r="F704" s="208" t="n">
        <v>36</v>
      </c>
      <c r="G704" s="208" t="n">
        <v>214</v>
      </c>
      <c r="H704" s="208" t="inlineStr">
        <is>
          <t>No separate deliverable explicitly named</t>
        </is>
      </c>
    </row>
    <row r="705">
      <c r="A705" s="199" t="inlineStr">
        <is>
          <t>RTM-032</t>
        </is>
      </c>
      <c r="B705" s="223" t="inlineStr">
        <is>
          <t>L2 Detailed Design</t>
        </is>
      </c>
      <c r="C705" s="199" t="n">
        <v>3</v>
      </c>
      <c r="D705" s="199" t="inlineStr">
        <is>
          <t>T2 Secondary</t>
        </is>
      </c>
      <c r="E705" s="199" t="inlineStr">
        <is>
          <t>Process &amp; Functional</t>
        </is>
      </c>
      <c r="F705" s="199" t="n">
        <v>36</v>
      </c>
      <c r="G705" s="199" t="n">
        <v>214</v>
      </c>
      <c r="H705" s="199" t="inlineStr">
        <is>
          <t>No separate deliverable explicitly named</t>
        </is>
      </c>
    </row>
    <row r="706">
      <c r="A706" s="208" t="inlineStr">
        <is>
          <t>RTM-033</t>
        </is>
      </c>
      <c r="B706" s="222" t="inlineStr">
        <is>
          <t>L1 Conceptual Design</t>
        </is>
      </c>
      <c r="C706" s="208" t="n">
        <v>2</v>
      </c>
      <c r="D706" s="208" t="inlineStr">
        <is>
          <t>T2 Secondary</t>
        </is>
      </c>
      <c r="E706" s="208" t="inlineStr">
        <is>
          <t>Process &amp; Functional</t>
        </is>
      </c>
      <c r="F706" s="208" t="n">
        <v>36</v>
      </c>
      <c r="G706" s="208" t="n">
        <v>215</v>
      </c>
      <c r="H706" s="208" t="inlineStr">
        <is>
          <t>No separate deliverable explicitly named</t>
        </is>
      </c>
    </row>
    <row r="707">
      <c r="A707" s="199" t="inlineStr">
        <is>
          <t>RTM-033</t>
        </is>
      </c>
      <c r="B707" s="223" t="inlineStr">
        <is>
          <t>L2 Detailed Design</t>
        </is>
      </c>
      <c r="C707" s="199" t="n">
        <v>3</v>
      </c>
      <c r="D707" s="199" t="inlineStr">
        <is>
          <t>T2 Secondary</t>
        </is>
      </c>
      <c r="E707" s="199" t="inlineStr">
        <is>
          <t>Process &amp; Functional</t>
        </is>
      </c>
      <c r="F707" s="199" t="n">
        <v>36</v>
      </c>
      <c r="G707" s="199" t="n">
        <v>215</v>
      </c>
      <c r="H707" s="199" t="inlineStr">
        <is>
          <t>No separate deliverable explicitly named</t>
        </is>
      </c>
    </row>
    <row r="708">
      <c r="A708" s="208" t="inlineStr">
        <is>
          <t>RTM-034</t>
        </is>
      </c>
      <c r="B708" s="222" t="inlineStr">
        <is>
          <t>L1 Conceptual Design</t>
        </is>
      </c>
      <c r="C708" s="208" t="n">
        <v>2</v>
      </c>
      <c r="D708" s="208" t="inlineStr">
        <is>
          <t>T2 Secondary</t>
        </is>
      </c>
      <c r="E708" s="208" t="inlineStr">
        <is>
          <t>Process &amp; Functional</t>
        </is>
      </c>
      <c r="F708" s="208" t="n">
        <v>36</v>
      </c>
      <c r="G708" s="208" t="n">
        <v>216</v>
      </c>
      <c r="H708" s="208" t="inlineStr">
        <is>
          <t>No separate deliverable explicitly named</t>
        </is>
      </c>
    </row>
    <row r="709">
      <c r="A709" s="199" t="inlineStr">
        <is>
          <t>RTM-034</t>
        </is>
      </c>
      <c r="B709" s="223" t="inlineStr">
        <is>
          <t>L2 Detailed Design</t>
        </is>
      </c>
      <c r="C709" s="199" t="n">
        <v>3</v>
      </c>
      <c r="D709" s="199" t="inlineStr">
        <is>
          <t>T2 Secondary</t>
        </is>
      </c>
      <c r="E709" s="199" t="inlineStr">
        <is>
          <t>Process &amp; Functional</t>
        </is>
      </c>
      <c r="F709" s="199" t="n">
        <v>36</v>
      </c>
      <c r="G709" s="199" t="n">
        <v>216</v>
      </c>
      <c r="H709" s="199" t="inlineStr">
        <is>
          <t>No separate deliverable explicitly named</t>
        </is>
      </c>
    </row>
    <row r="710">
      <c r="A710" s="208" t="inlineStr">
        <is>
          <t>RTM-041</t>
        </is>
      </c>
      <c r="B710" s="222" t="inlineStr">
        <is>
          <t>L1 Conceptual Design</t>
        </is>
      </c>
      <c r="C710" s="208" t="n">
        <v>2</v>
      </c>
      <c r="D710" s="208" t="inlineStr">
        <is>
          <t>T2 Secondary</t>
        </is>
      </c>
      <c r="E710" s="208" t="inlineStr">
        <is>
          <t>Process &amp; Functional</t>
        </is>
      </c>
      <c r="F710" s="208" t="n">
        <v>36</v>
      </c>
      <c r="G710" s="208" t="n">
        <v>217</v>
      </c>
      <c r="H710" s="208" t="inlineStr">
        <is>
          <t>No separate deliverable explicitly named</t>
        </is>
      </c>
    </row>
    <row r="711">
      <c r="A711" s="199" t="inlineStr">
        <is>
          <t>RTM-041</t>
        </is>
      </c>
      <c r="B711" s="223" t="inlineStr">
        <is>
          <t>L2 Detailed Design</t>
        </is>
      </c>
      <c r="C711" s="199" t="n">
        <v>3</v>
      </c>
      <c r="D711" s="199" t="inlineStr">
        <is>
          <t>T2 Secondary</t>
        </is>
      </c>
      <c r="E711" s="199" t="inlineStr">
        <is>
          <t>Process &amp; Functional</t>
        </is>
      </c>
      <c r="F711" s="199" t="n">
        <v>36</v>
      </c>
      <c r="G711" s="199" t="n">
        <v>217</v>
      </c>
      <c r="H711" s="199" t="inlineStr">
        <is>
          <t>No separate deliverable explicitly named</t>
        </is>
      </c>
    </row>
    <row r="712">
      <c r="A712" s="208" t="inlineStr">
        <is>
          <t>RTM-113</t>
        </is>
      </c>
      <c r="B712" s="220" t="inlineStr">
        <is>
          <t>L4 Installation</t>
        </is>
      </c>
      <c r="C712" s="208" t="n">
        <v>6</v>
      </c>
      <c r="D712" s="208" t="inlineStr">
        <is>
          <t>T2 Secondary</t>
        </is>
      </c>
      <c r="E712" s="208" t="inlineStr">
        <is>
          <t>Subsystems</t>
        </is>
      </c>
      <c r="F712" s="208" t="n">
        <v>36</v>
      </c>
      <c r="G712" s="208" t="n">
        <v>218</v>
      </c>
      <c r="H712" s="208" t="inlineStr">
        <is>
          <t>No separate deliverable explicitly named</t>
        </is>
      </c>
    </row>
    <row r="713">
      <c r="A713" s="199" t="inlineStr">
        <is>
          <t>RTM-113</t>
        </is>
      </c>
      <c r="B713" s="226" t="inlineStr">
        <is>
          <t>L6 Site Acceptance Testing</t>
        </is>
      </c>
      <c r="C713" s="199" t="n">
        <v>8</v>
      </c>
      <c r="D713" s="199" t="inlineStr">
        <is>
          <t>T2 Secondary</t>
        </is>
      </c>
      <c r="E713" s="199" t="inlineStr">
        <is>
          <t>Subsystems</t>
        </is>
      </c>
      <c r="F713" s="199" t="n">
        <v>36</v>
      </c>
      <c r="G713" s="199" t="n">
        <v>218</v>
      </c>
      <c r="H713" s="199" t="inlineStr">
        <is>
          <t>No separate deliverable explicitly named</t>
        </is>
      </c>
    </row>
    <row r="714">
      <c r="A714" s="208" t="inlineStr">
        <is>
          <t>RTM-113</t>
        </is>
      </c>
      <c r="B714" s="222" t="inlineStr">
        <is>
          <t>L1 Conceptual Design</t>
        </is>
      </c>
      <c r="C714" s="208" t="n">
        <v>2</v>
      </c>
      <c r="D714" s="208" t="inlineStr">
        <is>
          <t>T2 Secondary</t>
        </is>
      </c>
      <c r="E714" s="208" t="inlineStr">
        <is>
          <t>Subsystems</t>
        </is>
      </c>
      <c r="F714" s="208" t="n">
        <v>36</v>
      </c>
      <c r="G714" s="208" t="n">
        <v>218</v>
      </c>
      <c r="H714" s="208" t="inlineStr">
        <is>
          <t>No separate deliverable explicitly named</t>
        </is>
      </c>
    </row>
    <row r="715">
      <c r="A715" s="199" t="inlineStr">
        <is>
          <t>RTM-113</t>
        </is>
      </c>
      <c r="B715" s="223" t="inlineStr">
        <is>
          <t>L2 Detailed Design</t>
        </is>
      </c>
      <c r="C715" s="199" t="n">
        <v>3</v>
      </c>
      <c r="D715" s="199" t="inlineStr">
        <is>
          <t>T2 Secondary</t>
        </is>
      </c>
      <c r="E715" s="199" t="inlineStr">
        <is>
          <t>Subsystems</t>
        </is>
      </c>
      <c r="F715" s="199" t="n">
        <v>36</v>
      </c>
      <c r="G715" s="199" t="n">
        <v>218</v>
      </c>
      <c r="H715" s="199" t="inlineStr">
        <is>
          <t>No separate deliverable explicitly named</t>
        </is>
      </c>
    </row>
    <row r="716">
      <c r="A716" s="208" t="inlineStr">
        <is>
          <t>RTM-146</t>
        </is>
      </c>
      <c r="B716" s="226" t="inlineStr">
        <is>
          <t>L6 Site Acceptance Testing</t>
        </is>
      </c>
      <c r="C716" s="208" t="n">
        <v>8</v>
      </c>
      <c r="D716" s="208" t="inlineStr">
        <is>
          <t>T2 Secondary</t>
        </is>
      </c>
      <c r="E716" s="208" t="inlineStr">
        <is>
          <t>Subsystems</t>
        </is>
      </c>
      <c r="F716" s="208" t="n">
        <v>36</v>
      </c>
      <c r="G716" s="208" t="n">
        <v>219</v>
      </c>
      <c r="H716" s="208" t="inlineStr">
        <is>
          <t>No separate deliverable explicitly named</t>
        </is>
      </c>
    </row>
    <row r="717">
      <c r="A717" s="199" t="inlineStr">
        <is>
          <t>RTM-146</t>
        </is>
      </c>
      <c r="B717" s="222" t="inlineStr">
        <is>
          <t>L1 Conceptual Design</t>
        </is>
      </c>
      <c r="C717" s="199" t="n">
        <v>2</v>
      </c>
      <c r="D717" s="199" t="inlineStr">
        <is>
          <t>T2 Secondary</t>
        </is>
      </c>
      <c r="E717" s="199" t="inlineStr">
        <is>
          <t>Subsystems</t>
        </is>
      </c>
      <c r="F717" s="199" t="n">
        <v>36</v>
      </c>
      <c r="G717" s="199" t="n">
        <v>219</v>
      </c>
      <c r="H717" s="199" t="inlineStr">
        <is>
          <t>No separate deliverable explicitly named</t>
        </is>
      </c>
    </row>
    <row r="718">
      <c r="A718" s="208" t="inlineStr">
        <is>
          <t>RTM-146</t>
        </is>
      </c>
      <c r="B718" s="223" t="inlineStr">
        <is>
          <t>L2 Detailed Design</t>
        </is>
      </c>
      <c r="C718" s="208" t="n">
        <v>3</v>
      </c>
      <c r="D718" s="208" t="inlineStr">
        <is>
          <t>T2 Secondary</t>
        </is>
      </c>
      <c r="E718" s="208" t="inlineStr">
        <is>
          <t>Subsystems</t>
        </is>
      </c>
      <c r="F718" s="208" t="n">
        <v>36</v>
      </c>
      <c r="G718" s="208" t="n">
        <v>219</v>
      </c>
      <c r="H718" s="208" t="inlineStr">
        <is>
          <t>No separate deliverable explicitly named</t>
        </is>
      </c>
    </row>
    <row r="719">
      <c r="A719" s="199" t="inlineStr">
        <is>
          <t>RTM-147</t>
        </is>
      </c>
      <c r="B719" s="226" t="inlineStr">
        <is>
          <t>L6 Site Acceptance Testing</t>
        </is>
      </c>
      <c r="C719" s="199" t="n">
        <v>8</v>
      </c>
      <c r="D719" s="199" t="inlineStr">
        <is>
          <t>T2 Secondary</t>
        </is>
      </c>
      <c r="E719" s="199" t="inlineStr">
        <is>
          <t>Subsystems</t>
        </is>
      </c>
      <c r="F719" s="199" t="n">
        <v>36</v>
      </c>
      <c r="G719" s="199" t="n">
        <v>220</v>
      </c>
      <c r="H719" s="199" t="inlineStr">
        <is>
          <t>No separate deliverable explicitly named</t>
        </is>
      </c>
    </row>
    <row r="720">
      <c r="A720" s="208" t="inlineStr">
        <is>
          <t>RTM-147</t>
        </is>
      </c>
      <c r="B720" s="222" t="inlineStr">
        <is>
          <t>L1 Conceptual Design</t>
        </is>
      </c>
      <c r="C720" s="208" t="n">
        <v>2</v>
      </c>
      <c r="D720" s="208" t="inlineStr">
        <is>
          <t>T2 Secondary</t>
        </is>
      </c>
      <c r="E720" s="208" t="inlineStr">
        <is>
          <t>Subsystems</t>
        </is>
      </c>
      <c r="F720" s="208" t="n">
        <v>36</v>
      </c>
      <c r="G720" s="208" t="n">
        <v>220</v>
      </c>
      <c r="H720" s="208" t="inlineStr">
        <is>
          <t>No separate deliverable explicitly named</t>
        </is>
      </c>
    </row>
    <row r="721">
      <c r="A721" s="199" t="inlineStr">
        <is>
          <t>RTM-147</t>
        </is>
      </c>
      <c r="B721" s="223" t="inlineStr">
        <is>
          <t>L2 Detailed Design</t>
        </is>
      </c>
      <c r="C721" s="199" t="n">
        <v>3</v>
      </c>
      <c r="D721" s="199" t="inlineStr">
        <is>
          <t>T2 Secondary</t>
        </is>
      </c>
      <c r="E721" s="199" t="inlineStr">
        <is>
          <t>Subsystems</t>
        </is>
      </c>
      <c r="F721" s="199" t="n">
        <v>36</v>
      </c>
      <c r="G721" s="199" t="n">
        <v>220</v>
      </c>
      <c r="H721" s="199" t="inlineStr">
        <is>
          <t>No separate deliverable explicitly named</t>
        </is>
      </c>
    </row>
    <row r="722">
      <c r="A722" s="208" t="inlineStr">
        <is>
          <t>RTM-166</t>
        </is>
      </c>
      <c r="B722" s="222" t="inlineStr">
        <is>
          <t>L1 Conceptual Design</t>
        </is>
      </c>
      <c r="C722" s="208" t="n">
        <v>2</v>
      </c>
      <c r="D722" s="208" t="inlineStr">
        <is>
          <t>T2 Secondary</t>
        </is>
      </c>
      <c r="E722" s="208" t="inlineStr">
        <is>
          <t>Subsystems</t>
        </is>
      </c>
      <c r="F722" s="208" t="n">
        <v>36</v>
      </c>
      <c r="G722" s="208" t="n">
        <v>221</v>
      </c>
      <c r="H722" s="208" t="inlineStr">
        <is>
          <t>Procedure / work instruction</t>
        </is>
      </c>
    </row>
    <row r="723">
      <c r="A723" s="199" t="inlineStr">
        <is>
          <t>RTM-166</t>
        </is>
      </c>
      <c r="B723" s="223" t="inlineStr">
        <is>
          <t>L2 Detailed Design</t>
        </is>
      </c>
      <c r="C723" s="199" t="n">
        <v>3</v>
      </c>
      <c r="D723" s="199" t="inlineStr">
        <is>
          <t>T2 Secondary</t>
        </is>
      </c>
      <c r="E723" s="199" t="inlineStr">
        <is>
          <t>Subsystems</t>
        </is>
      </c>
      <c r="F723" s="199" t="n">
        <v>36</v>
      </c>
      <c r="G723" s="199" t="n">
        <v>221</v>
      </c>
      <c r="H723" s="199" t="inlineStr">
        <is>
          <t>Procedure / work instruction</t>
        </is>
      </c>
    </row>
    <row r="724">
      <c r="A724" s="208" t="inlineStr">
        <is>
          <t>RTM-177</t>
        </is>
      </c>
      <c r="B724" s="222" t="inlineStr">
        <is>
          <t>L1 Conceptual Design</t>
        </is>
      </c>
      <c r="C724" s="208" t="n">
        <v>2</v>
      </c>
      <c r="D724" s="208" t="inlineStr">
        <is>
          <t>T2 Secondary</t>
        </is>
      </c>
      <c r="E724" s="208" t="inlineStr">
        <is>
          <t>Subsystems</t>
        </is>
      </c>
      <c r="F724" s="208" t="n">
        <v>36</v>
      </c>
      <c r="G724" s="208" t="n">
        <v>222</v>
      </c>
      <c r="H724" s="208" t="inlineStr">
        <is>
          <t>No separate deliverable explicitly named</t>
        </is>
      </c>
    </row>
    <row r="725">
      <c r="A725" s="199" t="inlineStr">
        <is>
          <t>RTM-177</t>
        </is>
      </c>
      <c r="B725" s="223" t="inlineStr">
        <is>
          <t>L2 Detailed Design</t>
        </is>
      </c>
      <c r="C725" s="199" t="n">
        <v>3</v>
      </c>
      <c r="D725" s="199" t="inlineStr">
        <is>
          <t>T2 Secondary</t>
        </is>
      </c>
      <c r="E725" s="199" t="inlineStr">
        <is>
          <t>Subsystems</t>
        </is>
      </c>
      <c r="F725" s="199" t="n">
        <v>36</v>
      </c>
      <c r="G725" s="199" t="n">
        <v>222</v>
      </c>
      <c r="H725" s="199" t="inlineStr">
        <is>
          <t>No separate deliverable explicitly named</t>
        </is>
      </c>
    </row>
    <row r="726">
      <c r="A726" s="208" t="inlineStr">
        <is>
          <t>RTM-184</t>
        </is>
      </c>
      <c r="B726" s="222" t="inlineStr">
        <is>
          <t>L1 Conceptual Design</t>
        </is>
      </c>
      <c r="C726" s="208" t="n">
        <v>2</v>
      </c>
      <c r="D726" s="208" t="inlineStr">
        <is>
          <t>T2 Secondary</t>
        </is>
      </c>
      <c r="E726" s="208" t="inlineStr">
        <is>
          <t>Subsystems</t>
        </is>
      </c>
      <c r="F726" s="208" t="n">
        <v>36</v>
      </c>
      <c r="G726" s="208" t="n">
        <v>223</v>
      </c>
      <c r="H726" s="208" t="inlineStr">
        <is>
          <t>No separate deliverable explicitly named</t>
        </is>
      </c>
    </row>
    <row r="727">
      <c r="A727" s="199" t="inlineStr">
        <is>
          <t>RTM-184</t>
        </is>
      </c>
      <c r="B727" s="223" t="inlineStr">
        <is>
          <t>L2 Detailed Design</t>
        </is>
      </c>
      <c r="C727" s="199" t="n">
        <v>3</v>
      </c>
      <c r="D727" s="199" t="inlineStr">
        <is>
          <t>T2 Secondary</t>
        </is>
      </c>
      <c r="E727" s="199" t="inlineStr">
        <is>
          <t>Subsystems</t>
        </is>
      </c>
      <c r="F727" s="199" t="n">
        <v>36</v>
      </c>
      <c r="G727" s="199" t="n">
        <v>223</v>
      </c>
      <c r="H727" s="199" t="inlineStr">
        <is>
          <t>No separate deliverable explicitly named</t>
        </is>
      </c>
    </row>
    <row r="728">
      <c r="A728" s="208" t="inlineStr">
        <is>
          <t>RTM-213</t>
        </is>
      </c>
      <c r="B728" s="222" t="inlineStr">
        <is>
          <t>L1 Conceptual Design</t>
        </is>
      </c>
      <c r="C728" s="208" t="n">
        <v>2</v>
      </c>
      <c r="D728" s="208" t="inlineStr">
        <is>
          <t>T2 Secondary</t>
        </is>
      </c>
      <c r="E728" s="208" t="inlineStr">
        <is>
          <t>Subsystems</t>
        </is>
      </c>
      <c r="F728" s="208" t="n">
        <v>36</v>
      </c>
      <c r="G728" s="208" t="n">
        <v>224</v>
      </c>
      <c r="H728" s="208" t="inlineStr">
        <is>
          <t>No separate deliverable explicitly named</t>
        </is>
      </c>
    </row>
    <row r="729">
      <c r="A729" s="199" t="inlineStr">
        <is>
          <t>RTM-213</t>
        </is>
      </c>
      <c r="B729" s="223" t="inlineStr">
        <is>
          <t>L2 Detailed Design</t>
        </is>
      </c>
      <c r="C729" s="199" t="n">
        <v>3</v>
      </c>
      <c r="D729" s="199" t="inlineStr">
        <is>
          <t>T2 Secondary</t>
        </is>
      </c>
      <c r="E729" s="199" t="inlineStr">
        <is>
          <t>Subsystems</t>
        </is>
      </c>
      <c r="F729" s="199" t="n">
        <v>36</v>
      </c>
      <c r="G729" s="199" t="n">
        <v>224</v>
      </c>
      <c r="H729" s="199" t="inlineStr">
        <is>
          <t>No separate deliverable explicitly named</t>
        </is>
      </c>
    </row>
    <row r="730">
      <c r="A730" s="208" t="inlineStr">
        <is>
          <t>RTM-214</t>
        </is>
      </c>
      <c r="B730" s="222" t="inlineStr">
        <is>
          <t>L1 Conceptual Design</t>
        </is>
      </c>
      <c r="C730" s="208" t="n">
        <v>2</v>
      </c>
      <c r="D730" s="208" t="inlineStr">
        <is>
          <t>T2 Secondary</t>
        </is>
      </c>
      <c r="E730" s="208" t="inlineStr">
        <is>
          <t>Subsystems</t>
        </is>
      </c>
      <c r="F730" s="208" t="n">
        <v>36</v>
      </c>
      <c r="G730" s="208" t="n">
        <v>225</v>
      </c>
      <c r="H730" s="208" t="inlineStr">
        <is>
          <t>No separate deliverable explicitly named</t>
        </is>
      </c>
    </row>
    <row r="731">
      <c r="A731" s="199" t="inlineStr">
        <is>
          <t>RTM-214</t>
        </is>
      </c>
      <c r="B731" s="223" t="inlineStr">
        <is>
          <t>L2 Detailed Design</t>
        </is>
      </c>
      <c r="C731" s="199" t="n">
        <v>3</v>
      </c>
      <c r="D731" s="199" t="inlineStr">
        <is>
          <t>T2 Secondary</t>
        </is>
      </c>
      <c r="E731" s="199" t="inlineStr">
        <is>
          <t>Subsystems</t>
        </is>
      </c>
      <c r="F731" s="199" t="n">
        <v>36</v>
      </c>
      <c r="G731" s="199" t="n">
        <v>225</v>
      </c>
      <c r="H731" s="199" t="inlineStr">
        <is>
          <t>No separate deliverable explicitly named</t>
        </is>
      </c>
    </row>
    <row r="732">
      <c r="A732" s="208" t="inlineStr">
        <is>
          <t>RTM-230</t>
        </is>
      </c>
      <c r="B732" s="222" t="inlineStr">
        <is>
          <t>L1 Conceptual Design</t>
        </is>
      </c>
      <c r="C732" s="208" t="n">
        <v>2</v>
      </c>
      <c r="D732" s="208" t="inlineStr">
        <is>
          <t>T2 Secondary</t>
        </is>
      </c>
      <c r="E732" s="208" t="inlineStr">
        <is>
          <t>Subsystems</t>
        </is>
      </c>
      <c r="F732" s="208" t="n">
        <v>36</v>
      </c>
      <c r="G732" s="208" t="n">
        <v>226</v>
      </c>
      <c r="H732" s="208" t="inlineStr">
        <is>
          <t>No separate deliverable explicitly named</t>
        </is>
      </c>
    </row>
    <row r="733">
      <c r="A733" s="199" t="inlineStr">
        <is>
          <t>RTM-230</t>
        </is>
      </c>
      <c r="B733" s="223" t="inlineStr">
        <is>
          <t>L2 Detailed Design</t>
        </is>
      </c>
      <c r="C733" s="199" t="n">
        <v>3</v>
      </c>
      <c r="D733" s="199" t="inlineStr">
        <is>
          <t>T2 Secondary</t>
        </is>
      </c>
      <c r="E733" s="199" t="inlineStr">
        <is>
          <t>Subsystems</t>
        </is>
      </c>
      <c r="F733" s="199" t="n">
        <v>36</v>
      </c>
      <c r="G733" s="199" t="n">
        <v>226</v>
      </c>
      <c r="H733" s="199" t="inlineStr">
        <is>
          <t>No separate deliverable explicitly named</t>
        </is>
      </c>
    </row>
    <row r="734">
      <c r="A734" s="208" t="inlineStr">
        <is>
          <t>RTM-243</t>
        </is>
      </c>
      <c r="B734" s="222" t="inlineStr">
        <is>
          <t>L1 Conceptual Design</t>
        </is>
      </c>
      <c r="C734" s="208" t="n">
        <v>2</v>
      </c>
      <c r="D734" s="208" t="inlineStr">
        <is>
          <t>T2 Secondary</t>
        </is>
      </c>
      <c r="E734" s="208" t="inlineStr">
        <is>
          <t>Subsystems</t>
        </is>
      </c>
      <c r="F734" s="208" t="n">
        <v>36</v>
      </c>
      <c r="G734" s="208" t="n">
        <v>227</v>
      </c>
      <c r="H734" s="208" t="inlineStr">
        <is>
          <t>No separate deliverable explicitly named</t>
        </is>
      </c>
    </row>
    <row r="735">
      <c r="A735" s="199" t="inlineStr">
        <is>
          <t>RTM-243</t>
        </is>
      </c>
      <c r="B735" s="223" t="inlineStr">
        <is>
          <t>L2 Detailed Design</t>
        </is>
      </c>
      <c r="C735" s="199" t="n">
        <v>3</v>
      </c>
      <c r="D735" s="199" t="inlineStr">
        <is>
          <t>T2 Secondary</t>
        </is>
      </c>
      <c r="E735" s="199" t="inlineStr">
        <is>
          <t>Subsystems</t>
        </is>
      </c>
      <c r="F735" s="199" t="n">
        <v>36</v>
      </c>
      <c r="G735" s="199" t="n">
        <v>227</v>
      </c>
      <c r="H735" s="199" t="inlineStr">
        <is>
          <t>No separate deliverable explicitly named</t>
        </is>
      </c>
    </row>
    <row r="736">
      <c r="A736" s="208" t="inlineStr">
        <is>
          <t>RTM-411</t>
        </is>
      </c>
      <c r="B736" s="222" t="inlineStr">
        <is>
          <t>L1 Conceptual Design</t>
        </is>
      </c>
      <c r="C736" s="208" t="n">
        <v>2</v>
      </c>
      <c r="D736" s="208" t="inlineStr">
        <is>
          <t>T2 Secondary</t>
        </is>
      </c>
      <c r="E736" s="208" t="inlineStr">
        <is>
          <t>Buildings &amp; Utilities</t>
        </is>
      </c>
      <c r="F736" s="208" t="n">
        <v>36</v>
      </c>
      <c r="G736" s="208" t="n">
        <v>228</v>
      </c>
      <c r="H736" s="208" t="inlineStr">
        <is>
          <t>No separate deliverable explicitly named</t>
        </is>
      </c>
    </row>
    <row r="737">
      <c r="A737" s="199" t="inlineStr">
        <is>
          <t>RTM-411</t>
        </is>
      </c>
      <c r="B737" s="223" t="inlineStr">
        <is>
          <t>L2 Detailed Design</t>
        </is>
      </c>
      <c r="C737" s="199" t="n">
        <v>3</v>
      </c>
      <c r="D737" s="199" t="inlineStr">
        <is>
          <t>T2 Secondary</t>
        </is>
      </c>
      <c r="E737" s="199" t="inlineStr">
        <is>
          <t>Buildings &amp; Utilities</t>
        </is>
      </c>
      <c r="F737" s="199" t="n">
        <v>36</v>
      </c>
      <c r="G737" s="199" t="n">
        <v>228</v>
      </c>
      <c r="H737" s="199" t="inlineStr">
        <is>
          <t>No separate deliverable explicitly named</t>
        </is>
      </c>
    </row>
    <row r="738">
      <c r="A738" s="208" t="inlineStr">
        <is>
          <t>RTM-464</t>
        </is>
      </c>
      <c r="B738" s="224" t="inlineStr">
        <is>
          <t>L3 Procurement &amp; Manufacturing / FAT</t>
        </is>
      </c>
      <c r="C738" s="208" t="n">
        <v>4</v>
      </c>
      <c r="D738" s="208" t="inlineStr">
        <is>
          <t>T2 Secondary</t>
        </is>
      </c>
      <c r="E738" s="208" t="inlineStr">
        <is>
          <t>Design &amp; Fabrication</t>
        </is>
      </c>
      <c r="F738" s="208" t="n">
        <v>36</v>
      </c>
      <c r="G738" s="208" t="n">
        <v>229</v>
      </c>
      <c r="H738" s="208" t="inlineStr">
        <is>
          <t>Manufacturing File</t>
        </is>
      </c>
    </row>
    <row r="739">
      <c r="A739" s="199" t="inlineStr">
        <is>
          <t>RTM-464</t>
        </is>
      </c>
      <c r="B739" s="222" t="inlineStr">
        <is>
          <t>L1 Conceptual Design</t>
        </is>
      </c>
      <c r="C739" s="199" t="n">
        <v>2</v>
      </c>
      <c r="D739" s="199" t="inlineStr">
        <is>
          <t>T2 Secondary</t>
        </is>
      </c>
      <c r="E739" s="199" t="inlineStr">
        <is>
          <t>Design &amp; Fabrication</t>
        </is>
      </c>
      <c r="F739" s="199" t="n">
        <v>36</v>
      </c>
      <c r="G739" s="199" t="n">
        <v>229</v>
      </c>
      <c r="H739" s="199" t="inlineStr">
        <is>
          <t>Manufacturing File</t>
        </is>
      </c>
    </row>
    <row r="740">
      <c r="A740" s="208" t="inlineStr">
        <is>
          <t>RTM-464</t>
        </is>
      </c>
      <c r="B740" s="223" t="inlineStr">
        <is>
          <t>L2 Detailed Design</t>
        </is>
      </c>
      <c r="C740" s="208" t="n">
        <v>3</v>
      </c>
      <c r="D740" s="208" t="inlineStr">
        <is>
          <t>T2 Secondary</t>
        </is>
      </c>
      <c r="E740" s="208" t="inlineStr">
        <is>
          <t>Design &amp; Fabrication</t>
        </is>
      </c>
      <c r="F740" s="208" t="n">
        <v>36</v>
      </c>
      <c r="G740" s="208" t="n">
        <v>229</v>
      </c>
      <c r="H740" s="208" t="inlineStr">
        <is>
          <t>Manufacturing File</t>
        </is>
      </c>
    </row>
    <row r="741">
      <c r="A741" s="199" t="inlineStr">
        <is>
          <t>RTM-679</t>
        </is>
      </c>
      <c r="B741" s="221" t="inlineStr">
        <is>
          <t>L0 Tender / Offer</t>
        </is>
      </c>
      <c r="C741" s="199" t="n">
        <v>1</v>
      </c>
      <c r="D741" s="199" t="inlineStr">
        <is>
          <t>T2 Secondary</t>
        </is>
      </c>
      <c r="E741" s="199" t="inlineStr">
        <is>
          <t>Quality Assurance &amp; Control</t>
        </is>
      </c>
      <c r="F741" s="199" t="n">
        <v>36</v>
      </c>
      <c r="G741" s="199" t="n">
        <v>230</v>
      </c>
      <c r="H741" s="199" t="inlineStr">
        <is>
          <t>Procedure / work instruction</t>
        </is>
      </c>
    </row>
    <row r="742">
      <c r="A742" s="208" t="inlineStr">
        <is>
          <t>RTM-679</t>
        </is>
      </c>
      <c r="B742" s="222" t="inlineStr">
        <is>
          <t>L1 Conceptual Design</t>
        </is>
      </c>
      <c r="C742" s="208" t="n">
        <v>2</v>
      </c>
      <c r="D742" s="208" t="inlineStr">
        <is>
          <t>T2 Secondary</t>
        </is>
      </c>
      <c r="E742" s="208" t="inlineStr">
        <is>
          <t>Quality Assurance &amp; Control</t>
        </is>
      </c>
      <c r="F742" s="208" t="n">
        <v>36</v>
      </c>
      <c r="G742" s="208" t="n">
        <v>230</v>
      </c>
      <c r="H742" s="208" t="inlineStr">
        <is>
          <t>Procedure / work instruction</t>
        </is>
      </c>
    </row>
    <row r="743">
      <c r="A743" s="199" t="inlineStr">
        <is>
          <t>RTM-679</t>
        </is>
      </c>
      <c r="B743" s="223" t="inlineStr">
        <is>
          <t>L2 Detailed Design</t>
        </is>
      </c>
      <c r="C743" s="199" t="n">
        <v>3</v>
      </c>
      <c r="D743" s="199" t="inlineStr">
        <is>
          <t>T2 Secondary</t>
        </is>
      </c>
      <c r="E743" s="199" t="inlineStr">
        <is>
          <t>Quality Assurance &amp; Control</t>
        </is>
      </c>
      <c r="F743" s="199" t="n">
        <v>36</v>
      </c>
      <c r="G743" s="199" t="n">
        <v>230</v>
      </c>
      <c r="H743" s="199" t="inlineStr">
        <is>
          <t>Procedure / work instruction</t>
        </is>
      </c>
    </row>
    <row r="744">
      <c r="A744" s="208" t="inlineStr">
        <is>
          <t>RTM-679</t>
        </is>
      </c>
      <c r="B744" s="224" t="inlineStr">
        <is>
          <t>L3 Procurement &amp; Manufacturing / FAT</t>
        </is>
      </c>
      <c r="C744" s="208" t="n">
        <v>4</v>
      </c>
      <c r="D744" s="208" t="inlineStr">
        <is>
          <t>T2 Secondary</t>
        </is>
      </c>
      <c r="E744" s="208" t="inlineStr">
        <is>
          <t>Quality Assurance &amp; Control</t>
        </is>
      </c>
      <c r="F744" s="208" t="n">
        <v>36</v>
      </c>
      <c r="G744" s="208" t="n">
        <v>230</v>
      </c>
      <c r="H744" s="208" t="inlineStr">
        <is>
          <t>Procedure / work instruction</t>
        </is>
      </c>
    </row>
    <row r="745">
      <c r="A745" s="199" t="inlineStr">
        <is>
          <t>RTM-679</t>
        </is>
      </c>
      <c r="B745" s="220" t="inlineStr">
        <is>
          <t>L4 Installation</t>
        </is>
      </c>
      <c r="C745" s="199" t="n">
        <v>6</v>
      </c>
      <c r="D745" s="199" t="inlineStr">
        <is>
          <t>T2 Secondary</t>
        </is>
      </c>
      <c r="E745" s="199" t="inlineStr">
        <is>
          <t>Quality Assurance &amp; Control</t>
        </is>
      </c>
      <c r="F745" s="199" t="n">
        <v>36</v>
      </c>
      <c r="G745" s="199" t="n">
        <v>230</v>
      </c>
      <c r="H745" s="199" t="inlineStr">
        <is>
          <t>Procedure / work instruction</t>
        </is>
      </c>
    </row>
    <row r="746">
      <c r="A746" s="208" t="inlineStr">
        <is>
          <t>RTM-679</t>
        </is>
      </c>
      <c r="B746" s="225" t="inlineStr">
        <is>
          <t>L5 Standalone Commissioning</t>
        </is>
      </c>
      <c r="C746" s="208" t="n">
        <v>7</v>
      </c>
      <c r="D746" s="208" t="inlineStr">
        <is>
          <t>T2 Secondary</t>
        </is>
      </c>
      <c r="E746" s="208" t="inlineStr">
        <is>
          <t>Quality Assurance &amp; Control</t>
        </is>
      </c>
      <c r="F746" s="208" t="n">
        <v>36</v>
      </c>
      <c r="G746" s="208" t="n">
        <v>230</v>
      </c>
      <c r="H746" s="208" t="inlineStr">
        <is>
          <t>Procedure / work instruction</t>
        </is>
      </c>
    </row>
    <row r="747">
      <c r="A747" s="199" t="inlineStr">
        <is>
          <t>RTM-679</t>
        </is>
      </c>
      <c r="B747" s="226" t="inlineStr">
        <is>
          <t>L6 Site Acceptance Testing</t>
        </is>
      </c>
      <c r="C747" s="199" t="n">
        <v>8</v>
      </c>
      <c r="D747" s="199" t="inlineStr">
        <is>
          <t>T2 Secondary</t>
        </is>
      </c>
      <c r="E747" s="199" t="inlineStr">
        <is>
          <t>Quality Assurance &amp; Control</t>
        </is>
      </c>
      <c r="F747" s="199" t="n">
        <v>36</v>
      </c>
      <c r="G747" s="199" t="n">
        <v>230</v>
      </c>
      <c r="H747" s="199" t="inlineStr">
        <is>
          <t>Procedure / work instruction</t>
        </is>
      </c>
    </row>
    <row r="748">
      <c r="A748" s="208" t="inlineStr">
        <is>
          <t>RTM-680</t>
        </is>
      </c>
      <c r="B748" s="221" t="inlineStr">
        <is>
          <t>L0 Tender / Offer</t>
        </is>
      </c>
      <c r="C748" s="208" t="n">
        <v>1</v>
      </c>
      <c r="D748" s="208" t="inlineStr">
        <is>
          <t>T2 Secondary</t>
        </is>
      </c>
      <c r="E748" s="208" t="inlineStr">
        <is>
          <t>Quality Assurance &amp; Control</t>
        </is>
      </c>
      <c r="F748" s="208" t="n">
        <v>36</v>
      </c>
      <c r="G748" s="208" t="n">
        <v>231</v>
      </c>
      <c r="H748" s="208" t="inlineStr">
        <is>
          <t>Procedure / work instruction</t>
        </is>
      </c>
    </row>
    <row r="749">
      <c r="A749" s="199" t="inlineStr">
        <is>
          <t>RTM-680</t>
        </is>
      </c>
      <c r="B749" s="222" t="inlineStr">
        <is>
          <t>L1 Conceptual Design</t>
        </is>
      </c>
      <c r="C749" s="199" t="n">
        <v>2</v>
      </c>
      <c r="D749" s="199" t="inlineStr">
        <is>
          <t>T2 Secondary</t>
        </is>
      </c>
      <c r="E749" s="199" t="inlineStr">
        <is>
          <t>Quality Assurance &amp; Control</t>
        </is>
      </c>
      <c r="F749" s="199" t="n">
        <v>36</v>
      </c>
      <c r="G749" s="199" t="n">
        <v>231</v>
      </c>
      <c r="H749" s="199" t="inlineStr">
        <is>
          <t>Procedure / work instruction</t>
        </is>
      </c>
    </row>
    <row r="750">
      <c r="A750" s="208" t="inlineStr">
        <is>
          <t>RTM-680</t>
        </is>
      </c>
      <c r="B750" s="223" t="inlineStr">
        <is>
          <t>L2 Detailed Design</t>
        </is>
      </c>
      <c r="C750" s="208" t="n">
        <v>3</v>
      </c>
      <c r="D750" s="208" t="inlineStr">
        <is>
          <t>T2 Secondary</t>
        </is>
      </c>
      <c r="E750" s="208" t="inlineStr">
        <is>
          <t>Quality Assurance &amp; Control</t>
        </is>
      </c>
      <c r="F750" s="208" t="n">
        <v>36</v>
      </c>
      <c r="G750" s="208" t="n">
        <v>231</v>
      </c>
      <c r="H750" s="208" t="inlineStr">
        <is>
          <t>Procedure / work instruction</t>
        </is>
      </c>
    </row>
    <row r="751">
      <c r="A751" s="199" t="inlineStr">
        <is>
          <t>RTM-680</t>
        </is>
      </c>
      <c r="B751" s="224" t="inlineStr">
        <is>
          <t>L3 Procurement &amp; Manufacturing / FAT</t>
        </is>
      </c>
      <c r="C751" s="199" t="n">
        <v>4</v>
      </c>
      <c r="D751" s="199" t="inlineStr">
        <is>
          <t>T2 Secondary</t>
        </is>
      </c>
      <c r="E751" s="199" t="inlineStr">
        <is>
          <t>Quality Assurance &amp; Control</t>
        </is>
      </c>
      <c r="F751" s="199" t="n">
        <v>36</v>
      </c>
      <c r="G751" s="199" t="n">
        <v>231</v>
      </c>
      <c r="H751" s="199" t="inlineStr">
        <is>
          <t>Procedure / work instruction</t>
        </is>
      </c>
    </row>
    <row r="752">
      <c r="A752" s="208" t="inlineStr">
        <is>
          <t>RTM-680</t>
        </is>
      </c>
      <c r="B752" s="220" t="inlineStr">
        <is>
          <t>L4 Installation</t>
        </is>
      </c>
      <c r="C752" s="208" t="n">
        <v>6</v>
      </c>
      <c r="D752" s="208" t="inlineStr">
        <is>
          <t>T2 Secondary</t>
        </is>
      </c>
      <c r="E752" s="208" t="inlineStr">
        <is>
          <t>Quality Assurance &amp; Control</t>
        </is>
      </c>
      <c r="F752" s="208" t="n">
        <v>36</v>
      </c>
      <c r="G752" s="208" t="n">
        <v>231</v>
      </c>
      <c r="H752" s="208" t="inlineStr">
        <is>
          <t>Procedure / work instruction</t>
        </is>
      </c>
    </row>
    <row r="753">
      <c r="A753" s="199" t="inlineStr">
        <is>
          <t>RTM-680</t>
        </is>
      </c>
      <c r="B753" s="225" t="inlineStr">
        <is>
          <t>L5 Standalone Commissioning</t>
        </is>
      </c>
      <c r="C753" s="199" t="n">
        <v>7</v>
      </c>
      <c r="D753" s="199" t="inlineStr">
        <is>
          <t>T2 Secondary</t>
        </is>
      </c>
      <c r="E753" s="199" t="inlineStr">
        <is>
          <t>Quality Assurance &amp; Control</t>
        </is>
      </c>
      <c r="F753" s="199" t="n">
        <v>36</v>
      </c>
      <c r="G753" s="199" t="n">
        <v>231</v>
      </c>
      <c r="H753" s="199" t="inlineStr">
        <is>
          <t>Procedure / work instruction</t>
        </is>
      </c>
    </row>
    <row r="754">
      <c r="A754" s="208" t="inlineStr">
        <is>
          <t>RTM-680</t>
        </is>
      </c>
      <c r="B754" s="226" t="inlineStr">
        <is>
          <t>L6 Site Acceptance Testing</t>
        </is>
      </c>
      <c r="C754" s="208" t="n">
        <v>8</v>
      </c>
      <c r="D754" s="208" t="inlineStr">
        <is>
          <t>T2 Secondary</t>
        </is>
      </c>
      <c r="E754" s="208" t="inlineStr">
        <is>
          <t>Quality Assurance &amp; Control</t>
        </is>
      </c>
      <c r="F754" s="208" t="n">
        <v>36</v>
      </c>
      <c r="G754" s="208" t="n">
        <v>231</v>
      </c>
      <c r="H754" s="208" t="inlineStr">
        <is>
          <t>Procedure / work instruction</t>
        </is>
      </c>
    </row>
    <row r="755">
      <c r="A755" s="199" t="inlineStr">
        <is>
          <t>RTM-563</t>
        </is>
      </c>
      <c r="B755" s="222" t="inlineStr">
        <is>
          <t>L1 Conceptual Design</t>
        </is>
      </c>
      <c r="C755" s="199" t="n">
        <v>2</v>
      </c>
      <c r="D755" s="199" t="inlineStr">
        <is>
          <t>T2 Secondary</t>
        </is>
      </c>
      <c r="E755" s="199" t="inlineStr">
        <is>
          <t>After-Sales</t>
        </is>
      </c>
      <c r="F755" s="199" t="n">
        <v>35.6667</v>
      </c>
      <c r="G755" s="199" t="n">
        <v>232</v>
      </c>
      <c r="H755" s="199" t="inlineStr">
        <is>
          <t>No separate deliverable explicitly named</t>
        </is>
      </c>
    </row>
    <row r="756">
      <c r="A756" s="208" t="inlineStr">
        <is>
          <t>RTM-563</t>
        </is>
      </c>
      <c r="B756" s="223" t="inlineStr">
        <is>
          <t>L2 Detailed Design</t>
        </is>
      </c>
      <c r="C756" s="208" t="n">
        <v>3</v>
      </c>
      <c r="D756" s="208" t="inlineStr">
        <is>
          <t>T2 Secondary</t>
        </is>
      </c>
      <c r="E756" s="208" t="inlineStr">
        <is>
          <t>After-Sales</t>
        </is>
      </c>
      <c r="F756" s="208" t="n">
        <v>35.6667</v>
      </c>
      <c r="G756" s="208" t="n">
        <v>232</v>
      </c>
      <c r="H756" s="208" t="inlineStr">
        <is>
          <t>No separate deliverable explicitly named</t>
        </is>
      </c>
    </row>
    <row r="757">
      <c r="A757" s="199" t="inlineStr">
        <is>
          <t>RTM-195</t>
        </is>
      </c>
      <c r="B757" s="222" t="inlineStr">
        <is>
          <t>L1 Conceptual Design</t>
        </is>
      </c>
      <c r="C757" s="199" t="n">
        <v>2</v>
      </c>
      <c r="D757" s="199" t="inlineStr">
        <is>
          <t>T2 Secondary</t>
        </is>
      </c>
      <c r="E757" s="199" t="inlineStr">
        <is>
          <t>Subsystems</t>
        </is>
      </c>
      <c r="F757" s="199" t="n">
        <v>35.3333</v>
      </c>
      <c r="G757" s="199" t="n">
        <v>233</v>
      </c>
      <c r="H757" s="199" t="inlineStr">
        <is>
          <t>No separate deliverable explicitly named</t>
        </is>
      </c>
    </row>
    <row r="758">
      <c r="A758" s="208" t="inlineStr">
        <is>
          <t>RTM-195</t>
        </is>
      </c>
      <c r="B758" s="223" t="inlineStr">
        <is>
          <t>L2 Detailed Design</t>
        </is>
      </c>
      <c r="C758" s="208" t="n">
        <v>3</v>
      </c>
      <c r="D758" s="208" t="inlineStr">
        <is>
          <t>T2 Secondary</t>
        </is>
      </c>
      <c r="E758" s="208" t="inlineStr">
        <is>
          <t>Subsystems</t>
        </is>
      </c>
      <c r="F758" s="208" t="n">
        <v>35.3333</v>
      </c>
      <c r="G758" s="208" t="n">
        <v>233</v>
      </c>
      <c r="H758" s="208" t="inlineStr">
        <is>
          <t>No separate deliverable explicitly named</t>
        </is>
      </c>
    </row>
    <row r="759">
      <c r="A759" s="199" t="inlineStr">
        <is>
          <t>RTM-587</t>
        </is>
      </c>
      <c r="B759" s="222" t="inlineStr">
        <is>
          <t>L1 Conceptual Design</t>
        </is>
      </c>
      <c r="C759" s="199" t="n">
        <v>2</v>
      </c>
      <c r="D759" s="199" t="inlineStr">
        <is>
          <t>T2 Secondary</t>
        </is>
      </c>
      <c r="E759" s="199" t="inlineStr">
        <is>
          <t>Technical Documentation</t>
        </is>
      </c>
      <c r="F759" s="199" t="n">
        <v>35.3333</v>
      </c>
      <c r="G759" s="199" t="n">
        <v>234</v>
      </c>
      <c r="H759" s="199" t="inlineStr">
        <is>
          <t>Commissioning Plan</t>
        </is>
      </c>
    </row>
    <row r="760">
      <c r="A760" s="208" t="inlineStr">
        <is>
          <t>RTM-587</t>
        </is>
      </c>
      <c r="B760" s="223" t="inlineStr">
        <is>
          <t>L2 Detailed Design</t>
        </is>
      </c>
      <c r="C760" s="208" t="n">
        <v>3</v>
      </c>
      <c r="D760" s="208" t="inlineStr">
        <is>
          <t>T2 Secondary</t>
        </is>
      </c>
      <c r="E760" s="208" t="inlineStr">
        <is>
          <t>Technical Documentation</t>
        </is>
      </c>
      <c r="F760" s="208" t="n">
        <v>35.3333</v>
      </c>
      <c r="G760" s="208" t="n">
        <v>234</v>
      </c>
      <c r="H760" s="208" t="inlineStr">
        <is>
          <t>Commissioning Plan</t>
        </is>
      </c>
    </row>
    <row r="761">
      <c r="A761" s="199" t="inlineStr">
        <is>
          <t>RTM-588</t>
        </is>
      </c>
      <c r="B761" s="222" t="inlineStr">
        <is>
          <t>L1 Conceptual Design</t>
        </is>
      </c>
      <c r="C761" s="199" t="n">
        <v>2</v>
      </c>
      <c r="D761" s="199" t="inlineStr">
        <is>
          <t>T2 Secondary</t>
        </is>
      </c>
      <c r="E761" s="199" t="inlineStr">
        <is>
          <t>Technical Documentation</t>
        </is>
      </c>
      <c r="F761" s="199" t="n">
        <v>35.3333</v>
      </c>
      <c r="G761" s="199" t="n">
        <v>235</v>
      </c>
      <c r="H761" s="199" t="inlineStr">
        <is>
          <t>Commissioning Plan; Commissioning Report</t>
        </is>
      </c>
    </row>
    <row r="762">
      <c r="A762" s="208" t="inlineStr">
        <is>
          <t>RTM-588</t>
        </is>
      </c>
      <c r="B762" s="223" t="inlineStr">
        <is>
          <t>L2 Detailed Design</t>
        </is>
      </c>
      <c r="C762" s="208" t="n">
        <v>3</v>
      </c>
      <c r="D762" s="208" t="inlineStr">
        <is>
          <t>T2 Secondary</t>
        </is>
      </c>
      <c r="E762" s="208" t="inlineStr">
        <is>
          <t>Technical Documentation</t>
        </is>
      </c>
      <c r="F762" s="208" t="n">
        <v>35.3333</v>
      </c>
      <c r="G762" s="208" t="n">
        <v>235</v>
      </c>
      <c r="H762" s="208" t="inlineStr">
        <is>
          <t>Commissioning Plan; Commissioning Report</t>
        </is>
      </c>
    </row>
    <row r="763">
      <c r="A763" s="199" t="inlineStr">
        <is>
          <t>RTM-710</t>
        </is>
      </c>
      <c r="B763" s="226" t="inlineStr">
        <is>
          <t>L6 Site Acceptance Testing</t>
        </is>
      </c>
      <c r="C763" s="199" t="n">
        <v>8</v>
      </c>
      <c r="D763" s="199" t="inlineStr">
        <is>
          <t>T2 Secondary</t>
        </is>
      </c>
      <c r="E763" s="199" t="inlineStr">
        <is>
          <t>Acceptance &amp; Warranty</t>
        </is>
      </c>
      <c r="F763" s="199" t="n">
        <v>35.3333</v>
      </c>
      <c r="G763" s="199" t="n">
        <v>236</v>
      </c>
      <c r="H763" s="199" t="inlineStr">
        <is>
          <t>No separate deliverable explicitly named</t>
        </is>
      </c>
    </row>
    <row r="764">
      <c r="A764" s="208" t="inlineStr">
        <is>
          <t>RTM-710</t>
        </is>
      </c>
      <c r="B764" s="228" t="inlineStr">
        <is>
          <t>Warranty</t>
        </is>
      </c>
      <c r="C764" s="208" t="n">
        <v>10</v>
      </c>
      <c r="D764" s="208" t="inlineStr">
        <is>
          <t>T2 Secondary</t>
        </is>
      </c>
      <c r="E764" s="208" t="inlineStr">
        <is>
          <t>Acceptance &amp; Warranty</t>
        </is>
      </c>
      <c r="F764" s="208" t="n">
        <v>35.3333</v>
      </c>
      <c r="G764" s="208" t="n">
        <v>236</v>
      </c>
      <c r="H764" s="208" t="inlineStr">
        <is>
          <t>No separate deliverable explicitly named</t>
        </is>
      </c>
    </row>
    <row r="765">
      <c r="A765" s="199" t="inlineStr">
        <is>
          <t>RTM-710</t>
        </is>
      </c>
      <c r="B765" s="229" t="inlineStr">
        <is>
          <t>FAC</t>
        </is>
      </c>
      <c r="C765" s="199" t="n">
        <v>5</v>
      </c>
      <c r="D765" s="199" t="inlineStr">
        <is>
          <t>T2 Secondary</t>
        </is>
      </c>
      <c r="E765" s="199" t="inlineStr">
        <is>
          <t>Acceptance &amp; Warranty</t>
        </is>
      </c>
      <c r="F765" s="199" t="n">
        <v>35.3333</v>
      </c>
      <c r="G765" s="199" t="n">
        <v>236</v>
      </c>
      <c r="H765" s="199" t="inlineStr">
        <is>
          <t>No separate deliverable explicitly named</t>
        </is>
      </c>
    </row>
    <row r="766">
      <c r="A766" s="208" t="inlineStr">
        <is>
          <t>RTM-710</t>
        </is>
      </c>
      <c r="B766" s="227" t="inlineStr">
        <is>
          <t>PAC / Handover</t>
        </is>
      </c>
      <c r="C766" s="208" t="n">
        <v>9</v>
      </c>
      <c r="D766" s="208" t="inlineStr">
        <is>
          <t>T2 Secondary</t>
        </is>
      </c>
      <c r="E766" s="208" t="inlineStr">
        <is>
          <t>Acceptance &amp; Warranty</t>
        </is>
      </c>
      <c r="F766" s="208" t="n">
        <v>35.3333</v>
      </c>
      <c r="G766" s="208" t="n">
        <v>236</v>
      </c>
      <c r="H766" s="208" t="inlineStr">
        <is>
          <t>No separate deliverable explicitly named</t>
        </is>
      </c>
    </row>
    <row r="767">
      <c r="A767" s="199" t="inlineStr">
        <is>
          <t>RTM-713</t>
        </is>
      </c>
      <c r="B767" s="226" t="inlineStr">
        <is>
          <t>L6 Site Acceptance Testing</t>
        </is>
      </c>
      <c r="C767" s="199" t="n">
        <v>8</v>
      </c>
      <c r="D767" s="199" t="inlineStr">
        <is>
          <t>T2 Secondary</t>
        </is>
      </c>
      <c r="E767" s="199" t="inlineStr">
        <is>
          <t>Acceptance &amp; Warranty</t>
        </is>
      </c>
      <c r="F767" s="199" t="n">
        <v>35.3333</v>
      </c>
      <c r="G767" s="199" t="n">
        <v>237</v>
      </c>
      <c r="H767" s="199" t="inlineStr">
        <is>
          <t>No separate deliverable explicitly named</t>
        </is>
      </c>
    </row>
    <row r="768">
      <c r="A768" s="208" t="inlineStr">
        <is>
          <t>RTM-713</t>
        </is>
      </c>
      <c r="B768" s="228" t="inlineStr">
        <is>
          <t>Warranty</t>
        </is>
      </c>
      <c r="C768" s="208" t="n">
        <v>10</v>
      </c>
      <c r="D768" s="208" t="inlineStr">
        <is>
          <t>T2 Secondary</t>
        </is>
      </c>
      <c r="E768" s="208" t="inlineStr">
        <is>
          <t>Acceptance &amp; Warranty</t>
        </is>
      </c>
      <c r="F768" s="208" t="n">
        <v>35.3333</v>
      </c>
      <c r="G768" s="208" t="n">
        <v>237</v>
      </c>
      <c r="H768" s="208" t="inlineStr">
        <is>
          <t>No separate deliverable explicitly named</t>
        </is>
      </c>
    </row>
    <row r="769">
      <c r="A769" s="199" t="inlineStr">
        <is>
          <t>RTM-713</t>
        </is>
      </c>
      <c r="B769" s="227" t="inlineStr">
        <is>
          <t>PAC / Handover</t>
        </is>
      </c>
      <c r="C769" s="199" t="n">
        <v>9</v>
      </c>
      <c r="D769" s="199" t="inlineStr">
        <is>
          <t>T2 Secondary</t>
        </is>
      </c>
      <c r="E769" s="199" t="inlineStr">
        <is>
          <t>Acceptance &amp; Warranty</t>
        </is>
      </c>
      <c r="F769" s="199" t="n">
        <v>35.3333</v>
      </c>
      <c r="G769" s="199" t="n">
        <v>237</v>
      </c>
      <c r="H769" s="199" t="inlineStr">
        <is>
          <t>No separate deliverable explicitly named</t>
        </is>
      </c>
    </row>
    <row r="770">
      <c r="A770" s="208" t="inlineStr">
        <is>
          <t>RTM-713</t>
        </is>
      </c>
      <c r="B770" s="229" t="inlineStr">
        <is>
          <t>FAC</t>
        </is>
      </c>
      <c r="C770" s="208" t="n">
        <v>5</v>
      </c>
      <c r="D770" s="208" t="inlineStr">
        <is>
          <t>T2 Secondary</t>
        </is>
      </c>
      <c r="E770" s="208" t="inlineStr">
        <is>
          <t>Acceptance &amp; Warranty</t>
        </is>
      </c>
      <c r="F770" s="208" t="n">
        <v>35.3333</v>
      </c>
      <c r="G770" s="208" t="n">
        <v>237</v>
      </c>
      <c r="H770" s="208" t="inlineStr">
        <is>
          <t>No separate deliverable explicitly named</t>
        </is>
      </c>
    </row>
    <row r="771">
      <c r="A771" s="199" t="inlineStr">
        <is>
          <t>RTM-718</t>
        </is>
      </c>
      <c r="B771" s="226" t="inlineStr">
        <is>
          <t>L6 Site Acceptance Testing</t>
        </is>
      </c>
      <c r="C771" s="199" t="n">
        <v>8</v>
      </c>
      <c r="D771" s="199" t="inlineStr">
        <is>
          <t>T2 Secondary</t>
        </is>
      </c>
      <c r="E771" s="199" t="inlineStr">
        <is>
          <t>Acceptance &amp; Warranty</t>
        </is>
      </c>
      <c r="F771" s="199" t="n">
        <v>35.3333</v>
      </c>
      <c r="G771" s="199" t="n">
        <v>238</v>
      </c>
      <c r="H771" s="199" t="inlineStr">
        <is>
          <t>No separate deliverable explicitly named</t>
        </is>
      </c>
    </row>
    <row r="772">
      <c r="A772" s="208" t="inlineStr">
        <is>
          <t>RTM-718</t>
        </is>
      </c>
      <c r="B772" s="228" t="inlineStr">
        <is>
          <t>Warranty</t>
        </is>
      </c>
      <c r="C772" s="208" t="n">
        <v>10</v>
      </c>
      <c r="D772" s="208" t="inlineStr">
        <is>
          <t>T2 Secondary</t>
        </is>
      </c>
      <c r="E772" s="208" t="inlineStr">
        <is>
          <t>Acceptance &amp; Warranty</t>
        </is>
      </c>
      <c r="F772" s="208" t="n">
        <v>35.3333</v>
      </c>
      <c r="G772" s="208" t="n">
        <v>238</v>
      </c>
      <c r="H772" s="208" t="inlineStr">
        <is>
          <t>No separate deliverable explicitly named</t>
        </is>
      </c>
    </row>
    <row r="773">
      <c r="A773" s="199" t="inlineStr">
        <is>
          <t>RTM-718</t>
        </is>
      </c>
      <c r="B773" s="229" t="inlineStr">
        <is>
          <t>FAC</t>
        </is>
      </c>
      <c r="C773" s="199" t="n">
        <v>5</v>
      </c>
      <c r="D773" s="199" t="inlineStr">
        <is>
          <t>T2 Secondary</t>
        </is>
      </c>
      <c r="E773" s="199" t="inlineStr">
        <is>
          <t>Acceptance &amp; Warranty</t>
        </is>
      </c>
      <c r="F773" s="199" t="n">
        <v>35.3333</v>
      </c>
      <c r="G773" s="199" t="n">
        <v>238</v>
      </c>
      <c r="H773" s="199" t="inlineStr">
        <is>
          <t>No separate deliverable explicitly named</t>
        </is>
      </c>
    </row>
    <row r="774">
      <c r="A774" s="208" t="inlineStr">
        <is>
          <t>RTM-718</t>
        </is>
      </c>
      <c r="B774" s="227" t="inlineStr">
        <is>
          <t>PAC / Handover</t>
        </is>
      </c>
      <c r="C774" s="208" t="n">
        <v>9</v>
      </c>
      <c r="D774" s="208" t="inlineStr">
        <is>
          <t>T2 Secondary</t>
        </is>
      </c>
      <c r="E774" s="208" t="inlineStr">
        <is>
          <t>Acceptance &amp; Warranty</t>
        </is>
      </c>
      <c r="F774" s="208" t="n">
        <v>35.3333</v>
      </c>
      <c r="G774" s="208" t="n">
        <v>238</v>
      </c>
      <c r="H774" s="208" t="inlineStr">
        <is>
          <t>No separate deliverable explicitly named</t>
        </is>
      </c>
    </row>
    <row r="775">
      <c r="A775" s="199" t="inlineStr">
        <is>
          <t>RTM-720</t>
        </is>
      </c>
      <c r="B775" s="226" t="inlineStr">
        <is>
          <t>L6 Site Acceptance Testing</t>
        </is>
      </c>
      <c r="C775" s="199" t="n">
        <v>8</v>
      </c>
      <c r="D775" s="199" t="inlineStr">
        <is>
          <t>T2 Secondary</t>
        </is>
      </c>
      <c r="E775" s="199" t="inlineStr">
        <is>
          <t>Acceptance &amp; Warranty</t>
        </is>
      </c>
      <c r="F775" s="199" t="n">
        <v>35.3333</v>
      </c>
      <c r="G775" s="199" t="n">
        <v>239</v>
      </c>
      <c r="H775" s="199" t="inlineStr">
        <is>
          <t>No separate deliverable explicitly named</t>
        </is>
      </c>
    </row>
    <row r="776">
      <c r="A776" s="208" t="inlineStr">
        <is>
          <t>RTM-720</t>
        </is>
      </c>
      <c r="B776" s="227" t="inlineStr">
        <is>
          <t>PAC / Handover</t>
        </is>
      </c>
      <c r="C776" s="208" t="n">
        <v>9</v>
      </c>
      <c r="D776" s="208" t="inlineStr">
        <is>
          <t>T2 Secondary</t>
        </is>
      </c>
      <c r="E776" s="208" t="inlineStr">
        <is>
          <t>Acceptance &amp; Warranty</t>
        </is>
      </c>
      <c r="F776" s="208" t="n">
        <v>35.3333</v>
      </c>
      <c r="G776" s="208" t="n">
        <v>239</v>
      </c>
      <c r="H776" s="208" t="inlineStr">
        <is>
          <t>No separate deliverable explicitly named</t>
        </is>
      </c>
    </row>
    <row r="777">
      <c r="A777" s="199" t="inlineStr">
        <is>
          <t>RTM-720</t>
        </is>
      </c>
      <c r="B777" s="228" t="inlineStr">
        <is>
          <t>Warranty</t>
        </is>
      </c>
      <c r="C777" s="199" t="n">
        <v>10</v>
      </c>
      <c r="D777" s="199" t="inlineStr">
        <is>
          <t>T2 Secondary</t>
        </is>
      </c>
      <c r="E777" s="199" t="inlineStr">
        <is>
          <t>Acceptance &amp; Warranty</t>
        </is>
      </c>
      <c r="F777" s="199" t="n">
        <v>35.3333</v>
      </c>
      <c r="G777" s="199" t="n">
        <v>239</v>
      </c>
      <c r="H777" s="199" t="inlineStr">
        <is>
          <t>No separate deliverable explicitly named</t>
        </is>
      </c>
    </row>
    <row r="778">
      <c r="A778" s="208" t="inlineStr">
        <is>
          <t>RTM-720</t>
        </is>
      </c>
      <c r="B778" s="229" t="inlineStr">
        <is>
          <t>FAC</t>
        </is>
      </c>
      <c r="C778" s="208" t="n">
        <v>5</v>
      </c>
      <c r="D778" s="208" t="inlineStr">
        <is>
          <t>T2 Secondary</t>
        </is>
      </c>
      <c r="E778" s="208" t="inlineStr">
        <is>
          <t>Acceptance &amp; Warranty</t>
        </is>
      </c>
      <c r="F778" s="208" t="n">
        <v>35.3333</v>
      </c>
      <c r="G778" s="208" t="n">
        <v>239</v>
      </c>
      <c r="H778" s="208" t="inlineStr">
        <is>
          <t>No separate deliverable explicitly named</t>
        </is>
      </c>
    </row>
    <row r="779">
      <c r="A779" s="199" t="inlineStr">
        <is>
          <t>RTM-633</t>
        </is>
      </c>
      <c r="B779" s="221" t="inlineStr">
        <is>
          <t>L0 Tender / Offer</t>
        </is>
      </c>
      <c r="C779" s="199" t="n">
        <v>1</v>
      </c>
      <c r="D779" s="199" t="inlineStr">
        <is>
          <t>T2 Secondary</t>
        </is>
      </c>
      <c r="E779" s="199" t="inlineStr">
        <is>
          <t>Contract Performance</t>
        </is>
      </c>
      <c r="F779" s="199" t="n">
        <v>35</v>
      </c>
      <c r="G779" s="199" t="n">
        <v>240</v>
      </c>
      <c r="H779" s="199" t="inlineStr">
        <is>
          <t>List / register / matrix</t>
        </is>
      </c>
    </row>
    <row r="780">
      <c r="A780" s="208" t="inlineStr">
        <is>
          <t>RTM-633</t>
        </is>
      </c>
      <c r="B780" s="222" t="inlineStr">
        <is>
          <t>L1 Conceptual Design</t>
        </is>
      </c>
      <c r="C780" s="208" t="n">
        <v>2</v>
      </c>
      <c r="D780" s="208" t="inlineStr">
        <is>
          <t>T2 Secondary</t>
        </is>
      </c>
      <c r="E780" s="208" t="inlineStr">
        <is>
          <t>Contract Performance</t>
        </is>
      </c>
      <c r="F780" s="208" t="n">
        <v>35</v>
      </c>
      <c r="G780" s="208" t="n">
        <v>240</v>
      </c>
      <c r="H780" s="208" t="inlineStr">
        <is>
          <t>List / register / matrix</t>
        </is>
      </c>
    </row>
    <row r="781">
      <c r="A781" s="199" t="inlineStr">
        <is>
          <t>RTM-633</t>
        </is>
      </c>
      <c r="B781" s="223" t="inlineStr">
        <is>
          <t>L2 Detailed Design</t>
        </is>
      </c>
      <c r="C781" s="199" t="n">
        <v>3</v>
      </c>
      <c r="D781" s="199" t="inlineStr">
        <is>
          <t>T2 Secondary</t>
        </is>
      </c>
      <c r="E781" s="199" t="inlineStr">
        <is>
          <t>Contract Performance</t>
        </is>
      </c>
      <c r="F781" s="199" t="n">
        <v>35</v>
      </c>
      <c r="G781" s="199" t="n">
        <v>240</v>
      </c>
      <c r="H781" s="199" t="inlineStr">
        <is>
          <t>List / register / matrix</t>
        </is>
      </c>
    </row>
    <row r="782">
      <c r="A782" s="208" t="inlineStr">
        <is>
          <t>RTM-633</t>
        </is>
      </c>
      <c r="B782" s="224" t="inlineStr">
        <is>
          <t>L3 Procurement &amp; Manufacturing / FAT</t>
        </is>
      </c>
      <c r="C782" s="208" t="n">
        <v>4</v>
      </c>
      <c r="D782" s="208" t="inlineStr">
        <is>
          <t>T2 Secondary</t>
        </is>
      </c>
      <c r="E782" s="208" t="inlineStr">
        <is>
          <t>Contract Performance</t>
        </is>
      </c>
      <c r="F782" s="208" t="n">
        <v>35</v>
      </c>
      <c r="G782" s="208" t="n">
        <v>240</v>
      </c>
      <c r="H782" s="208" t="inlineStr">
        <is>
          <t>List / register / matrix</t>
        </is>
      </c>
    </row>
    <row r="783">
      <c r="A783" s="199" t="inlineStr">
        <is>
          <t>RTM-633</t>
        </is>
      </c>
      <c r="B783" s="220" t="inlineStr">
        <is>
          <t>L4 Installation</t>
        </is>
      </c>
      <c r="C783" s="199" t="n">
        <v>6</v>
      </c>
      <c r="D783" s="199" t="inlineStr">
        <is>
          <t>T2 Secondary</t>
        </is>
      </c>
      <c r="E783" s="199" t="inlineStr">
        <is>
          <t>Contract Performance</t>
        </is>
      </c>
      <c r="F783" s="199" t="n">
        <v>35</v>
      </c>
      <c r="G783" s="199" t="n">
        <v>240</v>
      </c>
      <c r="H783" s="199" t="inlineStr">
        <is>
          <t>List / register / matrix</t>
        </is>
      </c>
    </row>
    <row r="784">
      <c r="A784" s="208" t="inlineStr">
        <is>
          <t>RTM-633</t>
        </is>
      </c>
      <c r="B784" s="225" t="inlineStr">
        <is>
          <t>L5 Standalone Commissioning</t>
        </is>
      </c>
      <c r="C784" s="208" t="n">
        <v>7</v>
      </c>
      <c r="D784" s="208" t="inlineStr">
        <is>
          <t>T2 Secondary</t>
        </is>
      </c>
      <c r="E784" s="208" t="inlineStr">
        <is>
          <t>Contract Performance</t>
        </is>
      </c>
      <c r="F784" s="208" t="n">
        <v>35</v>
      </c>
      <c r="G784" s="208" t="n">
        <v>240</v>
      </c>
      <c r="H784" s="208" t="inlineStr">
        <is>
          <t>List / register / matrix</t>
        </is>
      </c>
    </row>
    <row r="785">
      <c r="A785" s="199" t="inlineStr">
        <is>
          <t>RTM-633</t>
        </is>
      </c>
      <c r="B785" s="226" t="inlineStr">
        <is>
          <t>L6 Site Acceptance Testing</t>
        </is>
      </c>
      <c r="C785" s="199" t="n">
        <v>8</v>
      </c>
      <c r="D785" s="199" t="inlineStr">
        <is>
          <t>T2 Secondary</t>
        </is>
      </c>
      <c r="E785" s="199" t="inlineStr">
        <is>
          <t>Contract Performance</t>
        </is>
      </c>
      <c r="F785" s="199" t="n">
        <v>35</v>
      </c>
      <c r="G785" s="199" t="n">
        <v>240</v>
      </c>
      <c r="H785" s="199" t="inlineStr">
        <is>
          <t>List / register / matrix</t>
        </is>
      </c>
    </row>
    <row r="786">
      <c r="A786" s="208" t="inlineStr">
        <is>
          <t>RTM-697</t>
        </is>
      </c>
      <c r="B786" s="221" t="inlineStr">
        <is>
          <t>L0 Tender / Offer</t>
        </is>
      </c>
      <c r="C786" s="208" t="n">
        <v>1</v>
      </c>
      <c r="D786" s="208" t="inlineStr">
        <is>
          <t>T2 Secondary</t>
        </is>
      </c>
      <c r="E786" s="208" t="inlineStr">
        <is>
          <t>Codes &amp; Standards</t>
        </is>
      </c>
      <c r="F786" s="208" t="n">
        <v>35</v>
      </c>
      <c r="G786" s="208" t="n">
        <v>241</v>
      </c>
      <c r="H786" s="208" t="inlineStr">
        <is>
          <t>No separate deliverable explicitly named</t>
        </is>
      </c>
    </row>
    <row r="787">
      <c r="A787" s="199" t="inlineStr">
        <is>
          <t>RTM-697</t>
        </is>
      </c>
      <c r="B787" s="222" t="inlineStr">
        <is>
          <t>L1 Conceptual Design</t>
        </is>
      </c>
      <c r="C787" s="199" t="n">
        <v>2</v>
      </c>
      <c r="D787" s="199" t="inlineStr">
        <is>
          <t>T2 Secondary</t>
        </is>
      </c>
      <c r="E787" s="199" t="inlineStr">
        <is>
          <t>Codes &amp; Standards</t>
        </is>
      </c>
      <c r="F787" s="199" t="n">
        <v>35</v>
      </c>
      <c r="G787" s="199" t="n">
        <v>241</v>
      </c>
      <c r="H787" s="199" t="inlineStr">
        <is>
          <t>No separate deliverable explicitly named</t>
        </is>
      </c>
    </row>
    <row r="788">
      <c r="A788" s="208" t="inlineStr">
        <is>
          <t>RTM-697</t>
        </is>
      </c>
      <c r="B788" s="223" t="inlineStr">
        <is>
          <t>L2 Detailed Design</t>
        </is>
      </c>
      <c r="C788" s="208" t="n">
        <v>3</v>
      </c>
      <c r="D788" s="208" t="inlineStr">
        <is>
          <t>T2 Secondary</t>
        </is>
      </c>
      <c r="E788" s="208" t="inlineStr">
        <is>
          <t>Codes &amp; Standards</t>
        </is>
      </c>
      <c r="F788" s="208" t="n">
        <v>35</v>
      </c>
      <c r="G788" s="208" t="n">
        <v>241</v>
      </c>
      <c r="H788" s="208" t="inlineStr">
        <is>
          <t>No separate deliverable explicitly named</t>
        </is>
      </c>
    </row>
    <row r="789">
      <c r="A789" s="199" t="inlineStr">
        <is>
          <t>RTM-697</t>
        </is>
      </c>
      <c r="B789" s="224" t="inlineStr">
        <is>
          <t>L3 Procurement &amp; Manufacturing / FAT</t>
        </is>
      </c>
      <c r="C789" s="199" t="n">
        <v>4</v>
      </c>
      <c r="D789" s="199" t="inlineStr">
        <is>
          <t>T2 Secondary</t>
        </is>
      </c>
      <c r="E789" s="199" t="inlineStr">
        <is>
          <t>Codes &amp; Standards</t>
        </is>
      </c>
      <c r="F789" s="199" t="n">
        <v>35</v>
      </c>
      <c r="G789" s="199" t="n">
        <v>241</v>
      </c>
      <c r="H789" s="199" t="inlineStr">
        <is>
          <t>No separate deliverable explicitly named</t>
        </is>
      </c>
    </row>
    <row r="790">
      <c r="A790" s="208" t="inlineStr">
        <is>
          <t>RTM-697</t>
        </is>
      </c>
      <c r="B790" s="220" t="inlineStr">
        <is>
          <t>L4 Installation</t>
        </is>
      </c>
      <c r="C790" s="208" t="n">
        <v>6</v>
      </c>
      <c r="D790" s="208" t="inlineStr">
        <is>
          <t>T2 Secondary</t>
        </is>
      </c>
      <c r="E790" s="208" t="inlineStr">
        <is>
          <t>Codes &amp; Standards</t>
        </is>
      </c>
      <c r="F790" s="208" t="n">
        <v>35</v>
      </c>
      <c r="G790" s="208" t="n">
        <v>241</v>
      </c>
      <c r="H790" s="208" t="inlineStr">
        <is>
          <t>No separate deliverable explicitly named</t>
        </is>
      </c>
    </row>
    <row r="791">
      <c r="A791" s="199" t="inlineStr">
        <is>
          <t>RTM-697</t>
        </is>
      </c>
      <c r="B791" s="225" t="inlineStr">
        <is>
          <t>L5 Standalone Commissioning</t>
        </is>
      </c>
      <c r="C791" s="199" t="n">
        <v>7</v>
      </c>
      <c r="D791" s="199" t="inlineStr">
        <is>
          <t>T2 Secondary</t>
        </is>
      </c>
      <c r="E791" s="199" t="inlineStr">
        <is>
          <t>Codes &amp; Standards</t>
        </is>
      </c>
      <c r="F791" s="199" t="n">
        <v>35</v>
      </c>
      <c r="G791" s="199" t="n">
        <v>241</v>
      </c>
      <c r="H791" s="199" t="inlineStr">
        <is>
          <t>No separate deliverable explicitly named</t>
        </is>
      </c>
    </row>
    <row r="792">
      <c r="A792" s="208" t="inlineStr">
        <is>
          <t>RTM-697</t>
        </is>
      </c>
      <c r="B792" s="226" t="inlineStr">
        <is>
          <t>L6 Site Acceptance Testing</t>
        </is>
      </c>
      <c r="C792" s="208" t="n">
        <v>8</v>
      </c>
      <c r="D792" s="208" t="inlineStr">
        <is>
          <t>T2 Secondary</t>
        </is>
      </c>
      <c r="E792" s="208" t="inlineStr">
        <is>
          <t>Codes &amp; Standards</t>
        </is>
      </c>
      <c r="F792" s="208" t="n">
        <v>35</v>
      </c>
      <c r="G792" s="208" t="n">
        <v>241</v>
      </c>
      <c r="H792" s="208" t="inlineStr">
        <is>
          <t>No separate deliverable explicitly named</t>
        </is>
      </c>
    </row>
    <row r="793">
      <c r="A793" s="199" t="inlineStr">
        <is>
          <t>RTM-709</t>
        </is>
      </c>
      <c r="B793" s="228" t="inlineStr">
        <is>
          <t>Warranty</t>
        </is>
      </c>
      <c r="C793" s="199" t="n">
        <v>10</v>
      </c>
      <c r="D793" s="199" t="inlineStr">
        <is>
          <t>T2 Secondary</t>
        </is>
      </c>
      <c r="E793" s="199" t="inlineStr">
        <is>
          <t>Acceptance &amp; Warranty</t>
        </is>
      </c>
      <c r="F793" s="199" t="n">
        <v>35</v>
      </c>
      <c r="G793" s="199" t="n">
        <v>242</v>
      </c>
      <c r="H793" s="199" t="inlineStr">
        <is>
          <t>No separate deliverable explicitly named</t>
        </is>
      </c>
    </row>
    <row r="794">
      <c r="A794" s="208" t="inlineStr">
        <is>
          <t>RTM-709</t>
        </is>
      </c>
      <c r="B794" s="227" t="inlineStr">
        <is>
          <t>PAC / Handover</t>
        </is>
      </c>
      <c r="C794" s="208" t="n">
        <v>9</v>
      </c>
      <c r="D794" s="208" t="inlineStr">
        <is>
          <t>T2 Secondary</t>
        </is>
      </c>
      <c r="E794" s="208" t="inlineStr">
        <is>
          <t>Acceptance &amp; Warranty</t>
        </is>
      </c>
      <c r="F794" s="208" t="n">
        <v>35</v>
      </c>
      <c r="G794" s="208" t="n">
        <v>242</v>
      </c>
      <c r="H794" s="208" t="inlineStr">
        <is>
          <t>No separate deliverable explicitly named</t>
        </is>
      </c>
    </row>
    <row r="795">
      <c r="A795" s="199" t="inlineStr">
        <is>
          <t>RTM-709</t>
        </is>
      </c>
      <c r="B795" s="229" t="inlineStr">
        <is>
          <t>FAC</t>
        </is>
      </c>
      <c r="C795" s="199" t="n">
        <v>5</v>
      </c>
      <c r="D795" s="199" t="inlineStr">
        <is>
          <t>T2 Secondary</t>
        </is>
      </c>
      <c r="E795" s="199" t="inlineStr">
        <is>
          <t>Acceptance &amp; Warranty</t>
        </is>
      </c>
      <c r="F795" s="199" t="n">
        <v>35</v>
      </c>
      <c r="G795" s="199" t="n">
        <v>242</v>
      </c>
      <c r="H795" s="199" t="inlineStr">
        <is>
          <t>No separate deliverable explicitly named</t>
        </is>
      </c>
    </row>
    <row r="796">
      <c r="A796" s="208" t="inlineStr">
        <is>
          <t>RTM-712</t>
        </is>
      </c>
      <c r="B796" s="228" t="inlineStr">
        <is>
          <t>Warranty</t>
        </is>
      </c>
      <c r="C796" s="208" t="n">
        <v>10</v>
      </c>
      <c r="D796" s="208" t="inlineStr">
        <is>
          <t>T2 Secondary</t>
        </is>
      </c>
      <c r="E796" s="208" t="inlineStr">
        <is>
          <t>Acceptance &amp; Warranty</t>
        </is>
      </c>
      <c r="F796" s="208" t="n">
        <v>35</v>
      </c>
      <c r="G796" s="208" t="n">
        <v>243</v>
      </c>
      <c r="H796" s="208" t="inlineStr">
        <is>
          <t>No separate deliverable explicitly named</t>
        </is>
      </c>
    </row>
    <row r="797">
      <c r="A797" s="199" t="inlineStr">
        <is>
          <t>RTM-712</t>
        </is>
      </c>
      <c r="B797" s="227" t="inlineStr">
        <is>
          <t>PAC / Handover</t>
        </is>
      </c>
      <c r="C797" s="199" t="n">
        <v>9</v>
      </c>
      <c r="D797" s="199" t="inlineStr">
        <is>
          <t>T2 Secondary</t>
        </is>
      </c>
      <c r="E797" s="199" t="inlineStr">
        <is>
          <t>Acceptance &amp; Warranty</t>
        </is>
      </c>
      <c r="F797" s="199" t="n">
        <v>35</v>
      </c>
      <c r="G797" s="199" t="n">
        <v>243</v>
      </c>
      <c r="H797" s="199" t="inlineStr">
        <is>
          <t>No separate deliverable explicitly named</t>
        </is>
      </c>
    </row>
    <row r="798">
      <c r="A798" s="208" t="inlineStr">
        <is>
          <t>RTM-712</t>
        </is>
      </c>
      <c r="B798" s="229" t="inlineStr">
        <is>
          <t>FAC</t>
        </is>
      </c>
      <c r="C798" s="208" t="n">
        <v>5</v>
      </c>
      <c r="D798" s="208" t="inlineStr">
        <is>
          <t>T2 Secondary</t>
        </is>
      </c>
      <c r="E798" s="208" t="inlineStr">
        <is>
          <t>Acceptance &amp; Warranty</t>
        </is>
      </c>
      <c r="F798" s="208" t="n">
        <v>35</v>
      </c>
      <c r="G798" s="208" t="n">
        <v>243</v>
      </c>
      <c r="H798" s="208" t="inlineStr">
        <is>
          <t>No separate deliverable explicitly named</t>
        </is>
      </c>
    </row>
    <row r="799">
      <c r="A799" s="199" t="inlineStr">
        <is>
          <t>RTM-715</t>
        </is>
      </c>
      <c r="B799" s="228" t="inlineStr">
        <is>
          <t>Warranty</t>
        </is>
      </c>
      <c r="C799" s="199" t="n">
        <v>10</v>
      </c>
      <c r="D799" s="199" t="inlineStr">
        <is>
          <t>T2 Secondary</t>
        </is>
      </c>
      <c r="E799" s="199" t="inlineStr">
        <is>
          <t>Acceptance &amp; Warranty</t>
        </is>
      </c>
      <c r="F799" s="199" t="n">
        <v>35</v>
      </c>
      <c r="G799" s="199" t="n">
        <v>244</v>
      </c>
      <c r="H799" s="199" t="inlineStr">
        <is>
          <t>No separate deliverable explicitly named</t>
        </is>
      </c>
    </row>
    <row r="800">
      <c r="A800" s="208" t="inlineStr">
        <is>
          <t>RTM-715</t>
        </is>
      </c>
      <c r="B800" s="227" t="inlineStr">
        <is>
          <t>PAC / Handover</t>
        </is>
      </c>
      <c r="C800" s="208" t="n">
        <v>9</v>
      </c>
      <c r="D800" s="208" t="inlineStr">
        <is>
          <t>T2 Secondary</t>
        </is>
      </c>
      <c r="E800" s="208" t="inlineStr">
        <is>
          <t>Acceptance &amp; Warranty</t>
        </is>
      </c>
      <c r="F800" s="208" t="n">
        <v>35</v>
      </c>
      <c r="G800" s="208" t="n">
        <v>244</v>
      </c>
      <c r="H800" s="208" t="inlineStr">
        <is>
          <t>No separate deliverable explicitly named</t>
        </is>
      </c>
    </row>
    <row r="801">
      <c r="A801" s="199" t="inlineStr">
        <is>
          <t>RTM-715</t>
        </is>
      </c>
      <c r="B801" s="229" t="inlineStr">
        <is>
          <t>FAC</t>
        </is>
      </c>
      <c r="C801" s="199" t="n">
        <v>5</v>
      </c>
      <c r="D801" s="199" t="inlineStr">
        <is>
          <t>T2 Secondary</t>
        </is>
      </c>
      <c r="E801" s="199" t="inlineStr">
        <is>
          <t>Acceptance &amp; Warranty</t>
        </is>
      </c>
      <c r="F801" s="199" t="n">
        <v>35</v>
      </c>
      <c r="G801" s="199" t="n">
        <v>244</v>
      </c>
      <c r="H801" s="199" t="inlineStr">
        <is>
          <t>No separate deliverable explicitly named</t>
        </is>
      </c>
    </row>
    <row r="802">
      <c r="A802" s="208" t="inlineStr">
        <is>
          <t>RTM-716</t>
        </is>
      </c>
      <c r="B802" s="228" t="inlineStr">
        <is>
          <t>Warranty</t>
        </is>
      </c>
      <c r="C802" s="208" t="n">
        <v>10</v>
      </c>
      <c r="D802" s="208" t="inlineStr">
        <is>
          <t>T2 Secondary</t>
        </is>
      </c>
      <c r="E802" s="208" t="inlineStr">
        <is>
          <t>Acceptance &amp; Warranty</t>
        </is>
      </c>
      <c r="F802" s="208" t="n">
        <v>35</v>
      </c>
      <c r="G802" s="208" t="n">
        <v>245</v>
      </c>
      <c r="H802" s="208" t="inlineStr">
        <is>
          <t>No separate deliverable explicitly named</t>
        </is>
      </c>
    </row>
    <row r="803">
      <c r="A803" s="199" t="inlineStr">
        <is>
          <t>RTM-716</t>
        </is>
      </c>
      <c r="B803" s="227" t="inlineStr">
        <is>
          <t>PAC / Handover</t>
        </is>
      </c>
      <c r="C803" s="199" t="n">
        <v>9</v>
      </c>
      <c r="D803" s="199" t="inlineStr">
        <is>
          <t>T2 Secondary</t>
        </is>
      </c>
      <c r="E803" s="199" t="inlineStr">
        <is>
          <t>Acceptance &amp; Warranty</t>
        </is>
      </c>
      <c r="F803" s="199" t="n">
        <v>35</v>
      </c>
      <c r="G803" s="199" t="n">
        <v>245</v>
      </c>
      <c r="H803" s="199" t="inlineStr">
        <is>
          <t>No separate deliverable explicitly named</t>
        </is>
      </c>
    </row>
    <row r="804">
      <c r="A804" s="208" t="inlineStr">
        <is>
          <t>RTM-716</t>
        </is>
      </c>
      <c r="B804" s="229" t="inlineStr">
        <is>
          <t>FAC</t>
        </is>
      </c>
      <c r="C804" s="208" t="n">
        <v>5</v>
      </c>
      <c r="D804" s="208" t="inlineStr">
        <is>
          <t>T2 Secondary</t>
        </is>
      </c>
      <c r="E804" s="208" t="inlineStr">
        <is>
          <t>Acceptance &amp; Warranty</t>
        </is>
      </c>
      <c r="F804" s="208" t="n">
        <v>35</v>
      </c>
      <c r="G804" s="208" t="n">
        <v>245</v>
      </c>
      <c r="H804" s="208" t="inlineStr">
        <is>
          <t>No separate deliverable explicitly named</t>
        </is>
      </c>
    </row>
    <row r="805">
      <c r="A805" s="199" t="inlineStr">
        <is>
          <t>RTM-722</t>
        </is>
      </c>
      <c r="B805" s="228" t="inlineStr">
        <is>
          <t>Warranty</t>
        </is>
      </c>
      <c r="C805" s="199" t="n">
        <v>10</v>
      </c>
      <c r="D805" s="199" t="inlineStr">
        <is>
          <t>T2 Secondary</t>
        </is>
      </c>
      <c r="E805" s="199" t="inlineStr">
        <is>
          <t>Acceptance &amp; Warranty</t>
        </is>
      </c>
      <c r="F805" s="199" t="n">
        <v>35</v>
      </c>
      <c r="G805" s="199" t="n">
        <v>246</v>
      </c>
      <c r="H805" s="199" t="inlineStr">
        <is>
          <t>No separate deliverable explicitly named</t>
        </is>
      </c>
    </row>
    <row r="806">
      <c r="A806" s="208" t="inlineStr">
        <is>
          <t>RTM-722</t>
        </is>
      </c>
      <c r="B806" s="227" t="inlineStr">
        <is>
          <t>PAC / Handover</t>
        </is>
      </c>
      <c r="C806" s="208" t="n">
        <v>9</v>
      </c>
      <c r="D806" s="208" t="inlineStr">
        <is>
          <t>T2 Secondary</t>
        </is>
      </c>
      <c r="E806" s="208" t="inlineStr">
        <is>
          <t>Acceptance &amp; Warranty</t>
        </is>
      </c>
      <c r="F806" s="208" t="n">
        <v>35</v>
      </c>
      <c r="G806" s="208" t="n">
        <v>246</v>
      </c>
      <c r="H806" s="208" t="inlineStr">
        <is>
          <t>No separate deliverable explicitly named</t>
        </is>
      </c>
    </row>
    <row r="807">
      <c r="A807" s="199" t="inlineStr">
        <is>
          <t>RTM-722</t>
        </is>
      </c>
      <c r="B807" s="229" t="inlineStr">
        <is>
          <t>FAC</t>
        </is>
      </c>
      <c r="C807" s="199" t="n">
        <v>5</v>
      </c>
      <c r="D807" s="199" t="inlineStr">
        <is>
          <t>T2 Secondary</t>
        </is>
      </c>
      <c r="E807" s="199" t="inlineStr">
        <is>
          <t>Acceptance &amp; Warranty</t>
        </is>
      </c>
      <c r="F807" s="199" t="n">
        <v>35</v>
      </c>
      <c r="G807" s="199" t="n">
        <v>246</v>
      </c>
      <c r="H807" s="199" t="inlineStr">
        <is>
          <t>No separate deliverable explicitly named</t>
        </is>
      </c>
    </row>
    <row r="808">
      <c r="A808" s="208" t="inlineStr">
        <is>
          <t>RTM-149</t>
        </is>
      </c>
      <c r="B808" s="222" t="inlineStr">
        <is>
          <t>L1 Conceptual Design</t>
        </is>
      </c>
      <c r="C808" s="208" t="n">
        <v>2</v>
      </c>
      <c r="D808" s="208" t="inlineStr">
        <is>
          <t>T2 Secondary</t>
        </is>
      </c>
      <c r="E808" s="208" t="inlineStr">
        <is>
          <t>Subsystems</t>
        </is>
      </c>
      <c r="F808" s="208" t="n">
        <v>34.6667</v>
      </c>
      <c r="G808" s="208" t="n">
        <v>247</v>
      </c>
      <c r="H808" s="208" t="inlineStr">
        <is>
          <t>No separate deliverable explicitly named</t>
        </is>
      </c>
    </row>
    <row r="809">
      <c r="A809" s="199" t="inlineStr">
        <is>
          <t>RTM-149</t>
        </is>
      </c>
      <c r="B809" s="223" t="inlineStr">
        <is>
          <t>L2 Detailed Design</t>
        </is>
      </c>
      <c r="C809" s="199" t="n">
        <v>3</v>
      </c>
      <c r="D809" s="199" t="inlineStr">
        <is>
          <t>T2 Secondary</t>
        </is>
      </c>
      <c r="E809" s="199" t="inlineStr">
        <is>
          <t>Subsystems</t>
        </is>
      </c>
      <c r="F809" s="199" t="n">
        <v>34.6667</v>
      </c>
      <c r="G809" s="199" t="n">
        <v>247</v>
      </c>
      <c r="H809" s="199" t="inlineStr">
        <is>
          <t>No separate deliverable explicitly named</t>
        </is>
      </c>
    </row>
    <row r="810">
      <c r="A810" s="208" t="inlineStr">
        <is>
          <t>RTM-187</t>
        </is>
      </c>
      <c r="B810" s="222" t="inlineStr">
        <is>
          <t>L1 Conceptual Design</t>
        </is>
      </c>
      <c r="C810" s="208" t="n">
        <v>2</v>
      </c>
      <c r="D810" s="208" t="inlineStr">
        <is>
          <t>T2 Secondary</t>
        </is>
      </c>
      <c r="E810" s="208" t="inlineStr">
        <is>
          <t>Subsystems</t>
        </is>
      </c>
      <c r="F810" s="208" t="n">
        <v>34.6667</v>
      </c>
      <c r="G810" s="208" t="n">
        <v>248</v>
      </c>
      <c r="H810" s="208" t="inlineStr">
        <is>
          <t>No separate deliverable explicitly named</t>
        </is>
      </c>
    </row>
    <row r="811">
      <c r="A811" s="199" t="inlineStr">
        <is>
          <t>RTM-187</t>
        </is>
      </c>
      <c r="B811" s="223" t="inlineStr">
        <is>
          <t>L2 Detailed Design</t>
        </is>
      </c>
      <c r="C811" s="199" t="n">
        <v>3</v>
      </c>
      <c r="D811" s="199" t="inlineStr">
        <is>
          <t>T2 Secondary</t>
        </is>
      </c>
      <c r="E811" s="199" t="inlineStr">
        <is>
          <t>Subsystems</t>
        </is>
      </c>
      <c r="F811" s="199" t="n">
        <v>34.6667</v>
      </c>
      <c r="G811" s="199" t="n">
        <v>248</v>
      </c>
      <c r="H811" s="199" t="inlineStr">
        <is>
          <t>No separate deliverable explicitly named</t>
        </is>
      </c>
    </row>
    <row r="812">
      <c r="A812" s="208" t="inlineStr">
        <is>
          <t>RTM-206</t>
        </is>
      </c>
      <c r="B812" s="222" t="inlineStr">
        <is>
          <t>L1 Conceptual Design</t>
        </is>
      </c>
      <c r="C812" s="208" t="n">
        <v>2</v>
      </c>
      <c r="D812" s="208" t="inlineStr">
        <is>
          <t>T2 Secondary</t>
        </is>
      </c>
      <c r="E812" s="208" t="inlineStr">
        <is>
          <t>Subsystems</t>
        </is>
      </c>
      <c r="F812" s="208" t="n">
        <v>34.6667</v>
      </c>
      <c r="G812" s="208" t="n">
        <v>249</v>
      </c>
      <c r="H812" s="208" t="inlineStr">
        <is>
          <t>No separate deliverable explicitly named</t>
        </is>
      </c>
    </row>
    <row r="813">
      <c r="A813" s="199" t="inlineStr">
        <is>
          <t>RTM-206</t>
        </is>
      </c>
      <c r="B813" s="223" t="inlineStr">
        <is>
          <t>L2 Detailed Design</t>
        </is>
      </c>
      <c r="C813" s="199" t="n">
        <v>3</v>
      </c>
      <c r="D813" s="199" t="inlineStr">
        <is>
          <t>T2 Secondary</t>
        </is>
      </c>
      <c r="E813" s="199" t="inlineStr">
        <is>
          <t>Subsystems</t>
        </is>
      </c>
      <c r="F813" s="199" t="n">
        <v>34.6667</v>
      </c>
      <c r="G813" s="199" t="n">
        <v>249</v>
      </c>
      <c r="H813" s="199" t="inlineStr">
        <is>
          <t>No separate deliverable explicitly named</t>
        </is>
      </c>
    </row>
    <row r="814">
      <c r="A814" s="208" t="inlineStr">
        <is>
          <t>RTM-228</t>
        </is>
      </c>
      <c r="B814" s="222" t="inlineStr">
        <is>
          <t>L1 Conceptual Design</t>
        </is>
      </c>
      <c r="C814" s="208" t="n">
        <v>2</v>
      </c>
      <c r="D814" s="208" t="inlineStr">
        <is>
          <t>T2 Secondary</t>
        </is>
      </c>
      <c r="E814" s="208" t="inlineStr">
        <is>
          <t>Subsystems</t>
        </is>
      </c>
      <c r="F814" s="208" t="n">
        <v>34.6667</v>
      </c>
      <c r="G814" s="208" t="n">
        <v>250</v>
      </c>
      <c r="H814" s="208" t="inlineStr">
        <is>
          <t>No separate deliverable explicitly named</t>
        </is>
      </c>
    </row>
    <row r="815">
      <c r="A815" s="199" t="inlineStr">
        <is>
          <t>RTM-228</t>
        </is>
      </c>
      <c r="B815" s="223" t="inlineStr">
        <is>
          <t>L2 Detailed Design</t>
        </is>
      </c>
      <c r="C815" s="199" t="n">
        <v>3</v>
      </c>
      <c r="D815" s="199" t="inlineStr">
        <is>
          <t>T2 Secondary</t>
        </is>
      </c>
      <c r="E815" s="199" t="inlineStr">
        <is>
          <t>Subsystems</t>
        </is>
      </c>
      <c r="F815" s="199" t="n">
        <v>34.6667</v>
      </c>
      <c r="G815" s="199" t="n">
        <v>250</v>
      </c>
      <c r="H815" s="199" t="inlineStr">
        <is>
          <t>No separate deliverable explicitly named</t>
        </is>
      </c>
    </row>
    <row r="816">
      <c r="A816" s="208" t="inlineStr">
        <is>
          <t>RTM-289</t>
        </is>
      </c>
      <c r="B816" s="223" t="inlineStr">
        <is>
          <t>L2 Detailed Design</t>
        </is>
      </c>
      <c r="C816" s="208" t="n">
        <v>3</v>
      </c>
      <c r="D816" s="208" t="inlineStr">
        <is>
          <t>T2 Secondary</t>
        </is>
      </c>
      <c r="E816" s="208" t="inlineStr">
        <is>
          <t>Cryogenic Interfaces</t>
        </is>
      </c>
      <c r="F816" s="208" t="n">
        <v>34.6667</v>
      </c>
      <c r="G816" s="208" t="n">
        <v>251</v>
      </c>
      <c r="H816" s="208" t="inlineStr">
        <is>
          <t>No separate deliverable explicitly named</t>
        </is>
      </c>
    </row>
    <row r="817">
      <c r="A817" s="199" t="inlineStr">
        <is>
          <t>RTM-289</t>
        </is>
      </c>
      <c r="B817" s="222" t="inlineStr">
        <is>
          <t>L1 Conceptual Design</t>
        </is>
      </c>
      <c r="C817" s="199" t="n">
        <v>2</v>
      </c>
      <c r="D817" s="199" t="inlineStr">
        <is>
          <t>T2 Secondary</t>
        </is>
      </c>
      <c r="E817" s="199" t="inlineStr">
        <is>
          <t>Cryogenic Interfaces</t>
        </is>
      </c>
      <c r="F817" s="199" t="n">
        <v>34.6667</v>
      </c>
      <c r="G817" s="199" t="n">
        <v>251</v>
      </c>
      <c r="H817" s="199" t="inlineStr">
        <is>
          <t>No separate deliverable explicitly named</t>
        </is>
      </c>
    </row>
    <row r="818">
      <c r="A818" s="208" t="inlineStr">
        <is>
          <t>RTM-292</t>
        </is>
      </c>
      <c r="B818" s="222" t="inlineStr">
        <is>
          <t>L1 Conceptual Design</t>
        </is>
      </c>
      <c r="C818" s="208" t="n">
        <v>2</v>
      </c>
      <c r="D818" s="208" t="inlineStr">
        <is>
          <t>T2 Secondary</t>
        </is>
      </c>
      <c r="E818" s="208" t="inlineStr">
        <is>
          <t>Cryogenic Interfaces</t>
        </is>
      </c>
      <c r="F818" s="208" t="n">
        <v>34.6667</v>
      </c>
      <c r="G818" s="208" t="n">
        <v>252</v>
      </c>
      <c r="H818" s="208" t="inlineStr">
        <is>
          <t>No separate deliverable explicitly named</t>
        </is>
      </c>
    </row>
    <row r="819">
      <c r="A819" s="199" t="inlineStr">
        <is>
          <t>RTM-292</t>
        </is>
      </c>
      <c r="B819" s="223" t="inlineStr">
        <is>
          <t>L2 Detailed Design</t>
        </is>
      </c>
      <c r="C819" s="199" t="n">
        <v>3</v>
      </c>
      <c r="D819" s="199" t="inlineStr">
        <is>
          <t>T2 Secondary</t>
        </is>
      </c>
      <c r="E819" s="199" t="inlineStr">
        <is>
          <t>Cryogenic Interfaces</t>
        </is>
      </c>
      <c r="F819" s="199" t="n">
        <v>34.6667</v>
      </c>
      <c r="G819" s="199" t="n">
        <v>252</v>
      </c>
      <c r="H819" s="199" t="inlineStr">
        <is>
          <t>No separate deliverable explicitly named</t>
        </is>
      </c>
    </row>
    <row r="820">
      <c r="A820" s="208" t="inlineStr">
        <is>
          <t>RTM-296</t>
        </is>
      </c>
      <c r="B820" s="222" t="inlineStr">
        <is>
          <t>L1 Conceptual Design</t>
        </is>
      </c>
      <c r="C820" s="208" t="n">
        <v>2</v>
      </c>
      <c r="D820" s="208" t="inlineStr">
        <is>
          <t>T2 Secondary</t>
        </is>
      </c>
      <c r="E820" s="208" t="inlineStr">
        <is>
          <t>Cryogenic Interfaces</t>
        </is>
      </c>
      <c r="F820" s="208" t="n">
        <v>34.6667</v>
      </c>
      <c r="G820" s="208" t="n">
        <v>253</v>
      </c>
      <c r="H820" s="208" t="inlineStr">
        <is>
          <t>No separate deliverable explicitly named</t>
        </is>
      </c>
    </row>
    <row r="821">
      <c r="A821" s="199" t="inlineStr">
        <is>
          <t>RTM-296</t>
        </is>
      </c>
      <c r="B821" s="223" t="inlineStr">
        <is>
          <t>L2 Detailed Design</t>
        </is>
      </c>
      <c r="C821" s="199" t="n">
        <v>3</v>
      </c>
      <c r="D821" s="199" t="inlineStr">
        <is>
          <t>T2 Secondary</t>
        </is>
      </c>
      <c r="E821" s="199" t="inlineStr">
        <is>
          <t>Cryogenic Interfaces</t>
        </is>
      </c>
      <c r="F821" s="199" t="n">
        <v>34.6667</v>
      </c>
      <c r="G821" s="199" t="n">
        <v>253</v>
      </c>
      <c r="H821" s="199" t="inlineStr">
        <is>
          <t>No separate deliverable explicitly named</t>
        </is>
      </c>
    </row>
    <row r="822">
      <c r="A822" s="208" t="inlineStr">
        <is>
          <t>RTM-475</t>
        </is>
      </c>
      <c r="B822" s="220" t="inlineStr">
        <is>
          <t>L4 Installation</t>
        </is>
      </c>
      <c r="C822" s="208" t="n">
        <v>6</v>
      </c>
      <c r="D822" s="208" t="inlineStr">
        <is>
          <t>T2 Secondary</t>
        </is>
      </c>
      <c r="E822" s="208" t="inlineStr">
        <is>
          <t>Installation</t>
        </is>
      </c>
      <c r="F822" s="208" t="n">
        <v>34.6667</v>
      </c>
      <c r="G822" s="208" t="n">
        <v>254</v>
      </c>
      <c r="H822" s="208" t="inlineStr">
        <is>
          <t>Quality Assurance Plan (QAP)</t>
        </is>
      </c>
    </row>
    <row r="823">
      <c r="A823" s="199" t="inlineStr">
        <is>
          <t>RTM-475</t>
        </is>
      </c>
      <c r="B823" s="222" t="inlineStr">
        <is>
          <t>L1 Conceptual Design</t>
        </is>
      </c>
      <c r="C823" s="199" t="n">
        <v>2</v>
      </c>
      <c r="D823" s="199" t="inlineStr">
        <is>
          <t>T2 Secondary</t>
        </is>
      </c>
      <c r="E823" s="199" t="inlineStr">
        <is>
          <t>Installation</t>
        </is>
      </c>
      <c r="F823" s="199" t="n">
        <v>34.6667</v>
      </c>
      <c r="G823" s="199" t="n">
        <v>254</v>
      </c>
      <c r="H823" s="199" t="inlineStr">
        <is>
          <t>Quality Assurance Plan (QAP)</t>
        </is>
      </c>
    </row>
    <row r="824">
      <c r="A824" s="208" t="inlineStr">
        <is>
          <t>RTM-475</t>
        </is>
      </c>
      <c r="B824" s="223" t="inlineStr">
        <is>
          <t>L2 Detailed Design</t>
        </is>
      </c>
      <c r="C824" s="208" t="n">
        <v>3</v>
      </c>
      <c r="D824" s="208" t="inlineStr">
        <is>
          <t>T2 Secondary</t>
        </is>
      </c>
      <c r="E824" s="208" t="inlineStr">
        <is>
          <t>Installation</t>
        </is>
      </c>
      <c r="F824" s="208" t="n">
        <v>34.6667</v>
      </c>
      <c r="G824" s="208" t="n">
        <v>254</v>
      </c>
      <c r="H824" s="208" t="inlineStr">
        <is>
          <t>Quality Assurance Plan (QAP)</t>
        </is>
      </c>
    </row>
    <row r="825">
      <c r="A825" s="199" t="inlineStr">
        <is>
          <t>RTM-510</t>
        </is>
      </c>
      <c r="B825" s="226" t="inlineStr">
        <is>
          <t>L6 Site Acceptance Testing</t>
        </is>
      </c>
      <c r="C825" s="199" t="n">
        <v>8</v>
      </c>
      <c r="D825" s="199" t="inlineStr">
        <is>
          <t>T2 Secondary</t>
        </is>
      </c>
      <c r="E825" s="199" t="inlineStr">
        <is>
          <t>Acceptance Testing</t>
        </is>
      </c>
      <c r="F825" s="199" t="n">
        <v>34.6667</v>
      </c>
      <c r="G825" s="199" t="n">
        <v>255</v>
      </c>
      <c r="H825" s="199" t="inlineStr">
        <is>
          <t>No separate deliverable explicitly named</t>
        </is>
      </c>
    </row>
    <row r="826">
      <c r="A826" s="208" t="inlineStr">
        <is>
          <t>RTM-510</t>
        </is>
      </c>
      <c r="B826" s="222" t="inlineStr">
        <is>
          <t>L1 Conceptual Design</t>
        </is>
      </c>
      <c r="C826" s="208" t="n">
        <v>2</v>
      </c>
      <c r="D826" s="208" t="inlineStr">
        <is>
          <t>T2 Secondary</t>
        </is>
      </c>
      <c r="E826" s="208" t="inlineStr">
        <is>
          <t>Acceptance Testing</t>
        </is>
      </c>
      <c r="F826" s="208" t="n">
        <v>34.6667</v>
      </c>
      <c r="G826" s="208" t="n">
        <v>255</v>
      </c>
      <c r="H826" s="208" t="inlineStr">
        <is>
          <t>No separate deliverable explicitly named</t>
        </is>
      </c>
    </row>
    <row r="827">
      <c r="A827" s="199" t="inlineStr">
        <is>
          <t>RTM-510</t>
        </is>
      </c>
      <c r="B827" s="223" t="inlineStr">
        <is>
          <t>L2 Detailed Design</t>
        </is>
      </c>
      <c r="C827" s="199" t="n">
        <v>3</v>
      </c>
      <c r="D827" s="199" t="inlineStr">
        <is>
          <t>T2 Secondary</t>
        </is>
      </c>
      <c r="E827" s="199" t="inlineStr">
        <is>
          <t>Acceptance Testing</t>
        </is>
      </c>
      <c r="F827" s="199" t="n">
        <v>34.6667</v>
      </c>
      <c r="G827" s="199" t="n">
        <v>255</v>
      </c>
      <c r="H827" s="199" t="inlineStr">
        <is>
          <t>No separate deliverable explicitly named</t>
        </is>
      </c>
    </row>
    <row r="828">
      <c r="A828" s="208" t="inlineStr">
        <is>
          <t>RTM-552</t>
        </is>
      </c>
      <c r="B828" s="226" t="inlineStr">
        <is>
          <t>L6 Site Acceptance Testing</t>
        </is>
      </c>
      <c r="C828" s="208" t="n">
        <v>8</v>
      </c>
      <c r="D828" s="208" t="inlineStr">
        <is>
          <t>T2 Secondary</t>
        </is>
      </c>
      <c r="E828" s="208" t="inlineStr">
        <is>
          <t>Acceptance Testing</t>
        </is>
      </c>
      <c r="F828" s="208" t="n">
        <v>34.6667</v>
      </c>
      <c r="G828" s="208" t="n">
        <v>256</v>
      </c>
      <c r="H828" s="208" t="inlineStr">
        <is>
          <t>Procedure / work instruction</t>
        </is>
      </c>
    </row>
    <row r="829">
      <c r="A829" s="199" t="inlineStr">
        <is>
          <t>RTM-552</t>
        </is>
      </c>
      <c r="B829" s="222" t="inlineStr">
        <is>
          <t>L1 Conceptual Design</t>
        </is>
      </c>
      <c r="C829" s="199" t="n">
        <v>2</v>
      </c>
      <c r="D829" s="199" t="inlineStr">
        <is>
          <t>T2 Secondary</t>
        </is>
      </c>
      <c r="E829" s="199" t="inlineStr">
        <is>
          <t>Acceptance Testing</t>
        </is>
      </c>
      <c r="F829" s="199" t="n">
        <v>34.6667</v>
      </c>
      <c r="G829" s="199" t="n">
        <v>256</v>
      </c>
      <c r="H829" s="199" t="inlineStr">
        <is>
          <t>Procedure / work instruction</t>
        </is>
      </c>
    </row>
    <row r="830">
      <c r="A830" s="208" t="inlineStr">
        <is>
          <t>RTM-552</t>
        </is>
      </c>
      <c r="B830" s="223" t="inlineStr">
        <is>
          <t>L2 Detailed Design</t>
        </is>
      </c>
      <c r="C830" s="208" t="n">
        <v>3</v>
      </c>
      <c r="D830" s="208" t="inlineStr">
        <is>
          <t>T2 Secondary</t>
        </is>
      </c>
      <c r="E830" s="208" t="inlineStr">
        <is>
          <t>Acceptance Testing</t>
        </is>
      </c>
      <c r="F830" s="208" t="n">
        <v>34.6667</v>
      </c>
      <c r="G830" s="208" t="n">
        <v>256</v>
      </c>
      <c r="H830" s="208" t="inlineStr">
        <is>
          <t>Procedure / work instruction</t>
        </is>
      </c>
    </row>
    <row r="831">
      <c r="A831" s="199" t="inlineStr">
        <is>
          <t>RTM-556</t>
        </is>
      </c>
      <c r="B831" s="226" t="inlineStr">
        <is>
          <t>L6 Site Acceptance Testing</t>
        </is>
      </c>
      <c r="C831" s="199" t="n">
        <v>8</v>
      </c>
      <c r="D831" s="199" t="inlineStr">
        <is>
          <t>T2 Secondary</t>
        </is>
      </c>
      <c r="E831" s="199" t="inlineStr">
        <is>
          <t>Acceptance Testing</t>
        </is>
      </c>
      <c r="F831" s="199" t="n">
        <v>34.6667</v>
      </c>
      <c r="G831" s="199" t="n">
        <v>257</v>
      </c>
      <c r="H831" s="199" t="inlineStr">
        <is>
          <t>No separate deliverable explicitly named</t>
        </is>
      </c>
    </row>
    <row r="832">
      <c r="A832" s="208" t="inlineStr">
        <is>
          <t>RTM-556</t>
        </is>
      </c>
      <c r="B832" s="222" t="inlineStr">
        <is>
          <t>L1 Conceptual Design</t>
        </is>
      </c>
      <c r="C832" s="208" t="n">
        <v>2</v>
      </c>
      <c r="D832" s="208" t="inlineStr">
        <is>
          <t>T2 Secondary</t>
        </is>
      </c>
      <c r="E832" s="208" t="inlineStr">
        <is>
          <t>Acceptance Testing</t>
        </is>
      </c>
      <c r="F832" s="208" t="n">
        <v>34.6667</v>
      </c>
      <c r="G832" s="208" t="n">
        <v>257</v>
      </c>
      <c r="H832" s="208" t="inlineStr">
        <is>
          <t>No separate deliverable explicitly named</t>
        </is>
      </c>
    </row>
    <row r="833">
      <c r="A833" s="199" t="inlineStr">
        <is>
          <t>RTM-556</t>
        </is>
      </c>
      <c r="B833" s="223" t="inlineStr">
        <is>
          <t>L2 Detailed Design</t>
        </is>
      </c>
      <c r="C833" s="199" t="n">
        <v>3</v>
      </c>
      <c r="D833" s="199" t="inlineStr">
        <is>
          <t>T2 Secondary</t>
        </is>
      </c>
      <c r="E833" s="199" t="inlineStr">
        <is>
          <t>Acceptance Testing</t>
        </is>
      </c>
      <c r="F833" s="199" t="n">
        <v>34.6667</v>
      </c>
      <c r="G833" s="199" t="n">
        <v>257</v>
      </c>
      <c r="H833" s="199" t="inlineStr">
        <is>
          <t>No separate deliverable explicitly named</t>
        </is>
      </c>
    </row>
    <row r="834">
      <c r="A834" s="208" t="inlineStr">
        <is>
          <t>RTM-129</t>
        </is>
      </c>
      <c r="B834" s="222" t="inlineStr">
        <is>
          <t>L1 Conceptual Design</t>
        </is>
      </c>
      <c r="C834" s="208" t="n">
        <v>2</v>
      </c>
      <c r="D834" s="208" t="inlineStr">
        <is>
          <t>T2 Secondary</t>
        </is>
      </c>
      <c r="E834" s="208" t="inlineStr">
        <is>
          <t>Subsystems</t>
        </is>
      </c>
      <c r="F834" s="208" t="n">
        <v>34.3333</v>
      </c>
      <c r="G834" s="208" t="n">
        <v>258</v>
      </c>
      <c r="H834" s="208" t="inlineStr">
        <is>
          <t>No separate deliverable explicitly named</t>
        </is>
      </c>
    </row>
    <row r="835">
      <c r="A835" s="199" t="inlineStr">
        <is>
          <t>RTM-129</t>
        </is>
      </c>
      <c r="B835" s="223" t="inlineStr">
        <is>
          <t>L2 Detailed Design</t>
        </is>
      </c>
      <c r="C835" s="199" t="n">
        <v>3</v>
      </c>
      <c r="D835" s="199" t="inlineStr">
        <is>
          <t>T2 Secondary</t>
        </is>
      </c>
      <c r="E835" s="199" t="inlineStr">
        <is>
          <t>Subsystems</t>
        </is>
      </c>
      <c r="F835" s="199" t="n">
        <v>34.3333</v>
      </c>
      <c r="G835" s="199" t="n">
        <v>258</v>
      </c>
      <c r="H835" s="199" t="inlineStr">
        <is>
          <t>No separate deliverable explicitly named</t>
        </is>
      </c>
    </row>
    <row r="836">
      <c r="A836" s="208" t="inlineStr">
        <is>
          <t>RTM-451</t>
        </is>
      </c>
      <c r="B836" s="222" t="inlineStr">
        <is>
          <t>L1 Conceptual Design</t>
        </is>
      </c>
      <c r="C836" s="208" t="n">
        <v>2</v>
      </c>
      <c r="D836" s="208" t="inlineStr">
        <is>
          <t>T2 Secondary</t>
        </is>
      </c>
      <c r="E836" s="208" t="inlineStr">
        <is>
          <t>Design &amp; Fabrication</t>
        </is>
      </c>
      <c r="F836" s="208" t="n">
        <v>34.3333</v>
      </c>
      <c r="G836" s="208" t="n">
        <v>259</v>
      </c>
      <c r="H836" s="208" t="inlineStr">
        <is>
          <t>Digital Process Model / Digital Twin</t>
        </is>
      </c>
    </row>
    <row r="837">
      <c r="A837" s="199" t="inlineStr">
        <is>
          <t>RTM-451</t>
        </is>
      </c>
      <c r="B837" s="223" t="inlineStr">
        <is>
          <t>L2 Detailed Design</t>
        </is>
      </c>
      <c r="C837" s="199" t="n">
        <v>3</v>
      </c>
      <c r="D837" s="199" t="inlineStr">
        <is>
          <t>T2 Secondary</t>
        </is>
      </c>
      <c r="E837" s="199" t="inlineStr">
        <is>
          <t>Design &amp; Fabrication</t>
        </is>
      </c>
      <c r="F837" s="199" t="n">
        <v>34.3333</v>
      </c>
      <c r="G837" s="199" t="n">
        <v>259</v>
      </c>
      <c r="H837" s="199" t="inlineStr">
        <is>
          <t>Digital Process Model / Digital Twin</t>
        </is>
      </c>
    </row>
    <row r="838">
      <c r="A838" s="208" t="inlineStr">
        <is>
          <t>RTM-057</t>
        </is>
      </c>
      <c r="B838" s="226" t="inlineStr">
        <is>
          <t>L6 Site Acceptance Testing</t>
        </is>
      </c>
      <c r="C838" s="208" t="n">
        <v>8</v>
      </c>
      <c r="D838" s="208" t="inlineStr">
        <is>
          <t>T2 Secondary</t>
        </is>
      </c>
      <c r="E838" s="208" t="inlineStr">
        <is>
          <t>Global Design Criteria</t>
        </is>
      </c>
      <c r="F838" s="208" t="n">
        <v>34</v>
      </c>
      <c r="G838" s="208" t="n">
        <v>260</v>
      </c>
      <c r="H838" s="208" t="inlineStr">
        <is>
          <t>No separate deliverable explicitly named</t>
        </is>
      </c>
    </row>
    <row r="839">
      <c r="A839" s="199" t="inlineStr">
        <is>
          <t>RTM-057</t>
        </is>
      </c>
      <c r="B839" s="222" t="inlineStr">
        <is>
          <t>L1 Conceptual Design</t>
        </is>
      </c>
      <c r="C839" s="199" t="n">
        <v>2</v>
      </c>
      <c r="D839" s="199" t="inlineStr">
        <is>
          <t>T2 Secondary</t>
        </is>
      </c>
      <c r="E839" s="199" t="inlineStr">
        <is>
          <t>Global Design Criteria</t>
        </is>
      </c>
      <c r="F839" s="199" t="n">
        <v>34</v>
      </c>
      <c r="G839" s="199" t="n">
        <v>260</v>
      </c>
      <c r="H839" s="199" t="inlineStr">
        <is>
          <t>No separate deliverable explicitly named</t>
        </is>
      </c>
    </row>
    <row r="840">
      <c r="A840" s="208" t="inlineStr">
        <is>
          <t>RTM-057</t>
        </is>
      </c>
      <c r="B840" s="223" t="inlineStr">
        <is>
          <t>L2 Detailed Design</t>
        </is>
      </c>
      <c r="C840" s="208" t="n">
        <v>3</v>
      </c>
      <c r="D840" s="208" t="inlineStr">
        <is>
          <t>T2 Secondary</t>
        </is>
      </c>
      <c r="E840" s="208" t="inlineStr">
        <is>
          <t>Global Design Criteria</t>
        </is>
      </c>
      <c r="F840" s="208" t="n">
        <v>34</v>
      </c>
      <c r="G840" s="208" t="n">
        <v>260</v>
      </c>
      <c r="H840" s="208" t="inlineStr">
        <is>
          <t>No separate deliverable explicitly named</t>
        </is>
      </c>
    </row>
    <row r="841">
      <c r="A841" s="199" t="inlineStr">
        <is>
          <t>RTM-486</t>
        </is>
      </c>
      <c r="B841" s="220" t="inlineStr">
        <is>
          <t>L4 Installation</t>
        </is>
      </c>
      <c r="C841" s="199" t="n">
        <v>6</v>
      </c>
      <c r="D841" s="199" t="inlineStr">
        <is>
          <t>T2 Secondary</t>
        </is>
      </c>
      <c r="E841" s="199" t="inlineStr">
        <is>
          <t>Training</t>
        </is>
      </c>
      <c r="F841" s="199" t="n">
        <v>34</v>
      </c>
      <c r="G841" s="199" t="n">
        <v>261</v>
      </c>
      <c r="H841" s="199" t="inlineStr">
        <is>
          <t>No separate deliverable explicitly named</t>
        </is>
      </c>
    </row>
    <row r="842">
      <c r="A842" s="208" t="inlineStr">
        <is>
          <t>RTM-486</t>
        </is>
      </c>
      <c r="B842" s="222" t="inlineStr">
        <is>
          <t>L1 Conceptual Design</t>
        </is>
      </c>
      <c r="C842" s="208" t="n">
        <v>2</v>
      </c>
      <c r="D842" s="208" t="inlineStr">
        <is>
          <t>T2 Secondary</t>
        </is>
      </c>
      <c r="E842" s="208" t="inlineStr">
        <is>
          <t>Training</t>
        </is>
      </c>
      <c r="F842" s="208" t="n">
        <v>34</v>
      </c>
      <c r="G842" s="208" t="n">
        <v>261</v>
      </c>
      <c r="H842" s="208" t="inlineStr">
        <is>
          <t>No separate deliverable explicitly named</t>
        </is>
      </c>
    </row>
    <row r="843">
      <c r="A843" s="199" t="inlineStr">
        <is>
          <t>RTM-486</t>
        </is>
      </c>
      <c r="B843" s="223" t="inlineStr">
        <is>
          <t>L2 Detailed Design</t>
        </is>
      </c>
      <c r="C843" s="199" t="n">
        <v>3</v>
      </c>
      <c r="D843" s="199" t="inlineStr">
        <is>
          <t>T2 Secondary</t>
        </is>
      </c>
      <c r="E843" s="199" t="inlineStr">
        <is>
          <t>Training</t>
        </is>
      </c>
      <c r="F843" s="199" t="n">
        <v>34</v>
      </c>
      <c r="G843" s="199" t="n">
        <v>261</v>
      </c>
      <c r="H843" s="199" t="inlineStr">
        <is>
          <t>No separate deliverable explicitly named</t>
        </is>
      </c>
    </row>
    <row r="844">
      <c r="A844" s="208" t="inlineStr">
        <is>
          <t>RTM-065</t>
        </is>
      </c>
      <c r="B844" s="222" t="inlineStr">
        <is>
          <t>L1 Conceptual Design</t>
        </is>
      </c>
      <c r="C844" s="208" t="n">
        <v>2</v>
      </c>
      <c r="D844" s="208" t="inlineStr">
        <is>
          <t>T2 Secondary</t>
        </is>
      </c>
      <c r="E844" s="208" t="inlineStr">
        <is>
          <t>Global Design Criteria</t>
        </is>
      </c>
      <c r="F844" s="208" t="n">
        <v>33.6667</v>
      </c>
      <c r="G844" s="208" t="n">
        <v>262</v>
      </c>
      <c r="H844" s="208" t="inlineStr">
        <is>
          <t>Maintenance / RCM Plan</t>
        </is>
      </c>
    </row>
    <row r="845">
      <c r="A845" s="199" t="inlineStr">
        <is>
          <t>RTM-065</t>
        </is>
      </c>
      <c r="B845" s="223" t="inlineStr">
        <is>
          <t>L2 Detailed Design</t>
        </is>
      </c>
      <c r="C845" s="199" t="n">
        <v>3</v>
      </c>
      <c r="D845" s="199" t="inlineStr">
        <is>
          <t>T2 Secondary</t>
        </is>
      </c>
      <c r="E845" s="199" t="inlineStr">
        <is>
          <t>Global Design Criteria</t>
        </is>
      </c>
      <c r="F845" s="199" t="n">
        <v>33.6667</v>
      </c>
      <c r="G845" s="199" t="n">
        <v>262</v>
      </c>
      <c r="H845" s="199" t="inlineStr">
        <is>
          <t>Maintenance / RCM Plan</t>
        </is>
      </c>
    </row>
    <row r="846">
      <c r="A846" s="208" t="inlineStr">
        <is>
          <t>RTM-096</t>
        </is>
      </c>
      <c r="B846" s="222" t="inlineStr">
        <is>
          <t>L1 Conceptual Design</t>
        </is>
      </c>
      <c r="C846" s="208" t="n">
        <v>2</v>
      </c>
      <c r="D846" s="208" t="inlineStr">
        <is>
          <t>T2 Secondary</t>
        </is>
      </c>
      <c r="E846" s="208" t="inlineStr">
        <is>
          <t>Subsystems</t>
        </is>
      </c>
      <c r="F846" s="208" t="n">
        <v>33.6667</v>
      </c>
      <c r="G846" s="208" t="n">
        <v>263</v>
      </c>
      <c r="H846" s="208" t="inlineStr">
        <is>
          <t>Drawing / diagram</t>
        </is>
      </c>
    </row>
    <row r="847">
      <c r="A847" s="199" t="inlineStr">
        <is>
          <t>RTM-096</t>
        </is>
      </c>
      <c r="B847" s="223" t="inlineStr">
        <is>
          <t>L2 Detailed Design</t>
        </is>
      </c>
      <c r="C847" s="199" t="n">
        <v>3</v>
      </c>
      <c r="D847" s="199" t="inlineStr">
        <is>
          <t>T2 Secondary</t>
        </is>
      </c>
      <c r="E847" s="199" t="inlineStr">
        <is>
          <t>Subsystems</t>
        </is>
      </c>
      <c r="F847" s="199" t="n">
        <v>33.6667</v>
      </c>
      <c r="G847" s="199" t="n">
        <v>263</v>
      </c>
      <c r="H847" s="199" t="inlineStr">
        <is>
          <t>Drawing / diagram</t>
        </is>
      </c>
    </row>
    <row r="848">
      <c r="A848" s="208" t="inlineStr">
        <is>
          <t>RTM-483</t>
        </is>
      </c>
      <c r="B848" s="222" t="inlineStr">
        <is>
          <t>L1 Conceptual Design</t>
        </is>
      </c>
      <c r="C848" s="208" t="n">
        <v>2</v>
      </c>
      <c r="D848" s="208" t="inlineStr">
        <is>
          <t>T2 Secondary</t>
        </is>
      </c>
      <c r="E848" s="208" t="inlineStr">
        <is>
          <t>Training</t>
        </is>
      </c>
      <c r="F848" s="208" t="n">
        <v>33.3333</v>
      </c>
      <c r="G848" s="208" t="n">
        <v>264</v>
      </c>
      <c r="H848" s="208" t="inlineStr">
        <is>
          <t>No separate deliverable explicitly named</t>
        </is>
      </c>
    </row>
    <row r="849">
      <c r="A849" s="199" t="inlineStr">
        <is>
          <t>RTM-483</t>
        </is>
      </c>
      <c r="B849" s="223" t="inlineStr">
        <is>
          <t>L2 Detailed Design</t>
        </is>
      </c>
      <c r="C849" s="199" t="n">
        <v>3</v>
      </c>
      <c r="D849" s="199" t="inlineStr">
        <is>
          <t>T2 Secondary</t>
        </is>
      </c>
      <c r="E849" s="199" t="inlineStr">
        <is>
          <t>Training</t>
        </is>
      </c>
      <c r="F849" s="199" t="n">
        <v>33.3333</v>
      </c>
      <c r="G849" s="199" t="n">
        <v>264</v>
      </c>
      <c r="H849" s="199" t="inlineStr">
        <is>
          <t>No separate deliverable explicitly named</t>
        </is>
      </c>
    </row>
    <row r="850">
      <c r="A850" s="208" t="inlineStr">
        <is>
          <t>RTM-551</t>
        </is>
      </c>
      <c r="B850" s="226" t="inlineStr">
        <is>
          <t>L6 Site Acceptance Testing</t>
        </is>
      </c>
      <c r="C850" s="208" t="n">
        <v>8</v>
      </c>
      <c r="D850" s="208" t="inlineStr">
        <is>
          <t>T2 Secondary</t>
        </is>
      </c>
      <c r="E850" s="208" t="inlineStr">
        <is>
          <t>Acceptance Testing</t>
        </is>
      </c>
      <c r="F850" s="208" t="n">
        <v>33.3333</v>
      </c>
      <c r="G850" s="208" t="n">
        <v>265</v>
      </c>
      <c r="H850" s="208" t="inlineStr">
        <is>
          <t>No separate deliverable explicitly named</t>
        </is>
      </c>
    </row>
    <row r="851">
      <c r="A851" s="199" t="inlineStr">
        <is>
          <t>RTM-551</t>
        </is>
      </c>
      <c r="B851" s="222" t="inlineStr">
        <is>
          <t>L1 Conceptual Design</t>
        </is>
      </c>
      <c r="C851" s="199" t="n">
        <v>2</v>
      </c>
      <c r="D851" s="199" t="inlineStr">
        <is>
          <t>T2 Secondary</t>
        </is>
      </c>
      <c r="E851" s="199" t="inlineStr">
        <is>
          <t>Acceptance Testing</t>
        </is>
      </c>
      <c r="F851" s="199" t="n">
        <v>33.3333</v>
      </c>
      <c r="G851" s="199" t="n">
        <v>265</v>
      </c>
      <c r="H851" s="199" t="inlineStr">
        <is>
          <t>No separate deliverable explicitly named</t>
        </is>
      </c>
    </row>
    <row r="852">
      <c r="A852" s="208" t="inlineStr">
        <is>
          <t>RTM-551</t>
        </is>
      </c>
      <c r="B852" s="223" t="inlineStr">
        <is>
          <t>L2 Detailed Design</t>
        </is>
      </c>
      <c r="C852" s="208" t="n">
        <v>3</v>
      </c>
      <c r="D852" s="208" t="inlineStr">
        <is>
          <t>T2 Secondary</t>
        </is>
      </c>
      <c r="E852" s="208" t="inlineStr">
        <is>
          <t>Acceptance Testing</t>
        </is>
      </c>
      <c r="F852" s="208" t="n">
        <v>33.3333</v>
      </c>
      <c r="G852" s="208" t="n">
        <v>265</v>
      </c>
      <c r="H852" s="208" t="inlineStr">
        <is>
          <t>No separate deliverable explicitly named</t>
        </is>
      </c>
    </row>
    <row r="853">
      <c r="A853" s="199" t="inlineStr">
        <is>
          <t>RTM-044</t>
        </is>
      </c>
      <c r="B853" s="222" t="inlineStr">
        <is>
          <t>L1 Conceptual Design</t>
        </is>
      </c>
      <c r="C853" s="199" t="n">
        <v>2</v>
      </c>
      <c r="D853" s="199" t="inlineStr">
        <is>
          <t>T2 Secondary</t>
        </is>
      </c>
      <c r="E853" s="199" t="inlineStr">
        <is>
          <t>Process &amp; Functional</t>
        </is>
      </c>
      <c r="F853" s="199" t="n">
        <v>33</v>
      </c>
      <c r="G853" s="199" t="n">
        <v>266</v>
      </c>
      <c r="H853" s="199" t="inlineStr">
        <is>
          <t>No separate deliverable explicitly named</t>
        </is>
      </c>
    </row>
    <row r="854">
      <c r="A854" s="208" t="inlineStr">
        <is>
          <t>RTM-044</t>
        </is>
      </c>
      <c r="B854" s="223" t="inlineStr">
        <is>
          <t>L2 Detailed Design</t>
        </is>
      </c>
      <c r="C854" s="208" t="n">
        <v>3</v>
      </c>
      <c r="D854" s="208" t="inlineStr">
        <is>
          <t>T2 Secondary</t>
        </is>
      </c>
      <c r="E854" s="208" t="inlineStr">
        <is>
          <t>Process &amp; Functional</t>
        </is>
      </c>
      <c r="F854" s="208" t="n">
        <v>33</v>
      </c>
      <c r="G854" s="208" t="n">
        <v>266</v>
      </c>
      <c r="H854" s="208" t="inlineStr">
        <is>
          <t>No separate deliverable explicitly named</t>
        </is>
      </c>
    </row>
    <row r="855">
      <c r="A855" s="199" t="inlineStr">
        <is>
          <t>RTM-252</t>
        </is>
      </c>
      <c r="B855" s="222" t="inlineStr">
        <is>
          <t>L1 Conceptual Design</t>
        </is>
      </c>
      <c r="C855" s="199" t="n">
        <v>2</v>
      </c>
      <c r="D855" s="199" t="inlineStr">
        <is>
          <t>T2 Secondary</t>
        </is>
      </c>
      <c r="E855" s="199" t="inlineStr">
        <is>
          <t>Subsystems</t>
        </is>
      </c>
      <c r="F855" s="199" t="n">
        <v>32.6667</v>
      </c>
      <c r="G855" s="199" t="n">
        <v>267</v>
      </c>
      <c r="H855" s="199" t="inlineStr">
        <is>
          <t>No separate deliverable explicitly named</t>
        </is>
      </c>
    </row>
    <row r="856">
      <c r="A856" s="208" t="inlineStr">
        <is>
          <t>RTM-252</t>
        </is>
      </c>
      <c r="B856" s="223" t="inlineStr">
        <is>
          <t>L2 Detailed Design</t>
        </is>
      </c>
      <c r="C856" s="208" t="n">
        <v>3</v>
      </c>
      <c r="D856" s="208" t="inlineStr">
        <is>
          <t>T2 Secondary</t>
        </is>
      </c>
      <c r="E856" s="208" t="inlineStr">
        <is>
          <t>Subsystems</t>
        </is>
      </c>
      <c r="F856" s="208" t="n">
        <v>32.6667</v>
      </c>
      <c r="G856" s="208" t="n">
        <v>267</v>
      </c>
      <c r="H856" s="208" t="inlineStr">
        <is>
          <t>No separate deliverable explicitly named</t>
        </is>
      </c>
    </row>
    <row r="857">
      <c r="A857" s="199" t="inlineStr">
        <is>
          <t>RTM-253</t>
        </is>
      </c>
      <c r="B857" s="222" t="inlineStr">
        <is>
          <t>L1 Conceptual Design</t>
        </is>
      </c>
      <c r="C857" s="199" t="n">
        <v>2</v>
      </c>
      <c r="D857" s="199" t="inlineStr">
        <is>
          <t>T2 Secondary</t>
        </is>
      </c>
      <c r="E857" s="199" t="inlineStr">
        <is>
          <t>Subsystems</t>
        </is>
      </c>
      <c r="F857" s="199" t="n">
        <v>32.6667</v>
      </c>
      <c r="G857" s="199" t="n">
        <v>268</v>
      </c>
      <c r="H857" s="199" t="inlineStr">
        <is>
          <t>No separate deliverable explicitly named</t>
        </is>
      </c>
    </row>
    <row r="858">
      <c r="A858" s="208" t="inlineStr">
        <is>
          <t>RTM-253</t>
        </is>
      </c>
      <c r="B858" s="223" t="inlineStr">
        <is>
          <t>L2 Detailed Design</t>
        </is>
      </c>
      <c r="C858" s="208" t="n">
        <v>3</v>
      </c>
      <c r="D858" s="208" t="inlineStr">
        <is>
          <t>T2 Secondary</t>
        </is>
      </c>
      <c r="E858" s="208" t="inlineStr">
        <is>
          <t>Subsystems</t>
        </is>
      </c>
      <c r="F858" s="208" t="n">
        <v>32.6667</v>
      </c>
      <c r="G858" s="208" t="n">
        <v>268</v>
      </c>
      <c r="H858" s="208" t="inlineStr">
        <is>
          <t>No separate deliverable explicitly named</t>
        </is>
      </c>
    </row>
    <row r="859">
      <c r="A859" s="199" t="inlineStr">
        <is>
          <t>RTM-254</t>
        </is>
      </c>
      <c r="B859" s="222" t="inlineStr">
        <is>
          <t>L1 Conceptual Design</t>
        </is>
      </c>
      <c r="C859" s="199" t="n">
        <v>2</v>
      </c>
      <c r="D859" s="199" t="inlineStr">
        <is>
          <t>T2 Secondary</t>
        </is>
      </c>
      <c r="E859" s="199" t="inlineStr">
        <is>
          <t>Subsystems</t>
        </is>
      </c>
      <c r="F859" s="199" t="n">
        <v>32.6667</v>
      </c>
      <c r="G859" s="199" t="n">
        <v>269</v>
      </c>
      <c r="H859" s="199" t="inlineStr">
        <is>
          <t>No separate deliverable explicitly named</t>
        </is>
      </c>
    </row>
    <row r="860">
      <c r="A860" s="208" t="inlineStr">
        <is>
          <t>RTM-254</t>
        </is>
      </c>
      <c r="B860" s="223" t="inlineStr">
        <is>
          <t>L2 Detailed Design</t>
        </is>
      </c>
      <c r="C860" s="208" t="n">
        <v>3</v>
      </c>
      <c r="D860" s="208" t="inlineStr">
        <is>
          <t>T2 Secondary</t>
        </is>
      </c>
      <c r="E860" s="208" t="inlineStr">
        <is>
          <t>Subsystems</t>
        </is>
      </c>
      <c r="F860" s="208" t="n">
        <v>32.6667</v>
      </c>
      <c r="G860" s="208" t="n">
        <v>269</v>
      </c>
      <c r="H860" s="208" t="inlineStr">
        <is>
          <t>No separate deliverable explicitly named</t>
        </is>
      </c>
    </row>
    <row r="861">
      <c r="A861" s="199" t="inlineStr">
        <is>
          <t>RTM-255</t>
        </is>
      </c>
      <c r="B861" s="222" t="inlineStr">
        <is>
          <t>L1 Conceptual Design</t>
        </is>
      </c>
      <c r="C861" s="199" t="n">
        <v>2</v>
      </c>
      <c r="D861" s="199" t="inlineStr">
        <is>
          <t>T2 Secondary</t>
        </is>
      </c>
      <c r="E861" s="199" t="inlineStr">
        <is>
          <t>Subsystems</t>
        </is>
      </c>
      <c r="F861" s="199" t="n">
        <v>32.6667</v>
      </c>
      <c r="G861" s="199" t="n">
        <v>270</v>
      </c>
      <c r="H861" s="199" t="inlineStr">
        <is>
          <t>No separate deliverable explicitly named</t>
        </is>
      </c>
    </row>
    <row r="862">
      <c r="A862" s="208" t="inlineStr">
        <is>
          <t>RTM-255</t>
        </is>
      </c>
      <c r="B862" s="223" t="inlineStr">
        <is>
          <t>L2 Detailed Design</t>
        </is>
      </c>
      <c r="C862" s="208" t="n">
        <v>3</v>
      </c>
      <c r="D862" s="208" t="inlineStr">
        <is>
          <t>T2 Secondary</t>
        </is>
      </c>
      <c r="E862" s="208" t="inlineStr">
        <is>
          <t>Subsystems</t>
        </is>
      </c>
      <c r="F862" s="208" t="n">
        <v>32.6667</v>
      </c>
      <c r="G862" s="208" t="n">
        <v>270</v>
      </c>
      <c r="H862" s="208" t="inlineStr">
        <is>
          <t>No separate deliverable explicitly named</t>
        </is>
      </c>
    </row>
    <row r="863">
      <c r="A863" s="199" t="inlineStr">
        <is>
          <t>RTM-257</t>
        </is>
      </c>
      <c r="B863" s="222" t="inlineStr">
        <is>
          <t>L1 Conceptual Design</t>
        </is>
      </c>
      <c r="C863" s="199" t="n">
        <v>2</v>
      </c>
      <c r="D863" s="199" t="inlineStr">
        <is>
          <t>T2 Secondary</t>
        </is>
      </c>
      <c r="E863" s="199" t="inlineStr">
        <is>
          <t>Subsystems</t>
        </is>
      </c>
      <c r="F863" s="199" t="n">
        <v>32.6667</v>
      </c>
      <c r="G863" s="199" t="n">
        <v>271</v>
      </c>
      <c r="H863" s="199" t="inlineStr">
        <is>
          <t>No separate deliverable explicitly named</t>
        </is>
      </c>
    </row>
    <row r="864">
      <c r="A864" s="208" t="inlineStr">
        <is>
          <t>RTM-257</t>
        </is>
      </c>
      <c r="B864" s="223" t="inlineStr">
        <is>
          <t>L2 Detailed Design</t>
        </is>
      </c>
      <c r="C864" s="208" t="n">
        <v>3</v>
      </c>
      <c r="D864" s="208" t="inlineStr">
        <is>
          <t>T2 Secondary</t>
        </is>
      </c>
      <c r="E864" s="208" t="inlineStr">
        <is>
          <t>Subsystems</t>
        </is>
      </c>
      <c r="F864" s="208" t="n">
        <v>32.6667</v>
      </c>
      <c r="G864" s="208" t="n">
        <v>271</v>
      </c>
      <c r="H864" s="208" t="inlineStr">
        <is>
          <t>No separate deliverable explicitly named</t>
        </is>
      </c>
    </row>
    <row r="865">
      <c r="A865" s="199" t="inlineStr">
        <is>
          <t>RTM-258</t>
        </is>
      </c>
      <c r="B865" s="220" t="inlineStr">
        <is>
          <t>L4 Installation</t>
        </is>
      </c>
      <c r="C865" s="199" t="n">
        <v>6</v>
      </c>
      <c r="D865" s="199" t="inlineStr">
        <is>
          <t>T2 Secondary</t>
        </is>
      </c>
      <c r="E865" s="199" t="inlineStr">
        <is>
          <t>Subsystems</t>
        </is>
      </c>
      <c r="F865" s="199" t="n">
        <v>32.6667</v>
      </c>
      <c r="G865" s="199" t="n">
        <v>272</v>
      </c>
      <c r="H865" s="199" t="inlineStr">
        <is>
          <t>No separate deliverable explicitly named</t>
        </is>
      </c>
    </row>
    <row r="866">
      <c r="A866" s="208" t="inlineStr">
        <is>
          <t>RTM-258</t>
        </is>
      </c>
      <c r="B866" s="222" t="inlineStr">
        <is>
          <t>L1 Conceptual Design</t>
        </is>
      </c>
      <c r="C866" s="208" t="n">
        <v>2</v>
      </c>
      <c r="D866" s="208" t="inlineStr">
        <is>
          <t>T2 Secondary</t>
        </is>
      </c>
      <c r="E866" s="208" t="inlineStr">
        <is>
          <t>Subsystems</t>
        </is>
      </c>
      <c r="F866" s="208" t="n">
        <v>32.6667</v>
      </c>
      <c r="G866" s="208" t="n">
        <v>272</v>
      </c>
      <c r="H866" s="208" t="inlineStr">
        <is>
          <t>No separate deliverable explicitly named</t>
        </is>
      </c>
    </row>
    <row r="867">
      <c r="A867" s="199" t="inlineStr">
        <is>
          <t>RTM-258</t>
        </is>
      </c>
      <c r="B867" s="223" t="inlineStr">
        <is>
          <t>L2 Detailed Design</t>
        </is>
      </c>
      <c r="C867" s="199" t="n">
        <v>3</v>
      </c>
      <c r="D867" s="199" t="inlineStr">
        <is>
          <t>T2 Secondary</t>
        </is>
      </c>
      <c r="E867" s="199" t="inlineStr">
        <is>
          <t>Subsystems</t>
        </is>
      </c>
      <c r="F867" s="199" t="n">
        <v>32.6667</v>
      </c>
      <c r="G867" s="199" t="n">
        <v>272</v>
      </c>
      <c r="H867" s="199" t="inlineStr">
        <is>
          <t>No separate deliverable explicitly named</t>
        </is>
      </c>
    </row>
    <row r="868">
      <c r="A868" s="208" t="inlineStr">
        <is>
          <t>RTM-259</t>
        </is>
      </c>
      <c r="B868" s="222" t="inlineStr">
        <is>
          <t>L1 Conceptual Design</t>
        </is>
      </c>
      <c r="C868" s="208" t="n">
        <v>2</v>
      </c>
      <c r="D868" s="208" t="inlineStr">
        <is>
          <t>T2 Secondary</t>
        </is>
      </c>
      <c r="E868" s="208" t="inlineStr">
        <is>
          <t>Subsystems</t>
        </is>
      </c>
      <c r="F868" s="208" t="n">
        <v>32.6667</v>
      </c>
      <c r="G868" s="208" t="n">
        <v>273</v>
      </c>
      <c r="H868" s="208" t="inlineStr">
        <is>
          <t>No separate deliverable explicitly named</t>
        </is>
      </c>
    </row>
    <row r="869">
      <c r="A869" s="199" t="inlineStr">
        <is>
          <t>RTM-259</t>
        </is>
      </c>
      <c r="B869" s="223" t="inlineStr">
        <is>
          <t>L2 Detailed Design</t>
        </is>
      </c>
      <c r="C869" s="199" t="n">
        <v>3</v>
      </c>
      <c r="D869" s="199" t="inlineStr">
        <is>
          <t>T2 Secondary</t>
        </is>
      </c>
      <c r="E869" s="199" t="inlineStr">
        <is>
          <t>Subsystems</t>
        </is>
      </c>
      <c r="F869" s="199" t="n">
        <v>32.6667</v>
      </c>
      <c r="G869" s="199" t="n">
        <v>273</v>
      </c>
      <c r="H869" s="199" t="inlineStr">
        <is>
          <t>No separate deliverable explicitly named</t>
        </is>
      </c>
    </row>
    <row r="870">
      <c r="A870" s="208" t="inlineStr">
        <is>
          <t>RTM-260</t>
        </is>
      </c>
      <c r="B870" s="222" t="inlineStr">
        <is>
          <t>L1 Conceptual Design</t>
        </is>
      </c>
      <c r="C870" s="208" t="n">
        <v>2</v>
      </c>
      <c r="D870" s="208" t="inlineStr">
        <is>
          <t>T2 Secondary</t>
        </is>
      </c>
      <c r="E870" s="208" t="inlineStr">
        <is>
          <t>Subsystems</t>
        </is>
      </c>
      <c r="F870" s="208" t="n">
        <v>32.6667</v>
      </c>
      <c r="G870" s="208" t="n">
        <v>274</v>
      </c>
      <c r="H870" s="208" t="inlineStr">
        <is>
          <t>Procedure / work instruction</t>
        </is>
      </c>
    </row>
    <row r="871">
      <c r="A871" s="199" t="inlineStr">
        <is>
          <t>RTM-260</t>
        </is>
      </c>
      <c r="B871" s="223" t="inlineStr">
        <is>
          <t>L2 Detailed Design</t>
        </is>
      </c>
      <c r="C871" s="199" t="n">
        <v>3</v>
      </c>
      <c r="D871" s="199" t="inlineStr">
        <is>
          <t>T2 Secondary</t>
        </is>
      </c>
      <c r="E871" s="199" t="inlineStr">
        <is>
          <t>Subsystems</t>
        </is>
      </c>
      <c r="F871" s="199" t="n">
        <v>32.6667</v>
      </c>
      <c r="G871" s="199" t="n">
        <v>274</v>
      </c>
      <c r="H871" s="199" t="inlineStr">
        <is>
          <t>Procedure / work instruction</t>
        </is>
      </c>
    </row>
    <row r="872">
      <c r="A872" s="208" t="inlineStr">
        <is>
          <t>RTM-262</t>
        </is>
      </c>
      <c r="B872" s="222" t="inlineStr">
        <is>
          <t>L1 Conceptual Design</t>
        </is>
      </c>
      <c r="C872" s="208" t="n">
        <v>2</v>
      </c>
      <c r="D872" s="208" t="inlineStr">
        <is>
          <t>T2 Secondary</t>
        </is>
      </c>
      <c r="E872" s="208" t="inlineStr">
        <is>
          <t>Subsystems</t>
        </is>
      </c>
      <c r="F872" s="208" t="n">
        <v>32.6667</v>
      </c>
      <c r="G872" s="208" t="n">
        <v>275</v>
      </c>
      <c r="H872" s="208" t="inlineStr">
        <is>
          <t>Procedure / work instruction</t>
        </is>
      </c>
    </row>
    <row r="873">
      <c r="A873" s="199" t="inlineStr">
        <is>
          <t>RTM-262</t>
        </is>
      </c>
      <c r="B873" s="223" t="inlineStr">
        <is>
          <t>L2 Detailed Design</t>
        </is>
      </c>
      <c r="C873" s="199" t="n">
        <v>3</v>
      </c>
      <c r="D873" s="199" t="inlineStr">
        <is>
          <t>T2 Secondary</t>
        </is>
      </c>
      <c r="E873" s="199" t="inlineStr">
        <is>
          <t>Subsystems</t>
        </is>
      </c>
      <c r="F873" s="199" t="n">
        <v>32.6667</v>
      </c>
      <c r="G873" s="199" t="n">
        <v>275</v>
      </c>
      <c r="H873" s="199" t="inlineStr">
        <is>
          <t>Procedure / work instruction</t>
        </is>
      </c>
    </row>
    <row r="874">
      <c r="A874" s="208" t="inlineStr">
        <is>
          <t>RTM-263</t>
        </is>
      </c>
      <c r="B874" s="222" t="inlineStr">
        <is>
          <t>L1 Conceptual Design</t>
        </is>
      </c>
      <c r="C874" s="208" t="n">
        <v>2</v>
      </c>
      <c r="D874" s="208" t="inlineStr">
        <is>
          <t>T2 Secondary</t>
        </is>
      </c>
      <c r="E874" s="208" t="inlineStr">
        <is>
          <t>Subsystems</t>
        </is>
      </c>
      <c r="F874" s="208" t="n">
        <v>32.6667</v>
      </c>
      <c r="G874" s="208" t="n">
        <v>276</v>
      </c>
      <c r="H874" s="208" t="inlineStr">
        <is>
          <t>No separate deliverable explicitly named</t>
        </is>
      </c>
    </row>
    <row r="875">
      <c r="A875" s="199" t="inlineStr">
        <is>
          <t>RTM-263</t>
        </is>
      </c>
      <c r="B875" s="223" t="inlineStr">
        <is>
          <t>L2 Detailed Design</t>
        </is>
      </c>
      <c r="C875" s="199" t="n">
        <v>3</v>
      </c>
      <c r="D875" s="199" t="inlineStr">
        <is>
          <t>T2 Secondary</t>
        </is>
      </c>
      <c r="E875" s="199" t="inlineStr">
        <is>
          <t>Subsystems</t>
        </is>
      </c>
      <c r="F875" s="199" t="n">
        <v>32.6667</v>
      </c>
      <c r="G875" s="199" t="n">
        <v>276</v>
      </c>
      <c r="H875" s="199" t="inlineStr">
        <is>
          <t>No separate deliverable explicitly named</t>
        </is>
      </c>
    </row>
    <row r="876">
      <c r="A876" s="208" t="inlineStr">
        <is>
          <t>RTM-265</t>
        </is>
      </c>
      <c r="B876" s="222" t="inlineStr">
        <is>
          <t>L1 Conceptual Design</t>
        </is>
      </c>
      <c r="C876" s="208" t="n">
        <v>2</v>
      </c>
      <c r="D876" s="208" t="inlineStr">
        <is>
          <t>T2 Secondary</t>
        </is>
      </c>
      <c r="E876" s="208" t="inlineStr">
        <is>
          <t>Subsystems</t>
        </is>
      </c>
      <c r="F876" s="208" t="n">
        <v>32.6667</v>
      </c>
      <c r="G876" s="208" t="n">
        <v>277</v>
      </c>
      <c r="H876" s="208" t="inlineStr">
        <is>
          <t>No separate deliverable explicitly named</t>
        </is>
      </c>
    </row>
    <row r="877">
      <c r="A877" s="199" t="inlineStr">
        <is>
          <t>RTM-265</t>
        </is>
      </c>
      <c r="B877" s="223" t="inlineStr">
        <is>
          <t>L2 Detailed Design</t>
        </is>
      </c>
      <c r="C877" s="199" t="n">
        <v>3</v>
      </c>
      <c r="D877" s="199" t="inlineStr">
        <is>
          <t>T2 Secondary</t>
        </is>
      </c>
      <c r="E877" s="199" t="inlineStr">
        <is>
          <t>Subsystems</t>
        </is>
      </c>
      <c r="F877" s="199" t="n">
        <v>32.6667</v>
      </c>
      <c r="G877" s="199" t="n">
        <v>277</v>
      </c>
      <c r="H877" s="199" t="inlineStr">
        <is>
          <t>No separate deliverable explicitly named</t>
        </is>
      </c>
    </row>
    <row r="878">
      <c r="A878" s="208" t="inlineStr">
        <is>
          <t>RTM-266</t>
        </is>
      </c>
      <c r="B878" s="222" t="inlineStr">
        <is>
          <t>L1 Conceptual Design</t>
        </is>
      </c>
      <c r="C878" s="208" t="n">
        <v>2</v>
      </c>
      <c r="D878" s="208" t="inlineStr">
        <is>
          <t>T2 Secondary</t>
        </is>
      </c>
      <c r="E878" s="208" t="inlineStr">
        <is>
          <t>Subsystems</t>
        </is>
      </c>
      <c r="F878" s="208" t="n">
        <v>32.6667</v>
      </c>
      <c r="G878" s="208" t="n">
        <v>278</v>
      </c>
      <c r="H878" s="208" t="inlineStr">
        <is>
          <t>No separate deliverable explicitly named</t>
        </is>
      </c>
    </row>
    <row r="879">
      <c r="A879" s="199" t="inlineStr">
        <is>
          <t>RTM-266</t>
        </is>
      </c>
      <c r="B879" s="223" t="inlineStr">
        <is>
          <t>L2 Detailed Design</t>
        </is>
      </c>
      <c r="C879" s="199" t="n">
        <v>3</v>
      </c>
      <c r="D879" s="199" t="inlineStr">
        <is>
          <t>T2 Secondary</t>
        </is>
      </c>
      <c r="E879" s="199" t="inlineStr">
        <is>
          <t>Subsystems</t>
        </is>
      </c>
      <c r="F879" s="199" t="n">
        <v>32.6667</v>
      </c>
      <c r="G879" s="199" t="n">
        <v>278</v>
      </c>
      <c r="H879" s="199" t="inlineStr">
        <is>
          <t>No separate deliverable explicitly named</t>
        </is>
      </c>
    </row>
    <row r="880">
      <c r="A880" s="208" t="inlineStr">
        <is>
          <t>RTM-277</t>
        </is>
      </c>
      <c r="B880" s="222" t="inlineStr">
        <is>
          <t>L1 Conceptual Design</t>
        </is>
      </c>
      <c r="C880" s="208" t="n">
        <v>2</v>
      </c>
      <c r="D880" s="208" t="inlineStr">
        <is>
          <t>T2 Secondary</t>
        </is>
      </c>
      <c r="E880" s="208" t="inlineStr">
        <is>
          <t>Subsystems</t>
        </is>
      </c>
      <c r="F880" s="208" t="n">
        <v>32.6667</v>
      </c>
      <c r="G880" s="208" t="n">
        <v>279</v>
      </c>
      <c r="H880" s="208" t="inlineStr">
        <is>
          <t>No separate deliverable explicitly named</t>
        </is>
      </c>
    </row>
    <row r="881">
      <c r="A881" s="199" t="inlineStr">
        <is>
          <t>RTM-277</t>
        </is>
      </c>
      <c r="B881" s="223" t="inlineStr">
        <is>
          <t>L2 Detailed Design</t>
        </is>
      </c>
      <c r="C881" s="199" t="n">
        <v>3</v>
      </c>
      <c r="D881" s="199" t="inlineStr">
        <is>
          <t>T2 Secondary</t>
        </is>
      </c>
      <c r="E881" s="199" t="inlineStr">
        <is>
          <t>Subsystems</t>
        </is>
      </c>
      <c r="F881" s="199" t="n">
        <v>32.6667</v>
      </c>
      <c r="G881" s="199" t="n">
        <v>279</v>
      </c>
      <c r="H881" s="199" t="inlineStr">
        <is>
          <t>No separate deliverable explicitly named</t>
        </is>
      </c>
    </row>
    <row r="882">
      <c r="A882" s="208" t="inlineStr">
        <is>
          <t>RTM-707</t>
        </is>
      </c>
      <c r="B882" s="226" t="inlineStr">
        <is>
          <t>L6 Site Acceptance Testing</t>
        </is>
      </c>
      <c r="C882" s="208" t="n">
        <v>8</v>
      </c>
      <c r="D882" s="208" t="inlineStr">
        <is>
          <t>T2 Secondary</t>
        </is>
      </c>
      <c r="E882" s="208" t="inlineStr">
        <is>
          <t>Acceptance &amp; Warranty</t>
        </is>
      </c>
      <c r="F882" s="208" t="n">
        <v>32.3333</v>
      </c>
      <c r="G882" s="208" t="n">
        <v>280</v>
      </c>
      <c r="H882" s="208" t="inlineStr">
        <is>
          <t>No separate deliverable explicitly named</t>
        </is>
      </c>
    </row>
    <row r="883">
      <c r="A883" s="199" t="inlineStr">
        <is>
          <t>RTM-707</t>
        </is>
      </c>
      <c r="B883" s="227" t="inlineStr">
        <is>
          <t>PAC / Handover</t>
        </is>
      </c>
      <c r="C883" s="199" t="n">
        <v>9</v>
      </c>
      <c r="D883" s="199" t="inlineStr">
        <is>
          <t>T2 Secondary</t>
        </is>
      </c>
      <c r="E883" s="199" t="inlineStr">
        <is>
          <t>Acceptance &amp; Warranty</t>
        </is>
      </c>
      <c r="F883" s="199" t="n">
        <v>32.3333</v>
      </c>
      <c r="G883" s="199" t="n">
        <v>280</v>
      </c>
      <c r="H883" s="199" t="inlineStr">
        <is>
          <t>No separate deliverable explicitly named</t>
        </is>
      </c>
    </row>
    <row r="884">
      <c r="A884" s="208" t="inlineStr">
        <is>
          <t>RTM-707</t>
        </is>
      </c>
      <c r="B884" s="228" t="inlineStr">
        <is>
          <t>Warranty</t>
        </is>
      </c>
      <c r="C884" s="208" t="n">
        <v>10</v>
      </c>
      <c r="D884" s="208" t="inlineStr">
        <is>
          <t>T2 Secondary</t>
        </is>
      </c>
      <c r="E884" s="208" t="inlineStr">
        <is>
          <t>Acceptance &amp; Warranty</t>
        </is>
      </c>
      <c r="F884" s="208" t="n">
        <v>32.3333</v>
      </c>
      <c r="G884" s="208" t="n">
        <v>280</v>
      </c>
      <c r="H884" s="208" t="inlineStr">
        <is>
          <t>No separate deliverable explicitly named</t>
        </is>
      </c>
    </row>
    <row r="885">
      <c r="A885" s="199" t="inlineStr">
        <is>
          <t>RTM-707</t>
        </is>
      </c>
      <c r="B885" s="229" t="inlineStr">
        <is>
          <t>FAC</t>
        </is>
      </c>
      <c r="C885" s="199" t="n">
        <v>5</v>
      </c>
      <c r="D885" s="199" t="inlineStr">
        <is>
          <t>T2 Secondary</t>
        </is>
      </c>
      <c r="E885" s="199" t="inlineStr">
        <is>
          <t>Acceptance &amp; Warranty</t>
        </is>
      </c>
      <c r="F885" s="199" t="n">
        <v>32.3333</v>
      </c>
      <c r="G885" s="199" t="n">
        <v>280</v>
      </c>
      <c r="H885" s="199" t="inlineStr">
        <is>
          <t>No separate deliverable explicitly named</t>
        </is>
      </c>
    </row>
    <row r="886">
      <c r="A886" s="208" t="inlineStr">
        <is>
          <t>RTM-719</t>
        </is>
      </c>
      <c r="B886" s="228" t="inlineStr">
        <is>
          <t>Warranty</t>
        </is>
      </c>
      <c r="C886" s="208" t="n">
        <v>10</v>
      </c>
      <c r="D886" s="208" t="inlineStr">
        <is>
          <t>T2 Secondary</t>
        </is>
      </c>
      <c r="E886" s="208" t="inlineStr">
        <is>
          <t>Acceptance &amp; Warranty</t>
        </is>
      </c>
      <c r="F886" s="208" t="n">
        <v>32.3333</v>
      </c>
      <c r="G886" s="208" t="n">
        <v>281</v>
      </c>
      <c r="H886" s="208" t="inlineStr">
        <is>
          <t>List / register / matrix</t>
        </is>
      </c>
    </row>
    <row r="887">
      <c r="A887" s="199" t="inlineStr">
        <is>
          <t>RTM-719</t>
        </is>
      </c>
      <c r="B887" s="227" t="inlineStr">
        <is>
          <t>PAC / Handover</t>
        </is>
      </c>
      <c r="C887" s="199" t="n">
        <v>9</v>
      </c>
      <c r="D887" s="199" t="inlineStr">
        <is>
          <t>T2 Secondary</t>
        </is>
      </c>
      <c r="E887" s="199" t="inlineStr">
        <is>
          <t>Acceptance &amp; Warranty</t>
        </is>
      </c>
      <c r="F887" s="199" t="n">
        <v>32.3333</v>
      </c>
      <c r="G887" s="199" t="n">
        <v>281</v>
      </c>
      <c r="H887" s="199" t="inlineStr">
        <is>
          <t>List / register / matrix</t>
        </is>
      </c>
    </row>
    <row r="888">
      <c r="A888" s="208" t="inlineStr">
        <is>
          <t>RTM-719</t>
        </is>
      </c>
      <c r="B888" s="229" t="inlineStr">
        <is>
          <t>FAC</t>
        </is>
      </c>
      <c r="C888" s="208" t="n">
        <v>5</v>
      </c>
      <c r="D888" s="208" t="inlineStr">
        <is>
          <t>T2 Secondary</t>
        </is>
      </c>
      <c r="E888" s="208" t="inlineStr">
        <is>
          <t>Acceptance &amp; Warranty</t>
        </is>
      </c>
      <c r="F888" s="208" t="n">
        <v>32.3333</v>
      </c>
      <c r="G888" s="208" t="n">
        <v>281</v>
      </c>
      <c r="H888" s="208" t="inlineStr">
        <is>
          <t>List / register / matrix</t>
        </is>
      </c>
    </row>
    <row r="889">
      <c r="A889" s="199" t="inlineStr">
        <is>
          <t>RTM-007</t>
        </is>
      </c>
      <c r="B889" s="222" t="inlineStr">
        <is>
          <t>L1 Conceptual Design</t>
        </is>
      </c>
      <c r="C889" s="199" t="n">
        <v>2</v>
      </c>
      <c r="D889" s="199" t="inlineStr">
        <is>
          <t>T2 Secondary</t>
        </is>
      </c>
      <c r="E889" s="199" t="inlineStr">
        <is>
          <t>Process &amp; Functional</t>
        </is>
      </c>
      <c r="F889" s="199" t="n">
        <v>32</v>
      </c>
      <c r="G889" s="199" t="n">
        <v>282</v>
      </c>
      <c r="H889" s="199" t="inlineStr">
        <is>
          <t>Design / calculation package</t>
        </is>
      </c>
    </row>
    <row r="890">
      <c r="A890" s="208" t="inlineStr">
        <is>
          <t>RTM-007</t>
        </is>
      </c>
      <c r="B890" s="223" t="inlineStr">
        <is>
          <t>L2 Detailed Design</t>
        </is>
      </c>
      <c r="C890" s="208" t="n">
        <v>3</v>
      </c>
      <c r="D890" s="208" t="inlineStr">
        <is>
          <t>T2 Secondary</t>
        </is>
      </c>
      <c r="E890" s="208" t="inlineStr">
        <is>
          <t>Process &amp; Functional</t>
        </is>
      </c>
      <c r="F890" s="208" t="n">
        <v>32</v>
      </c>
      <c r="G890" s="208" t="n">
        <v>282</v>
      </c>
      <c r="H890" s="208" t="inlineStr">
        <is>
          <t>Design / calculation package</t>
        </is>
      </c>
    </row>
    <row r="891">
      <c r="A891" s="199" t="inlineStr">
        <is>
          <t>RTM-035</t>
        </is>
      </c>
      <c r="B891" s="226" t="inlineStr">
        <is>
          <t>L6 Site Acceptance Testing</t>
        </is>
      </c>
      <c r="C891" s="199" t="n">
        <v>8</v>
      </c>
      <c r="D891" s="199" t="inlineStr">
        <is>
          <t>T2 Secondary</t>
        </is>
      </c>
      <c r="E891" s="199" t="inlineStr">
        <is>
          <t>Process &amp; Functional</t>
        </is>
      </c>
      <c r="F891" s="199" t="n">
        <v>32</v>
      </c>
      <c r="G891" s="199" t="n">
        <v>283</v>
      </c>
      <c r="H891" s="199" t="inlineStr">
        <is>
          <t>No separate deliverable explicitly named</t>
        </is>
      </c>
    </row>
    <row r="892">
      <c r="A892" s="208" t="inlineStr">
        <is>
          <t>RTM-035</t>
        </is>
      </c>
      <c r="B892" s="222" t="inlineStr">
        <is>
          <t>L1 Conceptual Design</t>
        </is>
      </c>
      <c r="C892" s="208" t="n">
        <v>2</v>
      </c>
      <c r="D892" s="208" t="inlineStr">
        <is>
          <t>T2 Secondary</t>
        </is>
      </c>
      <c r="E892" s="208" t="inlineStr">
        <is>
          <t>Process &amp; Functional</t>
        </is>
      </c>
      <c r="F892" s="208" t="n">
        <v>32</v>
      </c>
      <c r="G892" s="208" t="n">
        <v>283</v>
      </c>
      <c r="H892" s="208" t="inlineStr">
        <is>
          <t>No separate deliverable explicitly named</t>
        </is>
      </c>
    </row>
    <row r="893">
      <c r="A893" s="199" t="inlineStr">
        <is>
          <t>RTM-035</t>
        </is>
      </c>
      <c r="B893" s="223" t="inlineStr">
        <is>
          <t>L2 Detailed Design</t>
        </is>
      </c>
      <c r="C893" s="199" t="n">
        <v>3</v>
      </c>
      <c r="D893" s="199" t="inlineStr">
        <is>
          <t>T2 Secondary</t>
        </is>
      </c>
      <c r="E893" s="199" t="inlineStr">
        <is>
          <t>Process &amp; Functional</t>
        </is>
      </c>
      <c r="F893" s="199" t="n">
        <v>32</v>
      </c>
      <c r="G893" s="199" t="n">
        <v>283</v>
      </c>
      <c r="H893" s="199" t="inlineStr">
        <is>
          <t>No separate deliverable explicitly named</t>
        </is>
      </c>
    </row>
    <row r="894">
      <c r="A894" s="208" t="inlineStr">
        <is>
          <t>RTM-071</t>
        </is>
      </c>
      <c r="B894" s="226" t="inlineStr">
        <is>
          <t>L6 Site Acceptance Testing</t>
        </is>
      </c>
      <c r="C894" s="208" t="n">
        <v>8</v>
      </c>
      <c r="D894" s="208" t="inlineStr">
        <is>
          <t>T2 Secondary</t>
        </is>
      </c>
      <c r="E894" s="208" t="inlineStr">
        <is>
          <t>Global Design Criteria</t>
        </is>
      </c>
      <c r="F894" s="208" t="n">
        <v>32</v>
      </c>
      <c r="G894" s="208" t="n">
        <v>284</v>
      </c>
      <c r="H894" s="208" t="inlineStr">
        <is>
          <t>No separate deliverable explicitly named</t>
        </is>
      </c>
    </row>
    <row r="895">
      <c r="A895" s="199" t="inlineStr">
        <is>
          <t>RTM-071</t>
        </is>
      </c>
      <c r="B895" s="222" t="inlineStr">
        <is>
          <t>L1 Conceptual Design</t>
        </is>
      </c>
      <c r="C895" s="199" t="n">
        <v>2</v>
      </c>
      <c r="D895" s="199" t="inlineStr">
        <is>
          <t>T2 Secondary</t>
        </is>
      </c>
      <c r="E895" s="199" t="inlineStr">
        <is>
          <t>Global Design Criteria</t>
        </is>
      </c>
      <c r="F895" s="199" t="n">
        <v>32</v>
      </c>
      <c r="G895" s="199" t="n">
        <v>284</v>
      </c>
      <c r="H895" s="199" t="inlineStr">
        <is>
          <t>No separate deliverable explicitly named</t>
        </is>
      </c>
    </row>
    <row r="896">
      <c r="A896" s="208" t="inlineStr">
        <is>
          <t>RTM-071</t>
        </is>
      </c>
      <c r="B896" s="223" t="inlineStr">
        <is>
          <t>L2 Detailed Design</t>
        </is>
      </c>
      <c r="C896" s="208" t="n">
        <v>3</v>
      </c>
      <c r="D896" s="208" t="inlineStr">
        <is>
          <t>T2 Secondary</t>
        </is>
      </c>
      <c r="E896" s="208" t="inlineStr">
        <is>
          <t>Global Design Criteria</t>
        </is>
      </c>
      <c r="F896" s="208" t="n">
        <v>32</v>
      </c>
      <c r="G896" s="208" t="n">
        <v>284</v>
      </c>
      <c r="H896" s="208" t="inlineStr">
        <is>
          <t>No separate deliverable explicitly named</t>
        </is>
      </c>
    </row>
    <row r="897">
      <c r="A897" s="199" t="inlineStr">
        <is>
          <t>RTM-518</t>
        </is>
      </c>
      <c r="B897" s="226" t="inlineStr">
        <is>
          <t>L6 Site Acceptance Testing</t>
        </is>
      </c>
      <c r="C897" s="199" t="n">
        <v>8</v>
      </c>
      <c r="D897" s="199" t="inlineStr">
        <is>
          <t>T2 Secondary</t>
        </is>
      </c>
      <c r="E897" s="199" t="inlineStr">
        <is>
          <t>Acceptance Testing</t>
        </is>
      </c>
      <c r="F897" s="199" t="n">
        <v>32</v>
      </c>
      <c r="G897" s="199" t="n">
        <v>285</v>
      </c>
      <c r="H897" s="199" t="inlineStr">
        <is>
          <t>No separate deliverable explicitly named</t>
        </is>
      </c>
    </row>
    <row r="898">
      <c r="A898" s="208" t="inlineStr">
        <is>
          <t>RTM-518</t>
        </is>
      </c>
      <c r="B898" s="222" t="inlineStr">
        <is>
          <t>L1 Conceptual Design</t>
        </is>
      </c>
      <c r="C898" s="208" t="n">
        <v>2</v>
      </c>
      <c r="D898" s="208" t="inlineStr">
        <is>
          <t>T2 Secondary</t>
        </is>
      </c>
      <c r="E898" s="208" t="inlineStr">
        <is>
          <t>Acceptance Testing</t>
        </is>
      </c>
      <c r="F898" s="208" t="n">
        <v>32</v>
      </c>
      <c r="G898" s="208" t="n">
        <v>285</v>
      </c>
      <c r="H898" s="208" t="inlineStr">
        <is>
          <t>No separate deliverable explicitly named</t>
        </is>
      </c>
    </row>
    <row r="899">
      <c r="A899" s="199" t="inlineStr">
        <is>
          <t>RTM-518</t>
        </is>
      </c>
      <c r="B899" s="223" t="inlineStr">
        <is>
          <t>L2 Detailed Design</t>
        </is>
      </c>
      <c r="C899" s="199" t="n">
        <v>3</v>
      </c>
      <c r="D899" s="199" t="inlineStr">
        <is>
          <t>T2 Secondary</t>
        </is>
      </c>
      <c r="E899" s="199" t="inlineStr">
        <is>
          <t>Acceptance Testing</t>
        </is>
      </c>
      <c r="F899" s="199" t="n">
        <v>32</v>
      </c>
      <c r="G899" s="199" t="n">
        <v>285</v>
      </c>
      <c r="H899" s="199" t="inlineStr">
        <is>
          <t>No separate deliverable explicitly named</t>
        </is>
      </c>
    </row>
    <row r="900">
      <c r="A900" s="208" t="inlineStr">
        <is>
          <t>RTM-519</t>
        </is>
      </c>
      <c r="B900" s="226" t="inlineStr">
        <is>
          <t>L6 Site Acceptance Testing</t>
        </is>
      </c>
      <c r="C900" s="208" t="n">
        <v>8</v>
      </c>
      <c r="D900" s="208" t="inlineStr">
        <is>
          <t>T2 Secondary</t>
        </is>
      </c>
      <c r="E900" s="208" t="inlineStr">
        <is>
          <t>Acceptance Testing</t>
        </is>
      </c>
      <c r="F900" s="208" t="n">
        <v>32</v>
      </c>
      <c r="G900" s="208" t="n">
        <v>286</v>
      </c>
      <c r="H900" s="208" t="inlineStr">
        <is>
          <t>No separate deliverable explicitly named</t>
        </is>
      </c>
    </row>
    <row r="901">
      <c r="A901" s="199" t="inlineStr">
        <is>
          <t>RTM-519</t>
        </is>
      </c>
      <c r="B901" s="222" t="inlineStr">
        <is>
          <t>L1 Conceptual Design</t>
        </is>
      </c>
      <c r="C901" s="199" t="n">
        <v>2</v>
      </c>
      <c r="D901" s="199" t="inlineStr">
        <is>
          <t>T2 Secondary</t>
        </is>
      </c>
      <c r="E901" s="199" t="inlineStr">
        <is>
          <t>Acceptance Testing</t>
        </is>
      </c>
      <c r="F901" s="199" t="n">
        <v>32</v>
      </c>
      <c r="G901" s="199" t="n">
        <v>286</v>
      </c>
      <c r="H901" s="199" t="inlineStr">
        <is>
          <t>No separate deliverable explicitly named</t>
        </is>
      </c>
    </row>
    <row r="902">
      <c r="A902" s="208" t="inlineStr">
        <is>
          <t>RTM-519</t>
        </is>
      </c>
      <c r="B902" s="223" t="inlineStr">
        <is>
          <t>L2 Detailed Design</t>
        </is>
      </c>
      <c r="C902" s="208" t="n">
        <v>3</v>
      </c>
      <c r="D902" s="208" t="inlineStr">
        <is>
          <t>T2 Secondary</t>
        </is>
      </c>
      <c r="E902" s="208" t="inlineStr">
        <is>
          <t>Acceptance Testing</t>
        </is>
      </c>
      <c r="F902" s="208" t="n">
        <v>32</v>
      </c>
      <c r="G902" s="208" t="n">
        <v>286</v>
      </c>
      <c r="H902" s="208" t="inlineStr">
        <is>
          <t>No separate deliverable explicitly named</t>
        </is>
      </c>
    </row>
    <row r="903">
      <c r="A903" s="199" t="inlineStr">
        <is>
          <t>RTM-521</t>
        </is>
      </c>
      <c r="B903" s="226" t="inlineStr">
        <is>
          <t>L6 Site Acceptance Testing</t>
        </is>
      </c>
      <c r="C903" s="199" t="n">
        <v>8</v>
      </c>
      <c r="D903" s="199" t="inlineStr">
        <is>
          <t>T2 Secondary</t>
        </is>
      </c>
      <c r="E903" s="199" t="inlineStr">
        <is>
          <t>Acceptance Testing</t>
        </is>
      </c>
      <c r="F903" s="199" t="n">
        <v>32</v>
      </c>
      <c r="G903" s="199" t="n">
        <v>287</v>
      </c>
      <c r="H903" s="199" t="inlineStr">
        <is>
          <t>No separate deliverable explicitly named</t>
        </is>
      </c>
    </row>
    <row r="904">
      <c r="A904" s="208" t="inlineStr">
        <is>
          <t>RTM-521</t>
        </is>
      </c>
      <c r="B904" s="222" t="inlineStr">
        <is>
          <t>L1 Conceptual Design</t>
        </is>
      </c>
      <c r="C904" s="208" t="n">
        <v>2</v>
      </c>
      <c r="D904" s="208" t="inlineStr">
        <is>
          <t>T2 Secondary</t>
        </is>
      </c>
      <c r="E904" s="208" t="inlineStr">
        <is>
          <t>Acceptance Testing</t>
        </is>
      </c>
      <c r="F904" s="208" t="n">
        <v>32</v>
      </c>
      <c r="G904" s="208" t="n">
        <v>287</v>
      </c>
      <c r="H904" s="208" t="inlineStr">
        <is>
          <t>No separate deliverable explicitly named</t>
        </is>
      </c>
    </row>
    <row r="905">
      <c r="A905" s="199" t="inlineStr">
        <is>
          <t>RTM-521</t>
        </is>
      </c>
      <c r="B905" s="223" t="inlineStr">
        <is>
          <t>L2 Detailed Design</t>
        </is>
      </c>
      <c r="C905" s="199" t="n">
        <v>3</v>
      </c>
      <c r="D905" s="199" t="inlineStr">
        <is>
          <t>T2 Secondary</t>
        </is>
      </c>
      <c r="E905" s="199" t="inlineStr">
        <is>
          <t>Acceptance Testing</t>
        </is>
      </c>
      <c r="F905" s="199" t="n">
        <v>32</v>
      </c>
      <c r="G905" s="199" t="n">
        <v>287</v>
      </c>
      <c r="H905" s="199" t="inlineStr">
        <is>
          <t>No separate deliverable explicitly named</t>
        </is>
      </c>
    </row>
    <row r="906">
      <c r="A906" s="208" t="inlineStr">
        <is>
          <t>RTM-650</t>
        </is>
      </c>
      <c r="B906" s="221" t="inlineStr">
        <is>
          <t>L0 Tender / Offer</t>
        </is>
      </c>
      <c r="C906" s="208" t="n">
        <v>1</v>
      </c>
      <c r="D906" s="208" t="inlineStr">
        <is>
          <t>T2 Secondary</t>
        </is>
      </c>
      <c r="E906" s="208" t="inlineStr">
        <is>
          <t>Quality Assurance &amp; Control</t>
        </is>
      </c>
      <c r="F906" s="208" t="n">
        <v>32</v>
      </c>
      <c r="G906" s="208" t="n">
        <v>288</v>
      </c>
      <c r="H906" s="208" t="inlineStr">
        <is>
          <t>Quality Assurance Plan (QAP); Certificate / calibration evidence; List / register / matrix</t>
        </is>
      </c>
    </row>
    <row r="907">
      <c r="A907" s="199" t="inlineStr">
        <is>
          <t>RTM-650</t>
        </is>
      </c>
      <c r="B907" s="222" t="inlineStr">
        <is>
          <t>L1 Conceptual Design</t>
        </is>
      </c>
      <c r="C907" s="199" t="n">
        <v>2</v>
      </c>
      <c r="D907" s="199" t="inlineStr">
        <is>
          <t>T2 Secondary</t>
        </is>
      </c>
      <c r="E907" s="199" t="inlineStr">
        <is>
          <t>Quality Assurance &amp; Control</t>
        </is>
      </c>
      <c r="F907" s="199" t="n">
        <v>32</v>
      </c>
      <c r="G907" s="199" t="n">
        <v>288</v>
      </c>
      <c r="H907" s="199" t="inlineStr">
        <is>
          <t>Quality Assurance Plan (QAP); Certificate / calibration evidence; List / register / matrix</t>
        </is>
      </c>
    </row>
    <row r="908">
      <c r="A908" s="208" t="inlineStr">
        <is>
          <t>RTM-650</t>
        </is>
      </c>
      <c r="B908" s="223" t="inlineStr">
        <is>
          <t>L2 Detailed Design</t>
        </is>
      </c>
      <c r="C908" s="208" t="n">
        <v>3</v>
      </c>
      <c r="D908" s="208" t="inlineStr">
        <is>
          <t>T2 Secondary</t>
        </is>
      </c>
      <c r="E908" s="208" t="inlineStr">
        <is>
          <t>Quality Assurance &amp; Control</t>
        </is>
      </c>
      <c r="F908" s="208" t="n">
        <v>32</v>
      </c>
      <c r="G908" s="208" t="n">
        <v>288</v>
      </c>
      <c r="H908" s="208" t="inlineStr">
        <is>
          <t>Quality Assurance Plan (QAP); Certificate / calibration evidence; List / register / matrix</t>
        </is>
      </c>
    </row>
    <row r="909">
      <c r="A909" s="199" t="inlineStr">
        <is>
          <t>RTM-650</t>
        </is>
      </c>
      <c r="B909" s="224" t="inlineStr">
        <is>
          <t>L3 Procurement &amp; Manufacturing / FAT</t>
        </is>
      </c>
      <c r="C909" s="199" t="n">
        <v>4</v>
      </c>
      <c r="D909" s="199" t="inlineStr">
        <is>
          <t>T2 Secondary</t>
        </is>
      </c>
      <c r="E909" s="199" t="inlineStr">
        <is>
          <t>Quality Assurance &amp; Control</t>
        </is>
      </c>
      <c r="F909" s="199" t="n">
        <v>32</v>
      </c>
      <c r="G909" s="199" t="n">
        <v>288</v>
      </c>
      <c r="H909" s="199" t="inlineStr">
        <is>
          <t>Quality Assurance Plan (QAP); Certificate / calibration evidence; List / register / matrix</t>
        </is>
      </c>
    </row>
    <row r="910">
      <c r="A910" s="208" t="inlineStr">
        <is>
          <t>RTM-650</t>
        </is>
      </c>
      <c r="B910" s="220" t="inlineStr">
        <is>
          <t>L4 Installation</t>
        </is>
      </c>
      <c r="C910" s="208" t="n">
        <v>6</v>
      </c>
      <c r="D910" s="208" t="inlineStr">
        <is>
          <t>T2 Secondary</t>
        </is>
      </c>
      <c r="E910" s="208" t="inlineStr">
        <is>
          <t>Quality Assurance &amp; Control</t>
        </is>
      </c>
      <c r="F910" s="208" t="n">
        <v>32</v>
      </c>
      <c r="G910" s="208" t="n">
        <v>288</v>
      </c>
      <c r="H910" s="208" t="inlineStr">
        <is>
          <t>Quality Assurance Plan (QAP); Certificate / calibration evidence; List / register / matrix</t>
        </is>
      </c>
    </row>
    <row r="911">
      <c r="A911" s="199" t="inlineStr">
        <is>
          <t>RTM-650</t>
        </is>
      </c>
      <c r="B911" s="225" t="inlineStr">
        <is>
          <t>L5 Standalone Commissioning</t>
        </is>
      </c>
      <c r="C911" s="199" t="n">
        <v>7</v>
      </c>
      <c r="D911" s="199" t="inlineStr">
        <is>
          <t>T2 Secondary</t>
        </is>
      </c>
      <c r="E911" s="199" t="inlineStr">
        <is>
          <t>Quality Assurance &amp; Control</t>
        </is>
      </c>
      <c r="F911" s="199" t="n">
        <v>32</v>
      </c>
      <c r="G911" s="199" t="n">
        <v>288</v>
      </c>
      <c r="H911" s="199" t="inlineStr">
        <is>
          <t>Quality Assurance Plan (QAP); Certificate / calibration evidence; List / register / matrix</t>
        </is>
      </c>
    </row>
    <row r="912">
      <c r="A912" s="208" t="inlineStr">
        <is>
          <t>RTM-650</t>
        </is>
      </c>
      <c r="B912" s="226" t="inlineStr">
        <is>
          <t>L6 Site Acceptance Testing</t>
        </is>
      </c>
      <c r="C912" s="208" t="n">
        <v>8</v>
      </c>
      <c r="D912" s="208" t="inlineStr">
        <is>
          <t>T2 Secondary</t>
        </is>
      </c>
      <c r="E912" s="208" t="inlineStr">
        <is>
          <t>Quality Assurance &amp; Control</t>
        </is>
      </c>
      <c r="F912" s="208" t="n">
        <v>32</v>
      </c>
      <c r="G912" s="208" t="n">
        <v>288</v>
      </c>
      <c r="H912" s="208" t="inlineStr">
        <is>
          <t>Quality Assurance Plan (QAP); Certificate / calibration evidence; List / register / matrix</t>
        </is>
      </c>
    </row>
    <row r="913">
      <c r="A913" s="199" t="inlineStr">
        <is>
          <t>RTM-100</t>
        </is>
      </c>
      <c r="B913" s="223" t="inlineStr">
        <is>
          <t>L2 Detailed Design</t>
        </is>
      </c>
      <c r="C913" s="199" t="n">
        <v>3</v>
      </c>
      <c r="D913" s="199" t="inlineStr">
        <is>
          <t>T2 Secondary</t>
        </is>
      </c>
      <c r="E913" s="199" t="inlineStr">
        <is>
          <t>Subsystems</t>
        </is>
      </c>
      <c r="F913" s="199" t="n">
        <v>32</v>
      </c>
      <c r="G913" s="199" t="n">
        <v>289</v>
      </c>
      <c r="H913" s="199" t="inlineStr">
        <is>
          <t>List / register / matrix</t>
        </is>
      </c>
    </row>
    <row r="914">
      <c r="A914" s="208" t="inlineStr">
        <is>
          <t>RTM-100</t>
        </is>
      </c>
      <c r="B914" s="222" t="inlineStr">
        <is>
          <t>L1 Conceptual Design</t>
        </is>
      </c>
      <c r="C914" s="208" t="n">
        <v>2</v>
      </c>
      <c r="D914" s="208" t="inlineStr">
        <is>
          <t>T2 Secondary</t>
        </is>
      </c>
      <c r="E914" s="208" t="inlineStr">
        <is>
          <t>Subsystems</t>
        </is>
      </c>
      <c r="F914" s="208" t="n">
        <v>32</v>
      </c>
      <c r="G914" s="208" t="n">
        <v>289</v>
      </c>
      <c r="H914" s="208" t="inlineStr">
        <is>
          <t>List / register / matrix</t>
        </is>
      </c>
    </row>
    <row r="915">
      <c r="A915" s="199" t="inlineStr">
        <is>
          <t>RTM-110</t>
        </is>
      </c>
      <c r="B915" s="222" t="inlineStr">
        <is>
          <t>L1 Conceptual Design</t>
        </is>
      </c>
      <c r="C915" s="199" t="n">
        <v>2</v>
      </c>
      <c r="D915" s="199" t="inlineStr">
        <is>
          <t>T2 Secondary</t>
        </is>
      </c>
      <c r="E915" s="199" t="inlineStr">
        <is>
          <t>Subsystems</t>
        </is>
      </c>
      <c r="F915" s="199" t="n">
        <v>32</v>
      </c>
      <c r="G915" s="199" t="n">
        <v>290</v>
      </c>
      <c r="H915" s="199" t="inlineStr">
        <is>
          <t>No separate deliverable explicitly named</t>
        </is>
      </c>
    </row>
    <row r="916">
      <c r="A916" s="208" t="inlineStr">
        <is>
          <t>RTM-110</t>
        </is>
      </c>
      <c r="B916" s="223" t="inlineStr">
        <is>
          <t>L2 Detailed Design</t>
        </is>
      </c>
      <c r="C916" s="208" t="n">
        <v>3</v>
      </c>
      <c r="D916" s="208" t="inlineStr">
        <is>
          <t>T2 Secondary</t>
        </is>
      </c>
      <c r="E916" s="208" t="inlineStr">
        <is>
          <t>Subsystems</t>
        </is>
      </c>
      <c r="F916" s="208" t="n">
        <v>32</v>
      </c>
      <c r="G916" s="208" t="n">
        <v>290</v>
      </c>
      <c r="H916" s="208" t="inlineStr">
        <is>
          <t>No separate deliverable explicitly named</t>
        </is>
      </c>
    </row>
    <row r="917">
      <c r="A917" s="199" t="inlineStr">
        <is>
          <t>RTM-116</t>
        </is>
      </c>
      <c r="B917" s="222" t="inlineStr">
        <is>
          <t>L1 Conceptual Design</t>
        </is>
      </c>
      <c r="C917" s="199" t="n">
        <v>2</v>
      </c>
      <c r="D917" s="199" t="inlineStr">
        <is>
          <t>T2 Secondary</t>
        </is>
      </c>
      <c r="E917" s="199" t="inlineStr">
        <is>
          <t>Subsystems</t>
        </is>
      </c>
      <c r="F917" s="199" t="n">
        <v>32</v>
      </c>
      <c r="G917" s="199" t="n">
        <v>291</v>
      </c>
      <c r="H917" s="199" t="inlineStr">
        <is>
          <t>No separate deliverable explicitly named</t>
        </is>
      </c>
    </row>
    <row r="918">
      <c r="A918" s="208" t="inlineStr">
        <is>
          <t>RTM-116</t>
        </is>
      </c>
      <c r="B918" s="223" t="inlineStr">
        <is>
          <t>L2 Detailed Design</t>
        </is>
      </c>
      <c r="C918" s="208" t="n">
        <v>3</v>
      </c>
      <c r="D918" s="208" t="inlineStr">
        <is>
          <t>T2 Secondary</t>
        </is>
      </c>
      <c r="E918" s="208" t="inlineStr">
        <is>
          <t>Subsystems</t>
        </is>
      </c>
      <c r="F918" s="208" t="n">
        <v>32</v>
      </c>
      <c r="G918" s="208" t="n">
        <v>291</v>
      </c>
      <c r="H918" s="208" t="inlineStr">
        <is>
          <t>No separate deliverable explicitly named</t>
        </is>
      </c>
    </row>
    <row r="919">
      <c r="A919" s="199" t="inlineStr">
        <is>
          <t>RTM-135</t>
        </is>
      </c>
      <c r="B919" s="222" t="inlineStr">
        <is>
          <t>L1 Conceptual Design</t>
        </is>
      </c>
      <c r="C919" s="199" t="n">
        <v>2</v>
      </c>
      <c r="D919" s="199" t="inlineStr">
        <is>
          <t>T2 Secondary</t>
        </is>
      </c>
      <c r="E919" s="199" t="inlineStr">
        <is>
          <t>Subsystems</t>
        </is>
      </c>
      <c r="F919" s="199" t="n">
        <v>32</v>
      </c>
      <c r="G919" s="199" t="n">
        <v>292</v>
      </c>
      <c r="H919" s="199" t="inlineStr">
        <is>
          <t>No separate deliverable explicitly named</t>
        </is>
      </c>
    </row>
    <row r="920">
      <c r="A920" s="208" t="inlineStr">
        <is>
          <t>RTM-135</t>
        </is>
      </c>
      <c r="B920" s="223" t="inlineStr">
        <is>
          <t>L2 Detailed Design</t>
        </is>
      </c>
      <c r="C920" s="208" t="n">
        <v>3</v>
      </c>
      <c r="D920" s="208" t="inlineStr">
        <is>
          <t>T2 Secondary</t>
        </is>
      </c>
      <c r="E920" s="208" t="inlineStr">
        <is>
          <t>Subsystems</t>
        </is>
      </c>
      <c r="F920" s="208" t="n">
        <v>32</v>
      </c>
      <c r="G920" s="208" t="n">
        <v>292</v>
      </c>
      <c r="H920" s="208" t="inlineStr">
        <is>
          <t>No separate deliverable explicitly named</t>
        </is>
      </c>
    </row>
    <row r="921">
      <c r="A921" s="199" t="inlineStr">
        <is>
          <t>RTM-137</t>
        </is>
      </c>
      <c r="B921" s="222" t="inlineStr">
        <is>
          <t>L1 Conceptual Design</t>
        </is>
      </c>
      <c r="C921" s="199" t="n">
        <v>2</v>
      </c>
      <c r="D921" s="199" t="inlineStr">
        <is>
          <t>T2 Secondary</t>
        </is>
      </c>
      <c r="E921" s="199" t="inlineStr">
        <is>
          <t>Subsystems</t>
        </is>
      </c>
      <c r="F921" s="199" t="n">
        <v>32</v>
      </c>
      <c r="G921" s="199" t="n">
        <v>293</v>
      </c>
      <c r="H921" s="199" t="inlineStr">
        <is>
          <t>No separate deliverable explicitly named</t>
        </is>
      </c>
    </row>
    <row r="922">
      <c r="A922" s="208" t="inlineStr">
        <is>
          <t>RTM-137</t>
        </is>
      </c>
      <c r="B922" s="223" t="inlineStr">
        <is>
          <t>L2 Detailed Design</t>
        </is>
      </c>
      <c r="C922" s="208" t="n">
        <v>3</v>
      </c>
      <c r="D922" s="208" t="inlineStr">
        <is>
          <t>T2 Secondary</t>
        </is>
      </c>
      <c r="E922" s="208" t="inlineStr">
        <is>
          <t>Subsystems</t>
        </is>
      </c>
      <c r="F922" s="208" t="n">
        <v>32</v>
      </c>
      <c r="G922" s="208" t="n">
        <v>293</v>
      </c>
      <c r="H922" s="208" t="inlineStr">
        <is>
          <t>No separate deliverable explicitly named</t>
        </is>
      </c>
    </row>
    <row r="923">
      <c r="A923" s="199" t="inlineStr">
        <is>
          <t>RTM-158</t>
        </is>
      </c>
      <c r="B923" s="222" t="inlineStr">
        <is>
          <t>L1 Conceptual Design</t>
        </is>
      </c>
      <c r="C923" s="199" t="n">
        <v>2</v>
      </c>
      <c r="D923" s="199" t="inlineStr">
        <is>
          <t>T2 Secondary</t>
        </is>
      </c>
      <c r="E923" s="199" t="inlineStr">
        <is>
          <t>Subsystems</t>
        </is>
      </c>
      <c r="F923" s="199" t="n">
        <v>32</v>
      </c>
      <c r="G923" s="199" t="n">
        <v>294</v>
      </c>
      <c r="H923" s="199" t="inlineStr">
        <is>
          <t>No separate deliverable explicitly named</t>
        </is>
      </c>
    </row>
    <row r="924">
      <c r="A924" s="208" t="inlineStr">
        <is>
          <t>RTM-158</t>
        </is>
      </c>
      <c r="B924" s="223" t="inlineStr">
        <is>
          <t>L2 Detailed Design</t>
        </is>
      </c>
      <c r="C924" s="208" t="n">
        <v>3</v>
      </c>
      <c r="D924" s="208" t="inlineStr">
        <is>
          <t>T2 Secondary</t>
        </is>
      </c>
      <c r="E924" s="208" t="inlineStr">
        <is>
          <t>Subsystems</t>
        </is>
      </c>
      <c r="F924" s="208" t="n">
        <v>32</v>
      </c>
      <c r="G924" s="208" t="n">
        <v>294</v>
      </c>
      <c r="H924" s="208" t="inlineStr">
        <is>
          <t>No separate deliverable explicitly named</t>
        </is>
      </c>
    </row>
    <row r="925">
      <c r="A925" s="199" t="inlineStr">
        <is>
          <t>RTM-294</t>
        </is>
      </c>
      <c r="B925" s="222" t="inlineStr">
        <is>
          <t>L1 Conceptual Design</t>
        </is>
      </c>
      <c r="C925" s="199" t="n">
        <v>2</v>
      </c>
      <c r="D925" s="199" t="inlineStr">
        <is>
          <t>T2 Secondary</t>
        </is>
      </c>
      <c r="E925" s="199" t="inlineStr">
        <is>
          <t>Cryogenic Interfaces</t>
        </is>
      </c>
      <c r="F925" s="199" t="n">
        <v>32</v>
      </c>
      <c r="G925" s="199" t="n">
        <v>295</v>
      </c>
      <c r="H925" s="199" t="inlineStr">
        <is>
          <t>No separate deliverable explicitly named</t>
        </is>
      </c>
    </row>
    <row r="926">
      <c r="A926" s="208" t="inlineStr">
        <is>
          <t>RTM-294</t>
        </is>
      </c>
      <c r="B926" s="223" t="inlineStr">
        <is>
          <t>L2 Detailed Design</t>
        </is>
      </c>
      <c r="C926" s="208" t="n">
        <v>3</v>
      </c>
      <c r="D926" s="208" t="inlineStr">
        <is>
          <t>T2 Secondary</t>
        </is>
      </c>
      <c r="E926" s="208" t="inlineStr">
        <is>
          <t>Cryogenic Interfaces</t>
        </is>
      </c>
      <c r="F926" s="208" t="n">
        <v>32</v>
      </c>
      <c r="G926" s="208" t="n">
        <v>295</v>
      </c>
      <c r="H926" s="208" t="inlineStr">
        <is>
          <t>No separate deliverable explicitly named</t>
        </is>
      </c>
    </row>
    <row r="927">
      <c r="A927" s="199" t="inlineStr">
        <is>
          <t>RTM-297</t>
        </is>
      </c>
      <c r="B927" s="222" t="inlineStr">
        <is>
          <t>L1 Conceptual Design</t>
        </is>
      </c>
      <c r="C927" s="199" t="n">
        <v>2</v>
      </c>
      <c r="D927" s="199" t="inlineStr">
        <is>
          <t>T2 Secondary</t>
        </is>
      </c>
      <c r="E927" s="199" t="inlineStr">
        <is>
          <t>Cryogenic Interfaces</t>
        </is>
      </c>
      <c r="F927" s="199" t="n">
        <v>32</v>
      </c>
      <c r="G927" s="199" t="n">
        <v>296</v>
      </c>
      <c r="H927" s="199" t="inlineStr">
        <is>
          <t>No separate deliverable explicitly named</t>
        </is>
      </c>
    </row>
    <row r="928">
      <c r="A928" s="208" t="inlineStr">
        <is>
          <t>RTM-297</t>
        </is>
      </c>
      <c r="B928" s="223" t="inlineStr">
        <is>
          <t>L2 Detailed Design</t>
        </is>
      </c>
      <c r="C928" s="208" t="n">
        <v>3</v>
      </c>
      <c r="D928" s="208" t="inlineStr">
        <is>
          <t>T2 Secondary</t>
        </is>
      </c>
      <c r="E928" s="208" t="inlineStr">
        <is>
          <t>Cryogenic Interfaces</t>
        </is>
      </c>
      <c r="F928" s="208" t="n">
        <v>32</v>
      </c>
      <c r="G928" s="208" t="n">
        <v>296</v>
      </c>
      <c r="H928" s="208" t="inlineStr">
        <is>
          <t>No separate deliverable explicitly named</t>
        </is>
      </c>
    </row>
    <row r="929">
      <c r="A929" s="199" t="inlineStr">
        <is>
          <t>RTM-407</t>
        </is>
      </c>
      <c r="B929" s="222" t="inlineStr">
        <is>
          <t>L1 Conceptual Design</t>
        </is>
      </c>
      <c r="C929" s="199" t="n">
        <v>2</v>
      </c>
      <c r="D929" s="199" t="inlineStr">
        <is>
          <t>T2 Secondary</t>
        </is>
      </c>
      <c r="E929" s="199" t="inlineStr">
        <is>
          <t>Buildings &amp; Utilities</t>
        </is>
      </c>
      <c r="F929" s="199" t="n">
        <v>32</v>
      </c>
      <c r="G929" s="199" t="n">
        <v>297</v>
      </c>
      <c r="H929" s="199" t="inlineStr">
        <is>
          <t>No separate deliverable explicitly named</t>
        </is>
      </c>
    </row>
    <row r="930">
      <c r="A930" s="208" t="inlineStr">
        <is>
          <t>RTM-407</t>
        </is>
      </c>
      <c r="B930" s="223" t="inlineStr">
        <is>
          <t>L2 Detailed Design</t>
        </is>
      </c>
      <c r="C930" s="208" t="n">
        <v>3</v>
      </c>
      <c r="D930" s="208" t="inlineStr">
        <is>
          <t>T2 Secondary</t>
        </is>
      </c>
      <c r="E930" s="208" t="inlineStr">
        <is>
          <t>Buildings &amp; Utilities</t>
        </is>
      </c>
      <c r="F930" s="208" t="n">
        <v>32</v>
      </c>
      <c r="G930" s="208" t="n">
        <v>297</v>
      </c>
      <c r="H930" s="208" t="inlineStr">
        <is>
          <t>No separate deliverable explicitly named</t>
        </is>
      </c>
    </row>
    <row r="931">
      <c r="A931" s="199" t="inlineStr">
        <is>
          <t>RTM-620</t>
        </is>
      </c>
      <c r="B931" s="226" t="inlineStr">
        <is>
          <t>L6 Site Acceptance Testing</t>
        </is>
      </c>
      <c r="C931" s="199" t="n">
        <v>8</v>
      </c>
      <c r="D931" s="199" t="inlineStr">
        <is>
          <t>T2 Secondary</t>
        </is>
      </c>
      <c r="E931" s="199" t="inlineStr">
        <is>
          <t>Schedule</t>
        </is>
      </c>
      <c r="F931" s="199" t="n">
        <v>31.6667</v>
      </c>
      <c r="G931" s="199" t="n">
        <v>298</v>
      </c>
      <c r="H931" s="199" t="inlineStr">
        <is>
          <t>No separate deliverable explicitly named</t>
        </is>
      </c>
    </row>
    <row r="932">
      <c r="A932" s="208" t="inlineStr">
        <is>
          <t>RTM-620</t>
        </is>
      </c>
      <c r="B932" s="221" t="inlineStr">
        <is>
          <t>L0 Tender / Offer</t>
        </is>
      </c>
      <c r="C932" s="208" t="n">
        <v>1</v>
      </c>
      <c r="D932" s="208" t="inlineStr">
        <is>
          <t>T2 Secondary</t>
        </is>
      </c>
      <c r="E932" s="208" t="inlineStr">
        <is>
          <t>Schedule</t>
        </is>
      </c>
      <c r="F932" s="208" t="n">
        <v>31.6667</v>
      </c>
      <c r="G932" s="208" t="n">
        <v>298</v>
      </c>
      <c r="H932" s="208" t="inlineStr">
        <is>
          <t>No separate deliverable explicitly named</t>
        </is>
      </c>
    </row>
    <row r="933">
      <c r="A933" s="199" t="inlineStr">
        <is>
          <t>RTM-620</t>
        </is>
      </c>
      <c r="B933" s="222" t="inlineStr">
        <is>
          <t>L1 Conceptual Design</t>
        </is>
      </c>
      <c r="C933" s="199" t="n">
        <v>2</v>
      </c>
      <c r="D933" s="199" t="inlineStr">
        <is>
          <t>T2 Secondary</t>
        </is>
      </c>
      <c r="E933" s="199" t="inlineStr">
        <is>
          <t>Schedule</t>
        </is>
      </c>
      <c r="F933" s="199" t="n">
        <v>31.6667</v>
      </c>
      <c r="G933" s="199" t="n">
        <v>298</v>
      </c>
      <c r="H933" s="199" t="inlineStr">
        <is>
          <t>No separate deliverable explicitly named</t>
        </is>
      </c>
    </row>
    <row r="934">
      <c r="A934" s="208" t="inlineStr">
        <is>
          <t>RTM-620</t>
        </is>
      </c>
      <c r="B934" s="223" t="inlineStr">
        <is>
          <t>L2 Detailed Design</t>
        </is>
      </c>
      <c r="C934" s="208" t="n">
        <v>3</v>
      </c>
      <c r="D934" s="208" t="inlineStr">
        <is>
          <t>T2 Secondary</t>
        </is>
      </c>
      <c r="E934" s="208" t="inlineStr">
        <is>
          <t>Schedule</t>
        </is>
      </c>
      <c r="F934" s="208" t="n">
        <v>31.6667</v>
      </c>
      <c r="G934" s="208" t="n">
        <v>298</v>
      </c>
      <c r="H934" s="208" t="inlineStr">
        <is>
          <t>No separate deliverable explicitly named</t>
        </is>
      </c>
    </row>
    <row r="935">
      <c r="A935" s="199" t="inlineStr">
        <is>
          <t>RTM-620</t>
        </is>
      </c>
      <c r="B935" s="224" t="inlineStr">
        <is>
          <t>L3 Procurement &amp; Manufacturing / FAT</t>
        </is>
      </c>
      <c r="C935" s="199" t="n">
        <v>4</v>
      </c>
      <c r="D935" s="199" t="inlineStr">
        <is>
          <t>T2 Secondary</t>
        </is>
      </c>
      <c r="E935" s="199" t="inlineStr">
        <is>
          <t>Schedule</t>
        </is>
      </c>
      <c r="F935" s="199" t="n">
        <v>31.6667</v>
      </c>
      <c r="G935" s="199" t="n">
        <v>298</v>
      </c>
      <c r="H935" s="199" t="inlineStr">
        <is>
          <t>No separate deliverable explicitly named</t>
        </is>
      </c>
    </row>
    <row r="936">
      <c r="A936" s="208" t="inlineStr">
        <is>
          <t>RTM-620</t>
        </is>
      </c>
      <c r="B936" s="220" t="inlineStr">
        <is>
          <t>L4 Installation</t>
        </is>
      </c>
      <c r="C936" s="208" t="n">
        <v>6</v>
      </c>
      <c r="D936" s="208" t="inlineStr">
        <is>
          <t>T2 Secondary</t>
        </is>
      </c>
      <c r="E936" s="208" t="inlineStr">
        <is>
          <t>Schedule</t>
        </is>
      </c>
      <c r="F936" s="208" t="n">
        <v>31.6667</v>
      </c>
      <c r="G936" s="208" t="n">
        <v>298</v>
      </c>
      <c r="H936" s="208" t="inlineStr">
        <is>
          <t>No separate deliverable explicitly named</t>
        </is>
      </c>
    </row>
    <row r="937">
      <c r="A937" s="199" t="inlineStr">
        <is>
          <t>RTM-620</t>
        </is>
      </c>
      <c r="B937" s="225" t="inlineStr">
        <is>
          <t>L5 Standalone Commissioning</t>
        </is>
      </c>
      <c r="C937" s="199" t="n">
        <v>7</v>
      </c>
      <c r="D937" s="199" t="inlineStr">
        <is>
          <t>T2 Secondary</t>
        </is>
      </c>
      <c r="E937" s="199" t="inlineStr">
        <is>
          <t>Schedule</t>
        </is>
      </c>
      <c r="F937" s="199" t="n">
        <v>31.6667</v>
      </c>
      <c r="G937" s="199" t="n">
        <v>298</v>
      </c>
      <c r="H937" s="199" t="inlineStr">
        <is>
          <t>No separate deliverable explicitly named</t>
        </is>
      </c>
    </row>
    <row r="938">
      <c r="A938" s="208" t="inlineStr">
        <is>
          <t>RTM-104</t>
        </is>
      </c>
      <c r="B938" s="222" t="inlineStr">
        <is>
          <t>L1 Conceptual Design</t>
        </is>
      </c>
      <c r="C938" s="208" t="n">
        <v>2</v>
      </c>
      <c r="D938" s="208" t="inlineStr">
        <is>
          <t>T2 Secondary</t>
        </is>
      </c>
      <c r="E938" s="208" t="inlineStr">
        <is>
          <t>Subsystems</t>
        </is>
      </c>
      <c r="F938" s="208" t="n">
        <v>31.3333</v>
      </c>
      <c r="G938" s="208" t="n">
        <v>299</v>
      </c>
      <c r="H938" s="208" t="inlineStr">
        <is>
          <t>No separate deliverable explicitly named</t>
        </is>
      </c>
    </row>
    <row r="939">
      <c r="A939" s="199" t="inlineStr">
        <is>
          <t>RTM-104</t>
        </is>
      </c>
      <c r="B939" s="223" t="inlineStr">
        <is>
          <t>L2 Detailed Design</t>
        </is>
      </c>
      <c r="C939" s="199" t="n">
        <v>3</v>
      </c>
      <c r="D939" s="199" t="inlineStr">
        <is>
          <t>T2 Secondary</t>
        </is>
      </c>
      <c r="E939" s="199" t="inlineStr">
        <is>
          <t>Subsystems</t>
        </is>
      </c>
      <c r="F939" s="199" t="n">
        <v>31.3333</v>
      </c>
      <c r="G939" s="199" t="n">
        <v>299</v>
      </c>
      <c r="H939" s="199" t="inlineStr">
        <is>
          <t>No separate deliverable explicitly named</t>
        </is>
      </c>
    </row>
    <row r="940">
      <c r="A940" s="208" t="inlineStr">
        <is>
          <t>RTM-105</t>
        </is>
      </c>
      <c r="B940" s="222" t="inlineStr">
        <is>
          <t>L1 Conceptual Design</t>
        </is>
      </c>
      <c r="C940" s="208" t="n">
        <v>2</v>
      </c>
      <c r="D940" s="208" t="inlineStr">
        <is>
          <t>T2 Secondary</t>
        </is>
      </c>
      <c r="E940" s="208" t="inlineStr">
        <is>
          <t>Subsystems</t>
        </is>
      </c>
      <c r="F940" s="208" t="n">
        <v>31.3333</v>
      </c>
      <c r="G940" s="208" t="n">
        <v>300</v>
      </c>
      <c r="H940" s="208" t="inlineStr">
        <is>
          <t>No separate deliverable explicitly named</t>
        </is>
      </c>
    </row>
    <row r="941">
      <c r="A941" s="199" t="inlineStr">
        <is>
          <t>RTM-105</t>
        </is>
      </c>
      <c r="B941" s="223" t="inlineStr">
        <is>
          <t>L2 Detailed Design</t>
        </is>
      </c>
      <c r="C941" s="199" t="n">
        <v>3</v>
      </c>
      <c r="D941" s="199" t="inlineStr">
        <is>
          <t>T2 Secondary</t>
        </is>
      </c>
      <c r="E941" s="199" t="inlineStr">
        <is>
          <t>Subsystems</t>
        </is>
      </c>
      <c r="F941" s="199" t="n">
        <v>31.3333</v>
      </c>
      <c r="G941" s="199" t="n">
        <v>300</v>
      </c>
      <c r="H941" s="199" t="inlineStr">
        <is>
          <t>No separate deliverable explicitly named</t>
        </is>
      </c>
    </row>
    <row r="942">
      <c r="A942" s="208" t="inlineStr">
        <is>
          <t>RTM-119</t>
        </is>
      </c>
      <c r="B942" s="222" t="inlineStr">
        <is>
          <t>L1 Conceptual Design</t>
        </is>
      </c>
      <c r="C942" s="208" t="n">
        <v>2</v>
      </c>
      <c r="D942" s="208" t="inlineStr">
        <is>
          <t>T2 Secondary</t>
        </is>
      </c>
      <c r="E942" s="208" t="inlineStr">
        <is>
          <t>Subsystems</t>
        </is>
      </c>
      <c r="F942" s="208" t="n">
        <v>31.3333</v>
      </c>
      <c r="G942" s="208" t="n">
        <v>301</v>
      </c>
      <c r="H942" s="208" t="inlineStr">
        <is>
          <t>No separate deliverable explicitly named</t>
        </is>
      </c>
    </row>
    <row r="943">
      <c r="A943" s="199" t="inlineStr">
        <is>
          <t>RTM-119</t>
        </is>
      </c>
      <c r="B943" s="223" t="inlineStr">
        <is>
          <t>L2 Detailed Design</t>
        </is>
      </c>
      <c r="C943" s="199" t="n">
        <v>3</v>
      </c>
      <c r="D943" s="199" t="inlineStr">
        <is>
          <t>T2 Secondary</t>
        </is>
      </c>
      <c r="E943" s="199" t="inlineStr">
        <is>
          <t>Subsystems</t>
        </is>
      </c>
      <c r="F943" s="199" t="n">
        <v>31.3333</v>
      </c>
      <c r="G943" s="199" t="n">
        <v>301</v>
      </c>
      <c r="H943" s="199" t="inlineStr">
        <is>
          <t>No separate deliverable explicitly named</t>
        </is>
      </c>
    </row>
    <row r="944">
      <c r="A944" s="208" t="inlineStr">
        <is>
          <t>RTM-120</t>
        </is>
      </c>
      <c r="B944" s="222" t="inlineStr">
        <is>
          <t>L1 Conceptual Design</t>
        </is>
      </c>
      <c r="C944" s="208" t="n">
        <v>2</v>
      </c>
      <c r="D944" s="208" t="inlineStr">
        <is>
          <t>T2 Secondary</t>
        </is>
      </c>
      <c r="E944" s="208" t="inlineStr">
        <is>
          <t>Subsystems</t>
        </is>
      </c>
      <c r="F944" s="208" t="n">
        <v>31.3333</v>
      </c>
      <c r="G944" s="208" t="n">
        <v>302</v>
      </c>
      <c r="H944" s="208" t="inlineStr">
        <is>
          <t>No separate deliverable explicitly named</t>
        </is>
      </c>
    </row>
    <row r="945">
      <c r="A945" s="199" t="inlineStr">
        <is>
          <t>RTM-120</t>
        </is>
      </c>
      <c r="B945" s="223" t="inlineStr">
        <is>
          <t>L2 Detailed Design</t>
        </is>
      </c>
      <c r="C945" s="199" t="n">
        <v>3</v>
      </c>
      <c r="D945" s="199" t="inlineStr">
        <is>
          <t>T2 Secondary</t>
        </is>
      </c>
      <c r="E945" s="199" t="inlineStr">
        <is>
          <t>Subsystems</t>
        </is>
      </c>
      <c r="F945" s="199" t="n">
        <v>31.3333</v>
      </c>
      <c r="G945" s="199" t="n">
        <v>302</v>
      </c>
      <c r="H945" s="199" t="inlineStr">
        <is>
          <t>No separate deliverable explicitly named</t>
        </is>
      </c>
    </row>
    <row r="946">
      <c r="A946" s="208" t="inlineStr">
        <is>
          <t>RTM-123</t>
        </is>
      </c>
      <c r="B946" s="222" t="inlineStr">
        <is>
          <t>L1 Conceptual Design</t>
        </is>
      </c>
      <c r="C946" s="208" t="n">
        <v>2</v>
      </c>
      <c r="D946" s="208" t="inlineStr">
        <is>
          <t>T2 Secondary</t>
        </is>
      </c>
      <c r="E946" s="208" t="inlineStr">
        <is>
          <t>Subsystems</t>
        </is>
      </c>
      <c r="F946" s="208" t="n">
        <v>31.3333</v>
      </c>
      <c r="G946" s="208" t="n">
        <v>303</v>
      </c>
      <c r="H946" s="208" t="inlineStr">
        <is>
          <t>No separate deliverable explicitly named</t>
        </is>
      </c>
    </row>
    <row r="947">
      <c r="A947" s="199" t="inlineStr">
        <is>
          <t>RTM-123</t>
        </is>
      </c>
      <c r="B947" s="223" t="inlineStr">
        <is>
          <t>L2 Detailed Design</t>
        </is>
      </c>
      <c r="C947" s="199" t="n">
        <v>3</v>
      </c>
      <c r="D947" s="199" t="inlineStr">
        <is>
          <t>T2 Secondary</t>
        </is>
      </c>
      <c r="E947" s="199" t="inlineStr">
        <is>
          <t>Subsystems</t>
        </is>
      </c>
      <c r="F947" s="199" t="n">
        <v>31.3333</v>
      </c>
      <c r="G947" s="199" t="n">
        <v>303</v>
      </c>
      <c r="H947" s="199" t="inlineStr">
        <is>
          <t>No separate deliverable explicitly named</t>
        </is>
      </c>
    </row>
    <row r="948">
      <c r="A948" s="208" t="inlineStr">
        <is>
          <t>RTM-124</t>
        </is>
      </c>
      <c r="B948" s="222" t="inlineStr">
        <is>
          <t>L1 Conceptual Design</t>
        </is>
      </c>
      <c r="C948" s="208" t="n">
        <v>2</v>
      </c>
      <c r="D948" s="208" t="inlineStr">
        <is>
          <t>T2 Secondary</t>
        </is>
      </c>
      <c r="E948" s="208" t="inlineStr">
        <is>
          <t>Subsystems</t>
        </is>
      </c>
      <c r="F948" s="208" t="n">
        <v>31.3333</v>
      </c>
      <c r="G948" s="208" t="n">
        <v>304</v>
      </c>
      <c r="H948" s="208" t="inlineStr">
        <is>
          <t>No separate deliverable explicitly named</t>
        </is>
      </c>
    </row>
    <row r="949">
      <c r="A949" s="199" t="inlineStr">
        <is>
          <t>RTM-124</t>
        </is>
      </c>
      <c r="B949" s="223" t="inlineStr">
        <is>
          <t>L2 Detailed Design</t>
        </is>
      </c>
      <c r="C949" s="199" t="n">
        <v>3</v>
      </c>
      <c r="D949" s="199" t="inlineStr">
        <is>
          <t>T2 Secondary</t>
        </is>
      </c>
      <c r="E949" s="199" t="inlineStr">
        <is>
          <t>Subsystems</t>
        </is>
      </c>
      <c r="F949" s="199" t="n">
        <v>31.3333</v>
      </c>
      <c r="G949" s="199" t="n">
        <v>304</v>
      </c>
      <c r="H949" s="199" t="inlineStr">
        <is>
          <t>No separate deliverable explicitly named</t>
        </is>
      </c>
    </row>
    <row r="950">
      <c r="A950" s="208" t="inlineStr">
        <is>
          <t>RTM-127</t>
        </is>
      </c>
      <c r="B950" s="222" t="inlineStr">
        <is>
          <t>L1 Conceptual Design</t>
        </is>
      </c>
      <c r="C950" s="208" t="n">
        <v>2</v>
      </c>
      <c r="D950" s="208" t="inlineStr">
        <is>
          <t>T2 Secondary</t>
        </is>
      </c>
      <c r="E950" s="208" t="inlineStr">
        <is>
          <t>Subsystems</t>
        </is>
      </c>
      <c r="F950" s="208" t="n">
        <v>31.3333</v>
      </c>
      <c r="G950" s="208" t="n">
        <v>305</v>
      </c>
      <c r="H950" s="208" t="inlineStr">
        <is>
          <t>No separate deliverable explicitly named</t>
        </is>
      </c>
    </row>
    <row r="951">
      <c r="A951" s="199" t="inlineStr">
        <is>
          <t>RTM-127</t>
        </is>
      </c>
      <c r="B951" s="223" t="inlineStr">
        <is>
          <t>L2 Detailed Design</t>
        </is>
      </c>
      <c r="C951" s="199" t="n">
        <v>3</v>
      </c>
      <c r="D951" s="199" t="inlineStr">
        <is>
          <t>T2 Secondary</t>
        </is>
      </c>
      <c r="E951" s="199" t="inlineStr">
        <is>
          <t>Subsystems</t>
        </is>
      </c>
      <c r="F951" s="199" t="n">
        <v>31.3333</v>
      </c>
      <c r="G951" s="199" t="n">
        <v>305</v>
      </c>
      <c r="H951" s="199" t="inlineStr">
        <is>
          <t>No separate deliverable explicitly named</t>
        </is>
      </c>
    </row>
    <row r="952">
      <c r="A952" s="208" t="inlineStr">
        <is>
          <t>RTM-133</t>
        </is>
      </c>
      <c r="B952" s="222" t="inlineStr">
        <is>
          <t>L1 Conceptual Design</t>
        </is>
      </c>
      <c r="C952" s="208" t="n">
        <v>2</v>
      </c>
      <c r="D952" s="208" t="inlineStr">
        <is>
          <t>T2 Secondary</t>
        </is>
      </c>
      <c r="E952" s="208" t="inlineStr">
        <is>
          <t>Subsystems</t>
        </is>
      </c>
      <c r="F952" s="208" t="n">
        <v>31.3333</v>
      </c>
      <c r="G952" s="208" t="n">
        <v>306</v>
      </c>
      <c r="H952" s="208" t="inlineStr">
        <is>
          <t>No separate deliverable explicitly named</t>
        </is>
      </c>
    </row>
    <row r="953">
      <c r="A953" s="199" t="inlineStr">
        <is>
          <t>RTM-133</t>
        </is>
      </c>
      <c r="B953" s="223" t="inlineStr">
        <is>
          <t>L2 Detailed Design</t>
        </is>
      </c>
      <c r="C953" s="199" t="n">
        <v>3</v>
      </c>
      <c r="D953" s="199" t="inlineStr">
        <is>
          <t>T2 Secondary</t>
        </is>
      </c>
      <c r="E953" s="199" t="inlineStr">
        <is>
          <t>Subsystems</t>
        </is>
      </c>
      <c r="F953" s="199" t="n">
        <v>31.3333</v>
      </c>
      <c r="G953" s="199" t="n">
        <v>306</v>
      </c>
      <c r="H953" s="199" t="inlineStr">
        <is>
          <t>No separate deliverable explicitly named</t>
        </is>
      </c>
    </row>
    <row r="954">
      <c r="A954" s="208" t="inlineStr">
        <is>
          <t>RTM-164</t>
        </is>
      </c>
      <c r="B954" s="222" t="inlineStr">
        <is>
          <t>L1 Conceptual Design</t>
        </is>
      </c>
      <c r="C954" s="208" t="n">
        <v>2</v>
      </c>
      <c r="D954" s="208" t="inlineStr">
        <is>
          <t>T2 Secondary</t>
        </is>
      </c>
      <c r="E954" s="208" t="inlineStr">
        <is>
          <t>Subsystems</t>
        </is>
      </c>
      <c r="F954" s="208" t="n">
        <v>31.3333</v>
      </c>
      <c r="G954" s="208" t="n">
        <v>307</v>
      </c>
      <c r="H954" s="208" t="inlineStr">
        <is>
          <t>No separate deliverable explicitly named</t>
        </is>
      </c>
    </row>
    <row r="955">
      <c r="A955" s="199" t="inlineStr">
        <is>
          <t>RTM-164</t>
        </is>
      </c>
      <c r="B955" s="223" t="inlineStr">
        <is>
          <t>L2 Detailed Design</t>
        </is>
      </c>
      <c r="C955" s="199" t="n">
        <v>3</v>
      </c>
      <c r="D955" s="199" t="inlineStr">
        <is>
          <t>T2 Secondary</t>
        </is>
      </c>
      <c r="E955" s="199" t="inlineStr">
        <is>
          <t>Subsystems</t>
        </is>
      </c>
      <c r="F955" s="199" t="n">
        <v>31.3333</v>
      </c>
      <c r="G955" s="199" t="n">
        <v>307</v>
      </c>
      <c r="H955" s="199" t="inlineStr">
        <is>
          <t>No separate deliverable explicitly named</t>
        </is>
      </c>
    </row>
    <row r="956">
      <c r="A956" s="208" t="inlineStr">
        <is>
          <t>RTM-173</t>
        </is>
      </c>
      <c r="B956" s="222" t="inlineStr">
        <is>
          <t>L1 Conceptual Design</t>
        </is>
      </c>
      <c r="C956" s="208" t="n">
        <v>2</v>
      </c>
      <c r="D956" s="208" t="inlineStr">
        <is>
          <t>T2 Secondary</t>
        </is>
      </c>
      <c r="E956" s="208" t="inlineStr">
        <is>
          <t>Subsystems</t>
        </is>
      </c>
      <c r="F956" s="208" t="n">
        <v>31.3333</v>
      </c>
      <c r="G956" s="208" t="n">
        <v>308</v>
      </c>
      <c r="H956" s="208" t="inlineStr">
        <is>
          <t>No separate deliverable explicitly named</t>
        </is>
      </c>
    </row>
    <row r="957">
      <c r="A957" s="199" t="inlineStr">
        <is>
          <t>RTM-173</t>
        </is>
      </c>
      <c r="B957" s="223" t="inlineStr">
        <is>
          <t>L2 Detailed Design</t>
        </is>
      </c>
      <c r="C957" s="199" t="n">
        <v>3</v>
      </c>
      <c r="D957" s="199" t="inlineStr">
        <is>
          <t>T2 Secondary</t>
        </is>
      </c>
      <c r="E957" s="199" t="inlineStr">
        <is>
          <t>Subsystems</t>
        </is>
      </c>
      <c r="F957" s="199" t="n">
        <v>31.3333</v>
      </c>
      <c r="G957" s="199" t="n">
        <v>308</v>
      </c>
      <c r="H957" s="199" t="inlineStr">
        <is>
          <t>No separate deliverable explicitly named</t>
        </is>
      </c>
    </row>
    <row r="958">
      <c r="A958" s="208" t="inlineStr">
        <is>
          <t>RTM-178</t>
        </is>
      </c>
      <c r="B958" s="222" t="inlineStr">
        <is>
          <t>L1 Conceptual Design</t>
        </is>
      </c>
      <c r="C958" s="208" t="n">
        <v>2</v>
      </c>
      <c r="D958" s="208" t="inlineStr">
        <is>
          <t>T2 Secondary</t>
        </is>
      </c>
      <c r="E958" s="208" t="inlineStr">
        <is>
          <t>Subsystems</t>
        </is>
      </c>
      <c r="F958" s="208" t="n">
        <v>31.3333</v>
      </c>
      <c r="G958" s="208" t="n">
        <v>309</v>
      </c>
      <c r="H958" s="208" t="inlineStr">
        <is>
          <t>No separate deliverable explicitly named</t>
        </is>
      </c>
    </row>
    <row r="959">
      <c r="A959" s="199" t="inlineStr">
        <is>
          <t>RTM-178</t>
        </is>
      </c>
      <c r="B959" s="223" t="inlineStr">
        <is>
          <t>L2 Detailed Design</t>
        </is>
      </c>
      <c r="C959" s="199" t="n">
        <v>3</v>
      </c>
      <c r="D959" s="199" t="inlineStr">
        <is>
          <t>T2 Secondary</t>
        </is>
      </c>
      <c r="E959" s="199" t="inlineStr">
        <is>
          <t>Subsystems</t>
        </is>
      </c>
      <c r="F959" s="199" t="n">
        <v>31.3333</v>
      </c>
      <c r="G959" s="199" t="n">
        <v>309</v>
      </c>
      <c r="H959" s="199" t="inlineStr">
        <is>
          <t>No separate deliverable explicitly named</t>
        </is>
      </c>
    </row>
    <row r="960">
      <c r="A960" s="208" t="inlineStr">
        <is>
          <t>RTM-211</t>
        </is>
      </c>
      <c r="B960" s="222" t="inlineStr">
        <is>
          <t>L1 Conceptual Design</t>
        </is>
      </c>
      <c r="C960" s="208" t="n">
        <v>2</v>
      </c>
      <c r="D960" s="208" t="inlineStr">
        <is>
          <t>T2 Secondary</t>
        </is>
      </c>
      <c r="E960" s="208" t="inlineStr">
        <is>
          <t>Subsystems</t>
        </is>
      </c>
      <c r="F960" s="208" t="n">
        <v>31.3333</v>
      </c>
      <c r="G960" s="208" t="n">
        <v>310</v>
      </c>
      <c r="H960" s="208" t="inlineStr">
        <is>
          <t>No separate deliverable explicitly named</t>
        </is>
      </c>
    </row>
    <row r="961">
      <c r="A961" s="199" t="inlineStr">
        <is>
          <t>RTM-211</t>
        </is>
      </c>
      <c r="B961" s="223" t="inlineStr">
        <is>
          <t>L2 Detailed Design</t>
        </is>
      </c>
      <c r="C961" s="199" t="n">
        <v>3</v>
      </c>
      <c r="D961" s="199" t="inlineStr">
        <is>
          <t>T2 Secondary</t>
        </is>
      </c>
      <c r="E961" s="199" t="inlineStr">
        <is>
          <t>Subsystems</t>
        </is>
      </c>
      <c r="F961" s="199" t="n">
        <v>31.3333</v>
      </c>
      <c r="G961" s="199" t="n">
        <v>310</v>
      </c>
      <c r="H961" s="199" t="inlineStr">
        <is>
          <t>No separate deliverable explicitly named</t>
        </is>
      </c>
    </row>
    <row r="962">
      <c r="A962" s="208" t="inlineStr">
        <is>
          <t>RTM-308</t>
        </is>
      </c>
      <c r="B962" s="222" t="inlineStr">
        <is>
          <t>L1 Conceptual Design</t>
        </is>
      </c>
      <c r="C962" s="208" t="n">
        <v>2</v>
      </c>
      <c r="D962" s="208" t="inlineStr">
        <is>
          <t>T2 Secondary</t>
        </is>
      </c>
      <c r="E962" s="208" t="inlineStr">
        <is>
          <t>Control &amp; Interlock</t>
        </is>
      </c>
      <c r="F962" s="208" t="n">
        <v>31.3333</v>
      </c>
      <c r="G962" s="208" t="n">
        <v>311</v>
      </c>
      <c r="H962" s="208" t="inlineStr">
        <is>
          <t>No separate deliverable explicitly named</t>
        </is>
      </c>
    </row>
    <row r="963">
      <c r="A963" s="199" t="inlineStr">
        <is>
          <t>RTM-308</t>
        </is>
      </c>
      <c r="B963" s="223" t="inlineStr">
        <is>
          <t>L2 Detailed Design</t>
        </is>
      </c>
      <c r="C963" s="199" t="n">
        <v>3</v>
      </c>
      <c r="D963" s="199" t="inlineStr">
        <is>
          <t>T2 Secondary</t>
        </is>
      </c>
      <c r="E963" s="199" t="inlineStr">
        <is>
          <t>Control &amp; Interlock</t>
        </is>
      </c>
      <c r="F963" s="199" t="n">
        <v>31.3333</v>
      </c>
      <c r="G963" s="199" t="n">
        <v>311</v>
      </c>
      <c r="H963" s="199" t="inlineStr">
        <is>
          <t>No separate deliverable explicitly named</t>
        </is>
      </c>
    </row>
    <row r="964">
      <c r="A964" s="208" t="inlineStr">
        <is>
          <t>RTM-338</t>
        </is>
      </c>
      <c r="B964" s="222" t="inlineStr">
        <is>
          <t>L1 Conceptual Design</t>
        </is>
      </c>
      <c r="C964" s="208" t="n">
        <v>2</v>
      </c>
      <c r="D964" s="208" t="inlineStr">
        <is>
          <t>T2 Secondary</t>
        </is>
      </c>
      <c r="E964" s="208" t="inlineStr">
        <is>
          <t>Control &amp; Interlock</t>
        </is>
      </c>
      <c r="F964" s="208" t="n">
        <v>31.3333</v>
      </c>
      <c r="G964" s="208" t="n">
        <v>312</v>
      </c>
      <c r="H964" s="208" t="inlineStr">
        <is>
          <t>No separate deliverable explicitly named</t>
        </is>
      </c>
    </row>
    <row r="965">
      <c r="A965" s="199" t="inlineStr">
        <is>
          <t>RTM-338</t>
        </is>
      </c>
      <c r="B965" s="223" t="inlineStr">
        <is>
          <t>L2 Detailed Design</t>
        </is>
      </c>
      <c r="C965" s="199" t="n">
        <v>3</v>
      </c>
      <c r="D965" s="199" t="inlineStr">
        <is>
          <t>T2 Secondary</t>
        </is>
      </c>
      <c r="E965" s="199" t="inlineStr">
        <is>
          <t>Control &amp; Interlock</t>
        </is>
      </c>
      <c r="F965" s="199" t="n">
        <v>31.3333</v>
      </c>
      <c r="G965" s="199" t="n">
        <v>312</v>
      </c>
      <c r="H965" s="199" t="inlineStr">
        <is>
          <t>No separate deliverable explicitly named</t>
        </is>
      </c>
    </row>
    <row r="966">
      <c r="A966" s="208" t="inlineStr">
        <is>
          <t>RTM-343</t>
        </is>
      </c>
      <c r="B966" s="222" t="inlineStr">
        <is>
          <t>L1 Conceptual Design</t>
        </is>
      </c>
      <c r="C966" s="208" t="n">
        <v>2</v>
      </c>
      <c r="D966" s="208" t="inlineStr">
        <is>
          <t>T2 Secondary</t>
        </is>
      </c>
      <c r="E966" s="208" t="inlineStr">
        <is>
          <t>Control &amp; Interlock</t>
        </is>
      </c>
      <c r="F966" s="208" t="n">
        <v>31.3333</v>
      </c>
      <c r="G966" s="208" t="n">
        <v>313</v>
      </c>
      <c r="H966" s="208" t="inlineStr">
        <is>
          <t>No separate deliverable explicitly named</t>
        </is>
      </c>
    </row>
    <row r="967">
      <c r="A967" s="199" t="inlineStr">
        <is>
          <t>RTM-343</t>
        </is>
      </c>
      <c r="B967" s="223" t="inlineStr">
        <is>
          <t>L2 Detailed Design</t>
        </is>
      </c>
      <c r="C967" s="199" t="n">
        <v>3</v>
      </c>
      <c r="D967" s="199" t="inlineStr">
        <is>
          <t>T2 Secondary</t>
        </is>
      </c>
      <c r="E967" s="199" t="inlineStr">
        <is>
          <t>Control &amp; Interlock</t>
        </is>
      </c>
      <c r="F967" s="199" t="n">
        <v>31.3333</v>
      </c>
      <c r="G967" s="199" t="n">
        <v>313</v>
      </c>
      <c r="H967" s="199" t="inlineStr">
        <is>
          <t>No separate deliverable explicitly named</t>
        </is>
      </c>
    </row>
    <row r="968">
      <c r="A968" s="208" t="inlineStr">
        <is>
          <t>RTM-056</t>
        </is>
      </c>
      <c r="B968" s="222" t="inlineStr">
        <is>
          <t>L1 Conceptual Design</t>
        </is>
      </c>
      <c r="C968" s="208" t="n">
        <v>2</v>
      </c>
      <c r="D968" s="208" t="inlineStr">
        <is>
          <t>T2 Secondary</t>
        </is>
      </c>
      <c r="E968" s="208" t="inlineStr">
        <is>
          <t>Global Design Criteria</t>
        </is>
      </c>
      <c r="F968" s="208" t="n">
        <v>31</v>
      </c>
      <c r="G968" s="208" t="n">
        <v>314</v>
      </c>
      <c r="H968" s="208" t="inlineStr">
        <is>
          <t>No separate deliverable explicitly named</t>
        </is>
      </c>
    </row>
    <row r="969">
      <c r="A969" s="199" t="inlineStr">
        <is>
          <t>RTM-056</t>
        </is>
      </c>
      <c r="B969" s="223" t="inlineStr">
        <is>
          <t>L2 Detailed Design</t>
        </is>
      </c>
      <c r="C969" s="199" t="n">
        <v>3</v>
      </c>
      <c r="D969" s="199" t="inlineStr">
        <is>
          <t>T2 Secondary</t>
        </is>
      </c>
      <c r="E969" s="199" t="inlineStr">
        <is>
          <t>Global Design Criteria</t>
        </is>
      </c>
      <c r="F969" s="199" t="n">
        <v>31</v>
      </c>
      <c r="G969" s="199" t="n">
        <v>314</v>
      </c>
      <c r="H969" s="199" t="inlineStr">
        <is>
          <t>No separate deliverable explicitly named</t>
        </is>
      </c>
    </row>
    <row r="970">
      <c r="A970" s="208" t="inlineStr">
        <is>
          <t>RTM-102</t>
        </is>
      </c>
      <c r="B970" s="222" t="inlineStr">
        <is>
          <t>L1 Conceptual Design</t>
        </is>
      </c>
      <c r="C970" s="208" t="n">
        <v>2</v>
      </c>
      <c r="D970" s="208" t="inlineStr">
        <is>
          <t>T2 Secondary</t>
        </is>
      </c>
      <c r="E970" s="208" t="inlineStr">
        <is>
          <t>Subsystems</t>
        </is>
      </c>
      <c r="F970" s="208" t="n">
        <v>30.6667</v>
      </c>
      <c r="G970" s="208" t="n">
        <v>315</v>
      </c>
      <c r="H970" s="208" t="inlineStr">
        <is>
          <t>No separate deliverable explicitly named</t>
        </is>
      </c>
    </row>
    <row r="971">
      <c r="A971" s="199" t="inlineStr">
        <is>
          <t>RTM-102</t>
        </is>
      </c>
      <c r="B971" s="223" t="inlineStr">
        <is>
          <t>L2 Detailed Design</t>
        </is>
      </c>
      <c r="C971" s="199" t="n">
        <v>3</v>
      </c>
      <c r="D971" s="199" t="inlineStr">
        <is>
          <t>T2 Secondary</t>
        </is>
      </c>
      <c r="E971" s="199" t="inlineStr">
        <is>
          <t>Subsystems</t>
        </is>
      </c>
      <c r="F971" s="199" t="n">
        <v>30.6667</v>
      </c>
      <c r="G971" s="199" t="n">
        <v>315</v>
      </c>
      <c r="H971" s="199" t="inlineStr">
        <is>
          <t>No separate deliverable explicitly named</t>
        </is>
      </c>
    </row>
    <row r="972">
      <c r="A972" s="208" t="inlineStr">
        <is>
          <t>RTM-203</t>
        </is>
      </c>
      <c r="B972" s="222" t="inlineStr">
        <is>
          <t>L1 Conceptual Design</t>
        </is>
      </c>
      <c r="C972" s="208" t="n">
        <v>2</v>
      </c>
      <c r="D972" s="208" t="inlineStr">
        <is>
          <t>T2 Secondary</t>
        </is>
      </c>
      <c r="E972" s="208" t="inlineStr">
        <is>
          <t>Subsystems</t>
        </is>
      </c>
      <c r="F972" s="208" t="n">
        <v>30.6667</v>
      </c>
      <c r="G972" s="208" t="n">
        <v>316</v>
      </c>
      <c r="H972" s="208" t="inlineStr">
        <is>
          <t>No separate deliverable explicitly named</t>
        </is>
      </c>
    </row>
    <row r="973">
      <c r="A973" s="199" t="inlineStr">
        <is>
          <t>RTM-203</t>
        </is>
      </c>
      <c r="B973" s="223" t="inlineStr">
        <is>
          <t>L2 Detailed Design</t>
        </is>
      </c>
      <c r="C973" s="199" t="n">
        <v>3</v>
      </c>
      <c r="D973" s="199" t="inlineStr">
        <is>
          <t>T2 Secondary</t>
        </is>
      </c>
      <c r="E973" s="199" t="inlineStr">
        <is>
          <t>Subsystems</t>
        </is>
      </c>
      <c r="F973" s="199" t="n">
        <v>30.6667</v>
      </c>
      <c r="G973" s="199" t="n">
        <v>316</v>
      </c>
      <c r="H973" s="199" t="inlineStr">
        <is>
          <t>No separate deliverable explicitly named</t>
        </is>
      </c>
    </row>
    <row r="974">
      <c r="A974" s="208" t="inlineStr">
        <is>
          <t>RTM-212</t>
        </is>
      </c>
      <c r="B974" s="222" t="inlineStr">
        <is>
          <t>L1 Conceptual Design</t>
        </is>
      </c>
      <c r="C974" s="208" t="n">
        <v>2</v>
      </c>
      <c r="D974" s="208" t="inlineStr">
        <is>
          <t>T2 Secondary</t>
        </is>
      </c>
      <c r="E974" s="208" t="inlineStr">
        <is>
          <t>Subsystems</t>
        </is>
      </c>
      <c r="F974" s="208" t="n">
        <v>30.6667</v>
      </c>
      <c r="G974" s="208" t="n">
        <v>317</v>
      </c>
      <c r="H974" s="208" t="inlineStr">
        <is>
          <t>No separate deliverable explicitly named</t>
        </is>
      </c>
    </row>
    <row r="975">
      <c r="A975" s="199" t="inlineStr">
        <is>
          <t>RTM-212</t>
        </is>
      </c>
      <c r="B975" s="223" t="inlineStr">
        <is>
          <t>L2 Detailed Design</t>
        </is>
      </c>
      <c r="C975" s="199" t="n">
        <v>3</v>
      </c>
      <c r="D975" s="199" t="inlineStr">
        <is>
          <t>T2 Secondary</t>
        </is>
      </c>
      <c r="E975" s="199" t="inlineStr">
        <is>
          <t>Subsystems</t>
        </is>
      </c>
      <c r="F975" s="199" t="n">
        <v>30.6667</v>
      </c>
      <c r="G975" s="199" t="n">
        <v>317</v>
      </c>
      <c r="H975" s="199" t="inlineStr">
        <is>
          <t>No separate deliverable explicitly named</t>
        </is>
      </c>
    </row>
    <row r="976">
      <c r="A976" s="208" t="inlineStr">
        <is>
          <t>RTM-215</t>
        </is>
      </c>
      <c r="B976" s="222" t="inlineStr">
        <is>
          <t>L1 Conceptual Design</t>
        </is>
      </c>
      <c r="C976" s="208" t="n">
        <v>2</v>
      </c>
      <c r="D976" s="208" t="inlineStr">
        <is>
          <t>T2 Secondary</t>
        </is>
      </c>
      <c r="E976" s="208" t="inlineStr">
        <is>
          <t>Subsystems</t>
        </is>
      </c>
      <c r="F976" s="208" t="n">
        <v>30.6667</v>
      </c>
      <c r="G976" s="208" t="n">
        <v>318</v>
      </c>
      <c r="H976" s="208" t="inlineStr">
        <is>
          <t>No separate deliverable explicitly named</t>
        </is>
      </c>
    </row>
    <row r="977">
      <c r="A977" s="199" t="inlineStr">
        <is>
          <t>RTM-215</t>
        </is>
      </c>
      <c r="B977" s="223" t="inlineStr">
        <is>
          <t>L2 Detailed Design</t>
        </is>
      </c>
      <c r="C977" s="199" t="n">
        <v>3</v>
      </c>
      <c r="D977" s="199" t="inlineStr">
        <is>
          <t>T2 Secondary</t>
        </is>
      </c>
      <c r="E977" s="199" t="inlineStr">
        <is>
          <t>Subsystems</t>
        </is>
      </c>
      <c r="F977" s="199" t="n">
        <v>30.6667</v>
      </c>
      <c r="G977" s="199" t="n">
        <v>318</v>
      </c>
      <c r="H977" s="199" t="inlineStr">
        <is>
          <t>No separate deliverable explicitly named</t>
        </is>
      </c>
    </row>
    <row r="978">
      <c r="A978" s="208" t="inlineStr">
        <is>
          <t>RTM-219</t>
        </is>
      </c>
      <c r="B978" s="222" t="inlineStr">
        <is>
          <t>L1 Conceptual Design</t>
        </is>
      </c>
      <c r="C978" s="208" t="n">
        <v>2</v>
      </c>
      <c r="D978" s="208" t="inlineStr">
        <is>
          <t>T2 Secondary</t>
        </is>
      </c>
      <c r="E978" s="208" t="inlineStr">
        <is>
          <t>Subsystems</t>
        </is>
      </c>
      <c r="F978" s="208" t="n">
        <v>30.6667</v>
      </c>
      <c r="G978" s="208" t="n">
        <v>319</v>
      </c>
      <c r="H978" s="208" t="inlineStr">
        <is>
          <t>No separate deliverable explicitly named</t>
        </is>
      </c>
    </row>
    <row r="979">
      <c r="A979" s="199" t="inlineStr">
        <is>
          <t>RTM-219</t>
        </is>
      </c>
      <c r="B979" s="223" t="inlineStr">
        <is>
          <t>L2 Detailed Design</t>
        </is>
      </c>
      <c r="C979" s="199" t="n">
        <v>3</v>
      </c>
      <c r="D979" s="199" t="inlineStr">
        <is>
          <t>T2 Secondary</t>
        </is>
      </c>
      <c r="E979" s="199" t="inlineStr">
        <is>
          <t>Subsystems</t>
        </is>
      </c>
      <c r="F979" s="199" t="n">
        <v>30.6667</v>
      </c>
      <c r="G979" s="199" t="n">
        <v>319</v>
      </c>
      <c r="H979" s="199" t="inlineStr">
        <is>
          <t>No separate deliverable explicitly named</t>
        </is>
      </c>
    </row>
    <row r="980">
      <c r="A980" s="208" t="inlineStr">
        <is>
          <t>RTM-221</t>
        </is>
      </c>
      <c r="B980" s="222" t="inlineStr">
        <is>
          <t>L1 Conceptual Design</t>
        </is>
      </c>
      <c r="C980" s="208" t="n">
        <v>2</v>
      </c>
      <c r="D980" s="208" t="inlineStr">
        <is>
          <t>T2 Secondary</t>
        </is>
      </c>
      <c r="E980" s="208" t="inlineStr">
        <is>
          <t>Subsystems</t>
        </is>
      </c>
      <c r="F980" s="208" t="n">
        <v>30.6667</v>
      </c>
      <c r="G980" s="208" t="n">
        <v>320</v>
      </c>
      <c r="H980" s="208" t="inlineStr">
        <is>
          <t>Procedure / work instruction</t>
        </is>
      </c>
    </row>
    <row r="981">
      <c r="A981" s="199" t="inlineStr">
        <is>
          <t>RTM-221</t>
        </is>
      </c>
      <c r="B981" s="223" t="inlineStr">
        <is>
          <t>L2 Detailed Design</t>
        </is>
      </c>
      <c r="C981" s="199" t="n">
        <v>3</v>
      </c>
      <c r="D981" s="199" t="inlineStr">
        <is>
          <t>T2 Secondary</t>
        </is>
      </c>
      <c r="E981" s="199" t="inlineStr">
        <is>
          <t>Subsystems</t>
        </is>
      </c>
      <c r="F981" s="199" t="n">
        <v>30.6667</v>
      </c>
      <c r="G981" s="199" t="n">
        <v>320</v>
      </c>
      <c r="H981" s="199" t="inlineStr">
        <is>
          <t>Procedure / work instruction</t>
        </is>
      </c>
    </row>
    <row r="982">
      <c r="A982" s="208" t="inlineStr">
        <is>
          <t>RTM-307</t>
        </is>
      </c>
      <c r="B982" s="222" t="inlineStr">
        <is>
          <t>L1 Conceptual Design</t>
        </is>
      </c>
      <c r="C982" s="208" t="n">
        <v>2</v>
      </c>
      <c r="D982" s="208" t="inlineStr">
        <is>
          <t>T2 Secondary</t>
        </is>
      </c>
      <c r="E982" s="208" t="inlineStr">
        <is>
          <t>Control &amp; Interlock</t>
        </is>
      </c>
      <c r="F982" s="208" t="n">
        <v>30.6667</v>
      </c>
      <c r="G982" s="208" t="n">
        <v>321</v>
      </c>
      <c r="H982" s="208" t="inlineStr">
        <is>
          <t>No separate deliverable explicitly named</t>
        </is>
      </c>
    </row>
    <row r="983">
      <c r="A983" s="199" t="inlineStr">
        <is>
          <t>RTM-307</t>
        </is>
      </c>
      <c r="B983" s="223" t="inlineStr">
        <is>
          <t>L2 Detailed Design</t>
        </is>
      </c>
      <c r="C983" s="199" t="n">
        <v>3</v>
      </c>
      <c r="D983" s="199" t="inlineStr">
        <is>
          <t>T2 Secondary</t>
        </is>
      </c>
      <c r="E983" s="199" t="inlineStr">
        <is>
          <t>Control &amp; Interlock</t>
        </is>
      </c>
      <c r="F983" s="199" t="n">
        <v>30.6667</v>
      </c>
      <c r="G983" s="199" t="n">
        <v>321</v>
      </c>
      <c r="H983" s="199" t="inlineStr">
        <is>
          <t>No separate deliverable explicitly named</t>
        </is>
      </c>
    </row>
    <row r="984">
      <c r="A984" s="208" t="inlineStr">
        <is>
          <t>RTM-336</t>
        </is>
      </c>
      <c r="B984" s="222" t="inlineStr">
        <is>
          <t>L1 Conceptual Design</t>
        </is>
      </c>
      <c r="C984" s="208" t="n">
        <v>2</v>
      </c>
      <c r="D984" s="208" t="inlineStr">
        <is>
          <t>T2 Secondary</t>
        </is>
      </c>
      <c r="E984" s="208" t="inlineStr">
        <is>
          <t>Control &amp; Interlock</t>
        </is>
      </c>
      <c r="F984" s="208" t="n">
        <v>30.6667</v>
      </c>
      <c r="G984" s="208" t="n">
        <v>322</v>
      </c>
      <c r="H984" s="208" t="inlineStr">
        <is>
          <t>No separate deliverable explicitly named</t>
        </is>
      </c>
    </row>
    <row r="985">
      <c r="A985" s="199" t="inlineStr">
        <is>
          <t>RTM-336</t>
        </is>
      </c>
      <c r="B985" s="223" t="inlineStr">
        <is>
          <t>L2 Detailed Design</t>
        </is>
      </c>
      <c r="C985" s="199" t="n">
        <v>3</v>
      </c>
      <c r="D985" s="199" t="inlineStr">
        <is>
          <t>T2 Secondary</t>
        </is>
      </c>
      <c r="E985" s="199" t="inlineStr">
        <is>
          <t>Control &amp; Interlock</t>
        </is>
      </c>
      <c r="F985" s="199" t="n">
        <v>30.6667</v>
      </c>
      <c r="G985" s="199" t="n">
        <v>322</v>
      </c>
      <c r="H985" s="199" t="inlineStr">
        <is>
          <t>No separate deliverable explicitly named</t>
        </is>
      </c>
    </row>
    <row r="986">
      <c r="A986" s="208" t="inlineStr">
        <is>
          <t>RTM-489</t>
        </is>
      </c>
      <c r="B986" s="222" t="inlineStr">
        <is>
          <t>L1 Conceptual Design</t>
        </is>
      </c>
      <c r="C986" s="208" t="n">
        <v>2</v>
      </c>
      <c r="D986" s="208" t="inlineStr">
        <is>
          <t>T2 Secondary</t>
        </is>
      </c>
      <c r="E986" s="208" t="inlineStr">
        <is>
          <t>Training</t>
        </is>
      </c>
      <c r="F986" s="208" t="n">
        <v>30.6667</v>
      </c>
      <c r="G986" s="208" t="n">
        <v>323</v>
      </c>
      <c r="H986" s="208" t="inlineStr">
        <is>
          <t>No separate deliverable explicitly named</t>
        </is>
      </c>
    </row>
    <row r="987">
      <c r="A987" s="199" t="inlineStr">
        <is>
          <t>RTM-489</t>
        </is>
      </c>
      <c r="B987" s="223" t="inlineStr">
        <is>
          <t>L2 Detailed Design</t>
        </is>
      </c>
      <c r="C987" s="199" t="n">
        <v>3</v>
      </c>
      <c r="D987" s="199" t="inlineStr">
        <is>
          <t>T2 Secondary</t>
        </is>
      </c>
      <c r="E987" s="199" t="inlineStr">
        <is>
          <t>Training</t>
        </is>
      </c>
      <c r="F987" s="199" t="n">
        <v>30.6667</v>
      </c>
      <c r="G987" s="199" t="n">
        <v>323</v>
      </c>
      <c r="H987" s="199" t="inlineStr">
        <is>
          <t>No separate deliverable explicitly named</t>
        </is>
      </c>
    </row>
    <row r="988">
      <c r="A988" s="208" t="inlineStr">
        <is>
          <t>RTM-058</t>
        </is>
      </c>
      <c r="B988" s="222" t="inlineStr">
        <is>
          <t>L1 Conceptual Design</t>
        </is>
      </c>
      <c r="C988" s="208" t="n">
        <v>2</v>
      </c>
      <c r="D988" s="208" t="inlineStr">
        <is>
          <t>T2 Secondary</t>
        </is>
      </c>
      <c r="E988" s="208" t="inlineStr">
        <is>
          <t>Global Design Criteria</t>
        </is>
      </c>
      <c r="F988" s="208" t="n">
        <v>30</v>
      </c>
      <c r="G988" s="208" t="n">
        <v>324</v>
      </c>
      <c r="H988" s="208" t="inlineStr">
        <is>
          <t>Engineering File; Availability &amp; Reliability Assessment</t>
        </is>
      </c>
    </row>
    <row r="989">
      <c r="A989" s="199" t="inlineStr">
        <is>
          <t>RTM-058</t>
        </is>
      </c>
      <c r="B989" s="223" t="inlineStr">
        <is>
          <t>L2 Detailed Design</t>
        </is>
      </c>
      <c r="C989" s="199" t="n">
        <v>3</v>
      </c>
      <c r="D989" s="199" t="inlineStr">
        <is>
          <t>T2 Secondary</t>
        </is>
      </c>
      <c r="E989" s="199" t="inlineStr">
        <is>
          <t>Global Design Criteria</t>
        </is>
      </c>
      <c r="F989" s="199" t="n">
        <v>30</v>
      </c>
      <c r="G989" s="199" t="n">
        <v>324</v>
      </c>
      <c r="H989" s="199" t="inlineStr">
        <is>
          <t>Engineering File; Availability &amp; Reliability Assessment</t>
        </is>
      </c>
    </row>
    <row r="990">
      <c r="A990" s="208" t="inlineStr">
        <is>
          <t>RTM-060</t>
        </is>
      </c>
      <c r="B990" s="222" t="inlineStr">
        <is>
          <t>L1 Conceptual Design</t>
        </is>
      </c>
      <c r="C990" s="208" t="n">
        <v>2</v>
      </c>
      <c r="D990" s="208" t="inlineStr">
        <is>
          <t>T2 Secondary</t>
        </is>
      </c>
      <c r="E990" s="208" t="inlineStr">
        <is>
          <t>Global Design Criteria</t>
        </is>
      </c>
      <c r="F990" s="208" t="n">
        <v>30</v>
      </c>
      <c r="G990" s="208" t="n">
        <v>325</v>
      </c>
      <c r="H990" s="208" t="inlineStr">
        <is>
          <t>Availability &amp; Reliability Assessment</t>
        </is>
      </c>
    </row>
    <row r="991">
      <c r="A991" s="199" t="inlineStr">
        <is>
          <t>RTM-060</t>
        </is>
      </c>
      <c r="B991" s="223" t="inlineStr">
        <is>
          <t>L2 Detailed Design</t>
        </is>
      </c>
      <c r="C991" s="199" t="n">
        <v>3</v>
      </c>
      <c r="D991" s="199" t="inlineStr">
        <is>
          <t>T2 Secondary</t>
        </is>
      </c>
      <c r="E991" s="199" t="inlineStr">
        <is>
          <t>Global Design Criteria</t>
        </is>
      </c>
      <c r="F991" s="199" t="n">
        <v>30</v>
      </c>
      <c r="G991" s="199" t="n">
        <v>325</v>
      </c>
      <c r="H991" s="199" t="inlineStr">
        <is>
          <t>Availability &amp; Reliability Assessment</t>
        </is>
      </c>
    </row>
    <row r="992">
      <c r="A992" s="208" t="inlineStr">
        <is>
          <t>RTM-575</t>
        </is>
      </c>
      <c r="B992" s="224" t="inlineStr">
        <is>
          <t>L3 Procurement &amp; Manufacturing / FAT</t>
        </is>
      </c>
      <c r="C992" s="208" t="n">
        <v>4</v>
      </c>
      <c r="D992" s="208" t="inlineStr">
        <is>
          <t>T2 Secondary</t>
        </is>
      </c>
      <c r="E992" s="208" t="inlineStr">
        <is>
          <t>Technical Documentation</t>
        </is>
      </c>
      <c r="F992" s="208" t="n">
        <v>30</v>
      </c>
      <c r="G992" s="208" t="n">
        <v>326</v>
      </c>
      <c r="H992" s="208" t="inlineStr">
        <is>
          <t>Manufacturing File; Procedure / work instruction; Drawing / diagram</t>
        </is>
      </c>
    </row>
    <row r="993">
      <c r="A993" s="199" t="inlineStr">
        <is>
          <t>RTM-575</t>
        </is>
      </c>
      <c r="B993" s="222" t="inlineStr">
        <is>
          <t>L1 Conceptual Design</t>
        </is>
      </c>
      <c r="C993" s="199" t="n">
        <v>2</v>
      </c>
      <c r="D993" s="199" t="inlineStr">
        <is>
          <t>T2 Secondary</t>
        </is>
      </c>
      <c r="E993" s="199" t="inlineStr">
        <is>
          <t>Technical Documentation</t>
        </is>
      </c>
      <c r="F993" s="199" t="n">
        <v>30</v>
      </c>
      <c r="G993" s="199" t="n">
        <v>326</v>
      </c>
      <c r="H993" s="199" t="inlineStr">
        <is>
          <t>Manufacturing File; Procedure / work instruction; Drawing / diagram</t>
        </is>
      </c>
    </row>
    <row r="994">
      <c r="A994" s="208" t="inlineStr">
        <is>
          <t>RTM-575</t>
        </is>
      </c>
      <c r="B994" s="223" t="inlineStr">
        <is>
          <t>L2 Detailed Design</t>
        </is>
      </c>
      <c r="C994" s="208" t="n">
        <v>3</v>
      </c>
      <c r="D994" s="208" t="inlineStr">
        <is>
          <t>T2 Secondary</t>
        </is>
      </c>
      <c r="E994" s="208" t="inlineStr">
        <is>
          <t>Technical Documentation</t>
        </is>
      </c>
      <c r="F994" s="208" t="n">
        <v>30</v>
      </c>
      <c r="G994" s="208" t="n">
        <v>326</v>
      </c>
      <c r="H994" s="208" t="inlineStr">
        <is>
          <t>Manufacturing File; Procedure / work instruction; Drawing / diagram</t>
        </is>
      </c>
    </row>
    <row r="995">
      <c r="A995" s="199" t="inlineStr">
        <is>
          <t>RTM-649</t>
        </is>
      </c>
      <c r="B995" s="221" t="inlineStr">
        <is>
          <t>L0 Tender / Offer</t>
        </is>
      </c>
      <c r="C995" s="199" t="n">
        <v>1</v>
      </c>
      <c r="D995" s="199" t="inlineStr">
        <is>
          <t>T2 Secondary</t>
        </is>
      </c>
      <c r="E995" s="199" t="inlineStr">
        <is>
          <t>Quality Assurance &amp; Control</t>
        </is>
      </c>
      <c r="F995" s="199" t="n">
        <v>30</v>
      </c>
      <c r="G995" s="199" t="n">
        <v>327</v>
      </c>
      <c r="H995" s="199" t="inlineStr">
        <is>
          <t>Quality Assurance Plan (QAP)</t>
        </is>
      </c>
    </row>
    <row r="996">
      <c r="A996" s="208" t="inlineStr">
        <is>
          <t>RTM-649</t>
        </is>
      </c>
      <c r="B996" s="222" t="inlineStr">
        <is>
          <t>L1 Conceptual Design</t>
        </is>
      </c>
      <c r="C996" s="208" t="n">
        <v>2</v>
      </c>
      <c r="D996" s="208" t="inlineStr">
        <is>
          <t>T2 Secondary</t>
        </is>
      </c>
      <c r="E996" s="208" t="inlineStr">
        <is>
          <t>Quality Assurance &amp; Control</t>
        </is>
      </c>
      <c r="F996" s="208" t="n">
        <v>30</v>
      </c>
      <c r="G996" s="208" t="n">
        <v>327</v>
      </c>
      <c r="H996" s="208" t="inlineStr">
        <is>
          <t>Quality Assurance Plan (QAP)</t>
        </is>
      </c>
    </row>
    <row r="997">
      <c r="A997" s="199" t="inlineStr">
        <is>
          <t>RTM-649</t>
        </is>
      </c>
      <c r="B997" s="223" t="inlineStr">
        <is>
          <t>L2 Detailed Design</t>
        </is>
      </c>
      <c r="C997" s="199" t="n">
        <v>3</v>
      </c>
      <c r="D997" s="199" t="inlineStr">
        <is>
          <t>T2 Secondary</t>
        </is>
      </c>
      <c r="E997" s="199" t="inlineStr">
        <is>
          <t>Quality Assurance &amp; Control</t>
        </is>
      </c>
      <c r="F997" s="199" t="n">
        <v>30</v>
      </c>
      <c r="G997" s="199" t="n">
        <v>327</v>
      </c>
      <c r="H997" s="199" t="inlineStr">
        <is>
          <t>Quality Assurance Plan (QAP)</t>
        </is>
      </c>
    </row>
    <row r="998">
      <c r="A998" s="208" t="inlineStr">
        <is>
          <t>RTM-649</t>
        </is>
      </c>
      <c r="B998" s="224" t="inlineStr">
        <is>
          <t>L3 Procurement &amp; Manufacturing / FAT</t>
        </is>
      </c>
      <c r="C998" s="208" t="n">
        <v>4</v>
      </c>
      <c r="D998" s="208" t="inlineStr">
        <is>
          <t>T2 Secondary</t>
        </is>
      </c>
      <c r="E998" s="208" t="inlineStr">
        <is>
          <t>Quality Assurance &amp; Control</t>
        </is>
      </c>
      <c r="F998" s="208" t="n">
        <v>30</v>
      </c>
      <c r="G998" s="208" t="n">
        <v>327</v>
      </c>
      <c r="H998" s="208" t="inlineStr">
        <is>
          <t>Quality Assurance Plan (QAP)</t>
        </is>
      </c>
    </row>
    <row r="999">
      <c r="A999" s="199" t="inlineStr">
        <is>
          <t>RTM-649</t>
        </is>
      </c>
      <c r="B999" s="220" t="inlineStr">
        <is>
          <t>L4 Installation</t>
        </is>
      </c>
      <c r="C999" s="199" t="n">
        <v>6</v>
      </c>
      <c r="D999" s="199" t="inlineStr">
        <is>
          <t>T2 Secondary</t>
        </is>
      </c>
      <c r="E999" s="199" t="inlineStr">
        <is>
          <t>Quality Assurance &amp; Control</t>
        </is>
      </c>
      <c r="F999" s="199" t="n">
        <v>30</v>
      </c>
      <c r="G999" s="199" t="n">
        <v>327</v>
      </c>
      <c r="H999" s="199" t="inlineStr">
        <is>
          <t>Quality Assurance Plan (QAP)</t>
        </is>
      </c>
    </row>
    <row r="1000">
      <c r="A1000" s="208" t="inlineStr">
        <is>
          <t>RTM-649</t>
        </is>
      </c>
      <c r="B1000" s="225" t="inlineStr">
        <is>
          <t>L5 Standalone Commissioning</t>
        </is>
      </c>
      <c r="C1000" s="208" t="n">
        <v>7</v>
      </c>
      <c r="D1000" s="208" t="inlineStr">
        <is>
          <t>T2 Secondary</t>
        </is>
      </c>
      <c r="E1000" s="208" t="inlineStr">
        <is>
          <t>Quality Assurance &amp; Control</t>
        </is>
      </c>
      <c r="F1000" s="208" t="n">
        <v>30</v>
      </c>
      <c r="G1000" s="208" t="n">
        <v>327</v>
      </c>
      <c r="H1000" s="208" t="inlineStr">
        <is>
          <t>Quality Assurance Plan (QAP)</t>
        </is>
      </c>
    </row>
    <row r="1001">
      <c r="A1001" s="199" t="inlineStr">
        <is>
          <t>RTM-649</t>
        </is>
      </c>
      <c r="B1001" s="226" t="inlineStr">
        <is>
          <t>L6 Site Acceptance Testing</t>
        </is>
      </c>
      <c r="C1001" s="199" t="n">
        <v>8</v>
      </c>
      <c r="D1001" s="199" t="inlineStr">
        <is>
          <t>T2 Secondary</t>
        </is>
      </c>
      <c r="E1001" s="199" t="inlineStr">
        <is>
          <t>Quality Assurance &amp; Control</t>
        </is>
      </c>
      <c r="F1001" s="199" t="n">
        <v>30</v>
      </c>
      <c r="G1001" s="199" t="n">
        <v>327</v>
      </c>
      <c r="H1001" s="199" t="inlineStr">
        <is>
          <t>Quality Assurance Plan (QAP)</t>
        </is>
      </c>
    </row>
    <row r="1002">
      <c r="A1002" s="208" t="inlineStr">
        <is>
          <t>RTM-653</t>
        </is>
      </c>
      <c r="B1002" s="221" t="inlineStr">
        <is>
          <t>L0 Tender / Offer</t>
        </is>
      </c>
      <c r="C1002" s="208" t="n">
        <v>1</v>
      </c>
      <c r="D1002" s="208" t="inlineStr">
        <is>
          <t>T2 Secondary</t>
        </is>
      </c>
      <c r="E1002" s="208" t="inlineStr">
        <is>
          <t>Quality Assurance &amp; Control</t>
        </is>
      </c>
      <c r="F1002" s="208" t="n">
        <v>30</v>
      </c>
      <c r="G1002" s="208" t="n">
        <v>328</v>
      </c>
      <c r="H1002" s="208" t="inlineStr">
        <is>
          <t>No separate deliverable explicitly named</t>
        </is>
      </c>
    </row>
    <row r="1003">
      <c r="A1003" s="199" t="inlineStr">
        <is>
          <t>RTM-653</t>
        </is>
      </c>
      <c r="B1003" s="222" t="inlineStr">
        <is>
          <t>L1 Conceptual Design</t>
        </is>
      </c>
      <c r="C1003" s="199" t="n">
        <v>2</v>
      </c>
      <c r="D1003" s="199" t="inlineStr">
        <is>
          <t>T2 Secondary</t>
        </is>
      </c>
      <c r="E1003" s="199" t="inlineStr">
        <is>
          <t>Quality Assurance &amp; Control</t>
        </is>
      </c>
      <c r="F1003" s="199" t="n">
        <v>30</v>
      </c>
      <c r="G1003" s="199" t="n">
        <v>328</v>
      </c>
      <c r="H1003" s="199" t="inlineStr">
        <is>
          <t>No separate deliverable explicitly named</t>
        </is>
      </c>
    </row>
    <row r="1004">
      <c r="A1004" s="208" t="inlineStr">
        <is>
          <t>RTM-653</t>
        </is>
      </c>
      <c r="B1004" s="223" t="inlineStr">
        <is>
          <t>L2 Detailed Design</t>
        </is>
      </c>
      <c r="C1004" s="208" t="n">
        <v>3</v>
      </c>
      <c r="D1004" s="208" t="inlineStr">
        <is>
          <t>T2 Secondary</t>
        </is>
      </c>
      <c r="E1004" s="208" t="inlineStr">
        <is>
          <t>Quality Assurance &amp; Control</t>
        </is>
      </c>
      <c r="F1004" s="208" t="n">
        <v>30</v>
      </c>
      <c r="G1004" s="208" t="n">
        <v>328</v>
      </c>
      <c r="H1004" s="208" t="inlineStr">
        <is>
          <t>No separate deliverable explicitly named</t>
        </is>
      </c>
    </row>
    <row r="1005">
      <c r="A1005" s="199" t="inlineStr">
        <is>
          <t>RTM-653</t>
        </is>
      </c>
      <c r="B1005" s="224" t="inlineStr">
        <is>
          <t>L3 Procurement &amp; Manufacturing / FAT</t>
        </is>
      </c>
      <c r="C1005" s="199" t="n">
        <v>4</v>
      </c>
      <c r="D1005" s="199" t="inlineStr">
        <is>
          <t>T2 Secondary</t>
        </is>
      </c>
      <c r="E1005" s="199" t="inlineStr">
        <is>
          <t>Quality Assurance &amp; Control</t>
        </is>
      </c>
      <c r="F1005" s="199" t="n">
        <v>30</v>
      </c>
      <c r="G1005" s="199" t="n">
        <v>328</v>
      </c>
      <c r="H1005" s="199" t="inlineStr">
        <is>
          <t>No separate deliverable explicitly named</t>
        </is>
      </c>
    </row>
    <row r="1006">
      <c r="A1006" s="208" t="inlineStr">
        <is>
          <t>RTM-653</t>
        </is>
      </c>
      <c r="B1006" s="220" t="inlineStr">
        <is>
          <t>L4 Installation</t>
        </is>
      </c>
      <c r="C1006" s="208" t="n">
        <v>6</v>
      </c>
      <c r="D1006" s="208" t="inlineStr">
        <is>
          <t>T2 Secondary</t>
        </is>
      </c>
      <c r="E1006" s="208" t="inlineStr">
        <is>
          <t>Quality Assurance &amp; Control</t>
        </is>
      </c>
      <c r="F1006" s="208" t="n">
        <v>30</v>
      </c>
      <c r="G1006" s="208" t="n">
        <v>328</v>
      </c>
      <c r="H1006" s="208" t="inlineStr">
        <is>
          <t>No separate deliverable explicitly named</t>
        </is>
      </c>
    </row>
    <row r="1007">
      <c r="A1007" s="199" t="inlineStr">
        <is>
          <t>RTM-653</t>
        </is>
      </c>
      <c r="B1007" s="225" t="inlineStr">
        <is>
          <t>L5 Standalone Commissioning</t>
        </is>
      </c>
      <c r="C1007" s="199" t="n">
        <v>7</v>
      </c>
      <c r="D1007" s="199" t="inlineStr">
        <is>
          <t>T2 Secondary</t>
        </is>
      </c>
      <c r="E1007" s="199" t="inlineStr">
        <is>
          <t>Quality Assurance &amp; Control</t>
        </is>
      </c>
      <c r="F1007" s="199" t="n">
        <v>30</v>
      </c>
      <c r="G1007" s="199" t="n">
        <v>328</v>
      </c>
      <c r="H1007" s="199" t="inlineStr">
        <is>
          <t>No separate deliverable explicitly named</t>
        </is>
      </c>
    </row>
    <row r="1008">
      <c r="A1008" s="208" t="inlineStr">
        <is>
          <t>RTM-653</t>
        </is>
      </c>
      <c r="B1008" s="226" t="inlineStr">
        <is>
          <t>L6 Site Acceptance Testing</t>
        </is>
      </c>
      <c r="C1008" s="208" t="n">
        <v>8</v>
      </c>
      <c r="D1008" s="208" t="inlineStr">
        <is>
          <t>T2 Secondary</t>
        </is>
      </c>
      <c r="E1008" s="208" t="inlineStr">
        <is>
          <t>Quality Assurance &amp; Control</t>
        </is>
      </c>
      <c r="F1008" s="208" t="n">
        <v>30</v>
      </c>
      <c r="G1008" s="208" t="n">
        <v>328</v>
      </c>
      <c r="H1008" s="208" t="inlineStr">
        <is>
          <t>No separate deliverable explicitly named</t>
        </is>
      </c>
    </row>
    <row r="1009">
      <c r="A1009" s="199" t="inlineStr">
        <is>
          <t>RTM-657</t>
        </is>
      </c>
      <c r="B1009" s="221" t="inlineStr">
        <is>
          <t>L0 Tender / Offer</t>
        </is>
      </c>
      <c r="C1009" s="199" t="n">
        <v>1</v>
      </c>
      <c r="D1009" s="199" t="inlineStr">
        <is>
          <t>T2 Secondary</t>
        </is>
      </c>
      <c r="E1009" s="199" t="inlineStr">
        <is>
          <t>Quality Assurance &amp; Control</t>
        </is>
      </c>
      <c r="F1009" s="199" t="n">
        <v>30</v>
      </c>
      <c r="G1009" s="199" t="n">
        <v>329</v>
      </c>
      <c r="H1009" s="199" t="inlineStr">
        <is>
          <t>Certificate / calibration evidence; List / register / matrix</t>
        </is>
      </c>
    </row>
    <row r="1010">
      <c r="A1010" s="208" t="inlineStr">
        <is>
          <t>RTM-657</t>
        </is>
      </c>
      <c r="B1010" s="222" t="inlineStr">
        <is>
          <t>L1 Conceptual Design</t>
        </is>
      </c>
      <c r="C1010" s="208" t="n">
        <v>2</v>
      </c>
      <c r="D1010" s="208" t="inlineStr">
        <is>
          <t>T2 Secondary</t>
        </is>
      </c>
      <c r="E1010" s="208" t="inlineStr">
        <is>
          <t>Quality Assurance &amp; Control</t>
        </is>
      </c>
      <c r="F1010" s="208" t="n">
        <v>30</v>
      </c>
      <c r="G1010" s="208" t="n">
        <v>329</v>
      </c>
      <c r="H1010" s="208" t="inlineStr">
        <is>
          <t>Certificate / calibration evidence; List / register / matrix</t>
        </is>
      </c>
    </row>
    <row r="1011">
      <c r="A1011" s="199" t="inlineStr">
        <is>
          <t>RTM-657</t>
        </is>
      </c>
      <c r="B1011" s="223" t="inlineStr">
        <is>
          <t>L2 Detailed Design</t>
        </is>
      </c>
      <c r="C1011" s="199" t="n">
        <v>3</v>
      </c>
      <c r="D1011" s="199" t="inlineStr">
        <is>
          <t>T2 Secondary</t>
        </is>
      </c>
      <c r="E1011" s="199" t="inlineStr">
        <is>
          <t>Quality Assurance &amp; Control</t>
        </is>
      </c>
      <c r="F1011" s="199" t="n">
        <v>30</v>
      </c>
      <c r="G1011" s="199" t="n">
        <v>329</v>
      </c>
      <c r="H1011" s="199" t="inlineStr">
        <is>
          <t>Certificate / calibration evidence; List / register / matrix</t>
        </is>
      </c>
    </row>
    <row r="1012">
      <c r="A1012" s="208" t="inlineStr">
        <is>
          <t>RTM-657</t>
        </is>
      </c>
      <c r="B1012" s="224" t="inlineStr">
        <is>
          <t>L3 Procurement &amp; Manufacturing / FAT</t>
        </is>
      </c>
      <c r="C1012" s="208" t="n">
        <v>4</v>
      </c>
      <c r="D1012" s="208" t="inlineStr">
        <is>
          <t>T2 Secondary</t>
        </is>
      </c>
      <c r="E1012" s="208" t="inlineStr">
        <is>
          <t>Quality Assurance &amp; Control</t>
        </is>
      </c>
      <c r="F1012" s="208" t="n">
        <v>30</v>
      </c>
      <c r="G1012" s="208" t="n">
        <v>329</v>
      </c>
      <c r="H1012" s="208" t="inlineStr">
        <is>
          <t>Certificate / calibration evidence; List / register / matrix</t>
        </is>
      </c>
    </row>
    <row r="1013">
      <c r="A1013" s="199" t="inlineStr">
        <is>
          <t>RTM-657</t>
        </is>
      </c>
      <c r="B1013" s="220" t="inlineStr">
        <is>
          <t>L4 Installation</t>
        </is>
      </c>
      <c r="C1013" s="199" t="n">
        <v>6</v>
      </c>
      <c r="D1013" s="199" t="inlineStr">
        <is>
          <t>T2 Secondary</t>
        </is>
      </c>
      <c r="E1013" s="199" t="inlineStr">
        <is>
          <t>Quality Assurance &amp; Control</t>
        </is>
      </c>
      <c r="F1013" s="199" t="n">
        <v>30</v>
      </c>
      <c r="G1013" s="199" t="n">
        <v>329</v>
      </c>
      <c r="H1013" s="199" t="inlineStr">
        <is>
          <t>Certificate / calibration evidence; List / register / matrix</t>
        </is>
      </c>
    </row>
    <row r="1014">
      <c r="A1014" s="208" t="inlineStr">
        <is>
          <t>RTM-657</t>
        </is>
      </c>
      <c r="B1014" s="225" t="inlineStr">
        <is>
          <t>L5 Standalone Commissioning</t>
        </is>
      </c>
      <c r="C1014" s="208" t="n">
        <v>7</v>
      </c>
      <c r="D1014" s="208" t="inlineStr">
        <is>
          <t>T2 Secondary</t>
        </is>
      </c>
      <c r="E1014" s="208" t="inlineStr">
        <is>
          <t>Quality Assurance &amp; Control</t>
        </is>
      </c>
      <c r="F1014" s="208" t="n">
        <v>30</v>
      </c>
      <c r="G1014" s="208" t="n">
        <v>329</v>
      </c>
      <c r="H1014" s="208" t="inlineStr">
        <is>
          <t>Certificate / calibration evidence; List / register / matrix</t>
        </is>
      </c>
    </row>
    <row r="1015">
      <c r="A1015" s="199" t="inlineStr">
        <is>
          <t>RTM-657</t>
        </is>
      </c>
      <c r="B1015" s="226" t="inlineStr">
        <is>
          <t>L6 Site Acceptance Testing</t>
        </is>
      </c>
      <c r="C1015" s="199" t="n">
        <v>8</v>
      </c>
      <c r="D1015" s="199" t="inlineStr">
        <is>
          <t>T2 Secondary</t>
        </is>
      </c>
      <c r="E1015" s="199" t="inlineStr">
        <is>
          <t>Quality Assurance &amp; Control</t>
        </is>
      </c>
      <c r="F1015" s="199" t="n">
        <v>30</v>
      </c>
      <c r="G1015" s="199" t="n">
        <v>329</v>
      </c>
      <c r="H1015" s="199" t="inlineStr">
        <is>
          <t>Certificate / calibration evidence; List / register / matrix</t>
        </is>
      </c>
    </row>
    <row r="1016">
      <c r="A1016" s="208" t="inlineStr">
        <is>
          <t>RTM-658</t>
        </is>
      </c>
      <c r="B1016" s="227" t="inlineStr">
        <is>
          <t>PAC / Handover</t>
        </is>
      </c>
      <c r="C1016" s="208" t="n">
        <v>9</v>
      </c>
      <c r="D1016" s="208" t="inlineStr">
        <is>
          <t>T2 Secondary</t>
        </is>
      </c>
      <c r="E1016" s="208" t="inlineStr">
        <is>
          <t>Quality Assurance &amp; Control</t>
        </is>
      </c>
      <c r="F1016" s="208" t="n">
        <v>30</v>
      </c>
      <c r="G1016" s="208" t="n">
        <v>330</v>
      </c>
      <c r="H1016" s="208" t="inlineStr">
        <is>
          <t>No separate deliverable explicitly named</t>
        </is>
      </c>
    </row>
    <row r="1017">
      <c r="A1017" s="199" t="inlineStr">
        <is>
          <t>RTM-658</t>
        </is>
      </c>
      <c r="B1017" s="221" t="inlineStr">
        <is>
          <t>L0 Tender / Offer</t>
        </is>
      </c>
      <c r="C1017" s="199" t="n">
        <v>1</v>
      </c>
      <c r="D1017" s="199" t="inlineStr">
        <is>
          <t>T2 Secondary</t>
        </is>
      </c>
      <c r="E1017" s="199" t="inlineStr">
        <is>
          <t>Quality Assurance &amp; Control</t>
        </is>
      </c>
      <c r="F1017" s="199" t="n">
        <v>30</v>
      </c>
      <c r="G1017" s="199" t="n">
        <v>330</v>
      </c>
      <c r="H1017" s="199" t="inlineStr">
        <is>
          <t>No separate deliverable explicitly named</t>
        </is>
      </c>
    </row>
    <row r="1018">
      <c r="A1018" s="208" t="inlineStr">
        <is>
          <t>RTM-658</t>
        </is>
      </c>
      <c r="B1018" s="222" t="inlineStr">
        <is>
          <t>L1 Conceptual Design</t>
        </is>
      </c>
      <c r="C1018" s="208" t="n">
        <v>2</v>
      </c>
      <c r="D1018" s="208" t="inlineStr">
        <is>
          <t>T2 Secondary</t>
        </is>
      </c>
      <c r="E1018" s="208" t="inlineStr">
        <is>
          <t>Quality Assurance &amp; Control</t>
        </is>
      </c>
      <c r="F1018" s="208" t="n">
        <v>30</v>
      </c>
      <c r="G1018" s="208" t="n">
        <v>330</v>
      </c>
      <c r="H1018" s="208" t="inlineStr">
        <is>
          <t>No separate deliverable explicitly named</t>
        </is>
      </c>
    </row>
    <row r="1019">
      <c r="A1019" s="199" t="inlineStr">
        <is>
          <t>RTM-658</t>
        </is>
      </c>
      <c r="B1019" s="223" t="inlineStr">
        <is>
          <t>L2 Detailed Design</t>
        </is>
      </c>
      <c r="C1019" s="199" t="n">
        <v>3</v>
      </c>
      <c r="D1019" s="199" t="inlineStr">
        <is>
          <t>T2 Secondary</t>
        </is>
      </c>
      <c r="E1019" s="199" t="inlineStr">
        <is>
          <t>Quality Assurance &amp; Control</t>
        </is>
      </c>
      <c r="F1019" s="199" t="n">
        <v>30</v>
      </c>
      <c r="G1019" s="199" t="n">
        <v>330</v>
      </c>
      <c r="H1019" s="199" t="inlineStr">
        <is>
          <t>No separate deliverable explicitly named</t>
        </is>
      </c>
    </row>
    <row r="1020">
      <c r="A1020" s="208" t="inlineStr">
        <is>
          <t>RTM-658</t>
        </is>
      </c>
      <c r="B1020" s="224" t="inlineStr">
        <is>
          <t>L3 Procurement &amp; Manufacturing / FAT</t>
        </is>
      </c>
      <c r="C1020" s="208" t="n">
        <v>4</v>
      </c>
      <c r="D1020" s="208" t="inlineStr">
        <is>
          <t>T2 Secondary</t>
        </is>
      </c>
      <c r="E1020" s="208" t="inlineStr">
        <is>
          <t>Quality Assurance &amp; Control</t>
        </is>
      </c>
      <c r="F1020" s="208" t="n">
        <v>30</v>
      </c>
      <c r="G1020" s="208" t="n">
        <v>330</v>
      </c>
      <c r="H1020" s="208" t="inlineStr">
        <is>
          <t>No separate deliverable explicitly named</t>
        </is>
      </c>
    </row>
    <row r="1021">
      <c r="A1021" s="199" t="inlineStr">
        <is>
          <t>RTM-658</t>
        </is>
      </c>
      <c r="B1021" s="220" t="inlineStr">
        <is>
          <t>L4 Installation</t>
        </is>
      </c>
      <c r="C1021" s="199" t="n">
        <v>6</v>
      </c>
      <c r="D1021" s="199" t="inlineStr">
        <is>
          <t>T2 Secondary</t>
        </is>
      </c>
      <c r="E1021" s="199" t="inlineStr">
        <is>
          <t>Quality Assurance &amp; Control</t>
        </is>
      </c>
      <c r="F1021" s="199" t="n">
        <v>30</v>
      </c>
      <c r="G1021" s="199" t="n">
        <v>330</v>
      </c>
      <c r="H1021" s="199" t="inlineStr">
        <is>
          <t>No separate deliverable explicitly named</t>
        </is>
      </c>
    </row>
    <row r="1022">
      <c r="A1022" s="208" t="inlineStr">
        <is>
          <t>RTM-658</t>
        </is>
      </c>
      <c r="B1022" s="225" t="inlineStr">
        <is>
          <t>L5 Standalone Commissioning</t>
        </is>
      </c>
      <c r="C1022" s="208" t="n">
        <v>7</v>
      </c>
      <c r="D1022" s="208" t="inlineStr">
        <is>
          <t>T2 Secondary</t>
        </is>
      </c>
      <c r="E1022" s="208" t="inlineStr">
        <is>
          <t>Quality Assurance &amp; Control</t>
        </is>
      </c>
      <c r="F1022" s="208" t="n">
        <v>30</v>
      </c>
      <c r="G1022" s="208" t="n">
        <v>330</v>
      </c>
      <c r="H1022" s="208" t="inlineStr">
        <is>
          <t>No separate deliverable explicitly named</t>
        </is>
      </c>
    </row>
    <row r="1023">
      <c r="A1023" s="199" t="inlineStr">
        <is>
          <t>RTM-658</t>
        </is>
      </c>
      <c r="B1023" s="226" t="inlineStr">
        <is>
          <t>L6 Site Acceptance Testing</t>
        </is>
      </c>
      <c r="C1023" s="199" t="n">
        <v>8</v>
      </c>
      <c r="D1023" s="199" t="inlineStr">
        <is>
          <t>T2 Secondary</t>
        </is>
      </c>
      <c r="E1023" s="199" t="inlineStr">
        <is>
          <t>Quality Assurance &amp; Control</t>
        </is>
      </c>
      <c r="F1023" s="199" t="n">
        <v>30</v>
      </c>
      <c r="G1023" s="199" t="n">
        <v>330</v>
      </c>
      <c r="H1023" s="199" t="inlineStr">
        <is>
          <t>No separate deliverable explicitly named</t>
        </is>
      </c>
    </row>
    <row r="1024">
      <c r="A1024" s="208" t="inlineStr">
        <is>
          <t>RTM-220</t>
        </is>
      </c>
      <c r="B1024" s="222" t="inlineStr">
        <is>
          <t>L1 Conceptual Design</t>
        </is>
      </c>
      <c r="C1024" s="208" t="n">
        <v>2</v>
      </c>
      <c r="D1024" s="208" t="inlineStr">
        <is>
          <t>T2 Secondary</t>
        </is>
      </c>
      <c r="E1024" s="208" t="inlineStr">
        <is>
          <t>Subsystems</t>
        </is>
      </c>
      <c r="F1024" s="208" t="n">
        <v>29.3333</v>
      </c>
      <c r="G1024" s="208" t="n">
        <v>331</v>
      </c>
      <c r="H1024" s="208" t="inlineStr">
        <is>
          <t>No separate deliverable explicitly named</t>
        </is>
      </c>
    </row>
    <row r="1025">
      <c r="A1025" s="199" t="inlineStr">
        <is>
          <t>RTM-220</t>
        </is>
      </c>
      <c r="B1025" s="223" t="inlineStr">
        <is>
          <t>L2 Detailed Design</t>
        </is>
      </c>
      <c r="C1025" s="199" t="n">
        <v>3</v>
      </c>
      <c r="D1025" s="199" t="inlineStr">
        <is>
          <t>T2 Secondary</t>
        </is>
      </c>
      <c r="E1025" s="199" t="inlineStr">
        <is>
          <t>Subsystems</t>
        </is>
      </c>
      <c r="F1025" s="199" t="n">
        <v>29.3333</v>
      </c>
      <c r="G1025" s="199" t="n">
        <v>331</v>
      </c>
      <c r="H1025" s="199" t="inlineStr">
        <is>
          <t>No separate deliverable explicitly named</t>
        </is>
      </c>
    </row>
    <row r="1026">
      <c r="A1026" s="208" t="inlineStr">
        <is>
          <t>RTM-237</t>
        </is>
      </c>
      <c r="B1026" s="220" t="inlineStr">
        <is>
          <t>L4 Installation</t>
        </is>
      </c>
      <c r="C1026" s="208" t="n">
        <v>6</v>
      </c>
      <c r="D1026" s="208" t="inlineStr">
        <is>
          <t>T2 Secondary</t>
        </is>
      </c>
      <c r="E1026" s="208" t="inlineStr">
        <is>
          <t>Subsystems</t>
        </is>
      </c>
      <c r="F1026" s="208" t="n">
        <v>29.3333</v>
      </c>
      <c r="G1026" s="208" t="n">
        <v>332</v>
      </c>
      <c r="H1026" s="208" t="inlineStr">
        <is>
          <t>No separate deliverable explicitly named</t>
        </is>
      </c>
    </row>
    <row r="1027">
      <c r="A1027" s="199" t="inlineStr">
        <is>
          <t>RTM-237</t>
        </is>
      </c>
      <c r="B1027" s="222" t="inlineStr">
        <is>
          <t>L1 Conceptual Design</t>
        </is>
      </c>
      <c r="C1027" s="199" t="n">
        <v>2</v>
      </c>
      <c r="D1027" s="199" t="inlineStr">
        <is>
          <t>T2 Secondary</t>
        </is>
      </c>
      <c r="E1027" s="199" t="inlineStr">
        <is>
          <t>Subsystems</t>
        </is>
      </c>
      <c r="F1027" s="199" t="n">
        <v>29.3333</v>
      </c>
      <c r="G1027" s="199" t="n">
        <v>332</v>
      </c>
      <c r="H1027" s="199" t="inlineStr">
        <is>
          <t>No separate deliverable explicitly named</t>
        </is>
      </c>
    </row>
    <row r="1028">
      <c r="A1028" s="208" t="inlineStr">
        <is>
          <t>RTM-237</t>
        </is>
      </c>
      <c r="B1028" s="223" t="inlineStr">
        <is>
          <t>L2 Detailed Design</t>
        </is>
      </c>
      <c r="C1028" s="208" t="n">
        <v>3</v>
      </c>
      <c r="D1028" s="208" t="inlineStr">
        <is>
          <t>T2 Secondary</t>
        </is>
      </c>
      <c r="E1028" s="208" t="inlineStr">
        <is>
          <t>Subsystems</t>
        </is>
      </c>
      <c r="F1028" s="208" t="n">
        <v>29.3333</v>
      </c>
      <c r="G1028" s="208" t="n">
        <v>332</v>
      </c>
      <c r="H1028" s="208" t="inlineStr">
        <is>
          <t>No separate deliverable explicitly named</t>
        </is>
      </c>
    </row>
    <row r="1029">
      <c r="A1029" s="199" t="inlineStr">
        <is>
          <t>RTM-283</t>
        </is>
      </c>
      <c r="B1029" s="226" t="inlineStr">
        <is>
          <t>L6 Site Acceptance Testing</t>
        </is>
      </c>
      <c r="C1029" s="199" t="n">
        <v>8</v>
      </c>
      <c r="D1029" s="199" t="inlineStr">
        <is>
          <t>T2 Secondary</t>
        </is>
      </c>
      <c r="E1029" s="199" t="inlineStr">
        <is>
          <t>Cryogenic Interfaces</t>
        </is>
      </c>
      <c r="F1029" s="199" t="n">
        <v>29.3333</v>
      </c>
      <c r="G1029" s="199" t="n">
        <v>333</v>
      </c>
      <c r="H1029" s="199" t="inlineStr">
        <is>
          <t>No separate deliverable explicitly named</t>
        </is>
      </c>
    </row>
    <row r="1030">
      <c r="A1030" s="208" t="inlineStr">
        <is>
          <t>RTM-283</t>
        </is>
      </c>
      <c r="B1030" s="222" t="inlineStr">
        <is>
          <t>L1 Conceptual Design</t>
        </is>
      </c>
      <c r="C1030" s="208" t="n">
        <v>2</v>
      </c>
      <c r="D1030" s="208" t="inlineStr">
        <is>
          <t>T2 Secondary</t>
        </is>
      </c>
      <c r="E1030" s="208" t="inlineStr">
        <is>
          <t>Cryogenic Interfaces</t>
        </is>
      </c>
      <c r="F1030" s="208" t="n">
        <v>29.3333</v>
      </c>
      <c r="G1030" s="208" t="n">
        <v>333</v>
      </c>
      <c r="H1030" s="208" t="inlineStr">
        <is>
          <t>No separate deliverable explicitly named</t>
        </is>
      </c>
    </row>
    <row r="1031">
      <c r="A1031" s="199" t="inlineStr">
        <is>
          <t>RTM-283</t>
        </is>
      </c>
      <c r="B1031" s="223" t="inlineStr">
        <is>
          <t>L2 Detailed Design</t>
        </is>
      </c>
      <c r="C1031" s="199" t="n">
        <v>3</v>
      </c>
      <c r="D1031" s="199" t="inlineStr">
        <is>
          <t>T2 Secondary</t>
        </is>
      </c>
      <c r="E1031" s="199" t="inlineStr">
        <is>
          <t>Cryogenic Interfaces</t>
        </is>
      </c>
      <c r="F1031" s="199" t="n">
        <v>29.3333</v>
      </c>
      <c r="G1031" s="199" t="n">
        <v>333</v>
      </c>
      <c r="H1031" s="199" t="inlineStr">
        <is>
          <t>No separate deliverable explicitly named</t>
        </is>
      </c>
    </row>
    <row r="1032">
      <c r="A1032" s="208" t="inlineStr">
        <is>
          <t>RTM-317</t>
        </is>
      </c>
      <c r="B1032" s="222" t="inlineStr">
        <is>
          <t>L1 Conceptual Design</t>
        </is>
      </c>
      <c r="C1032" s="208" t="n">
        <v>2</v>
      </c>
      <c r="D1032" s="208" t="inlineStr">
        <is>
          <t>T2 Secondary</t>
        </is>
      </c>
      <c r="E1032" s="208" t="inlineStr">
        <is>
          <t>Control &amp; Interlock</t>
        </is>
      </c>
      <c r="F1032" s="208" t="n">
        <v>29.3333</v>
      </c>
      <c r="G1032" s="208" t="n">
        <v>334</v>
      </c>
      <c r="H1032" s="208" t="inlineStr">
        <is>
          <t>No separate deliverable explicitly named</t>
        </is>
      </c>
    </row>
    <row r="1033">
      <c r="A1033" s="199" t="inlineStr">
        <is>
          <t>RTM-317</t>
        </is>
      </c>
      <c r="B1033" s="223" t="inlineStr">
        <is>
          <t>L2 Detailed Design</t>
        </is>
      </c>
      <c r="C1033" s="199" t="n">
        <v>3</v>
      </c>
      <c r="D1033" s="199" t="inlineStr">
        <is>
          <t>T2 Secondary</t>
        </is>
      </c>
      <c r="E1033" s="199" t="inlineStr">
        <is>
          <t>Control &amp; Interlock</t>
        </is>
      </c>
      <c r="F1033" s="199" t="n">
        <v>29.3333</v>
      </c>
      <c r="G1033" s="199" t="n">
        <v>334</v>
      </c>
      <c r="H1033" s="199" t="inlineStr">
        <is>
          <t>No separate deliverable explicitly named</t>
        </is>
      </c>
    </row>
    <row r="1034">
      <c r="A1034" s="208" t="inlineStr">
        <is>
          <t>RTM-319</t>
        </is>
      </c>
      <c r="B1034" s="222" t="inlineStr">
        <is>
          <t>L1 Conceptual Design</t>
        </is>
      </c>
      <c r="C1034" s="208" t="n">
        <v>2</v>
      </c>
      <c r="D1034" s="208" t="inlineStr">
        <is>
          <t>T2 Secondary</t>
        </is>
      </c>
      <c r="E1034" s="208" t="inlineStr">
        <is>
          <t>Control &amp; Interlock</t>
        </is>
      </c>
      <c r="F1034" s="208" t="n">
        <v>29.3333</v>
      </c>
      <c r="G1034" s="208" t="n">
        <v>335</v>
      </c>
      <c r="H1034" s="208" t="inlineStr">
        <is>
          <t>Procedure / work instruction</t>
        </is>
      </c>
    </row>
    <row r="1035">
      <c r="A1035" s="199" t="inlineStr">
        <is>
          <t>RTM-319</t>
        </is>
      </c>
      <c r="B1035" s="223" t="inlineStr">
        <is>
          <t>L2 Detailed Design</t>
        </is>
      </c>
      <c r="C1035" s="199" t="n">
        <v>3</v>
      </c>
      <c r="D1035" s="199" t="inlineStr">
        <is>
          <t>T2 Secondary</t>
        </is>
      </c>
      <c r="E1035" s="199" t="inlineStr">
        <is>
          <t>Control &amp; Interlock</t>
        </is>
      </c>
      <c r="F1035" s="199" t="n">
        <v>29.3333</v>
      </c>
      <c r="G1035" s="199" t="n">
        <v>335</v>
      </c>
      <c r="H1035" s="199" t="inlineStr">
        <is>
          <t>Procedure / work instruction</t>
        </is>
      </c>
    </row>
    <row r="1036">
      <c r="A1036" s="208" t="inlineStr">
        <is>
          <t>RTM-326</t>
        </is>
      </c>
      <c r="B1036" s="222" t="inlineStr">
        <is>
          <t>L1 Conceptual Design</t>
        </is>
      </c>
      <c r="C1036" s="208" t="n">
        <v>2</v>
      </c>
      <c r="D1036" s="208" t="inlineStr">
        <is>
          <t>T2 Secondary</t>
        </is>
      </c>
      <c r="E1036" s="208" t="inlineStr">
        <is>
          <t>Control &amp; Interlock</t>
        </is>
      </c>
      <c r="F1036" s="208" t="n">
        <v>29.3333</v>
      </c>
      <c r="G1036" s="208" t="n">
        <v>336</v>
      </c>
      <c r="H1036" s="208" t="inlineStr">
        <is>
          <t>No separate deliverable explicitly named</t>
        </is>
      </c>
    </row>
    <row r="1037">
      <c r="A1037" s="199" t="inlineStr">
        <is>
          <t>RTM-326</t>
        </is>
      </c>
      <c r="B1037" s="223" t="inlineStr">
        <is>
          <t>L2 Detailed Design</t>
        </is>
      </c>
      <c r="C1037" s="199" t="n">
        <v>3</v>
      </c>
      <c r="D1037" s="199" t="inlineStr">
        <is>
          <t>T2 Secondary</t>
        </is>
      </c>
      <c r="E1037" s="199" t="inlineStr">
        <is>
          <t>Control &amp; Interlock</t>
        </is>
      </c>
      <c r="F1037" s="199" t="n">
        <v>29.3333</v>
      </c>
      <c r="G1037" s="199" t="n">
        <v>336</v>
      </c>
      <c r="H1037" s="199" t="inlineStr">
        <is>
          <t>No separate deliverable explicitly named</t>
        </is>
      </c>
    </row>
    <row r="1038">
      <c r="A1038" s="208" t="inlineStr">
        <is>
          <t>RTM-334</t>
        </is>
      </c>
      <c r="B1038" s="222" t="inlineStr">
        <is>
          <t>L1 Conceptual Design</t>
        </is>
      </c>
      <c r="C1038" s="208" t="n">
        <v>2</v>
      </c>
      <c r="D1038" s="208" t="inlineStr">
        <is>
          <t>T2 Secondary</t>
        </is>
      </c>
      <c r="E1038" s="208" t="inlineStr">
        <is>
          <t>Control &amp; Interlock</t>
        </is>
      </c>
      <c r="F1038" s="208" t="n">
        <v>29.3333</v>
      </c>
      <c r="G1038" s="208" t="n">
        <v>337</v>
      </c>
      <c r="H1038" s="208" t="inlineStr">
        <is>
          <t>List / register / matrix</t>
        </is>
      </c>
    </row>
    <row r="1039">
      <c r="A1039" s="199" t="inlineStr">
        <is>
          <t>RTM-334</t>
        </is>
      </c>
      <c r="B1039" s="223" t="inlineStr">
        <is>
          <t>L2 Detailed Design</t>
        </is>
      </c>
      <c r="C1039" s="199" t="n">
        <v>3</v>
      </c>
      <c r="D1039" s="199" t="inlineStr">
        <is>
          <t>T2 Secondary</t>
        </is>
      </c>
      <c r="E1039" s="199" t="inlineStr">
        <is>
          <t>Control &amp; Interlock</t>
        </is>
      </c>
      <c r="F1039" s="199" t="n">
        <v>29.3333</v>
      </c>
      <c r="G1039" s="199" t="n">
        <v>337</v>
      </c>
      <c r="H1039" s="199" t="inlineStr">
        <is>
          <t>List / register / matrix</t>
        </is>
      </c>
    </row>
    <row r="1040">
      <c r="A1040" s="208" t="inlineStr">
        <is>
          <t>RTM-361</t>
        </is>
      </c>
      <c r="B1040" s="222" t="inlineStr">
        <is>
          <t>L1 Conceptual Design</t>
        </is>
      </c>
      <c r="C1040" s="208" t="n">
        <v>2</v>
      </c>
      <c r="D1040" s="208" t="inlineStr">
        <is>
          <t>T2 Secondary</t>
        </is>
      </c>
      <c r="E1040" s="208" t="inlineStr">
        <is>
          <t>Control &amp; Interlock</t>
        </is>
      </c>
      <c r="F1040" s="208" t="n">
        <v>29.3333</v>
      </c>
      <c r="G1040" s="208" t="n">
        <v>338</v>
      </c>
      <c r="H1040" s="208" t="inlineStr">
        <is>
          <t>No separate deliverable explicitly named</t>
        </is>
      </c>
    </row>
    <row r="1041">
      <c r="A1041" s="199" t="inlineStr">
        <is>
          <t>RTM-361</t>
        </is>
      </c>
      <c r="B1041" s="223" t="inlineStr">
        <is>
          <t>L2 Detailed Design</t>
        </is>
      </c>
      <c r="C1041" s="199" t="n">
        <v>3</v>
      </c>
      <c r="D1041" s="199" t="inlineStr">
        <is>
          <t>T2 Secondary</t>
        </is>
      </c>
      <c r="E1041" s="199" t="inlineStr">
        <is>
          <t>Control &amp; Interlock</t>
        </is>
      </c>
      <c r="F1041" s="199" t="n">
        <v>29.3333</v>
      </c>
      <c r="G1041" s="199" t="n">
        <v>338</v>
      </c>
      <c r="H1041" s="199" t="inlineStr">
        <is>
          <t>No separate deliverable explicitly named</t>
        </is>
      </c>
    </row>
    <row r="1042">
      <c r="A1042" s="208" t="inlineStr">
        <is>
          <t>RTM-413</t>
        </is>
      </c>
      <c r="B1042" s="222" t="inlineStr">
        <is>
          <t>L1 Conceptual Design</t>
        </is>
      </c>
      <c r="C1042" s="208" t="n">
        <v>2</v>
      </c>
      <c r="D1042" s="208" t="inlineStr">
        <is>
          <t>T2 Secondary</t>
        </is>
      </c>
      <c r="E1042" s="208" t="inlineStr">
        <is>
          <t>Buildings &amp; Utilities</t>
        </is>
      </c>
      <c r="F1042" s="208" t="n">
        <v>29.3333</v>
      </c>
      <c r="G1042" s="208" t="n">
        <v>339</v>
      </c>
      <c r="H1042" s="208" t="inlineStr">
        <is>
          <t>No separate deliverable explicitly named</t>
        </is>
      </c>
    </row>
    <row r="1043">
      <c r="A1043" s="199" t="inlineStr">
        <is>
          <t>RTM-413</t>
        </is>
      </c>
      <c r="B1043" s="223" t="inlineStr">
        <is>
          <t>L2 Detailed Design</t>
        </is>
      </c>
      <c r="C1043" s="199" t="n">
        <v>3</v>
      </c>
      <c r="D1043" s="199" t="inlineStr">
        <is>
          <t>T2 Secondary</t>
        </is>
      </c>
      <c r="E1043" s="199" t="inlineStr">
        <is>
          <t>Buildings &amp; Utilities</t>
        </is>
      </c>
      <c r="F1043" s="199" t="n">
        <v>29.3333</v>
      </c>
      <c r="G1043" s="199" t="n">
        <v>339</v>
      </c>
      <c r="H1043" s="199" t="inlineStr">
        <is>
          <t>No separate deliverable explicitly named</t>
        </is>
      </c>
    </row>
    <row r="1044">
      <c r="A1044" s="208" t="inlineStr">
        <is>
          <t>RTM-443</t>
        </is>
      </c>
      <c r="B1044" s="222" t="inlineStr">
        <is>
          <t>L1 Conceptual Design</t>
        </is>
      </c>
      <c r="C1044" s="208" t="n">
        <v>2</v>
      </c>
      <c r="D1044" s="208" t="inlineStr">
        <is>
          <t>T2 Secondary</t>
        </is>
      </c>
      <c r="E1044" s="208" t="inlineStr">
        <is>
          <t>Design &amp; Fabrication</t>
        </is>
      </c>
      <c r="F1044" s="208" t="n">
        <v>29.3333</v>
      </c>
      <c r="G1044" s="208" t="n">
        <v>340</v>
      </c>
      <c r="H1044" s="208" t="inlineStr">
        <is>
          <t>No separate deliverable explicitly named</t>
        </is>
      </c>
    </row>
    <row r="1045">
      <c r="A1045" s="199" t="inlineStr">
        <is>
          <t>RTM-443</t>
        </is>
      </c>
      <c r="B1045" s="223" t="inlineStr">
        <is>
          <t>L2 Detailed Design</t>
        </is>
      </c>
      <c r="C1045" s="199" t="n">
        <v>3</v>
      </c>
      <c r="D1045" s="199" t="inlineStr">
        <is>
          <t>T2 Secondary</t>
        </is>
      </c>
      <c r="E1045" s="199" t="inlineStr">
        <is>
          <t>Design &amp; Fabrication</t>
        </is>
      </c>
      <c r="F1045" s="199" t="n">
        <v>29.3333</v>
      </c>
      <c r="G1045" s="199" t="n">
        <v>340</v>
      </c>
      <c r="H1045" s="199" t="inlineStr">
        <is>
          <t>No separate deliverable explicitly named</t>
        </is>
      </c>
    </row>
    <row r="1046">
      <c r="A1046" s="208" t="inlineStr">
        <is>
          <t>RTM-536</t>
        </is>
      </c>
      <c r="B1046" s="226" t="inlineStr">
        <is>
          <t>L6 Site Acceptance Testing</t>
        </is>
      </c>
      <c r="C1046" s="208" t="n">
        <v>8</v>
      </c>
      <c r="D1046" s="208" t="inlineStr">
        <is>
          <t>T2 Secondary</t>
        </is>
      </c>
      <c r="E1046" s="208" t="inlineStr">
        <is>
          <t>Acceptance Testing</t>
        </is>
      </c>
      <c r="F1046" s="208" t="n">
        <v>29.3333</v>
      </c>
      <c r="G1046" s="208" t="n">
        <v>341</v>
      </c>
      <c r="H1046" s="208" t="inlineStr">
        <is>
          <t>Procedure / work instruction</t>
        </is>
      </c>
    </row>
    <row r="1047">
      <c r="A1047" s="199" t="inlineStr">
        <is>
          <t>RTM-536</t>
        </is>
      </c>
      <c r="B1047" s="222" t="inlineStr">
        <is>
          <t>L1 Conceptual Design</t>
        </is>
      </c>
      <c r="C1047" s="199" t="n">
        <v>2</v>
      </c>
      <c r="D1047" s="199" t="inlineStr">
        <is>
          <t>T2 Secondary</t>
        </is>
      </c>
      <c r="E1047" s="199" t="inlineStr">
        <is>
          <t>Acceptance Testing</t>
        </is>
      </c>
      <c r="F1047" s="199" t="n">
        <v>29.3333</v>
      </c>
      <c r="G1047" s="199" t="n">
        <v>341</v>
      </c>
      <c r="H1047" s="199" t="inlineStr">
        <is>
          <t>Procedure / work instruction</t>
        </is>
      </c>
    </row>
    <row r="1048">
      <c r="A1048" s="208" t="inlineStr">
        <is>
          <t>RTM-536</t>
        </is>
      </c>
      <c r="B1048" s="223" t="inlineStr">
        <is>
          <t>L2 Detailed Design</t>
        </is>
      </c>
      <c r="C1048" s="208" t="n">
        <v>3</v>
      </c>
      <c r="D1048" s="208" t="inlineStr">
        <is>
          <t>T2 Secondary</t>
        </is>
      </c>
      <c r="E1048" s="208" t="inlineStr">
        <is>
          <t>Acceptance Testing</t>
        </is>
      </c>
      <c r="F1048" s="208" t="n">
        <v>29.3333</v>
      </c>
      <c r="G1048" s="208" t="n">
        <v>341</v>
      </c>
      <c r="H1048" s="208" t="inlineStr">
        <is>
          <t>Procedure / work instruction</t>
        </is>
      </c>
    </row>
    <row r="1049">
      <c r="A1049" s="199" t="inlineStr">
        <is>
          <t>RTM-554</t>
        </is>
      </c>
      <c r="B1049" s="222" t="inlineStr">
        <is>
          <t>L1 Conceptual Design</t>
        </is>
      </c>
      <c r="C1049" s="199" t="n">
        <v>2</v>
      </c>
      <c r="D1049" s="199" t="inlineStr">
        <is>
          <t>T2 Secondary</t>
        </is>
      </c>
      <c r="E1049" s="199" t="inlineStr">
        <is>
          <t>Acceptance Testing</t>
        </is>
      </c>
      <c r="F1049" s="199" t="n">
        <v>29.3333</v>
      </c>
      <c r="G1049" s="199" t="n">
        <v>342</v>
      </c>
      <c r="H1049" s="199" t="inlineStr">
        <is>
          <t>Procedure / work instruction</t>
        </is>
      </c>
    </row>
    <row r="1050">
      <c r="A1050" s="208" t="inlineStr">
        <is>
          <t>RTM-554</t>
        </is>
      </c>
      <c r="B1050" s="223" t="inlineStr">
        <is>
          <t>L2 Detailed Design</t>
        </is>
      </c>
      <c r="C1050" s="208" t="n">
        <v>3</v>
      </c>
      <c r="D1050" s="208" t="inlineStr">
        <is>
          <t>T2 Secondary</t>
        </is>
      </c>
      <c r="E1050" s="208" t="inlineStr">
        <is>
          <t>Acceptance Testing</t>
        </is>
      </c>
      <c r="F1050" s="208" t="n">
        <v>29.3333</v>
      </c>
      <c r="G1050" s="208" t="n">
        <v>342</v>
      </c>
      <c r="H1050" s="208" t="inlineStr">
        <is>
          <t>Procedure / work instruction</t>
        </is>
      </c>
    </row>
    <row r="1051">
      <c r="A1051" s="199" t="inlineStr">
        <is>
          <t>RTM-064</t>
        </is>
      </c>
      <c r="B1051" s="222" t="inlineStr">
        <is>
          <t>L1 Conceptual Design</t>
        </is>
      </c>
      <c r="C1051" s="199" t="n">
        <v>2</v>
      </c>
      <c r="D1051" s="199" t="inlineStr">
        <is>
          <t>T2 Secondary</t>
        </is>
      </c>
      <c r="E1051" s="199" t="inlineStr">
        <is>
          <t>Global Design Criteria</t>
        </is>
      </c>
      <c r="F1051" s="199" t="n">
        <v>29</v>
      </c>
      <c r="G1051" s="199" t="n">
        <v>343</v>
      </c>
      <c r="H1051" s="199" t="inlineStr">
        <is>
          <t>Maintenance / RCM Plan</t>
        </is>
      </c>
    </row>
    <row r="1052">
      <c r="A1052" s="208" t="inlineStr">
        <is>
          <t>RTM-064</t>
        </is>
      </c>
      <c r="B1052" s="223" t="inlineStr">
        <is>
          <t>L2 Detailed Design</t>
        </is>
      </c>
      <c r="C1052" s="208" t="n">
        <v>3</v>
      </c>
      <c r="D1052" s="208" t="inlineStr">
        <is>
          <t>T2 Secondary</t>
        </is>
      </c>
      <c r="E1052" s="208" t="inlineStr">
        <is>
          <t>Global Design Criteria</t>
        </is>
      </c>
      <c r="F1052" s="208" t="n">
        <v>29</v>
      </c>
      <c r="G1052" s="208" t="n">
        <v>343</v>
      </c>
      <c r="H1052" s="208" t="inlineStr">
        <is>
          <t>Maintenance / RCM Plan</t>
        </is>
      </c>
    </row>
    <row r="1053">
      <c r="A1053" s="199" t="inlineStr">
        <is>
          <t>RTM-560</t>
        </is>
      </c>
      <c r="B1053" s="222" t="inlineStr">
        <is>
          <t>L1 Conceptual Design</t>
        </is>
      </c>
      <c r="C1053" s="199" t="n">
        <v>2</v>
      </c>
      <c r="D1053" s="199" t="inlineStr">
        <is>
          <t>T2 Secondary</t>
        </is>
      </c>
      <c r="E1053" s="199" t="inlineStr">
        <is>
          <t>Other Deliverables</t>
        </is>
      </c>
      <c r="F1053" s="199" t="n">
        <v>28.3333</v>
      </c>
      <c r="G1053" s="199" t="n">
        <v>344</v>
      </c>
      <c r="H1053" s="199" t="inlineStr">
        <is>
          <t>No separate deliverable explicitly named</t>
        </is>
      </c>
    </row>
    <row r="1054">
      <c r="A1054" s="208" t="inlineStr">
        <is>
          <t>RTM-560</t>
        </is>
      </c>
      <c r="B1054" s="223" t="inlineStr">
        <is>
          <t>L2 Detailed Design</t>
        </is>
      </c>
      <c r="C1054" s="208" t="n">
        <v>3</v>
      </c>
      <c r="D1054" s="208" t="inlineStr">
        <is>
          <t>T2 Secondary</t>
        </is>
      </c>
      <c r="E1054" s="208" t="inlineStr">
        <is>
          <t>Other Deliverables</t>
        </is>
      </c>
      <c r="F1054" s="208" t="n">
        <v>28.3333</v>
      </c>
      <c r="G1054" s="208" t="n">
        <v>344</v>
      </c>
      <c r="H1054" s="208" t="inlineStr">
        <is>
          <t>No separate deliverable explicitly named</t>
        </is>
      </c>
    </row>
    <row r="1055">
      <c r="A1055" s="199" t="inlineStr">
        <is>
          <t>RTM-561</t>
        </is>
      </c>
      <c r="B1055" s="222" t="inlineStr">
        <is>
          <t>L1 Conceptual Design</t>
        </is>
      </c>
      <c r="C1055" s="199" t="n">
        <v>2</v>
      </c>
      <c r="D1055" s="199" t="inlineStr">
        <is>
          <t>T2 Secondary</t>
        </is>
      </c>
      <c r="E1055" s="199" t="inlineStr">
        <is>
          <t>Other Deliverables</t>
        </is>
      </c>
      <c r="F1055" s="199" t="n">
        <v>28.3333</v>
      </c>
      <c r="G1055" s="199" t="n">
        <v>345</v>
      </c>
      <c r="H1055" s="199" t="inlineStr">
        <is>
          <t>No separate deliverable explicitly named</t>
        </is>
      </c>
    </row>
    <row r="1056">
      <c r="A1056" s="208" t="inlineStr">
        <is>
          <t>RTM-561</t>
        </is>
      </c>
      <c r="B1056" s="223" t="inlineStr">
        <is>
          <t>L2 Detailed Design</t>
        </is>
      </c>
      <c r="C1056" s="208" t="n">
        <v>3</v>
      </c>
      <c r="D1056" s="208" t="inlineStr">
        <is>
          <t>T2 Secondary</t>
        </is>
      </c>
      <c r="E1056" s="208" t="inlineStr">
        <is>
          <t>Other Deliverables</t>
        </is>
      </c>
      <c r="F1056" s="208" t="n">
        <v>28.3333</v>
      </c>
      <c r="G1056" s="208" t="n">
        <v>345</v>
      </c>
      <c r="H1056" s="208" t="inlineStr">
        <is>
          <t>No separate deliverable explicitly named</t>
        </is>
      </c>
    </row>
    <row r="1057">
      <c r="A1057" s="199" t="inlineStr">
        <is>
          <t>RTM-562</t>
        </is>
      </c>
      <c r="B1057" s="222" t="inlineStr">
        <is>
          <t>L1 Conceptual Design</t>
        </is>
      </c>
      <c r="C1057" s="199" t="n">
        <v>2</v>
      </c>
      <c r="D1057" s="199" t="inlineStr">
        <is>
          <t>T2 Secondary</t>
        </is>
      </c>
      <c r="E1057" s="199" t="inlineStr">
        <is>
          <t>Other Deliverables</t>
        </is>
      </c>
      <c r="F1057" s="199" t="n">
        <v>28.3333</v>
      </c>
      <c r="G1057" s="199" t="n">
        <v>346</v>
      </c>
      <c r="H1057" s="199" t="inlineStr">
        <is>
          <t>No separate deliverable explicitly named</t>
        </is>
      </c>
    </row>
    <row r="1058">
      <c r="A1058" s="208" t="inlineStr">
        <is>
          <t>RTM-562</t>
        </is>
      </c>
      <c r="B1058" s="223" t="inlineStr">
        <is>
          <t>L2 Detailed Design</t>
        </is>
      </c>
      <c r="C1058" s="208" t="n">
        <v>3</v>
      </c>
      <c r="D1058" s="208" t="inlineStr">
        <is>
          <t>T2 Secondary</t>
        </is>
      </c>
      <c r="E1058" s="208" t="inlineStr">
        <is>
          <t>Other Deliverables</t>
        </is>
      </c>
      <c r="F1058" s="208" t="n">
        <v>28.3333</v>
      </c>
      <c r="G1058" s="208" t="n">
        <v>346</v>
      </c>
      <c r="H1058" s="208" t="inlineStr">
        <is>
          <t>No separate deliverable explicitly named</t>
        </is>
      </c>
    </row>
    <row r="1059">
      <c r="A1059" s="199" t="inlineStr">
        <is>
          <t>RTM-708</t>
        </is>
      </c>
      <c r="B1059" s="227" t="inlineStr">
        <is>
          <t>PAC / Handover</t>
        </is>
      </c>
      <c r="C1059" s="199" t="n">
        <v>9</v>
      </c>
      <c r="D1059" s="199" t="inlineStr">
        <is>
          <t>T2 Secondary</t>
        </is>
      </c>
      <c r="E1059" s="199" t="inlineStr">
        <is>
          <t>Acceptance &amp; Warranty</t>
        </is>
      </c>
      <c r="F1059" s="199" t="n">
        <v>28.3333</v>
      </c>
      <c r="G1059" s="199" t="n">
        <v>347</v>
      </c>
      <c r="H1059" s="199" t="inlineStr">
        <is>
          <t>No separate deliverable explicitly named</t>
        </is>
      </c>
    </row>
    <row r="1060">
      <c r="A1060" s="208" t="inlineStr">
        <is>
          <t>RTM-708</t>
        </is>
      </c>
      <c r="B1060" s="228" t="inlineStr">
        <is>
          <t>Warranty</t>
        </is>
      </c>
      <c r="C1060" s="208" t="n">
        <v>10</v>
      </c>
      <c r="D1060" s="208" t="inlineStr">
        <is>
          <t>T2 Secondary</t>
        </is>
      </c>
      <c r="E1060" s="208" t="inlineStr">
        <is>
          <t>Acceptance &amp; Warranty</t>
        </is>
      </c>
      <c r="F1060" s="208" t="n">
        <v>28.3333</v>
      </c>
      <c r="G1060" s="208" t="n">
        <v>347</v>
      </c>
      <c r="H1060" s="208" t="inlineStr">
        <is>
          <t>No separate deliverable explicitly named</t>
        </is>
      </c>
    </row>
    <row r="1061">
      <c r="A1061" s="199" t="inlineStr">
        <is>
          <t>RTM-708</t>
        </is>
      </c>
      <c r="B1061" s="229" t="inlineStr">
        <is>
          <t>FAC</t>
        </is>
      </c>
      <c r="C1061" s="199" t="n">
        <v>5</v>
      </c>
      <c r="D1061" s="199" t="inlineStr">
        <is>
          <t>T2 Secondary</t>
        </is>
      </c>
      <c r="E1061" s="199" t="inlineStr">
        <is>
          <t>Acceptance &amp; Warranty</t>
        </is>
      </c>
      <c r="F1061" s="199" t="n">
        <v>28.3333</v>
      </c>
      <c r="G1061" s="199" t="n">
        <v>347</v>
      </c>
      <c r="H1061" s="199" t="inlineStr">
        <is>
          <t>No separate deliverable explicitly named</t>
        </is>
      </c>
    </row>
    <row r="1062">
      <c r="A1062" s="208" t="inlineStr">
        <is>
          <t>RTM-662</t>
        </is>
      </c>
      <c r="B1062" s="221" t="inlineStr">
        <is>
          <t>L0 Tender / Offer</t>
        </is>
      </c>
      <c r="C1062" s="208" t="n">
        <v>1</v>
      </c>
      <c r="D1062" s="208" t="inlineStr">
        <is>
          <t>T2 Secondary</t>
        </is>
      </c>
      <c r="E1062" s="208" t="inlineStr">
        <is>
          <t>Quality Assurance &amp; Control</t>
        </is>
      </c>
      <c r="F1062" s="208" t="n">
        <v>28.3333</v>
      </c>
      <c r="G1062" s="208" t="n">
        <v>348</v>
      </c>
      <c r="H1062" s="208" t="inlineStr">
        <is>
          <t>No separate deliverable explicitly named</t>
        </is>
      </c>
    </row>
    <row r="1063">
      <c r="A1063" s="199" t="inlineStr">
        <is>
          <t>RTM-662</t>
        </is>
      </c>
      <c r="B1063" s="222" t="inlineStr">
        <is>
          <t>L1 Conceptual Design</t>
        </is>
      </c>
      <c r="C1063" s="199" t="n">
        <v>2</v>
      </c>
      <c r="D1063" s="199" t="inlineStr">
        <is>
          <t>T2 Secondary</t>
        </is>
      </c>
      <c r="E1063" s="199" t="inlineStr">
        <is>
          <t>Quality Assurance &amp; Control</t>
        </is>
      </c>
      <c r="F1063" s="199" t="n">
        <v>28.3333</v>
      </c>
      <c r="G1063" s="199" t="n">
        <v>348</v>
      </c>
      <c r="H1063" s="199" t="inlineStr">
        <is>
          <t>No separate deliverable explicitly named</t>
        </is>
      </c>
    </row>
    <row r="1064">
      <c r="A1064" s="208" t="inlineStr">
        <is>
          <t>RTM-662</t>
        </is>
      </c>
      <c r="B1064" s="223" t="inlineStr">
        <is>
          <t>L2 Detailed Design</t>
        </is>
      </c>
      <c r="C1064" s="208" t="n">
        <v>3</v>
      </c>
      <c r="D1064" s="208" t="inlineStr">
        <is>
          <t>T2 Secondary</t>
        </is>
      </c>
      <c r="E1064" s="208" t="inlineStr">
        <is>
          <t>Quality Assurance &amp; Control</t>
        </is>
      </c>
      <c r="F1064" s="208" t="n">
        <v>28.3333</v>
      </c>
      <c r="G1064" s="208" t="n">
        <v>348</v>
      </c>
      <c r="H1064" s="208" t="inlineStr">
        <is>
          <t>No separate deliverable explicitly named</t>
        </is>
      </c>
    </row>
    <row r="1065">
      <c r="A1065" s="199" t="inlineStr">
        <is>
          <t>RTM-662</t>
        </is>
      </c>
      <c r="B1065" s="224" t="inlineStr">
        <is>
          <t>L3 Procurement &amp; Manufacturing / FAT</t>
        </is>
      </c>
      <c r="C1065" s="199" t="n">
        <v>4</v>
      </c>
      <c r="D1065" s="199" t="inlineStr">
        <is>
          <t>T2 Secondary</t>
        </is>
      </c>
      <c r="E1065" s="199" t="inlineStr">
        <is>
          <t>Quality Assurance &amp; Control</t>
        </is>
      </c>
      <c r="F1065" s="199" t="n">
        <v>28.3333</v>
      </c>
      <c r="G1065" s="199" t="n">
        <v>348</v>
      </c>
      <c r="H1065" s="199" t="inlineStr">
        <is>
          <t>No separate deliverable explicitly named</t>
        </is>
      </c>
    </row>
    <row r="1066">
      <c r="A1066" s="208" t="inlineStr">
        <is>
          <t>RTM-662</t>
        </is>
      </c>
      <c r="B1066" s="220" t="inlineStr">
        <is>
          <t>L4 Installation</t>
        </is>
      </c>
      <c r="C1066" s="208" t="n">
        <v>6</v>
      </c>
      <c r="D1066" s="208" t="inlineStr">
        <is>
          <t>T2 Secondary</t>
        </is>
      </c>
      <c r="E1066" s="208" t="inlineStr">
        <is>
          <t>Quality Assurance &amp; Control</t>
        </is>
      </c>
      <c r="F1066" s="208" t="n">
        <v>28.3333</v>
      </c>
      <c r="G1066" s="208" t="n">
        <v>348</v>
      </c>
      <c r="H1066" s="208" t="inlineStr">
        <is>
          <t>No separate deliverable explicitly named</t>
        </is>
      </c>
    </row>
    <row r="1067">
      <c r="A1067" s="199" t="inlineStr">
        <is>
          <t>RTM-662</t>
        </is>
      </c>
      <c r="B1067" s="225" t="inlineStr">
        <is>
          <t>L5 Standalone Commissioning</t>
        </is>
      </c>
      <c r="C1067" s="199" t="n">
        <v>7</v>
      </c>
      <c r="D1067" s="199" t="inlineStr">
        <is>
          <t>T2 Secondary</t>
        </is>
      </c>
      <c r="E1067" s="199" t="inlineStr">
        <is>
          <t>Quality Assurance &amp; Control</t>
        </is>
      </c>
      <c r="F1067" s="199" t="n">
        <v>28.3333</v>
      </c>
      <c r="G1067" s="199" t="n">
        <v>348</v>
      </c>
      <c r="H1067" s="199" t="inlineStr">
        <is>
          <t>No separate deliverable explicitly named</t>
        </is>
      </c>
    </row>
    <row r="1068">
      <c r="A1068" s="208" t="inlineStr">
        <is>
          <t>RTM-662</t>
        </is>
      </c>
      <c r="B1068" s="226" t="inlineStr">
        <is>
          <t>L6 Site Acceptance Testing</t>
        </is>
      </c>
      <c r="C1068" s="208" t="n">
        <v>8</v>
      </c>
      <c r="D1068" s="208" t="inlineStr">
        <is>
          <t>T2 Secondary</t>
        </is>
      </c>
      <c r="E1068" s="208" t="inlineStr">
        <is>
          <t>Quality Assurance &amp; Control</t>
        </is>
      </c>
      <c r="F1068" s="208" t="n">
        <v>28.3333</v>
      </c>
      <c r="G1068" s="208" t="n">
        <v>348</v>
      </c>
      <c r="H1068" s="208" t="inlineStr">
        <is>
          <t>No separate deliverable explicitly named</t>
        </is>
      </c>
    </row>
    <row r="1069">
      <c r="A1069" s="199" t="inlineStr">
        <is>
          <t>RTM-677</t>
        </is>
      </c>
      <c r="B1069" s="226" t="inlineStr">
        <is>
          <t>L6 Site Acceptance Testing</t>
        </is>
      </c>
      <c r="C1069" s="199" t="n">
        <v>8</v>
      </c>
      <c r="D1069" s="199" t="inlineStr">
        <is>
          <t>T2 Secondary</t>
        </is>
      </c>
      <c r="E1069" s="199" t="inlineStr">
        <is>
          <t>Quality Assurance &amp; Control</t>
        </is>
      </c>
      <c r="F1069" s="199" t="n">
        <v>28.3333</v>
      </c>
      <c r="G1069" s="199" t="n">
        <v>349</v>
      </c>
      <c r="H1069" s="199" t="inlineStr">
        <is>
          <t>No separate deliverable explicitly named</t>
        </is>
      </c>
    </row>
    <row r="1070">
      <c r="A1070" s="208" t="inlineStr">
        <is>
          <t>RTM-677</t>
        </is>
      </c>
      <c r="B1070" s="221" t="inlineStr">
        <is>
          <t>L0 Tender / Offer</t>
        </is>
      </c>
      <c r="C1070" s="208" t="n">
        <v>1</v>
      </c>
      <c r="D1070" s="208" t="inlineStr">
        <is>
          <t>T2 Secondary</t>
        </is>
      </c>
      <c r="E1070" s="208" t="inlineStr">
        <is>
          <t>Quality Assurance &amp; Control</t>
        </is>
      </c>
      <c r="F1070" s="208" t="n">
        <v>28.3333</v>
      </c>
      <c r="G1070" s="208" t="n">
        <v>349</v>
      </c>
      <c r="H1070" s="208" t="inlineStr">
        <is>
          <t>No separate deliverable explicitly named</t>
        </is>
      </c>
    </row>
    <row r="1071">
      <c r="A1071" s="199" t="inlineStr">
        <is>
          <t>RTM-677</t>
        </is>
      </c>
      <c r="B1071" s="222" t="inlineStr">
        <is>
          <t>L1 Conceptual Design</t>
        </is>
      </c>
      <c r="C1071" s="199" t="n">
        <v>2</v>
      </c>
      <c r="D1071" s="199" t="inlineStr">
        <is>
          <t>T2 Secondary</t>
        </is>
      </c>
      <c r="E1071" s="199" t="inlineStr">
        <is>
          <t>Quality Assurance &amp; Control</t>
        </is>
      </c>
      <c r="F1071" s="199" t="n">
        <v>28.3333</v>
      </c>
      <c r="G1071" s="199" t="n">
        <v>349</v>
      </c>
      <c r="H1071" s="199" t="inlineStr">
        <is>
          <t>No separate deliverable explicitly named</t>
        </is>
      </c>
    </row>
    <row r="1072">
      <c r="A1072" s="208" t="inlineStr">
        <is>
          <t>RTM-677</t>
        </is>
      </c>
      <c r="B1072" s="223" t="inlineStr">
        <is>
          <t>L2 Detailed Design</t>
        </is>
      </c>
      <c r="C1072" s="208" t="n">
        <v>3</v>
      </c>
      <c r="D1072" s="208" t="inlineStr">
        <is>
          <t>T2 Secondary</t>
        </is>
      </c>
      <c r="E1072" s="208" t="inlineStr">
        <is>
          <t>Quality Assurance &amp; Control</t>
        </is>
      </c>
      <c r="F1072" s="208" t="n">
        <v>28.3333</v>
      </c>
      <c r="G1072" s="208" t="n">
        <v>349</v>
      </c>
      <c r="H1072" s="208" t="inlineStr">
        <is>
          <t>No separate deliverable explicitly named</t>
        </is>
      </c>
    </row>
    <row r="1073">
      <c r="A1073" s="199" t="inlineStr">
        <is>
          <t>RTM-677</t>
        </is>
      </c>
      <c r="B1073" s="224" t="inlineStr">
        <is>
          <t>L3 Procurement &amp; Manufacturing / FAT</t>
        </is>
      </c>
      <c r="C1073" s="199" t="n">
        <v>4</v>
      </c>
      <c r="D1073" s="199" t="inlineStr">
        <is>
          <t>T2 Secondary</t>
        </is>
      </c>
      <c r="E1073" s="199" t="inlineStr">
        <is>
          <t>Quality Assurance &amp; Control</t>
        </is>
      </c>
      <c r="F1073" s="199" t="n">
        <v>28.3333</v>
      </c>
      <c r="G1073" s="199" t="n">
        <v>349</v>
      </c>
      <c r="H1073" s="199" t="inlineStr">
        <is>
          <t>No separate deliverable explicitly named</t>
        </is>
      </c>
    </row>
    <row r="1074">
      <c r="A1074" s="208" t="inlineStr">
        <is>
          <t>RTM-677</t>
        </is>
      </c>
      <c r="B1074" s="220" t="inlineStr">
        <is>
          <t>L4 Installation</t>
        </is>
      </c>
      <c r="C1074" s="208" t="n">
        <v>6</v>
      </c>
      <c r="D1074" s="208" t="inlineStr">
        <is>
          <t>T2 Secondary</t>
        </is>
      </c>
      <c r="E1074" s="208" t="inlineStr">
        <is>
          <t>Quality Assurance &amp; Control</t>
        </is>
      </c>
      <c r="F1074" s="208" t="n">
        <v>28.3333</v>
      </c>
      <c r="G1074" s="208" t="n">
        <v>349</v>
      </c>
      <c r="H1074" s="208" t="inlineStr">
        <is>
          <t>No separate deliverable explicitly named</t>
        </is>
      </c>
    </row>
    <row r="1075">
      <c r="A1075" s="199" t="inlineStr">
        <is>
          <t>RTM-677</t>
        </is>
      </c>
      <c r="B1075" s="225" t="inlineStr">
        <is>
          <t>L5 Standalone Commissioning</t>
        </is>
      </c>
      <c r="C1075" s="199" t="n">
        <v>7</v>
      </c>
      <c r="D1075" s="199" t="inlineStr">
        <is>
          <t>T2 Secondary</t>
        </is>
      </c>
      <c r="E1075" s="199" t="inlineStr">
        <is>
          <t>Quality Assurance &amp; Control</t>
        </is>
      </c>
      <c r="F1075" s="199" t="n">
        <v>28.3333</v>
      </c>
      <c r="G1075" s="199" t="n">
        <v>349</v>
      </c>
      <c r="H1075" s="199" t="inlineStr">
        <is>
          <t>No separate deliverable explicitly named</t>
        </is>
      </c>
    </row>
    <row r="1076">
      <c r="A1076" s="208" t="inlineStr">
        <is>
          <t>RTM-010</t>
        </is>
      </c>
      <c r="B1076" s="222" t="inlineStr">
        <is>
          <t>L1 Conceptual Design</t>
        </is>
      </c>
      <c r="C1076" s="208" t="n">
        <v>2</v>
      </c>
      <c r="D1076" s="208" t="inlineStr">
        <is>
          <t>T2 Secondary</t>
        </is>
      </c>
      <c r="E1076" s="208" t="inlineStr">
        <is>
          <t>Process &amp; Functional</t>
        </is>
      </c>
      <c r="F1076" s="208" t="n">
        <v>28</v>
      </c>
      <c r="G1076" s="208" t="n">
        <v>350</v>
      </c>
      <c r="H1076" s="208" t="inlineStr">
        <is>
          <t>No separate deliverable explicitly named</t>
        </is>
      </c>
    </row>
    <row r="1077">
      <c r="A1077" s="199" t="inlineStr">
        <is>
          <t>RTM-010</t>
        </is>
      </c>
      <c r="B1077" s="223" t="inlineStr">
        <is>
          <t>L2 Detailed Design</t>
        </is>
      </c>
      <c r="C1077" s="199" t="n">
        <v>3</v>
      </c>
      <c r="D1077" s="199" t="inlineStr">
        <is>
          <t>T2 Secondary</t>
        </is>
      </c>
      <c r="E1077" s="199" t="inlineStr">
        <is>
          <t>Process &amp; Functional</t>
        </is>
      </c>
      <c r="F1077" s="199" t="n">
        <v>28</v>
      </c>
      <c r="G1077" s="199" t="n">
        <v>350</v>
      </c>
      <c r="H1077" s="199" t="inlineStr">
        <is>
          <t>No separate deliverable explicitly named</t>
        </is>
      </c>
    </row>
    <row r="1078">
      <c r="A1078" s="208" t="inlineStr">
        <is>
          <t>RTM-011</t>
        </is>
      </c>
      <c r="B1078" s="222" t="inlineStr">
        <is>
          <t>L1 Conceptual Design</t>
        </is>
      </c>
      <c r="C1078" s="208" t="n">
        <v>2</v>
      </c>
      <c r="D1078" s="208" t="inlineStr">
        <is>
          <t>T2 Secondary</t>
        </is>
      </c>
      <c r="E1078" s="208" t="inlineStr">
        <is>
          <t>Process &amp; Functional</t>
        </is>
      </c>
      <c r="F1078" s="208" t="n">
        <v>28</v>
      </c>
      <c r="G1078" s="208" t="n">
        <v>351</v>
      </c>
      <c r="H1078" s="208" t="inlineStr">
        <is>
          <t>No separate deliverable explicitly named</t>
        </is>
      </c>
    </row>
    <row r="1079">
      <c r="A1079" s="199" t="inlineStr">
        <is>
          <t>RTM-011</t>
        </is>
      </c>
      <c r="B1079" s="223" t="inlineStr">
        <is>
          <t>L2 Detailed Design</t>
        </is>
      </c>
      <c r="C1079" s="199" t="n">
        <v>3</v>
      </c>
      <c r="D1079" s="199" t="inlineStr">
        <is>
          <t>T2 Secondary</t>
        </is>
      </c>
      <c r="E1079" s="199" t="inlineStr">
        <is>
          <t>Process &amp; Functional</t>
        </is>
      </c>
      <c r="F1079" s="199" t="n">
        <v>28</v>
      </c>
      <c r="G1079" s="199" t="n">
        <v>351</v>
      </c>
      <c r="H1079" s="199" t="inlineStr">
        <is>
          <t>No separate deliverable explicitly named</t>
        </is>
      </c>
    </row>
    <row r="1080">
      <c r="A1080" s="208" t="inlineStr">
        <is>
          <t>RTM-040</t>
        </is>
      </c>
      <c r="B1080" s="222" t="inlineStr">
        <is>
          <t>L1 Conceptual Design</t>
        </is>
      </c>
      <c r="C1080" s="208" t="n">
        <v>2</v>
      </c>
      <c r="D1080" s="208" t="inlineStr">
        <is>
          <t>T2 Secondary</t>
        </is>
      </c>
      <c r="E1080" s="208" t="inlineStr">
        <is>
          <t>Process &amp; Functional</t>
        </is>
      </c>
      <c r="F1080" s="208" t="n">
        <v>28</v>
      </c>
      <c r="G1080" s="208" t="n">
        <v>352</v>
      </c>
      <c r="H1080" s="208" t="inlineStr">
        <is>
          <t>No separate deliverable explicitly named</t>
        </is>
      </c>
    </row>
    <row r="1081">
      <c r="A1081" s="199" t="inlineStr">
        <is>
          <t>RTM-040</t>
        </is>
      </c>
      <c r="B1081" s="223" t="inlineStr">
        <is>
          <t>L2 Detailed Design</t>
        </is>
      </c>
      <c r="C1081" s="199" t="n">
        <v>3</v>
      </c>
      <c r="D1081" s="199" t="inlineStr">
        <is>
          <t>T2 Secondary</t>
        </is>
      </c>
      <c r="E1081" s="199" t="inlineStr">
        <is>
          <t>Process &amp; Functional</t>
        </is>
      </c>
      <c r="F1081" s="199" t="n">
        <v>28</v>
      </c>
      <c r="G1081" s="199" t="n">
        <v>352</v>
      </c>
      <c r="H1081" s="199" t="inlineStr">
        <is>
          <t>No separate deliverable explicitly named</t>
        </is>
      </c>
    </row>
    <row r="1082">
      <c r="A1082" s="208" t="inlineStr">
        <is>
          <t>RTM-072</t>
        </is>
      </c>
      <c r="B1082" s="222" t="inlineStr">
        <is>
          <t>L1 Conceptual Design</t>
        </is>
      </c>
      <c r="C1082" s="208" t="n">
        <v>2</v>
      </c>
      <c r="D1082" s="208" t="inlineStr">
        <is>
          <t>T2 Secondary</t>
        </is>
      </c>
      <c r="E1082" s="208" t="inlineStr">
        <is>
          <t>Global Design Criteria</t>
        </is>
      </c>
      <c r="F1082" s="208" t="n">
        <v>28</v>
      </c>
      <c r="G1082" s="208" t="n">
        <v>353</v>
      </c>
      <c r="H1082" s="208" t="inlineStr">
        <is>
          <t>No separate deliverable explicitly named</t>
        </is>
      </c>
    </row>
    <row r="1083">
      <c r="A1083" s="199" t="inlineStr">
        <is>
          <t>RTM-072</t>
        </is>
      </c>
      <c r="B1083" s="223" t="inlineStr">
        <is>
          <t>L2 Detailed Design</t>
        </is>
      </c>
      <c r="C1083" s="199" t="n">
        <v>3</v>
      </c>
      <c r="D1083" s="199" t="inlineStr">
        <is>
          <t>T2 Secondary</t>
        </is>
      </c>
      <c r="E1083" s="199" t="inlineStr">
        <is>
          <t>Global Design Criteria</t>
        </is>
      </c>
      <c r="F1083" s="199" t="n">
        <v>28</v>
      </c>
      <c r="G1083" s="199" t="n">
        <v>353</v>
      </c>
      <c r="H1083" s="199" t="inlineStr">
        <is>
          <t>No separate deliverable explicitly named</t>
        </is>
      </c>
    </row>
    <row r="1084">
      <c r="A1084" s="208" t="inlineStr">
        <is>
          <t>RTM-076</t>
        </is>
      </c>
      <c r="B1084" s="222" t="inlineStr">
        <is>
          <t>L1 Conceptual Design</t>
        </is>
      </c>
      <c r="C1084" s="208" t="n">
        <v>2</v>
      </c>
      <c r="D1084" s="208" t="inlineStr">
        <is>
          <t>T2 Secondary</t>
        </is>
      </c>
      <c r="E1084" s="208" t="inlineStr">
        <is>
          <t>Global Design Criteria</t>
        </is>
      </c>
      <c r="F1084" s="208" t="n">
        <v>28</v>
      </c>
      <c r="G1084" s="208" t="n">
        <v>354</v>
      </c>
      <c r="H1084" s="208" t="inlineStr">
        <is>
          <t>No separate deliverable explicitly named</t>
        </is>
      </c>
    </row>
    <row r="1085">
      <c r="A1085" s="199" t="inlineStr">
        <is>
          <t>RTM-076</t>
        </is>
      </c>
      <c r="B1085" s="223" t="inlineStr">
        <is>
          <t>L2 Detailed Design</t>
        </is>
      </c>
      <c r="C1085" s="199" t="n">
        <v>3</v>
      </c>
      <c r="D1085" s="199" t="inlineStr">
        <is>
          <t>T2 Secondary</t>
        </is>
      </c>
      <c r="E1085" s="199" t="inlineStr">
        <is>
          <t>Global Design Criteria</t>
        </is>
      </c>
      <c r="F1085" s="199" t="n">
        <v>28</v>
      </c>
      <c r="G1085" s="199" t="n">
        <v>354</v>
      </c>
      <c r="H1085" s="199" t="inlineStr">
        <is>
          <t>No separate deliverable explicitly named</t>
        </is>
      </c>
    </row>
    <row r="1086">
      <c r="A1086" s="208" t="inlineStr">
        <is>
          <t>RTM-077</t>
        </is>
      </c>
      <c r="B1086" s="222" t="inlineStr">
        <is>
          <t>L1 Conceptual Design</t>
        </is>
      </c>
      <c r="C1086" s="208" t="n">
        <v>2</v>
      </c>
      <c r="D1086" s="208" t="inlineStr">
        <is>
          <t>T2 Secondary</t>
        </is>
      </c>
      <c r="E1086" s="208" t="inlineStr">
        <is>
          <t>Global Design Criteria</t>
        </is>
      </c>
      <c r="F1086" s="208" t="n">
        <v>28</v>
      </c>
      <c r="G1086" s="208" t="n">
        <v>355</v>
      </c>
      <c r="H1086" s="208" t="inlineStr">
        <is>
          <t>No separate deliverable explicitly named</t>
        </is>
      </c>
    </row>
    <row r="1087">
      <c r="A1087" s="199" t="inlineStr">
        <is>
          <t>RTM-077</t>
        </is>
      </c>
      <c r="B1087" s="223" t="inlineStr">
        <is>
          <t>L2 Detailed Design</t>
        </is>
      </c>
      <c r="C1087" s="199" t="n">
        <v>3</v>
      </c>
      <c r="D1087" s="199" t="inlineStr">
        <is>
          <t>T2 Secondary</t>
        </is>
      </c>
      <c r="E1087" s="199" t="inlineStr">
        <is>
          <t>Global Design Criteria</t>
        </is>
      </c>
      <c r="F1087" s="199" t="n">
        <v>28</v>
      </c>
      <c r="G1087" s="199" t="n">
        <v>355</v>
      </c>
      <c r="H1087" s="199" t="inlineStr">
        <is>
          <t>No separate deliverable explicitly named</t>
        </is>
      </c>
    </row>
    <row r="1088">
      <c r="A1088" s="208" t="inlineStr">
        <is>
          <t>RTM-094</t>
        </is>
      </c>
      <c r="B1088" s="222" t="inlineStr">
        <is>
          <t>L1 Conceptual Design</t>
        </is>
      </c>
      <c r="C1088" s="208" t="n">
        <v>2</v>
      </c>
      <c r="D1088" s="208" t="inlineStr">
        <is>
          <t>T2 Secondary</t>
        </is>
      </c>
      <c r="E1088" s="208" t="inlineStr">
        <is>
          <t>Subsystems</t>
        </is>
      </c>
      <c r="F1088" s="208" t="n">
        <v>28</v>
      </c>
      <c r="G1088" s="208" t="n">
        <v>356</v>
      </c>
      <c r="H1088" s="208" t="inlineStr">
        <is>
          <t>No separate deliverable explicitly named</t>
        </is>
      </c>
    </row>
    <row r="1089">
      <c r="A1089" s="199" t="inlineStr">
        <is>
          <t>RTM-094</t>
        </is>
      </c>
      <c r="B1089" s="223" t="inlineStr">
        <is>
          <t>L2 Detailed Design</t>
        </is>
      </c>
      <c r="C1089" s="199" t="n">
        <v>3</v>
      </c>
      <c r="D1089" s="199" t="inlineStr">
        <is>
          <t>T2 Secondary</t>
        </is>
      </c>
      <c r="E1089" s="199" t="inlineStr">
        <is>
          <t>Subsystems</t>
        </is>
      </c>
      <c r="F1089" s="199" t="n">
        <v>28</v>
      </c>
      <c r="G1089" s="199" t="n">
        <v>356</v>
      </c>
      <c r="H1089" s="199" t="inlineStr">
        <is>
          <t>No separate deliverable explicitly named</t>
        </is>
      </c>
    </row>
    <row r="1090">
      <c r="A1090" s="208" t="inlineStr">
        <is>
          <t>RTM-106</t>
        </is>
      </c>
      <c r="B1090" s="222" t="inlineStr">
        <is>
          <t>L1 Conceptual Design</t>
        </is>
      </c>
      <c r="C1090" s="208" t="n">
        <v>2</v>
      </c>
      <c r="D1090" s="208" t="inlineStr">
        <is>
          <t>T2 Secondary</t>
        </is>
      </c>
      <c r="E1090" s="208" t="inlineStr">
        <is>
          <t>Subsystems</t>
        </is>
      </c>
      <c r="F1090" s="208" t="n">
        <v>28</v>
      </c>
      <c r="G1090" s="208" t="n">
        <v>357</v>
      </c>
      <c r="H1090" s="208" t="inlineStr">
        <is>
          <t>No separate deliverable explicitly named</t>
        </is>
      </c>
    </row>
    <row r="1091">
      <c r="A1091" s="199" t="inlineStr">
        <is>
          <t>RTM-106</t>
        </is>
      </c>
      <c r="B1091" s="223" t="inlineStr">
        <is>
          <t>L2 Detailed Design</t>
        </is>
      </c>
      <c r="C1091" s="199" t="n">
        <v>3</v>
      </c>
      <c r="D1091" s="199" t="inlineStr">
        <is>
          <t>T2 Secondary</t>
        </is>
      </c>
      <c r="E1091" s="199" t="inlineStr">
        <is>
          <t>Subsystems</t>
        </is>
      </c>
      <c r="F1091" s="199" t="n">
        <v>28</v>
      </c>
      <c r="G1091" s="199" t="n">
        <v>357</v>
      </c>
      <c r="H1091" s="199" t="inlineStr">
        <is>
          <t>No separate deliverable explicitly named</t>
        </is>
      </c>
    </row>
    <row r="1092">
      <c r="A1092" s="208" t="inlineStr">
        <is>
          <t>RTM-115</t>
        </is>
      </c>
      <c r="B1092" s="222" t="inlineStr">
        <is>
          <t>L1 Conceptual Design</t>
        </is>
      </c>
      <c r="C1092" s="208" t="n">
        <v>2</v>
      </c>
      <c r="D1092" s="208" t="inlineStr">
        <is>
          <t>T2 Secondary</t>
        </is>
      </c>
      <c r="E1092" s="208" t="inlineStr">
        <is>
          <t>Subsystems</t>
        </is>
      </c>
      <c r="F1092" s="208" t="n">
        <v>28</v>
      </c>
      <c r="G1092" s="208" t="n">
        <v>358</v>
      </c>
      <c r="H1092" s="208" t="inlineStr">
        <is>
          <t>No separate deliverable explicitly named</t>
        </is>
      </c>
    </row>
    <row r="1093">
      <c r="A1093" s="199" t="inlineStr">
        <is>
          <t>RTM-115</t>
        </is>
      </c>
      <c r="B1093" s="223" t="inlineStr">
        <is>
          <t>L2 Detailed Design</t>
        </is>
      </c>
      <c r="C1093" s="199" t="n">
        <v>3</v>
      </c>
      <c r="D1093" s="199" t="inlineStr">
        <is>
          <t>T2 Secondary</t>
        </is>
      </c>
      <c r="E1093" s="199" t="inlineStr">
        <is>
          <t>Subsystems</t>
        </is>
      </c>
      <c r="F1093" s="199" t="n">
        <v>28</v>
      </c>
      <c r="G1093" s="199" t="n">
        <v>358</v>
      </c>
      <c r="H1093" s="199" t="inlineStr">
        <is>
          <t>No separate deliverable explicitly named</t>
        </is>
      </c>
    </row>
    <row r="1094">
      <c r="A1094" s="208" t="inlineStr">
        <is>
          <t>RTM-122</t>
        </is>
      </c>
      <c r="B1094" s="222" t="inlineStr">
        <is>
          <t>L1 Conceptual Design</t>
        </is>
      </c>
      <c r="C1094" s="208" t="n">
        <v>2</v>
      </c>
      <c r="D1094" s="208" t="inlineStr">
        <is>
          <t>T2 Secondary</t>
        </is>
      </c>
      <c r="E1094" s="208" t="inlineStr">
        <is>
          <t>Subsystems</t>
        </is>
      </c>
      <c r="F1094" s="208" t="n">
        <v>28</v>
      </c>
      <c r="G1094" s="208" t="n">
        <v>359</v>
      </c>
      <c r="H1094" s="208" t="inlineStr">
        <is>
          <t>No separate deliverable explicitly named</t>
        </is>
      </c>
    </row>
    <row r="1095">
      <c r="A1095" s="199" t="inlineStr">
        <is>
          <t>RTM-122</t>
        </is>
      </c>
      <c r="B1095" s="223" t="inlineStr">
        <is>
          <t>L2 Detailed Design</t>
        </is>
      </c>
      <c r="C1095" s="199" t="n">
        <v>3</v>
      </c>
      <c r="D1095" s="199" t="inlineStr">
        <is>
          <t>T2 Secondary</t>
        </is>
      </c>
      <c r="E1095" s="199" t="inlineStr">
        <is>
          <t>Subsystems</t>
        </is>
      </c>
      <c r="F1095" s="199" t="n">
        <v>28</v>
      </c>
      <c r="G1095" s="199" t="n">
        <v>359</v>
      </c>
      <c r="H1095" s="199" t="inlineStr">
        <is>
          <t>No separate deliverable explicitly named</t>
        </is>
      </c>
    </row>
    <row r="1096">
      <c r="A1096" s="208" t="inlineStr">
        <is>
          <t>RTM-134</t>
        </is>
      </c>
      <c r="B1096" s="222" t="inlineStr">
        <is>
          <t>L1 Conceptual Design</t>
        </is>
      </c>
      <c r="C1096" s="208" t="n">
        <v>2</v>
      </c>
      <c r="D1096" s="208" t="inlineStr">
        <is>
          <t>T2 Secondary</t>
        </is>
      </c>
      <c r="E1096" s="208" t="inlineStr">
        <is>
          <t>Subsystems</t>
        </is>
      </c>
      <c r="F1096" s="208" t="n">
        <v>28</v>
      </c>
      <c r="G1096" s="208" t="n">
        <v>360</v>
      </c>
      <c r="H1096" s="208" t="inlineStr">
        <is>
          <t>No separate deliverable explicitly named</t>
        </is>
      </c>
    </row>
    <row r="1097">
      <c r="A1097" s="199" t="inlineStr">
        <is>
          <t>RTM-134</t>
        </is>
      </c>
      <c r="B1097" s="223" t="inlineStr">
        <is>
          <t>L2 Detailed Design</t>
        </is>
      </c>
      <c r="C1097" s="199" t="n">
        <v>3</v>
      </c>
      <c r="D1097" s="199" t="inlineStr">
        <is>
          <t>T2 Secondary</t>
        </is>
      </c>
      <c r="E1097" s="199" t="inlineStr">
        <is>
          <t>Subsystems</t>
        </is>
      </c>
      <c r="F1097" s="199" t="n">
        <v>28</v>
      </c>
      <c r="G1097" s="199" t="n">
        <v>360</v>
      </c>
      <c r="H1097" s="199" t="inlineStr">
        <is>
          <t>No separate deliverable explicitly named</t>
        </is>
      </c>
    </row>
    <row r="1098">
      <c r="A1098" s="208" t="inlineStr">
        <is>
          <t>RTM-167</t>
        </is>
      </c>
      <c r="B1098" s="222" t="inlineStr">
        <is>
          <t>L1 Conceptual Design</t>
        </is>
      </c>
      <c r="C1098" s="208" t="n">
        <v>2</v>
      </c>
      <c r="D1098" s="208" t="inlineStr">
        <is>
          <t>T2 Secondary</t>
        </is>
      </c>
      <c r="E1098" s="208" t="inlineStr">
        <is>
          <t>Subsystems</t>
        </is>
      </c>
      <c r="F1098" s="208" t="n">
        <v>28</v>
      </c>
      <c r="G1098" s="208" t="n">
        <v>361</v>
      </c>
      <c r="H1098" s="208" t="inlineStr">
        <is>
          <t>No separate deliverable explicitly named</t>
        </is>
      </c>
    </row>
    <row r="1099">
      <c r="A1099" s="199" t="inlineStr">
        <is>
          <t>RTM-167</t>
        </is>
      </c>
      <c r="B1099" s="223" t="inlineStr">
        <is>
          <t>L2 Detailed Design</t>
        </is>
      </c>
      <c r="C1099" s="199" t="n">
        <v>3</v>
      </c>
      <c r="D1099" s="199" t="inlineStr">
        <is>
          <t>T2 Secondary</t>
        </is>
      </c>
      <c r="E1099" s="199" t="inlineStr">
        <is>
          <t>Subsystems</t>
        </is>
      </c>
      <c r="F1099" s="199" t="n">
        <v>28</v>
      </c>
      <c r="G1099" s="199" t="n">
        <v>361</v>
      </c>
      <c r="H1099" s="199" t="inlineStr">
        <is>
          <t>No separate deliverable explicitly named</t>
        </is>
      </c>
    </row>
    <row r="1100">
      <c r="A1100" s="208" t="inlineStr">
        <is>
          <t>RTM-201</t>
        </is>
      </c>
      <c r="B1100" s="222" t="inlineStr">
        <is>
          <t>L1 Conceptual Design</t>
        </is>
      </c>
      <c r="C1100" s="208" t="n">
        <v>2</v>
      </c>
      <c r="D1100" s="208" t="inlineStr">
        <is>
          <t>T2 Secondary</t>
        </is>
      </c>
      <c r="E1100" s="208" t="inlineStr">
        <is>
          <t>Subsystems</t>
        </is>
      </c>
      <c r="F1100" s="208" t="n">
        <v>28</v>
      </c>
      <c r="G1100" s="208" t="n">
        <v>362</v>
      </c>
      <c r="H1100" s="208" t="inlineStr">
        <is>
          <t>No separate deliverable explicitly named</t>
        </is>
      </c>
    </row>
    <row r="1101">
      <c r="A1101" s="199" t="inlineStr">
        <is>
          <t>RTM-201</t>
        </is>
      </c>
      <c r="B1101" s="223" t="inlineStr">
        <is>
          <t>L2 Detailed Design</t>
        </is>
      </c>
      <c r="C1101" s="199" t="n">
        <v>3</v>
      </c>
      <c r="D1101" s="199" t="inlineStr">
        <is>
          <t>T2 Secondary</t>
        </is>
      </c>
      <c r="E1101" s="199" t="inlineStr">
        <is>
          <t>Subsystems</t>
        </is>
      </c>
      <c r="F1101" s="199" t="n">
        <v>28</v>
      </c>
      <c r="G1101" s="199" t="n">
        <v>362</v>
      </c>
      <c r="H1101" s="199" t="inlineStr">
        <is>
          <t>No separate deliverable explicitly named</t>
        </is>
      </c>
    </row>
    <row r="1102">
      <c r="A1102" s="208" t="inlineStr">
        <is>
          <t>RTM-205</t>
        </is>
      </c>
      <c r="B1102" s="222" t="inlineStr">
        <is>
          <t>L1 Conceptual Design</t>
        </is>
      </c>
      <c r="C1102" s="208" t="n">
        <v>2</v>
      </c>
      <c r="D1102" s="208" t="inlineStr">
        <is>
          <t>T2 Secondary</t>
        </is>
      </c>
      <c r="E1102" s="208" t="inlineStr">
        <is>
          <t>Subsystems</t>
        </is>
      </c>
      <c r="F1102" s="208" t="n">
        <v>28</v>
      </c>
      <c r="G1102" s="208" t="n">
        <v>363</v>
      </c>
      <c r="H1102" s="208" t="inlineStr">
        <is>
          <t>No separate deliverable explicitly named</t>
        </is>
      </c>
    </row>
    <row r="1103">
      <c r="A1103" s="199" t="inlineStr">
        <is>
          <t>RTM-205</t>
        </is>
      </c>
      <c r="B1103" s="223" t="inlineStr">
        <is>
          <t>L2 Detailed Design</t>
        </is>
      </c>
      <c r="C1103" s="199" t="n">
        <v>3</v>
      </c>
      <c r="D1103" s="199" t="inlineStr">
        <is>
          <t>T2 Secondary</t>
        </is>
      </c>
      <c r="E1103" s="199" t="inlineStr">
        <is>
          <t>Subsystems</t>
        </is>
      </c>
      <c r="F1103" s="199" t="n">
        <v>28</v>
      </c>
      <c r="G1103" s="199" t="n">
        <v>363</v>
      </c>
      <c r="H1103" s="199" t="inlineStr">
        <is>
          <t>No separate deliverable explicitly named</t>
        </is>
      </c>
    </row>
    <row r="1104">
      <c r="A1104" s="208" t="inlineStr">
        <is>
          <t>RTM-223</t>
        </is>
      </c>
      <c r="B1104" s="222" t="inlineStr">
        <is>
          <t>L1 Conceptual Design</t>
        </is>
      </c>
      <c r="C1104" s="208" t="n">
        <v>2</v>
      </c>
      <c r="D1104" s="208" t="inlineStr">
        <is>
          <t>T2 Secondary</t>
        </is>
      </c>
      <c r="E1104" s="208" t="inlineStr">
        <is>
          <t>Subsystems</t>
        </is>
      </c>
      <c r="F1104" s="208" t="n">
        <v>28</v>
      </c>
      <c r="G1104" s="208" t="n">
        <v>364</v>
      </c>
      <c r="H1104" s="208" t="inlineStr">
        <is>
          <t>No separate deliverable explicitly named</t>
        </is>
      </c>
    </row>
    <row r="1105">
      <c r="A1105" s="199" t="inlineStr">
        <is>
          <t>RTM-223</t>
        </is>
      </c>
      <c r="B1105" s="223" t="inlineStr">
        <is>
          <t>L2 Detailed Design</t>
        </is>
      </c>
      <c r="C1105" s="199" t="n">
        <v>3</v>
      </c>
      <c r="D1105" s="199" t="inlineStr">
        <is>
          <t>T2 Secondary</t>
        </is>
      </c>
      <c r="E1105" s="199" t="inlineStr">
        <is>
          <t>Subsystems</t>
        </is>
      </c>
      <c r="F1105" s="199" t="n">
        <v>28</v>
      </c>
      <c r="G1105" s="199" t="n">
        <v>364</v>
      </c>
      <c r="H1105" s="199" t="inlineStr">
        <is>
          <t>No separate deliverable explicitly named</t>
        </is>
      </c>
    </row>
    <row r="1106">
      <c r="A1106" s="208" t="inlineStr">
        <is>
          <t>RTM-232</t>
        </is>
      </c>
      <c r="B1106" s="222" t="inlineStr">
        <is>
          <t>L1 Conceptual Design</t>
        </is>
      </c>
      <c r="C1106" s="208" t="n">
        <v>2</v>
      </c>
      <c r="D1106" s="208" t="inlineStr">
        <is>
          <t>T2 Secondary</t>
        </is>
      </c>
      <c r="E1106" s="208" t="inlineStr">
        <is>
          <t>Subsystems</t>
        </is>
      </c>
      <c r="F1106" s="208" t="n">
        <v>28</v>
      </c>
      <c r="G1106" s="208" t="n">
        <v>365</v>
      </c>
      <c r="H1106" s="208" t="inlineStr">
        <is>
          <t>No separate deliverable explicitly named</t>
        </is>
      </c>
    </row>
    <row r="1107">
      <c r="A1107" s="199" t="inlineStr">
        <is>
          <t>RTM-232</t>
        </is>
      </c>
      <c r="B1107" s="223" t="inlineStr">
        <is>
          <t>L2 Detailed Design</t>
        </is>
      </c>
      <c r="C1107" s="199" t="n">
        <v>3</v>
      </c>
      <c r="D1107" s="199" t="inlineStr">
        <is>
          <t>T2 Secondary</t>
        </is>
      </c>
      <c r="E1107" s="199" t="inlineStr">
        <is>
          <t>Subsystems</t>
        </is>
      </c>
      <c r="F1107" s="199" t="n">
        <v>28</v>
      </c>
      <c r="G1107" s="199" t="n">
        <v>365</v>
      </c>
      <c r="H1107" s="199" t="inlineStr">
        <is>
          <t>No separate deliverable explicitly named</t>
        </is>
      </c>
    </row>
    <row r="1108">
      <c r="A1108" s="208" t="inlineStr">
        <is>
          <t>RTM-241</t>
        </is>
      </c>
      <c r="B1108" s="222" t="inlineStr">
        <is>
          <t>L1 Conceptual Design</t>
        </is>
      </c>
      <c r="C1108" s="208" t="n">
        <v>2</v>
      </c>
      <c r="D1108" s="208" t="inlineStr">
        <is>
          <t>T2 Secondary</t>
        </is>
      </c>
      <c r="E1108" s="208" t="inlineStr">
        <is>
          <t>Subsystems</t>
        </is>
      </c>
      <c r="F1108" s="208" t="n">
        <v>28</v>
      </c>
      <c r="G1108" s="208" t="n">
        <v>366</v>
      </c>
      <c r="H1108" s="208" t="inlineStr">
        <is>
          <t>No separate deliverable explicitly named</t>
        </is>
      </c>
    </row>
    <row r="1109">
      <c r="A1109" s="199" t="inlineStr">
        <is>
          <t>RTM-241</t>
        </is>
      </c>
      <c r="B1109" s="223" t="inlineStr">
        <is>
          <t>L2 Detailed Design</t>
        </is>
      </c>
      <c r="C1109" s="199" t="n">
        <v>3</v>
      </c>
      <c r="D1109" s="199" t="inlineStr">
        <is>
          <t>T2 Secondary</t>
        </is>
      </c>
      <c r="E1109" s="199" t="inlineStr">
        <is>
          <t>Subsystems</t>
        </is>
      </c>
      <c r="F1109" s="199" t="n">
        <v>28</v>
      </c>
      <c r="G1109" s="199" t="n">
        <v>366</v>
      </c>
      <c r="H1109" s="199" t="inlineStr">
        <is>
          <t>No separate deliverable explicitly named</t>
        </is>
      </c>
    </row>
    <row r="1110">
      <c r="A1110" s="208" t="inlineStr">
        <is>
          <t>RTM-309</t>
        </is>
      </c>
      <c r="B1110" s="226" t="inlineStr">
        <is>
          <t>L6 Site Acceptance Testing</t>
        </is>
      </c>
      <c r="C1110" s="208" t="n">
        <v>8</v>
      </c>
      <c r="D1110" s="208" t="inlineStr">
        <is>
          <t>T2 Secondary</t>
        </is>
      </c>
      <c r="E1110" s="208" t="inlineStr">
        <is>
          <t>Control &amp; Interlock</t>
        </is>
      </c>
      <c r="F1110" s="208" t="n">
        <v>28</v>
      </c>
      <c r="G1110" s="208" t="n">
        <v>367</v>
      </c>
      <c r="H1110" s="208" t="inlineStr">
        <is>
          <t>Procedure / work instruction</t>
        </is>
      </c>
    </row>
    <row r="1111">
      <c r="A1111" s="199" t="inlineStr">
        <is>
          <t>RTM-309</t>
        </is>
      </c>
      <c r="B1111" s="222" t="inlineStr">
        <is>
          <t>L1 Conceptual Design</t>
        </is>
      </c>
      <c r="C1111" s="199" t="n">
        <v>2</v>
      </c>
      <c r="D1111" s="199" t="inlineStr">
        <is>
          <t>T2 Secondary</t>
        </is>
      </c>
      <c r="E1111" s="199" t="inlineStr">
        <is>
          <t>Control &amp; Interlock</t>
        </is>
      </c>
      <c r="F1111" s="199" t="n">
        <v>28</v>
      </c>
      <c r="G1111" s="199" t="n">
        <v>367</v>
      </c>
      <c r="H1111" s="199" t="inlineStr">
        <is>
          <t>Procedure / work instruction</t>
        </is>
      </c>
    </row>
    <row r="1112">
      <c r="A1112" s="208" t="inlineStr">
        <is>
          <t>RTM-309</t>
        </is>
      </c>
      <c r="B1112" s="223" t="inlineStr">
        <is>
          <t>L2 Detailed Design</t>
        </is>
      </c>
      <c r="C1112" s="208" t="n">
        <v>3</v>
      </c>
      <c r="D1112" s="208" t="inlineStr">
        <is>
          <t>T2 Secondary</t>
        </is>
      </c>
      <c r="E1112" s="208" t="inlineStr">
        <is>
          <t>Control &amp; Interlock</t>
        </is>
      </c>
      <c r="F1112" s="208" t="n">
        <v>28</v>
      </c>
      <c r="G1112" s="208" t="n">
        <v>367</v>
      </c>
      <c r="H1112" s="208" t="inlineStr">
        <is>
          <t>Procedure / work instruction</t>
        </is>
      </c>
    </row>
    <row r="1113">
      <c r="A1113" s="199" t="inlineStr">
        <is>
          <t>RTM-348</t>
        </is>
      </c>
      <c r="B1113" s="225" t="inlineStr">
        <is>
          <t>L5 Standalone Commissioning</t>
        </is>
      </c>
      <c r="C1113" s="199" t="n">
        <v>7</v>
      </c>
      <c r="D1113" s="199" t="inlineStr">
        <is>
          <t>T2 Secondary</t>
        </is>
      </c>
      <c r="E1113" s="199" t="inlineStr">
        <is>
          <t>Control &amp; Interlock</t>
        </is>
      </c>
      <c r="F1113" s="199" t="n">
        <v>28</v>
      </c>
      <c r="G1113" s="199" t="n">
        <v>368</v>
      </c>
      <c r="H1113" s="199" t="inlineStr">
        <is>
          <t>No separate deliverable explicitly named</t>
        </is>
      </c>
    </row>
    <row r="1114">
      <c r="A1114" s="208" t="inlineStr">
        <is>
          <t>RTM-348</t>
        </is>
      </c>
      <c r="B1114" s="226" t="inlineStr">
        <is>
          <t>L6 Site Acceptance Testing</t>
        </is>
      </c>
      <c r="C1114" s="208" t="n">
        <v>8</v>
      </c>
      <c r="D1114" s="208" t="inlineStr">
        <is>
          <t>T2 Secondary</t>
        </is>
      </c>
      <c r="E1114" s="208" t="inlineStr">
        <is>
          <t>Control &amp; Interlock</t>
        </is>
      </c>
      <c r="F1114" s="208" t="n">
        <v>28</v>
      </c>
      <c r="G1114" s="208" t="n">
        <v>368</v>
      </c>
      <c r="H1114" s="208" t="inlineStr">
        <is>
          <t>No separate deliverable explicitly named</t>
        </is>
      </c>
    </row>
    <row r="1115">
      <c r="A1115" s="199" t="inlineStr">
        <is>
          <t>RTM-348</t>
        </is>
      </c>
      <c r="B1115" s="222" t="inlineStr">
        <is>
          <t>L1 Conceptual Design</t>
        </is>
      </c>
      <c r="C1115" s="199" t="n">
        <v>2</v>
      </c>
      <c r="D1115" s="199" t="inlineStr">
        <is>
          <t>T2 Secondary</t>
        </is>
      </c>
      <c r="E1115" s="199" t="inlineStr">
        <is>
          <t>Control &amp; Interlock</t>
        </is>
      </c>
      <c r="F1115" s="199" t="n">
        <v>28</v>
      </c>
      <c r="G1115" s="199" t="n">
        <v>368</v>
      </c>
      <c r="H1115" s="199" t="inlineStr">
        <is>
          <t>No separate deliverable explicitly named</t>
        </is>
      </c>
    </row>
    <row r="1116">
      <c r="A1116" s="208" t="inlineStr">
        <is>
          <t>RTM-348</t>
        </is>
      </c>
      <c r="B1116" s="223" t="inlineStr">
        <is>
          <t>L2 Detailed Design</t>
        </is>
      </c>
      <c r="C1116" s="208" t="n">
        <v>3</v>
      </c>
      <c r="D1116" s="208" t="inlineStr">
        <is>
          <t>T2 Secondary</t>
        </is>
      </c>
      <c r="E1116" s="208" t="inlineStr">
        <is>
          <t>Control &amp; Interlock</t>
        </is>
      </c>
      <c r="F1116" s="208" t="n">
        <v>28</v>
      </c>
      <c r="G1116" s="208" t="n">
        <v>368</v>
      </c>
      <c r="H1116" s="208" t="inlineStr">
        <is>
          <t>No separate deliverable explicitly named</t>
        </is>
      </c>
    </row>
    <row r="1117">
      <c r="A1117" s="199" t="inlineStr">
        <is>
          <t>RTM-368</t>
        </is>
      </c>
      <c r="B1117" s="226" t="inlineStr">
        <is>
          <t>L6 Site Acceptance Testing</t>
        </is>
      </c>
      <c r="C1117" s="199" t="n">
        <v>8</v>
      </c>
      <c r="D1117" s="199" t="inlineStr">
        <is>
          <t>T2 Secondary</t>
        </is>
      </c>
      <c r="E1117" s="199" t="inlineStr">
        <is>
          <t>Control &amp; Interlock</t>
        </is>
      </c>
      <c r="F1117" s="199" t="n">
        <v>28</v>
      </c>
      <c r="G1117" s="199" t="n">
        <v>369</v>
      </c>
      <c r="H1117" s="199" t="inlineStr">
        <is>
          <t>No separate deliverable explicitly named</t>
        </is>
      </c>
    </row>
    <row r="1118">
      <c r="A1118" s="208" t="inlineStr">
        <is>
          <t>RTM-368</t>
        </is>
      </c>
      <c r="B1118" s="222" t="inlineStr">
        <is>
          <t>L1 Conceptual Design</t>
        </is>
      </c>
      <c r="C1118" s="208" t="n">
        <v>2</v>
      </c>
      <c r="D1118" s="208" t="inlineStr">
        <is>
          <t>T2 Secondary</t>
        </is>
      </c>
      <c r="E1118" s="208" t="inlineStr">
        <is>
          <t>Control &amp; Interlock</t>
        </is>
      </c>
      <c r="F1118" s="208" t="n">
        <v>28</v>
      </c>
      <c r="G1118" s="208" t="n">
        <v>369</v>
      </c>
      <c r="H1118" s="208" t="inlineStr">
        <is>
          <t>No separate deliverable explicitly named</t>
        </is>
      </c>
    </row>
    <row r="1119">
      <c r="A1119" s="199" t="inlineStr">
        <is>
          <t>RTM-368</t>
        </is>
      </c>
      <c r="B1119" s="223" t="inlineStr">
        <is>
          <t>L2 Detailed Design</t>
        </is>
      </c>
      <c r="C1119" s="199" t="n">
        <v>3</v>
      </c>
      <c r="D1119" s="199" t="inlineStr">
        <is>
          <t>T2 Secondary</t>
        </is>
      </c>
      <c r="E1119" s="199" t="inlineStr">
        <is>
          <t>Control &amp; Interlock</t>
        </is>
      </c>
      <c r="F1119" s="199" t="n">
        <v>28</v>
      </c>
      <c r="G1119" s="199" t="n">
        <v>369</v>
      </c>
      <c r="H1119" s="199" t="inlineStr">
        <is>
          <t>No separate deliverable explicitly named</t>
        </is>
      </c>
    </row>
    <row r="1120">
      <c r="A1120" s="208" t="inlineStr">
        <is>
          <t>RTM-383</t>
        </is>
      </c>
      <c r="B1120" s="222" t="inlineStr">
        <is>
          <t>L1 Conceptual Design</t>
        </is>
      </c>
      <c r="C1120" s="208" t="n">
        <v>2</v>
      </c>
      <c r="D1120" s="208" t="inlineStr">
        <is>
          <t>T2 Secondary</t>
        </is>
      </c>
      <c r="E1120" s="208" t="inlineStr">
        <is>
          <t>Control &amp; Interlock</t>
        </is>
      </c>
      <c r="F1120" s="208" t="n">
        <v>28</v>
      </c>
      <c r="G1120" s="208" t="n">
        <v>370</v>
      </c>
      <c r="H1120" s="208" t="inlineStr">
        <is>
          <t>No separate deliverable explicitly named</t>
        </is>
      </c>
    </row>
    <row r="1121">
      <c r="A1121" s="199" t="inlineStr">
        <is>
          <t>RTM-383</t>
        </is>
      </c>
      <c r="B1121" s="223" t="inlineStr">
        <is>
          <t>L2 Detailed Design</t>
        </is>
      </c>
      <c r="C1121" s="199" t="n">
        <v>3</v>
      </c>
      <c r="D1121" s="199" t="inlineStr">
        <is>
          <t>T2 Secondary</t>
        </is>
      </c>
      <c r="E1121" s="199" t="inlineStr">
        <is>
          <t>Control &amp; Interlock</t>
        </is>
      </c>
      <c r="F1121" s="199" t="n">
        <v>28</v>
      </c>
      <c r="G1121" s="199" t="n">
        <v>370</v>
      </c>
      <c r="H1121" s="199" t="inlineStr">
        <is>
          <t>No separate deliverable explicitly named</t>
        </is>
      </c>
    </row>
    <row r="1122">
      <c r="A1122" s="208" t="inlineStr">
        <is>
          <t>RTM-412</t>
        </is>
      </c>
      <c r="B1122" s="222" t="inlineStr">
        <is>
          <t>L1 Conceptual Design</t>
        </is>
      </c>
      <c r="C1122" s="208" t="n">
        <v>2</v>
      </c>
      <c r="D1122" s="208" t="inlineStr">
        <is>
          <t>T2 Secondary</t>
        </is>
      </c>
      <c r="E1122" s="208" t="inlineStr">
        <is>
          <t>Buildings &amp; Utilities</t>
        </is>
      </c>
      <c r="F1122" s="208" t="n">
        <v>28</v>
      </c>
      <c r="G1122" s="208" t="n">
        <v>371</v>
      </c>
      <c r="H1122" s="208" t="inlineStr">
        <is>
          <t>No separate deliverable explicitly named</t>
        </is>
      </c>
    </row>
    <row r="1123">
      <c r="A1123" s="199" t="inlineStr">
        <is>
          <t>RTM-412</t>
        </is>
      </c>
      <c r="B1123" s="223" t="inlineStr">
        <is>
          <t>L2 Detailed Design</t>
        </is>
      </c>
      <c r="C1123" s="199" t="n">
        <v>3</v>
      </c>
      <c r="D1123" s="199" t="inlineStr">
        <is>
          <t>T2 Secondary</t>
        </is>
      </c>
      <c r="E1123" s="199" t="inlineStr">
        <is>
          <t>Buildings &amp; Utilities</t>
        </is>
      </c>
      <c r="F1123" s="199" t="n">
        <v>28</v>
      </c>
      <c r="G1123" s="199" t="n">
        <v>371</v>
      </c>
      <c r="H1123" s="199" t="inlineStr">
        <is>
          <t>No separate deliverable explicitly named</t>
        </is>
      </c>
    </row>
    <row r="1124">
      <c r="A1124" s="208" t="inlineStr">
        <is>
          <t>RTM-430</t>
        </is>
      </c>
      <c r="B1124" s="222" t="inlineStr">
        <is>
          <t>L1 Conceptual Design</t>
        </is>
      </c>
      <c r="C1124" s="208" t="n">
        <v>2</v>
      </c>
      <c r="D1124" s="208" t="inlineStr">
        <is>
          <t>T2 Secondary</t>
        </is>
      </c>
      <c r="E1124" s="208" t="inlineStr">
        <is>
          <t>Buildings &amp; Utilities</t>
        </is>
      </c>
      <c r="F1124" s="208" t="n">
        <v>28</v>
      </c>
      <c r="G1124" s="208" t="n">
        <v>372</v>
      </c>
      <c r="H1124" s="208" t="inlineStr">
        <is>
          <t>No separate deliverable explicitly named</t>
        </is>
      </c>
    </row>
    <row r="1125">
      <c r="A1125" s="199" t="inlineStr">
        <is>
          <t>RTM-430</t>
        </is>
      </c>
      <c r="B1125" s="223" t="inlineStr">
        <is>
          <t>L2 Detailed Design</t>
        </is>
      </c>
      <c r="C1125" s="199" t="n">
        <v>3</v>
      </c>
      <c r="D1125" s="199" t="inlineStr">
        <is>
          <t>T2 Secondary</t>
        </is>
      </c>
      <c r="E1125" s="199" t="inlineStr">
        <is>
          <t>Buildings &amp; Utilities</t>
        </is>
      </c>
      <c r="F1125" s="199" t="n">
        <v>28</v>
      </c>
      <c r="G1125" s="199" t="n">
        <v>372</v>
      </c>
      <c r="H1125" s="199" t="inlineStr">
        <is>
          <t>No separate deliverable explicitly named</t>
        </is>
      </c>
    </row>
    <row r="1126">
      <c r="A1126" s="208" t="inlineStr">
        <is>
          <t>RTM-435</t>
        </is>
      </c>
      <c r="B1126" s="222" t="inlineStr">
        <is>
          <t>L1 Conceptual Design</t>
        </is>
      </c>
      <c r="C1126" s="208" t="n">
        <v>2</v>
      </c>
      <c r="D1126" s="208" t="inlineStr">
        <is>
          <t>T2 Secondary</t>
        </is>
      </c>
      <c r="E1126" s="208" t="inlineStr">
        <is>
          <t>Buildings &amp; Utilities</t>
        </is>
      </c>
      <c r="F1126" s="208" t="n">
        <v>28</v>
      </c>
      <c r="G1126" s="208" t="n">
        <v>373</v>
      </c>
      <c r="H1126" s="208" t="inlineStr">
        <is>
          <t>No separate deliverable explicitly named</t>
        </is>
      </c>
    </row>
    <row r="1127">
      <c r="A1127" s="199" t="inlineStr">
        <is>
          <t>RTM-435</t>
        </is>
      </c>
      <c r="B1127" s="223" t="inlineStr">
        <is>
          <t>L2 Detailed Design</t>
        </is>
      </c>
      <c r="C1127" s="199" t="n">
        <v>3</v>
      </c>
      <c r="D1127" s="199" t="inlineStr">
        <is>
          <t>T2 Secondary</t>
        </is>
      </c>
      <c r="E1127" s="199" t="inlineStr">
        <is>
          <t>Buildings &amp; Utilities</t>
        </is>
      </c>
      <c r="F1127" s="199" t="n">
        <v>28</v>
      </c>
      <c r="G1127" s="199" t="n">
        <v>373</v>
      </c>
      <c r="H1127" s="199" t="inlineStr">
        <is>
          <t>No separate deliverable explicitly named</t>
        </is>
      </c>
    </row>
    <row r="1128">
      <c r="A1128" s="208" t="inlineStr">
        <is>
          <t>RTM-499</t>
        </is>
      </c>
      <c r="B1128" s="226" t="inlineStr">
        <is>
          <t>L6 Site Acceptance Testing</t>
        </is>
      </c>
      <c r="C1128" s="208" t="n">
        <v>8</v>
      </c>
      <c r="D1128" s="208" t="inlineStr">
        <is>
          <t>T2 Secondary</t>
        </is>
      </c>
      <c r="E1128" s="208" t="inlineStr">
        <is>
          <t>Acceptance Testing</t>
        </is>
      </c>
      <c r="F1128" s="208" t="n">
        <v>27.6667</v>
      </c>
      <c r="G1128" s="208" t="n">
        <v>374</v>
      </c>
      <c r="H1128" s="208" t="inlineStr">
        <is>
          <t>No separate deliverable explicitly named</t>
        </is>
      </c>
    </row>
    <row r="1129">
      <c r="A1129" s="199" t="inlineStr">
        <is>
          <t>RTM-499</t>
        </is>
      </c>
      <c r="B1129" s="222" t="inlineStr">
        <is>
          <t>L1 Conceptual Design</t>
        </is>
      </c>
      <c r="C1129" s="199" t="n">
        <v>2</v>
      </c>
      <c r="D1129" s="199" t="inlineStr">
        <is>
          <t>T2 Secondary</t>
        </is>
      </c>
      <c r="E1129" s="199" t="inlineStr">
        <is>
          <t>Acceptance Testing</t>
        </is>
      </c>
      <c r="F1129" s="199" t="n">
        <v>27.6667</v>
      </c>
      <c r="G1129" s="199" t="n">
        <v>374</v>
      </c>
      <c r="H1129" s="199" t="inlineStr">
        <is>
          <t>No separate deliverable explicitly named</t>
        </is>
      </c>
    </row>
    <row r="1130">
      <c r="A1130" s="208" t="inlineStr">
        <is>
          <t>RTM-499</t>
        </is>
      </c>
      <c r="B1130" s="223" t="inlineStr">
        <is>
          <t>L2 Detailed Design</t>
        </is>
      </c>
      <c r="C1130" s="208" t="n">
        <v>3</v>
      </c>
      <c r="D1130" s="208" t="inlineStr">
        <is>
          <t>T2 Secondary</t>
        </is>
      </c>
      <c r="E1130" s="208" t="inlineStr">
        <is>
          <t>Acceptance Testing</t>
        </is>
      </c>
      <c r="F1130" s="208" t="n">
        <v>27.6667</v>
      </c>
      <c r="G1130" s="208" t="n">
        <v>374</v>
      </c>
      <c r="H1130" s="208" t="inlineStr">
        <is>
          <t>No separate deliverable explicitly named</t>
        </is>
      </c>
    </row>
    <row r="1131">
      <c r="A1131" s="199" t="inlineStr">
        <is>
          <t>RTM-363</t>
        </is>
      </c>
      <c r="B1131" s="222" t="inlineStr">
        <is>
          <t>L1 Conceptual Design</t>
        </is>
      </c>
      <c r="C1131" s="199" t="n">
        <v>2</v>
      </c>
      <c r="D1131" s="199" t="inlineStr">
        <is>
          <t>T2 Secondary</t>
        </is>
      </c>
      <c r="E1131" s="199" t="inlineStr">
        <is>
          <t>Control &amp; Interlock</t>
        </is>
      </c>
      <c r="F1131" s="199" t="n">
        <v>27.3333</v>
      </c>
      <c r="G1131" s="199" t="n">
        <v>375</v>
      </c>
      <c r="H1131" s="199" t="inlineStr">
        <is>
          <t>No separate deliverable explicitly named</t>
        </is>
      </c>
    </row>
    <row r="1132">
      <c r="A1132" s="208" t="inlineStr">
        <is>
          <t>RTM-363</t>
        </is>
      </c>
      <c r="B1132" s="223" t="inlineStr">
        <is>
          <t>L2 Detailed Design</t>
        </is>
      </c>
      <c r="C1132" s="208" t="n">
        <v>3</v>
      </c>
      <c r="D1132" s="208" t="inlineStr">
        <is>
          <t>T2 Secondary</t>
        </is>
      </c>
      <c r="E1132" s="208" t="inlineStr">
        <is>
          <t>Control &amp; Interlock</t>
        </is>
      </c>
      <c r="F1132" s="208" t="n">
        <v>27.3333</v>
      </c>
      <c r="G1132" s="208" t="n">
        <v>375</v>
      </c>
      <c r="H1132" s="208" t="inlineStr">
        <is>
          <t>No separate deliverable explicitly named</t>
        </is>
      </c>
    </row>
    <row r="1133">
      <c r="A1133" s="199" t="inlineStr">
        <is>
          <t>RTM-699</t>
        </is>
      </c>
      <c r="B1133" s="221" t="inlineStr">
        <is>
          <t>L0 Tender / Offer</t>
        </is>
      </c>
      <c r="C1133" s="199" t="n">
        <v>1</v>
      </c>
      <c r="D1133" s="199" t="inlineStr">
        <is>
          <t>T2 Secondary</t>
        </is>
      </c>
      <c r="E1133" s="199" t="inlineStr">
        <is>
          <t>Codes &amp; Standards</t>
        </is>
      </c>
      <c r="F1133" s="199" t="n">
        <v>26.6667</v>
      </c>
      <c r="G1133" s="199" t="n">
        <v>376</v>
      </c>
      <c r="H1133" s="199" t="inlineStr">
        <is>
          <t>No separate deliverable explicitly named</t>
        </is>
      </c>
    </row>
    <row r="1134">
      <c r="A1134" s="208" t="inlineStr">
        <is>
          <t>RTM-699</t>
        </is>
      </c>
      <c r="B1134" s="222" t="inlineStr">
        <is>
          <t>L1 Conceptual Design</t>
        </is>
      </c>
      <c r="C1134" s="208" t="n">
        <v>2</v>
      </c>
      <c r="D1134" s="208" t="inlineStr">
        <is>
          <t>T2 Secondary</t>
        </is>
      </c>
      <c r="E1134" s="208" t="inlineStr">
        <is>
          <t>Codes &amp; Standards</t>
        </is>
      </c>
      <c r="F1134" s="208" t="n">
        <v>26.6667</v>
      </c>
      <c r="G1134" s="208" t="n">
        <v>376</v>
      </c>
      <c r="H1134" s="208" t="inlineStr">
        <is>
          <t>No separate deliverable explicitly named</t>
        </is>
      </c>
    </row>
    <row r="1135">
      <c r="A1135" s="199" t="inlineStr">
        <is>
          <t>RTM-699</t>
        </is>
      </c>
      <c r="B1135" s="223" t="inlineStr">
        <is>
          <t>L2 Detailed Design</t>
        </is>
      </c>
      <c r="C1135" s="199" t="n">
        <v>3</v>
      </c>
      <c r="D1135" s="199" t="inlineStr">
        <is>
          <t>T2 Secondary</t>
        </is>
      </c>
      <c r="E1135" s="199" t="inlineStr">
        <is>
          <t>Codes &amp; Standards</t>
        </is>
      </c>
      <c r="F1135" s="199" t="n">
        <v>26.6667</v>
      </c>
      <c r="G1135" s="199" t="n">
        <v>376</v>
      </c>
      <c r="H1135" s="199" t="inlineStr">
        <is>
          <t>No separate deliverable explicitly named</t>
        </is>
      </c>
    </row>
    <row r="1136">
      <c r="A1136" s="208" t="inlineStr">
        <is>
          <t>RTM-699</t>
        </is>
      </c>
      <c r="B1136" s="224" t="inlineStr">
        <is>
          <t>L3 Procurement &amp; Manufacturing / FAT</t>
        </is>
      </c>
      <c r="C1136" s="208" t="n">
        <v>4</v>
      </c>
      <c r="D1136" s="208" t="inlineStr">
        <is>
          <t>T2 Secondary</t>
        </is>
      </c>
      <c r="E1136" s="208" t="inlineStr">
        <is>
          <t>Codes &amp; Standards</t>
        </is>
      </c>
      <c r="F1136" s="208" t="n">
        <v>26.6667</v>
      </c>
      <c r="G1136" s="208" t="n">
        <v>376</v>
      </c>
      <c r="H1136" s="208" t="inlineStr">
        <is>
          <t>No separate deliverable explicitly named</t>
        </is>
      </c>
    </row>
    <row r="1137">
      <c r="A1137" s="199" t="inlineStr">
        <is>
          <t>RTM-699</t>
        </is>
      </c>
      <c r="B1137" s="220" t="inlineStr">
        <is>
          <t>L4 Installation</t>
        </is>
      </c>
      <c r="C1137" s="199" t="n">
        <v>6</v>
      </c>
      <c r="D1137" s="199" t="inlineStr">
        <is>
          <t>T2 Secondary</t>
        </is>
      </c>
      <c r="E1137" s="199" t="inlineStr">
        <is>
          <t>Codes &amp; Standards</t>
        </is>
      </c>
      <c r="F1137" s="199" t="n">
        <v>26.6667</v>
      </c>
      <c r="G1137" s="199" t="n">
        <v>376</v>
      </c>
      <c r="H1137" s="199" t="inlineStr">
        <is>
          <t>No separate deliverable explicitly named</t>
        </is>
      </c>
    </row>
    <row r="1138">
      <c r="A1138" s="208" t="inlineStr">
        <is>
          <t>RTM-699</t>
        </is>
      </c>
      <c r="B1138" s="225" t="inlineStr">
        <is>
          <t>L5 Standalone Commissioning</t>
        </is>
      </c>
      <c r="C1138" s="208" t="n">
        <v>7</v>
      </c>
      <c r="D1138" s="208" t="inlineStr">
        <is>
          <t>T2 Secondary</t>
        </is>
      </c>
      <c r="E1138" s="208" t="inlineStr">
        <is>
          <t>Codes &amp; Standards</t>
        </is>
      </c>
      <c r="F1138" s="208" t="n">
        <v>26.6667</v>
      </c>
      <c r="G1138" s="208" t="n">
        <v>376</v>
      </c>
      <c r="H1138" s="208" t="inlineStr">
        <is>
          <t>No separate deliverable explicitly named</t>
        </is>
      </c>
    </row>
    <row r="1139">
      <c r="A1139" s="199" t="inlineStr">
        <is>
          <t>RTM-699</t>
        </is>
      </c>
      <c r="B1139" s="226" t="inlineStr">
        <is>
          <t>L6 Site Acceptance Testing</t>
        </is>
      </c>
      <c r="C1139" s="199" t="n">
        <v>8</v>
      </c>
      <c r="D1139" s="199" t="inlineStr">
        <is>
          <t>T2 Secondary</t>
        </is>
      </c>
      <c r="E1139" s="199" t="inlineStr">
        <is>
          <t>Codes &amp; Standards</t>
        </is>
      </c>
      <c r="F1139" s="199" t="n">
        <v>26.6667</v>
      </c>
      <c r="G1139" s="199" t="n">
        <v>376</v>
      </c>
      <c r="H1139" s="199" t="inlineStr">
        <is>
          <t>No separate deliverable explicitly named</t>
        </is>
      </c>
    </row>
    <row r="1140">
      <c r="A1140" s="208" t="inlineStr">
        <is>
          <t>RTM-061</t>
        </is>
      </c>
      <c r="B1140" s="222" t="inlineStr">
        <is>
          <t>L1 Conceptual Design</t>
        </is>
      </c>
      <c r="C1140" s="208" t="n">
        <v>2</v>
      </c>
      <c r="D1140" s="208" t="inlineStr">
        <is>
          <t>T2 Secondary</t>
        </is>
      </c>
      <c r="E1140" s="208" t="inlineStr">
        <is>
          <t>Global Design Criteria</t>
        </is>
      </c>
      <c r="F1140" s="208" t="n">
        <v>26</v>
      </c>
      <c r="G1140" s="208" t="n">
        <v>377</v>
      </c>
      <c r="H1140" s="208" t="inlineStr">
        <is>
          <t>Availability &amp; Reliability Assessment</t>
        </is>
      </c>
    </row>
    <row r="1141">
      <c r="A1141" s="199" t="inlineStr">
        <is>
          <t>RTM-061</t>
        </is>
      </c>
      <c r="B1141" s="223" t="inlineStr">
        <is>
          <t>L2 Detailed Design</t>
        </is>
      </c>
      <c r="C1141" s="199" t="n">
        <v>3</v>
      </c>
      <c r="D1141" s="199" t="inlineStr">
        <is>
          <t>T2 Secondary</t>
        </is>
      </c>
      <c r="E1141" s="199" t="inlineStr">
        <is>
          <t>Global Design Criteria</t>
        </is>
      </c>
      <c r="F1141" s="199" t="n">
        <v>26</v>
      </c>
      <c r="G1141" s="199" t="n">
        <v>377</v>
      </c>
      <c r="H1141" s="199" t="inlineStr">
        <is>
          <t>Availability &amp; Reliability Assessment</t>
        </is>
      </c>
    </row>
    <row r="1142">
      <c r="A1142" s="208" t="inlineStr">
        <is>
          <t>RTM-062</t>
        </is>
      </c>
      <c r="B1142" s="222" t="inlineStr">
        <is>
          <t>L1 Conceptual Design</t>
        </is>
      </c>
      <c r="C1142" s="208" t="n">
        <v>2</v>
      </c>
      <c r="D1142" s="208" t="inlineStr">
        <is>
          <t>T2 Secondary</t>
        </is>
      </c>
      <c r="E1142" s="208" t="inlineStr">
        <is>
          <t>Global Design Criteria</t>
        </is>
      </c>
      <c r="F1142" s="208" t="n">
        <v>26</v>
      </c>
      <c r="G1142" s="208" t="n">
        <v>378</v>
      </c>
      <c r="H1142" s="208" t="inlineStr">
        <is>
          <t>No separate deliverable explicitly named</t>
        </is>
      </c>
    </row>
    <row r="1143">
      <c r="A1143" s="199" t="inlineStr">
        <is>
          <t>RTM-062</t>
        </is>
      </c>
      <c r="B1143" s="223" t="inlineStr">
        <is>
          <t>L2 Detailed Design</t>
        </is>
      </c>
      <c r="C1143" s="199" t="n">
        <v>3</v>
      </c>
      <c r="D1143" s="199" t="inlineStr">
        <is>
          <t>T2 Secondary</t>
        </is>
      </c>
      <c r="E1143" s="199" t="inlineStr">
        <is>
          <t>Global Design Criteria</t>
        </is>
      </c>
      <c r="F1143" s="199" t="n">
        <v>26</v>
      </c>
      <c r="G1143" s="199" t="n">
        <v>378</v>
      </c>
      <c r="H1143" s="199" t="inlineStr">
        <is>
          <t>No separate deliverable explicitly named</t>
        </is>
      </c>
    </row>
    <row r="1144">
      <c r="A1144" s="208" t="inlineStr">
        <is>
          <t>RTM-148</t>
        </is>
      </c>
      <c r="B1144" s="222" t="inlineStr">
        <is>
          <t>L1 Conceptual Design</t>
        </is>
      </c>
      <c r="C1144" s="208" t="n">
        <v>2</v>
      </c>
      <c r="D1144" s="208" t="inlineStr">
        <is>
          <t>T2 Secondary</t>
        </is>
      </c>
      <c r="E1144" s="208" t="inlineStr">
        <is>
          <t>Subsystems</t>
        </is>
      </c>
      <c r="F1144" s="208" t="n">
        <v>26</v>
      </c>
      <c r="G1144" s="208" t="n">
        <v>379</v>
      </c>
      <c r="H1144" s="208" t="inlineStr">
        <is>
          <t>No separate deliverable explicitly named</t>
        </is>
      </c>
    </row>
    <row r="1145">
      <c r="A1145" s="199" t="inlineStr">
        <is>
          <t>RTM-148</t>
        </is>
      </c>
      <c r="B1145" s="223" t="inlineStr">
        <is>
          <t>L2 Detailed Design</t>
        </is>
      </c>
      <c r="C1145" s="199" t="n">
        <v>3</v>
      </c>
      <c r="D1145" s="199" t="inlineStr">
        <is>
          <t>T2 Secondary</t>
        </is>
      </c>
      <c r="E1145" s="199" t="inlineStr">
        <is>
          <t>Subsystems</t>
        </is>
      </c>
      <c r="F1145" s="199" t="n">
        <v>26</v>
      </c>
      <c r="G1145" s="199" t="n">
        <v>379</v>
      </c>
      <c r="H1145" s="199" t="inlineStr">
        <is>
          <t>No separate deliverable explicitly named</t>
        </is>
      </c>
    </row>
    <row r="1146">
      <c r="A1146" s="208" t="inlineStr">
        <is>
          <t>RTM-532</t>
        </is>
      </c>
      <c r="B1146" s="226" t="inlineStr">
        <is>
          <t>L6 Site Acceptance Testing</t>
        </is>
      </c>
      <c r="C1146" s="208" t="n">
        <v>8</v>
      </c>
      <c r="D1146" s="208" t="inlineStr">
        <is>
          <t>T2 Secondary</t>
        </is>
      </c>
      <c r="E1146" s="208" t="inlineStr">
        <is>
          <t>Acceptance Testing</t>
        </is>
      </c>
      <c r="F1146" s="208" t="n">
        <v>26</v>
      </c>
      <c r="G1146" s="208" t="n">
        <v>380</v>
      </c>
      <c r="H1146" s="208" t="inlineStr">
        <is>
          <t>No separate deliverable explicitly named</t>
        </is>
      </c>
    </row>
    <row r="1147">
      <c r="A1147" s="199" t="inlineStr">
        <is>
          <t>RTM-532</t>
        </is>
      </c>
      <c r="B1147" s="222" t="inlineStr">
        <is>
          <t>L1 Conceptual Design</t>
        </is>
      </c>
      <c r="C1147" s="199" t="n">
        <v>2</v>
      </c>
      <c r="D1147" s="199" t="inlineStr">
        <is>
          <t>T2 Secondary</t>
        </is>
      </c>
      <c r="E1147" s="199" t="inlineStr">
        <is>
          <t>Acceptance Testing</t>
        </is>
      </c>
      <c r="F1147" s="199" t="n">
        <v>26</v>
      </c>
      <c r="G1147" s="199" t="n">
        <v>380</v>
      </c>
      <c r="H1147" s="199" t="inlineStr">
        <is>
          <t>No separate deliverable explicitly named</t>
        </is>
      </c>
    </row>
    <row r="1148">
      <c r="A1148" s="208" t="inlineStr">
        <is>
          <t>RTM-532</t>
        </is>
      </c>
      <c r="B1148" s="223" t="inlineStr">
        <is>
          <t>L2 Detailed Design</t>
        </is>
      </c>
      <c r="C1148" s="208" t="n">
        <v>3</v>
      </c>
      <c r="D1148" s="208" t="inlineStr">
        <is>
          <t>T2 Secondary</t>
        </is>
      </c>
      <c r="E1148" s="208" t="inlineStr">
        <is>
          <t>Acceptance Testing</t>
        </is>
      </c>
      <c r="F1148" s="208" t="n">
        <v>26</v>
      </c>
      <c r="G1148" s="208" t="n">
        <v>380</v>
      </c>
      <c r="H1148" s="208" t="inlineStr">
        <is>
          <t>No separate deliverable explicitly named</t>
        </is>
      </c>
    </row>
    <row r="1149">
      <c r="A1149" s="199" t="inlineStr">
        <is>
          <t>RTM-555</t>
        </is>
      </c>
      <c r="B1149" s="226" t="inlineStr">
        <is>
          <t>L6 Site Acceptance Testing</t>
        </is>
      </c>
      <c r="C1149" s="199" t="n">
        <v>8</v>
      </c>
      <c r="D1149" s="199" t="inlineStr">
        <is>
          <t>T2 Secondary</t>
        </is>
      </c>
      <c r="E1149" s="199" t="inlineStr">
        <is>
          <t>Acceptance Testing</t>
        </is>
      </c>
      <c r="F1149" s="199" t="n">
        <v>26</v>
      </c>
      <c r="G1149" s="199" t="n">
        <v>381</v>
      </c>
      <c r="H1149" s="199" t="inlineStr">
        <is>
          <t>No separate deliverable explicitly named</t>
        </is>
      </c>
    </row>
    <row r="1150">
      <c r="A1150" s="208" t="inlineStr">
        <is>
          <t>RTM-555</t>
        </is>
      </c>
      <c r="B1150" s="222" t="inlineStr">
        <is>
          <t>L1 Conceptual Design</t>
        </is>
      </c>
      <c r="C1150" s="208" t="n">
        <v>2</v>
      </c>
      <c r="D1150" s="208" t="inlineStr">
        <is>
          <t>T2 Secondary</t>
        </is>
      </c>
      <c r="E1150" s="208" t="inlineStr">
        <is>
          <t>Acceptance Testing</t>
        </is>
      </c>
      <c r="F1150" s="208" t="n">
        <v>26</v>
      </c>
      <c r="G1150" s="208" t="n">
        <v>381</v>
      </c>
      <c r="H1150" s="208" t="inlineStr">
        <is>
          <t>No separate deliverable explicitly named</t>
        </is>
      </c>
    </row>
    <row r="1151">
      <c r="A1151" s="199" t="inlineStr">
        <is>
          <t>RTM-555</t>
        </is>
      </c>
      <c r="B1151" s="223" t="inlineStr">
        <is>
          <t>L2 Detailed Design</t>
        </is>
      </c>
      <c r="C1151" s="199" t="n">
        <v>3</v>
      </c>
      <c r="D1151" s="199" t="inlineStr">
        <is>
          <t>T2 Secondary</t>
        </is>
      </c>
      <c r="E1151" s="199" t="inlineStr">
        <is>
          <t>Acceptance Testing</t>
        </is>
      </c>
      <c r="F1151" s="199" t="n">
        <v>26</v>
      </c>
      <c r="G1151" s="199" t="n">
        <v>381</v>
      </c>
      <c r="H1151" s="199" t="inlineStr">
        <is>
          <t>No separate deliverable explicitly named</t>
        </is>
      </c>
    </row>
    <row r="1152">
      <c r="A1152" s="208" t="inlineStr">
        <is>
          <t>RTM-089</t>
        </is>
      </c>
      <c r="B1152" s="223" t="inlineStr">
        <is>
          <t>L2 Detailed Design</t>
        </is>
      </c>
      <c r="C1152" s="208" t="n">
        <v>3</v>
      </c>
      <c r="D1152" s="208" t="inlineStr">
        <is>
          <t>T2 Secondary</t>
        </is>
      </c>
      <c r="E1152" s="208" t="inlineStr">
        <is>
          <t>Subsystems</t>
        </is>
      </c>
      <c r="F1152" s="208" t="n">
        <v>25.3333</v>
      </c>
      <c r="G1152" s="208" t="n">
        <v>382</v>
      </c>
      <c r="H1152" s="208" t="inlineStr">
        <is>
          <t>No separate deliverable explicitly named</t>
        </is>
      </c>
    </row>
    <row r="1153">
      <c r="A1153" s="199" t="inlineStr">
        <is>
          <t>RTM-089</t>
        </is>
      </c>
      <c r="B1153" s="220" t="inlineStr">
        <is>
          <t>L4 Installation</t>
        </is>
      </c>
      <c r="C1153" s="199" t="n">
        <v>6</v>
      </c>
      <c r="D1153" s="199" t="inlineStr">
        <is>
          <t>T2 Secondary</t>
        </is>
      </c>
      <c r="E1153" s="199" t="inlineStr">
        <is>
          <t>Subsystems</t>
        </is>
      </c>
      <c r="F1153" s="199" t="n">
        <v>25.3333</v>
      </c>
      <c r="G1153" s="199" t="n">
        <v>382</v>
      </c>
      <c r="H1153" s="199" t="inlineStr">
        <is>
          <t>No separate deliverable explicitly named</t>
        </is>
      </c>
    </row>
    <row r="1154">
      <c r="A1154" s="208" t="inlineStr">
        <is>
          <t>RTM-089</t>
        </is>
      </c>
      <c r="B1154" s="222" t="inlineStr">
        <is>
          <t>L1 Conceptual Design</t>
        </is>
      </c>
      <c r="C1154" s="208" t="n">
        <v>2</v>
      </c>
      <c r="D1154" s="208" t="inlineStr">
        <is>
          <t>T2 Secondary</t>
        </is>
      </c>
      <c r="E1154" s="208" t="inlineStr">
        <is>
          <t>Subsystems</t>
        </is>
      </c>
      <c r="F1154" s="208" t="n">
        <v>25.3333</v>
      </c>
      <c r="G1154" s="208" t="n">
        <v>382</v>
      </c>
      <c r="H1154" s="208" t="inlineStr">
        <is>
          <t>No separate deliverable explicitly named</t>
        </is>
      </c>
    </row>
    <row r="1155">
      <c r="A1155" s="199" t="inlineStr">
        <is>
          <t>RTM-290</t>
        </is>
      </c>
      <c r="B1155" s="222" t="inlineStr">
        <is>
          <t>L1 Conceptual Design</t>
        </is>
      </c>
      <c r="C1155" s="199" t="n">
        <v>2</v>
      </c>
      <c r="D1155" s="199" t="inlineStr">
        <is>
          <t>T2 Secondary</t>
        </is>
      </c>
      <c r="E1155" s="199" t="inlineStr">
        <is>
          <t>Cryogenic Interfaces</t>
        </is>
      </c>
      <c r="F1155" s="199" t="n">
        <v>25.3333</v>
      </c>
      <c r="G1155" s="199" t="n">
        <v>383</v>
      </c>
      <c r="H1155" s="199" t="inlineStr">
        <is>
          <t>No separate deliverable explicitly named</t>
        </is>
      </c>
    </row>
    <row r="1156">
      <c r="A1156" s="208" t="inlineStr">
        <is>
          <t>RTM-290</t>
        </is>
      </c>
      <c r="B1156" s="223" t="inlineStr">
        <is>
          <t>L2 Detailed Design</t>
        </is>
      </c>
      <c r="C1156" s="208" t="n">
        <v>3</v>
      </c>
      <c r="D1156" s="208" t="inlineStr">
        <is>
          <t>T2 Secondary</t>
        </is>
      </c>
      <c r="E1156" s="208" t="inlineStr">
        <is>
          <t>Cryogenic Interfaces</t>
        </is>
      </c>
      <c r="F1156" s="208" t="n">
        <v>25.3333</v>
      </c>
      <c r="G1156" s="208" t="n">
        <v>383</v>
      </c>
      <c r="H1156" s="208" t="inlineStr">
        <is>
          <t>No separate deliverable explicitly named</t>
        </is>
      </c>
    </row>
    <row r="1157">
      <c r="A1157" s="199" t="inlineStr">
        <is>
          <t>RTM-385</t>
        </is>
      </c>
      <c r="B1157" s="222" t="inlineStr">
        <is>
          <t>L1 Conceptual Design</t>
        </is>
      </c>
      <c r="C1157" s="199" t="n">
        <v>2</v>
      </c>
      <c r="D1157" s="199" t="inlineStr">
        <is>
          <t>T2 Secondary</t>
        </is>
      </c>
      <c r="E1157" s="199" t="inlineStr">
        <is>
          <t>Buildings &amp; Utilities</t>
        </is>
      </c>
      <c r="F1157" s="199" t="n">
        <v>25.3333</v>
      </c>
      <c r="G1157" s="199" t="n">
        <v>384</v>
      </c>
      <c r="H1157" s="199" t="inlineStr">
        <is>
          <t>Engineering File; Interface Control Document</t>
        </is>
      </c>
    </row>
    <row r="1158">
      <c r="A1158" s="208" t="inlineStr">
        <is>
          <t>RTM-385</t>
        </is>
      </c>
      <c r="B1158" s="223" t="inlineStr">
        <is>
          <t>L2 Detailed Design</t>
        </is>
      </c>
      <c r="C1158" s="208" t="n">
        <v>3</v>
      </c>
      <c r="D1158" s="208" t="inlineStr">
        <is>
          <t>T2 Secondary</t>
        </is>
      </c>
      <c r="E1158" s="208" t="inlineStr">
        <is>
          <t>Buildings &amp; Utilities</t>
        </is>
      </c>
      <c r="F1158" s="208" t="n">
        <v>25.3333</v>
      </c>
      <c r="G1158" s="208" t="n">
        <v>384</v>
      </c>
      <c r="H1158" s="208" t="inlineStr">
        <is>
          <t>Engineering File; Interface Control Document</t>
        </is>
      </c>
    </row>
    <row r="1159">
      <c r="A1159" s="199" t="inlineStr">
        <is>
          <t>RTM-441</t>
        </is>
      </c>
      <c r="B1159" s="222" t="inlineStr">
        <is>
          <t>L1 Conceptual Design</t>
        </is>
      </c>
      <c r="C1159" s="199" t="n">
        <v>2</v>
      </c>
      <c r="D1159" s="199" t="inlineStr">
        <is>
          <t>T2 Secondary</t>
        </is>
      </c>
      <c r="E1159" s="199" t="inlineStr">
        <is>
          <t>Design &amp; Fabrication</t>
        </is>
      </c>
      <c r="F1159" s="199" t="n">
        <v>25.3333</v>
      </c>
      <c r="G1159" s="199" t="n">
        <v>385</v>
      </c>
      <c r="H1159" s="199" t="inlineStr">
        <is>
          <t>3D / CAD Model</t>
        </is>
      </c>
    </row>
    <row r="1160">
      <c r="A1160" s="208" t="inlineStr">
        <is>
          <t>RTM-441</t>
        </is>
      </c>
      <c r="B1160" s="223" t="inlineStr">
        <is>
          <t>L2 Detailed Design</t>
        </is>
      </c>
      <c r="C1160" s="208" t="n">
        <v>3</v>
      </c>
      <c r="D1160" s="208" t="inlineStr">
        <is>
          <t>T2 Secondary</t>
        </is>
      </c>
      <c r="E1160" s="208" t="inlineStr">
        <is>
          <t>Design &amp; Fabrication</t>
        </is>
      </c>
      <c r="F1160" s="208" t="n">
        <v>25.3333</v>
      </c>
      <c r="G1160" s="208" t="n">
        <v>385</v>
      </c>
      <c r="H1160" s="208" t="inlineStr">
        <is>
          <t>3D / CAD Model</t>
        </is>
      </c>
    </row>
    <row r="1161">
      <c r="A1161" s="199" t="inlineStr">
        <is>
          <t>RTM-491</t>
        </is>
      </c>
      <c r="B1161" s="222" t="inlineStr">
        <is>
          <t>L1 Conceptual Design</t>
        </is>
      </c>
      <c r="C1161" s="199" t="n">
        <v>2</v>
      </c>
      <c r="D1161" s="199" t="inlineStr">
        <is>
          <t>T2 Secondary</t>
        </is>
      </c>
      <c r="E1161" s="199" t="inlineStr">
        <is>
          <t>Acceptance Testing</t>
        </is>
      </c>
      <c r="F1161" s="199" t="n">
        <v>25.3333</v>
      </c>
      <c r="G1161" s="199" t="n">
        <v>386</v>
      </c>
      <c r="H1161" s="199" t="inlineStr">
        <is>
          <t>Test procedure / report</t>
        </is>
      </c>
    </row>
    <row r="1162">
      <c r="A1162" s="208" t="inlineStr">
        <is>
          <t>RTM-491</t>
        </is>
      </c>
      <c r="B1162" s="223" t="inlineStr">
        <is>
          <t>L2 Detailed Design</t>
        </is>
      </c>
      <c r="C1162" s="208" t="n">
        <v>3</v>
      </c>
      <c r="D1162" s="208" t="inlineStr">
        <is>
          <t>T2 Secondary</t>
        </is>
      </c>
      <c r="E1162" s="208" t="inlineStr">
        <is>
          <t>Acceptance Testing</t>
        </is>
      </c>
      <c r="F1162" s="208" t="n">
        <v>25.3333</v>
      </c>
      <c r="G1162" s="208" t="n">
        <v>386</v>
      </c>
      <c r="H1162" s="208" t="inlineStr">
        <is>
          <t>Test procedure / report</t>
        </is>
      </c>
    </row>
    <row r="1163">
      <c r="A1163" s="199" t="inlineStr">
        <is>
          <t>RTM-492</t>
        </is>
      </c>
      <c r="B1163" s="226" t="inlineStr">
        <is>
          <t>L6 Site Acceptance Testing</t>
        </is>
      </c>
      <c r="C1163" s="199" t="n">
        <v>8</v>
      </c>
      <c r="D1163" s="199" t="inlineStr">
        <is>
          <t>T2 Secondary</t>
        </is>
      </c>
      <c r="E1163" s="199" t="inlineStr">
        <is>
          <t>Acceptance Testing</t>
        </is>
      </c>
      <c r="F1163" s="199" t="n">
        <v>25.3333</v>
      </c>
      <c r="G1163" s="199" t="n">
        <v>387</v>
      </c>
      <c r="H1163" s="199" t="inlineStr">
        <is>
          <t>No separate deliverable explicitly named</t>
        </is>
      </c>
    </row>
    <row r="1164">
      <c r="A1164" s="208" t="inlineStr">
        <is>
          <t>RTM-492</t>
        </is>
      </c>
      <c r="B1164" s="222" t="inlineStr">
        <is>
          <t>L1 Conceptual Design</t>
        </is>
      </c>
      <c r="C1164" s="208" t="n">
        <v>2</v>
      </c>
      <c r="D1164" s="208" t="inlineStr">
        <is>
          <t>T2 Secondary</t>
        </is>
      </c>
      <c r="E1164" s="208" t="inlineStr">
        <is>
          <t>Acceptance Testing</t>
        </is>
      </c>
      <c r="F1164" s="208" t="n">
        <v>25.3333</v>
      </c>
      <c r="G1164" s="208" t="n">
        <v>387</v>
      </c>
      <c r="H1164" s="208" t="inlineStr">
        <is>
          <t>No separate deliverable explicitly named</t>
        </is>
      </c>
    </row>
    <row r="1165">
      <c r="A1165" s="199" t="inlineStr">
        <is>
          <t>RTM-492</t>
        </is>
      </c>
      <c r="B1165" s="223" t="inlineStr">
        <is>
          <t>L2 Detailed Design</t>
        </is>
      </c>
      <c r="C1165" s="199" t="n">
        <v>3</v>
      </c>
      <c r="D1165" s="199" t="inlineStr">
        <is>
          <t>T2 Secondary</t>
        </is>
      </c>
      <c r="E1165" s="199" t="inlineStr">
        <is>
          <t>Acceptance Testing</t>
        </is>
      </c>
      <c r="F1165" s="199" t="n">
        <v>25.3333</v>
      </c>
      <c r="G1165" s="199" t="n">
        <v>387</v>
      </c>
      <c r="H1165" s="199" t="inlineStr">
        <is>
          <t>No separate deliverable explicitly named</t>
        </is>
      </c>
    </row>
    <row r="1166">
      <c r="A1166" s="208" t="inlineStr">
        <is>
          <t>RTM-494</t>
        </is>
      </c>
      <c r="B1166" s="226" t="inlineStr">
        <is>
          <t>L6 Site Acceptance Testing</t>
        </is>
      </c>
      <c r="C1166" s="208" t="n">
        <v>8</v>
      </c>
      <c r="D1166" s="208" t="inlineStr">
        <is>
          <t>T2 Secondary</t>
        </is>
      </c>
      <c r="E1166" s="208" t="inlineStr">
        <is>
          <t>Acceptance Testing</t>
        </is>
      </c>
      <c r="F1166" s="208" t="n">
        <v>25.3333</v>
      </c>
      <c r="G1166" s="208" t="n">
        <v>388</v>
      </c>
      <c r="H1166" s="208" t="inlineStr">
        <is>
          <t>FAT Report; SAT Report; Test procedure / report</t>
        </is>
      </c>
    </row>
    <row r="1167">
      <c r="A1167" s="199" t="inlineStr">
        <is>
          <t>RTM-494</t>
        </is>
      </c>
      <c r="B1167" s="222" t="inlineStr">
        <is>
          <t>L1 Conceptual Design</t>
        </is>
      </c>
      <c r="C1167" s="199" t="n">
        <v>2</v>
      </c>
      <c r="D1167" s="199" t="inlineStr">
        <is>
          <t>T2 Secondary</t>
        </is>
      </c>
      <c r="E1167" s="199" t="inlineStr">
        <is>
          <t>Acceptance Testing</t>
        </is>
      </c>
      <c r="F1167" s="199" t="n">
        <v>25.3333</v>
      </c>
      <c r="G1167" s="199" t="n">
        <v>388</v>
      </c>
      <c r="H1167" s="199" t="inlineStr">
        <is>
          <t>FAT Report; SAT Report; Test procedure / report</t>
        </is>
      </c>
    </row>
    <row r="1168">
      <c r="A1168" s="208" t="inlineStr">
        <is>
          <t>RTM-494</t>
        </is>
      </c>
      <c r="B1168" s="223" t="inlineStr">
        <is>
          <t>L2 Detailed Design</t>
        </is>
      </c>
      <c r="C1168" s="208" t="n">
        <v>3</v>
      </c>
      <c r="D1168" s="208" t="inlineStr">
        <is>
          <t>T2 Secondary</t>
        </is>
      </c>
      <c r="E1168" s="208" t="inlineStr">
        <is>
          <t>Acceptance Testing</t>
        </is>
      </c>
      <c r="F1168" s="208" t="n">
        <v>25.3333</v>
      </c>
      <c r="G1168" s="208" t="n">
        <v>388</v>
      </c>
      <c r="H1168" s="208" t="inlineStr">
        <is>
          <t>FAT Report; SAT Report; Test procedure / report</t>
        </is>
      </c>
    </row>
    <row r="1169">
      <c r="A1169" s="199" t="inlineStr">
        <is>
          <t>RTM-495</t>
        </is>
      </c>
      <c r="B1169" s="222" t="inlineStr">
        <is>
          <t>L1 Conceptual Design</t>
        </is>
      </c>
      <c r="C1169" s="199" t="n">
        <v>2</v>
      </c>
      <c r="D1169" s="199" t="inlineStr">
        <is>
          <t>T2 Secondary</t>
        </is>
      </c>
      <c r="E1169" s="199" t="inlineStr">
        <is>
          <t>Acceptance Testing</t>
        </is>
      </c>
      <c r="F1169" s="199" t="n">
        <v>25.3333</v>
      </c>
      <c r="G1169" s="199" t="n">
        <v>389</v>
      </c>
      <c r="H1169" s="199" t="inlineStr">
        <is>
          <t>No separate deliverable explicitly named</t>
        </is>
      </c>
    </row>
    <row r="1170">
      <c r="A1170" s="208" t="inlineStr">
        <is>
          <t>RTM-495</t>
        </is>
      </c>
      <c r="B1170" s="223" t="inlineStr">
        <is>
          <t>L2 Detailed Design</t>
        </is>
      </c>
      <c r="C1170" s="208" t="n">
        <v>3</v>
      </c>
      <c r="D1170" s="208" t="inlineStr">
        <is>
          <t>T2 Secondary</t>
        </is>
      </c>
      <c r="E1170" s="208" t="inlineStr">
        <is>
          <t>Acceptance Testing</t>
        </is>
      </c>
      <c r="F1170" s="208" t="n">
        <v>25.3333</v>
      </c>
      <c r="G1170" s="208" t="n">
        <v>389</v>
      </c>
      <c r="H1170" s="208" t="inlineStr">
        <is>
          <t>No separate deliverable explicitly named</t>
        </is>
      </c>
    </row>
    <row r="1171">
      <c r="A1171" s="199" t="inlineStr">
        <is>
          <t>RTM-496</t>
        </is>
      </c>
      <c r="B1171" s="224" t="inlineStr">
        <is>
          <t>L3 Procurement &amp; Manufacturing / FAT</t>
        </is>
      </c>
      <c r="C1171" s="199" t="n">
        <v>4</v>
      </c>
      <c r="D1171" s="199" t="inlineStr">
        <is>
          <t>T2 Secondary</t>
        </is>
      </c>
      <c r="E1171" s="199" t="inlineStr">
        <is>
          <t>Acceptance Testing</t>
        </is>
      </c>
      <c r="F1171" s="199" t="n">
        <v>25.3333</v>
      </c>
      <c r="G1171" s="199" t="n">
        <v>390</v>
      </c>
      <c r="H1171" s="199" t="inlineStr">
        <is>
          <t>No separate deliverable explicitly named</t>
        </is>
      </c>
    </row>
    <row r="1172">
      <c r="A1172" s="208" t="inlineStr">
        <is>
          <t>RTM-496</t>
        </is>
      </c>
      <c r="B1172" s="222" t="inlineStr">
        <is>
          <t>L1 Conceptual Design</t>
        </is>
      </c>
      <c r="C1172" s="208" t="n">
        <v>2</v>
      </c>
      <c r="D1172" s="208" t="inlineStr">
        <is>
          <t>T2 Secondary</t>
        </is>
      </c>
      <c r="E1172" s="208" t="inlineStr">
        <is>
          <t>Acceptance Testing</t>
        </is>
      </c>
      <c r="F1172" s="208" t="n">
        <v>25.3333</v>
      </c>
      <c r="G1172" s="208" t="n">
        <v>390</v>
      </c>
      <c r="H1172" s="208" t="inlineStr">
        <is>
          <t>No separate deliverable explicitly named</t>
        </is>
      </c>
    </row>
    <row r="1173">
      <c r="A1173" s="199" t="inlineStr">
        <is>
          <t>RTM-496</t>
        </is>
      </c>
      <c r="B1173" s="223" t="inlineStr">
        <is>
          <t>L2 Detailed Design</t>
        </is>
      </c>
      <c r="C1173" s="199" t="n">
        <v>3</v>
      </c>
      <c r="D1173" s="199" t="inlineStr">
        <is>
          <t>T2 Secondary</t>
        </is>
      </c>
      <c r="E1173" s="199" t="inlineStr">
        <is>
          <t>Acceptance Testing</t>
        </is>
      </c>
      <c r="F1173" s="199" t="n">
        <v>25.3333</v>
      </c>
      <c r="G1173" s="199" t="n">
        <v>390</v>
      </c>
      <c r="H1173" s="199" t="inlineStr">
        <is>
          <t>No separate deliverable explicitly named</t>
        </is>
      </c>
    </row>
    <row r="1174">
      <c r="A1174" s="208" t="inlineStr">
        <is>
          <t>RTM-497</t>
        </is>
      </c>
      <c r="B1174" s="222" t="inlineStr">
        <is>
          <t>L1 Conceptual Design</t>
        </is>
      </c>
      <c r="C1174" s="208" t="n">
        <v>2</v>
      </c>
      <c r="D1174" s="208" t="inlineStr">
        <is>
          <t>T2 Secondary</t>
        </is>
      </c>
      <c r="E1174" s="208" t="inlineStr">
        <is>
          <t>Acceptance Testing</t>
        </is>
      </c>
      <c r="F1174" s="208" t="n">
        <v>25.3333</v>
      </c>
      <c r="G1174" s="208" t="n">
        <v>391</v>
      </c>
      <c r="H1174" s="208" t="inlineStr">
        <is>
          <t>No separate deliverable explicitly named</t>
        </is>
      </c>
    </row>
    <row r="1175">
      <c r="A1175" s="199" t="inlineStr">
        <is>
          <t>RTM-497</t>
        </is>
      </c>
      <c r="B1175" s="223" t="inlineStr">
        <is>
          <t>L2 Detailed Design</t>
        </is>
      </c>
      <c r="C1175" s="199" t="n">
        <v>3</v>
      </c>
      <c r="D1175" s="199" t="inlineStr">
        <is>
          <t>T2 Secondary</t>
        </is>
      </c>
      <c r="E1175" s="199" t="inlineStr">
        <is>
          <t>Acceptance Testing</t>
        </is>
      </c>
      <c r="F1175" s="199" t="n">
        <v>25.3333</v>
      </c>
      <c r="G1175" s="199" t="n">
        <v>391</v>
      </c>
      <c r="H1175" s="199" t="inlineStr">
        <is>
          <t>No separate deliverable explicitly named</t>
        </is>
      </c>
    </row>
    <row r="1176">
      <c r="A1176" s="208" t="inlineStr">
        <is>
          <t>RTM-500</t>
        </is>
      </c>
      <c r="B1176" s="226" t="inlineStr">
        <is>
          <t>L6 Site Acceptance Testing</t>
        </is>
      </c>
      <c r="C1176" s="208" t="n">
        <v>8</v>
      </c>
      <c r="D1176" s="208" t="inlineStr">
        <is>
          <t>T2 Secondary</t>
        </is>
      </c>
      <c r="E1176" s="208" t="inlineStr">
        <is>
          <t>Acceptance Testing</t>
        </is>
      </c>
      <c r="F1176" s="208" t="n">
        <v>25.3333</v>
      </c>
      <c r="G1176" s="208" t="n">
        <v>392</v>
      </c>
      <c r="H1176" s="208" t="inlineStr">
        <is>
          <t>No separate deliverable explicitly named</t>
        </is>
      </c>
    </row>
    <row r="1177">
      <c r="A1177" s="199" t="inlineStr">
        <is>
          <t>RTM-500</t>
        </is>
      </c>
      <c r="B1177" s="222" t="inlineStr">
        <is>
          <t>L1 Conceptual Design</t>
        </is>
      </c>
      <c r="C1177" s="199" t="n">
        <v>2</v>
      </c>
      <c r="D1177" s="199" t="inlineStr">
        <is>
          <t>T2 Secondary</t>
        </is>
      </c>
      <c r="E1177" s="199" t="inlineStr">
        <is>
          <t>Acceptance Testing</t>
        </is>
      </c>
      <c r="F1177" s="199" t="n">
        <v>25.3333</v>
      </c>
      <c r="G1177" s="199" t="n">
        <v>392</v>
      </c>
      <c r="H1177" s="199" t="inlineStr">
        <is>
          <t>No separate deliverable explicitly named</t>
        </is>
      </c>
    </row>
    <row r="1178">
      <c r="A1178" s="208" t="inlineStr">
        <is>
          <t>RTM-500</t>
        </is>
      </c>
      <c r="B1178" s="223" t="inlineStr">
        <is>
          <t>L2 Detailed Design</t>
        </is>
      </c>
      <c r="C1178" s="208" t="n">
        <v>3</v>
      </c>
      <c r="D1178" s="208" t="inlineStr">
        <is>
          <t>T2 Secondary</t>
        </is>
      </c>
      <c r="E1178" s="208" t="inlineStr">
        <is>
          <t>Acceptance Testing</t>
        </is>
      </c>
      <c r="F1178" s="208" t="n">
        <v>25.3333</v>
      </c>
      <c r="G1178" s="208" t="n">
        <v>392</v>
      </c>
      <c r="H1178" s="208" t="inlineStr">
        <is>
          <t>No separate deliverable explicitly named</t>
        </is>
      </c>
    </row>
    <row r="1179">
      <c r="A1179" s="199" t="inlineStr">
        <is>
          <t>RTM-501</t>
        </is>
      </c>
      <c r="B1179" s="226" t="inlineStr">
        <is>
          <t>L6 Site Acceptance Testing</t>
        </is>
      </c>
      <c r="C1179" s="199" t="n">
        <v>8</v>
      </c>
      <c r="D1179" s="199" t="inlineStr">
        <is>
          <t>T2 Secondary</t>
        </is>
      </c>
      <c r="E1179" s="199" t="inlineStr">
        <is>
          <t>Acceptance Testing</t>
        </is>
      </c>
      <c r="F1179" s="199" t="n">
        <v>25.3333</v>
      </c>
      <c r="G1179" s="199" t="n">
        <v>393</v>
      </c>
      <c r="H1179" s="199" t="inlineStr">
        <is>
          <t>No separate deliverable explicitly named</t>
        </is>
      </c>
    </row>
    <row r="1180">
      <c r="A1180" s="208" t="inlineStr">
        <is>
          <t>RTM-501</t>
        </is>
      </c>
      <c r="B1180" s="222" t="inlineStr">
        <is>
          <t>L1 Conceptual Design</t>
        </is>
      </c>
      <c r="C1180" s="208" t="n">
        <v>2</v>
      </c>
      <c r="D1180" s="208" t="inlineStr">
        <is>
          <t>T2 Secondary</t>
        </is>
      </c>
      <c r="E1180" s="208" t="inlineStr">
        <is>
          <t>Acceptance Testing</t>
        </is>
      </c>
      <c r="F1180" s="208" t="n">
        <v>25.3333</v>
      </c>
      <c r="G1180" s="208" t="n">
        <v>393</v>
      </c>
      <c r="H1180" s="208" t="inlineStr">
        <is>
          <t>No separate deliverable explicitly named</t>
        </is>
      </c>
    </row>
    <row r="1181">
      <c r="A1181" s="199" t="inlineStr">
        <is>
          <t>RTM-501</t>
        </is>
      </c>
      <c r="B1181" s="223" t="inlineStr">
        <is>
          <t>L2 Detailed Design</t>
        </is>
      </c>
      <c r="C1181" s="199" t="n">
        <v>3</v>
      </c>
      <c r="D1181" s="199" t="inlineStr">
        <is>
          <t>T2 Secondary</t>
        </is>
      </c>
      <c r="E1181" s="199" t="inlineStr">
        <is>
          <t>Acceptance Testing</t>
        </is>
      </c>
      <c r="F1181" s="199" t="n">
        <v>25.3333</v>
      </c>
      <c r="G1181" s="199" t="n">
        <v>393</v>
      </c>
      <c r="H1181" s="199" t="inlineStr">
        <is>
          <t>No separate deliverable explicitly named</t>
        </is>
      </c>
    </row>
    <row r="1182">
      <c r="A1182" s="208" t="inlineStr">
        <is>
          <t>RTM-502</t>
        </is>
      </c>
      <c r="B1182" s="226" t="inlineStr">
        <is>
          <t>L6 Site Acceptance Testing</t>
        </is>
      </c>
      <c r="C1182" s="208" t="n">
        <v>8</v>
      </c>
      <c r="D1182" s="208" t="inlineStr">
        <is>
          <t>T2 Secondary</t>
        </is>
      </c>
      <c r="E1182" s="208" t="inlineStr">
        <is>
          <t>Acceptance Testing</t>
        </is>
      </c>
      <c r="F1182" s="208" t="n">
        <v>25.3333</v>
      </c>
      <c r="G1182" s="208" t="n">
        <v>394</v>
      </c>
      <c r="H1182" s="208" t="inlineStr">
        <is>
          <t>No separate deliverable explicitly named</t>
        </is>
      </c>
    </row>
    <row r="1183">
      <c r="A1183" s="199" t="inlineStr">
        <is>
          <t>RTM-502</t>
        </is>
      </c>
      <c r="B1183" s="222" t="inlineStr">
        <is>
          <t>L1 Conceptual Design</t>
        </is>
      </c>
      <c r="C1183" s="199" t="n">
        <v>2</v>
      </c>
      <c r="D1183" s="199" t="inlineStr">
        <is>
          <t>T2 Secondary</t>
        </is>
      </c>
      <c r="E1183" s="199" t="inlineStr">
        <is>
          <t>Acceptance Testing</t>
        </is>
      </c>
      <c r="F1183" s="199" t="n">
        <v>25.3333</v>
      </c>
      <c r="G1183" s="199" t="n">
        <v>394</v>
      </c>
      <c r="H1183" s="199" t="inlineStr">
        <is>
          <t>No separate deliverable explicitly named</t>
        </is>
      </c>
    </row>
    <row r="1184">
      <c r="A1184" s="208" t="inlineStr">
        <is>
          <t>RTM-502</t>
        </is>
      </c>
      <c r="B1184" s="223" t="inlineStr">
        <is>
          <t>L2 Detailed Design</t>
        </is>
      </c>
      <c r="C1184" s="208" t="n">
        <v>3</v>
      </c>
      <c r="D1184" s="208" t="inlineStr">
        <is>
          <t>T2 Secondary</t>
        </is>
      </c>
      <c r="E1184" s="208" t="inlineStr">
        <is>
          <t>Acceptance Testing</t>
        </is>
      </c>
      <c r="F1184" s="208" t="n">
        <v>25.3333</v>
      </c>
      <c r="G1184" s="208" t="n">
        <v>394</v>
      </c>
      <c r="H1184" s="208" t="inlineStr">
        <is>
          <t>No separate deliverable explicitly named</t>
        </is>
      </c>
    </row>
    <row r="1185">
      <c r="A1185" s="199" t="inlineStr">
        <is>
          <t>RTM-503</t>
        </is>
      </c>
      <c r="B1185" s="226" t="inlineStr">
        <is>
          <t>L6 Site Acceptance Testing</t>
        </is>
      </c>
      <c r="C1185" s="199" t="n">
        <v>8</v>
      </c>
      <c r="D1185" s="199" t="inlineStr">
        <is>
          <t>T2 Secondary</t>
        </is>
      </c>
      <c r="E1185" s="199" t="inlineStr">
        <is>
          <t>Acceptance Testing</t>
        </is>
      </c>
      <c r="F1185" s="199" t="n">
        <v>25.3333</v>
      </c>
      <c r="G1185" s="199" t="n">
        <v>395</v>
      </c>
      <c r="H1185" s="199" t="inlineStr">
        <is>
          <t>SAT Report</t>
        </is>
      </c>
    </row>
    <row r="1186">
      <c r="A1186" s="208" t="inlineStr">
        <is>
          <t>RTM-503</t>
        </is>
      </c>
      <c r="B1186" s="222" t="inlineStr">
        <is>
          <t>L1 Conceptual Design</t>
        </is>
      </c>
      <c r="C1186" s="208" t="n">
        <v>2</v>
      </c>
      <c r="D1186" s="208" t="inlineStr">
        <is>
          <t>T2 Secondary</t>
        </is>
      </c>
      <c r="E1186" s="208" t="inlineStr">
        <is>
          <t>Acceptance Testing</t>
        </is>
      </c>
      <c r="F1186" s="208" t="n">
        <v>25.3333</v>
      </c>
      <c r="G1186" s="208" t="n">
        <v>395</v>
      </c>
      <c r="H1186" s="208" t="inlineStr">
        <is>
          <t>SAT Report</t>
        </is>
      </c>
    </row>
    <row r="1187">
      <c r="A1187" s="199" t="inlineStr">
        <is>
          <t>RTM-503</t>
        </is>
      </c>
      <c r="B1187" s="223" t="inlineStr">
        <is>
          <t>L2 Detailed Design</t>
        </is>
      </c>
      <c r="C1187" s="199" t="n">
        <v>3</v>
      </c>
      <c r="D1187" s="199" t="inlineStr">
        <is>
          <t>T2 Secondary</t>
        </is>
      </c>
      <c r="E1187" s="199" t="inlineStr">
        <is>
          <t>Acceptance Testing</t>
        </is>
      </c>
      <c r="F1187" s="199" t="n">
        <v>25.3333</v>
      </c>
      <c r="G1187" s="199" t="n">
        <v>395</v>
      </c>
      <c r="H1187" s="199" t="inlineStr">
        <is>
          <t>SAT Report</t>
        </is>
      </c>
    </row>
    <row r="1188">
      <c r="A1188" s="208" t="inlineStr">
        <is>
          <t>RTM-505</t>
        </is>
      </c>
      <c r="B1188" s="226" t="inlineStr">
        <is>
          <t>L6 Site Acceptance Testing</t>
        </is>
      </c>
      <c r="C1188" s="208" t="n">
        <v>8</v>
      </c>
      <c r="D1188" s="208" t="inlineStr">
        <is>
          <t>T2 Secondary</t>
        </is>
      </c>
      <c r="E1188" s="208" t="inlineStr">
        <is>
          <t>Acceptance Testing</t>
        </is>
      </c>
      <c r="F1188" s="208" t="n">
        <v>25.3333</v>
      </c>
      <c r="G1188" s="208" t="n">
        <v>396</v>
      </c>
      <c r="H1188" s="208" t="inlineStr">
        <is>
          <t>No separate deliverable explicitly named</t>
        </is>
      </c>
    </row>
    <row r="1189">
      <c r="A1189" s="199" t="inlineStr">
        <is>
          <t>RTM-505</t>
        </is>
      </c>
      <c r="B1189" s="222" t="inlineStr">
        <is>
          <t>L1 Conceptual Design</t>
        </is>
      </c>
      <c r="C1189" s="199" t="n">
        <v>2</v>
      </c>
      <c r="D1189" s="199" t="inlineStr">
        <is>
          <t>T2 Secondary</t>
        </is>
      </c>
      <c r="E1189" s="199" t="inlineStr">
        <is>
          <t>Acceptance Testing</t>
        </is>
      </c>
      <c r="F1189" s="199" t="n">
        <v>25.3333</v>
      </c>
      <c r="G1189" s="199" t="n">
        <v>396</v>
      </c>
      <c r="H1189" s="199" t="inlineStr">
        <is>
          <t>No separate deliverable explicitly named</t>
        </is>
      </c>
    </row>
    <row r="1190">
      <c r="A1190" s="208" t="inlineStr">
        <is>
          <t>RTM-505</t>
        </is>
      </c>
      <c r="B1190" s="223" t="inlineStr">
        <is>
          <t>L2 Detailed Design</t>
        </is>
      </c>
      <c r="C1190" s="208" t="n">
        <v>3</v>
      </c>
      <c r="D1190" s="208" t="inlineStr">
        <is>
          <t>T2 Secondary</t>
        </is>
      </c>
      <c r="E1190" s="208" t="inlineStr">
        <is>
          <t>Acceptance Testing</t>
        </is>
      </c>
      <c r="F1190" s="208" t="n">
        <v>25.3333</v>
      </c>
      <c r="G1190" s="208" t="n">
        <v>396</v>
      </c>
      <c r="H1190" s="208" t="inlineStr">
        <is>
          <t>No separate deliverable explicitly named</t>
        </is>
      </c>
    </row>
    <row r="1191">
      <c r="A1191" s="199" t="inlineStr">
        <is>
          <t>RTM-506</t>
        </is>
      </c>
      <c r="B1191" s="226" t="inlineStr">
        <is>
          <t>L6 Site Acceptance Testing</t>
        </is>
      </c>
      <c r="C1191" s="199" t="n">
        <v>8</v>
      </c>
      <c r="D1191" s="199" t="inlineStr">
        <is>
          <t>T2 Secondary</t>
        </is>
      </c>
      <c r="E1191" s="199" t="inlineStr">
        <is>
          <t>Acceptance Testing</t>
        </is>
      </c>
      <c r="F1191" s="199" t="n">
        <v>25.3333</v>
      </c>
      <c r="G1191" s="199" t="n">
        <v>397</v>
      </c>
      <c r="H1191" s="199" t="inlineStr">
        <is>
          <t>No separate deliverable explicitly named</t>
        </is>
      </c>
    </row>
    <row r="1192">
      <c r="A1192" s="208" t="inlineStr">
        <is>
          <t>RTM-506</t>
        </is>
      </c>
      <c r="B1192" s="222" t="inlineStr">
        <is>
          <t>L1 Conceptual Design</t>
        </is>
      </c>
      <c r="C1192" s="208" t="n">
        <v>2</v>
      </c>
      <c r="D1192" s="208" t="inlineStr">
        <is>
          <t>T2 Secondary</t>
        </is>
      </c>
      <c r="E1192" s="208" t="inlineStr">
        <is>
          <t>Acceptance Testing</t>
        </is>
      </c>
      <c r="F1192" s="208" t="n">
        <v>25.3333</v>
      </c>
      <c r="G1192" s="208" t="n">
        <v>397</v>
      </c>
      <c r="H1192" s="208" t="inlineStr">
        <is>
          <t>No separate deliverable explicitly named</t>
        </is>
      </c>
    </row>
    <row r="1193">
      <c r="A1193" s="199" t="inlineStr">
        <is>
          <t>RTM-506</t>
        </is>
      </c>
      <c r="B1193" s="223" t="inlineStr">
        <is>
          <t>L2 Detailed Design</t>
        </is>
      </c>
      <c r="C1193" s="199" t="n">
        <v>3</v>
      </c>
      <c r="D1193" s="199" t="inlineStr">
        <is>
          <t>T2 Secondary</t>
        </is>
      </c>
      <c r="E1193" s="199" t="inlineStr">
        <is>
          <t>Acceptance Testing</t>
        </is>
      </c>
      <c r="F1193" s="199" t="n">
        <v>25.3333</v>
      </c>
      <c r="G1193" s="199" t="n">
        <v>397</v>
      </c>
      <c r="H1193" s="199" t="inlineStr">
        <is>
          <t>No separate deliverable explicitly named</t>
        </is>
      </c>
    </row>
    <row r="1194">
      <c r="A1194" s="208" t="inlineStr">
        <is>
          <t>RTM-507</t>
        </is>
      </c>
      <c r="B1194" s="222" t="inlineStr">
        <is>
          <t>L1 Conceptual Design</t>
        </is>
      </c>
      <c r="C1194" s="208" t="n">
        <v>2</v>
      </c>
      <c r="D1194" s="208" t="inlineStr">
        <is>
          <t>T2 Secondary</t>
        </is>
      </c>
      <c r="E1194" s="208" t="inlineStr">
        <is>
          <t>Acceptance Testing</t>
        </is>
      </c>
      <c r="F1194" s="208" t="n">
        <v>25.3333</v>
      </c>
      <c r="G1194" s="208" t="n">
        <v>398</v>
      </c>
      <c r="H1194" s="208" t="inlineStr">
        <is>
          <t>No separate deliverable explicitly named</t>
        </is>
      </c>
    </row>
    <row r="1195">
      <c r="A1195" s="199" t="inlineStr">
        <is>
          <t>RTM-507</t>
        </is>
      </c>
      <c r="B1195" s="223" t="inlineStr">
        <is>
          <t>L2 Detailed Design</t>
        </is>
      </c>
      <c r="C1195" s="199" t="n">
        <v>3</v>
      </c>
      <c r="D1195" s="199" t="inlineStr">
        <is>
          <t>T2 Secondary</t>
        </is>
      </c>
      <c r="E1195" s="199" t="inlineStr">
        <is>
          <t>Acceptance Testing</t>
        </is>
      </c>
      <c r="F1195" s="199" t="n">
        <v>25.3333</v>
      </c>
      <c r="G1195" s="199" t="n">
        <v>398</v>
      </c>
      <c r="H1195" s="199" t="inlineStr">
        <is>
          <t>No separate deliverable explicitly named</t>
        </is>
      </c>
    </row>
    <row r="1196">
      <c r="A1196" s="208" t="inlineStr">
        <is>
          <t>RTM-508</t>
        </is>
      </c>
      <c r="B1196" s="226" t="inlineStr">
        <is>
          <t>L6 Site Acceptance Testing</t>
        </is>
      </c>
      <c r="C1196" s="208" t="n">
        <v>8</v>
      </c>
      <c r="D1196" s="208" t="inlineStr">
        <is>
          <t>T2 Secondary</t>
        </is>
      </c>
      <c r="E1196" s="208" t="inlineStr">
        <is>
          <t>Acceptance Testing</t>
        </is>
      </c>
      <c r="F1196" s="208" t="n">
        <v>25.3333</v>
      </c>
      <c r="G1196" s="208" t="n">
        <v>399</v>
      </c>
      <c r="H1196" s="208" t="inlineStr">
        <is>
          <t>Engineering File</t>
        </is>
      </c>
    </row>
    <row r="1197">
      <c r="A1197" s="199" t="inlineStr">
        <is>
          <t>RTM-508</t>
        </is>
      </c>
      <c r="B1197" s="222" t="inlineStr">
        <is>
          <t>L1 Conceptual Design</t>
        </is>
      </c>
      <c r="C1197" s="199" t="n">
        <v>2</v>
      </c>
      <c r="D1197" s="199" t="inlineStr">
        <is>
          <t>T2 Secondary</t>
        </is>
      </c>
      <c r="E1197" s="199" t="inlineStr">
        <is>
          <t>Acceptance Testing</t>
        </is>
      </c>
      <c r="F1197" s="199" t="n">
        <v>25.3333</v>
      </c>
      <c r="G1197" s="199" t="n">
        <v>399</v>
      </c>
      <c r="H1197" s="199" t="inlineStr">
        <is>
          <t>Engineering File</t>
        </is>
      </c>
    </row>
    <row r="1198">
      <c r="A1198" s="208" t="inlineStr">
        <is>
          <t>RTM-508</t>
        </is>
      </c>
      <c r="B1198" s="223" t="inlineStr">
        <is>
          <t>L2 Detailed Design</t>
        </is>
      </c>
      <c r="C1198" s="208" t="n">
        <v>3</v>
      </c>
      <c r="D1198" s="208" t="inlineStr">
        <is>
          <t>T2 Secondary</t>
        </is>
      </c>
      <c r="E1198" s="208" t="inlineStr">
        <is>
          <t>Acceptance Testing</t>
        </is>
      </c>
      <c r="F1198" s="208" t="n">
        <v>25.3333</v>
      </c>
      <c r="G1198" s="208" t="n">
        <v>399</v>
      </c>
      <c r="H1198" s="208" t="inlineStr">
        <is>
          <t>Engineering File</t>
        </is>
      </c>
    </row>
    <row r="1199">
      <c r="A1199" s="199" t="inlineStr">
        <is>
          <t>RTM-509</t>
        </is>
      </c>
      <c r="B1199" s="226" t="inlineStr">
        <is>
          <t>L6 Site Acceptance Testing</t>
        </is>
      </c>
      <c r="C1199" s="199" t="n">
        <v>8</v>
      </c>
      <c r="D1199" s="199" t="inlineStr">
        <is>
          <t>T2 Secondary</t>
        </is>
      </c>
      <c r="E1199" s="199" t="inlineStr">
        <is>
          <t>Acceptance Testing</t>
        </is>
      </c>
      <c r="F1199" s="199" t="n">
        <v>25.3333</v>
      </c>
      <c r="G1199" s="199" t="n">
        <v>400</v>
      </c>
      <c r="H1199" s="199" t="inlineStr">
        <is>
          <t>No separate deliverable explicitly named</t>
        </is>
      </c>
    </row>
    <row r="1200">
      <c r="A1200" s="208" t="inlineStr">
        <is>
          <t>RTM-509</t>
        </is>
      </c>
      <c r="B1200" s="222" t="inlineStr">
        <is>
          <t>L1 Conceptual Design</t>
        </is>
      </c>
      <c r="C1200" s="208" t="n">
        <v>2</v>
      </c>
      <c r="D1200" s="208" t="inlineStr">
        <is>
          <t>T2 Secondary</t>
        </is>
      </c>
      <c r="E1200" s="208" t="inlineStr">
        <is>
          <t>Acceptance Testing</t>
        </is>
      </c>
      <c r="F1200" s="208" t="n">
        <v>25.3333</v>
      </c>
      <c r="G1200" s="208" t="n">
        <v>400</v>
      </c>
      <c r="H1200" s="208" t="inlineStr">
        <is>
          <t>No separate deliverable explicitly named</t>
        </is>
      </c>
    </row>
    <row r="1201">
      <c r="A1201" s="199" t="inlineStr">
        <is>
          <t>RTM-509</t>
        </is>
      </c>
      <c r="B1201" s="223" t="inlineStr">
        <is>
          <t>L2 Detailed Design</t>
        </is>
      </c>
      <c r="C1201" s="199" t="n">
        <v>3</v>
      </c>
      <c r="D1201" s="199" t="inlineStr">
        <is>
          <t>T2 Secondary</t>
        </is>
      </c>
      <c r="E1201" s="199" t="inlineStr">
        <is>
          <t>Acceptance Testing</t>
        </is>
      </c>
      <c r="F1201" s="199" t="n">
        <v>25.3333</v>
      </c>
      <c r="G1201" s="199" t="n">
        <v>400</v>
      </c>
      <c r="H1201" s="199" t="inlineStr">
        <is>
          <t>No separate deliverable explicitly named</t>
        </is>
      </c>
    </row>
    <row r="1202">
      <c r="A1202" s="208" t="inlineStr">
        <is>
          <t>RTM-541</t>
        </is>
      </c>
      <c r="B1202" s="222" t="inlineStr">
        <is>
          <t>L1 Conceptual Design</t>
        </is>
      </c>
      <c r="C1202" s="208" t="n">
        <v>2</v>
      </c>
      <c r="D1202" s="208" t="inlineStr">
        <is>
          <t>T2 Secondary</t>
        </is>
      </c>
      <c r="E1202" s="208" t="inlineStr">
        <is>
          <t>Acceptance Testing</t>
        </is>
      </c>
      <c r="F1202" s="208" t="n">
        <v>25.3333</v>
      </c>
      <c r="G1202" s="208" t="n">
        <v>401</v>
      </c>
      <c r="H1202" s="208" t="inlineStr">
        <is>
          <t>No separate deliverable explicitly named</t>
        </is>
      </c>
    </row>
    <row r="1203">
      <c r="A1203" s="199" t="inlineStr">
        <is>
          <t>RTM-541</t>
        </is>
      </c>
      <c r="B1203" s="223" t="inlineStr">
        <is>
          <t>L2 Detailed Design</t>
        </is>
      </c>
      <c r="C1203" s="199" t="n">
        <v>3</v>
      </c>
      <c r="D1203" s="199" t="inlineStr">
        <is>
          <t>T2 Secondary</t>
        </is>
      </c>
      <c r="E1203" s="199" t="inlineStr">
        <is>
          <t>Acceptance Testing</t>
        </is>
      </c>
      <c r="F1203" s="199" t="n">
        <v>25.3333</v>
      </c>
      <c r="G1203" s="199" t="n">
        <v>401</v>
      </c>
      <c r="H1203" s="199" t="inlineStr">
        <is>
          <t>No separate deliverable explicitly named</t>
        </is>
      </c>
    </row>
    <row r="1204">
      <c r="A1204" s="208" t="inlineStr">
        <is>
          <t>RTM-643</t>
        </is>
      </c>
      <c r="B1204" s="221" t="inlineStr">
        <is>
          <t>L0 Tender / Offer</t>
        </is>
      </c>
      <c r="C1204" s="208" t="n">
        <v>1</v>
      </c>
      <c r="D1204" s="208" t="inlineStr">
        <is>
          <t>T2 Secondary</t>
        </is>
      </c>
      <c r="E1204" s="208" t="inlineStr">
        <is>
          <t>Quality Assurance &amp; Control</t>
        </is>
      </c>
      <c r="F1204" s="208" t="n">
        <v>25.3333</v>
      </c>
      <c r="G1204" s="208" t="n">
        <v>402</v>
      </c>
      <c r="H1204" s="208" t="inlineStr">
        <is>
          <t>No separate deliverable explicitly named</t>
        </is>
      </c>
    </row>
    <row r="1205">
      <c r="A1205" s="199" t="inlineStr">
        <is>
          <t>RTM-643</t>
        </is>
      </c>
      <c r="B1205" s="222" t="inlineStr">
        <is>
          <t>L1 Conceptual Design</t>
        </is>
      </c>
      <c r="C1205" s="199" t="n">
        <v>2</v>
      </c>
      <c r="D1205" s="199" t="inlineStr">
        <is>
          <t>T2 Secondary</t>
        </is>
      </c>
      <c r="E1205" s="199" t="inlineStr">
        <is>
          <t>Quality Assurance &amp; Control</t>
        </is>
      </c>
      <c r="F1205" s="199" t="n">
        <v>25.3333</v>
      </c>
      <c r="G1205" s="199" t="n">
        <v>402</v>
      </c>
      <c r="H1205" s="199" t="inlineStr">
        <is>
          <t>No separate deliverable explicitly named</t>
        </is>
      </c>
    </row>
    <row r="1206">
      <c r="A1206" s="208" t="inlineStr">
        <is>
          <t>RTM-643</t>
        </is>
      </c>
      <c r="B1206" s="223" t="inlineStr">
        <is>
          <t>L2 Detailed Design</t>
        </is>
      </c>
      <c r="C1206" s="208" t="n">
        <v>3</v>
      </c>
      <c r="D1206" s="208" t="inlineStr">
        <is>
          <t>T2 Secondary</t>
        </is>
      </c>
      <c r="E1206" s="208" t="inlineStr">
        <is>
          <t>Quality Assurance &amp; Control</t>
        </is>
      </c>
      <c r="F1206" s="208" t="n">
        <v>25.3333</v>
      </c>
      <c r="G1206" s="208" t="n">
        <v>402</v>
      </c>
      <c r="H1206" s="208" t="inlineStr">
        <is>
          <t>No separate deliverable explicitly named</t>
        </is>
      </c>
    </row>
    <row r="1207">
      <c r="A1207" s="199" t="inlineStr">
        <is>
          <t>RTM-643</t>
        </is>
      </c>
      <c r="B1207" s="224" t="inlineStr">
        <is>
          <t>L3 Procurement &amp; Manufacturing / FAT</t>
        </is>
      </c>
      <c r="C1207" s="199" t="n">
        <v>4</v>
      </c>
      <c r="D1207" s="199" t="inlineStr">
        <is>
          <t>T2 Secondary</t>
        </is>
      </c>
      <c r="E1207" s="199" t="inlineStr">
        <is>
          <t>Quality Assurance &amp; Control</t>
        </is>
      </c>
      <c r="F1207" s="199" t="n">
        <v>25.3333</v>
      </c>
      <c r="G1207" s="199" t="n">
        <v>402</v>
      </c>
      <c r="H1207" s="199" t="inlineStr">
        <is>
          <t>No separate deliverable explicitly named</t>
        </is>
      </c>
    </row>
    <row r="1208">
      <c r="A1208" s="208" t="inlineStr">
        <is>
          <t>RTM-643</t>
        </is>
      </c>
      <c r="B1208" s="220" t="inlineStr">
        <is>
          <t>L4 Installation</t>
        </is>
      </c>
      <c r="C1208" s="208" t="n">
        <v>6</v>
      </c>
      <c r="D1208" s="208" t="inlineStr">
        <is>
          <t>T2 Secondary</t>
        </is>
      </c>
      <c r="E1208" s="208" t="inlineStr">
        <is>
          <t>Quality Assurance &amp; Control</t>
        </is>
      </c>
      <c r="F1208" s="208" t="n">
        <v>25.3333</v>
      </c>
      <c r="G1208" s="208" t="n">
        <v>402</v>
      </c>
      <c r="H1208" s="208" t="inlineStr">
        <is>
          <t>No separate deliverable explicitly named</t>
        </is>
      </c>
    </row>
    <row r="1209">
      <c r="A1209" s="199" t="inlineStr">
        <is>
          <t>RTM-643</t>
        </is>
      </c>
      <c r="B1209" s="225" t="inlineStr">
        <is>
          <t>L5 Standalone Commissioning</t>
        </is>
      </c>
      <c r="C1209" s="199" t="n">
        <v>7</v>
      </c>
      <c r="D1209" s="199" t="inlineStr">
        <is>
          <t>T2 Secondary</t>
        </is>
      </c>
      <c r="E1209" s="199" t="inlineStr">
        <is>
          <t>Quality Assurance &amp; Control</t>
        </is>
      </c>
      <c r="F1209" s="199" t="n">
        <v>25.3333</v>
      </c>
      <c r="G1209" s="199" t="n">
        <v>402</v>
      </c>
      <c r="H1209" s="199" t="inlineStr">
        <is>
          <t>No separate deliverable explicitly named</t>
        </is>
      </c>
    </row>
    <row r="1210">
      <c r="A1210" s="208" t="inlineStr">
        <is>
          <t>RTM-643</t>
        </is>
      </c>
      <c r="B1210" s="226" t="inlineStr">
        <is>
          <t>L6 Site Acceptance Testing</t>
        </is>
      </c>
      <c r="C1210" s="208" t="n">
        <v>8</v>
      </c>
      <c r="D1210" s="208" t="inlineStr">
        <is>
          <t>T2 Secondary</t>
        </is>
      </c>
      <c r="E1210" s="208" t="inlineStr">
        <is>
          <t>Quality Assurance &amp; Control</t>
        </is>
      </c>
      <c r="F1210" s="208" t="n">
        <v>25.3333</v>
      </c>
      <c r="G1210" s="208" t="n">
        <v>402</v>
      </c>
      <c r="H1210" s="208" t="inlineStr">
        <is>
          <t>No separate deliverable explicitly named</t>
        </is>
      </c>
    </row>
    <row r="1211">
      <c r="A1211" s="199" t="inlineStr">
        <is>
          <t>RTM-645</t>
        </is>
      </c>
      <c r="B1211" s="221" t="inlineStr">
        <is>
          <t>L0 Tender / Offer</t>
        </is>
      </c>
      <c r="C1211" s="199" t="n">
        <v>1</v>
      </c>
      <c r="D1211" s="199" t="inlineStr">
        <is>
          <t>T2 Secondary</t>
        </is>
      </c>
      <c r="E1211" s="199" t="inlineStr">
        <is>
          <t>Quality Assurance &amp; Control</t>
        </is>
      </c>
      <c r="F1211" s="199" t="n">
        <v>25.3333</v>
      </c>
      <c r="G1211" s="199" t="n">
        <v>403</v>
      </c>
      <c r="H1211" s="199" t="inlineStr">
        <is>
          <t>No separate deliverable explicitly named</t>
        </is>
      </c>
    </row>
    <row r="1212">
      <c r="A1212" s="208" t="inlineStr">
        <is>
          <t>RTM-645</t>
        </is>
      </c>
      <c r="B1212" s="222" t="inlineStr">
        <is>
          <t>L1 Conceptual Design</t>
        </is>
      </c>
      <c r="C1212" s="208" t="n">
        <v>2</v>
      </c>
      <c r="D1212" s="208" t="inlineStr">
        <is>
          <t>T2 Secondary</t>
        </is>
      </c>
      <c r="E1212" s="208" t="inlineStr">
        <is>
          <t>Quality Assurance &amp; Control</t>
        </is>
      </c>
      <c r="F1212" s="208" t="n">
        <v>25.3333</v>
      </c>
      <c r="G1212" s="208" t="n">
        <v>403</v>
      </c>
      <c r="H1212" s="208" t="inlineStr">
        <is>
          <t>No separate deliverable explicitly named</t>
        </is>
      </c>
    </row>
    <row r="1213">
      <c r="A1213" s="199" t="inlineStr">
        <is>
          <t>RTM-645</t>
        </is>
      </c>
      <c r="B1213" s="223" t="inlineStr">
        <is>
          <t>L2 Detailed Design</t>
        </is>
      </c>
      <c r="C1213" s="199" t="n">
        <v>3</v>
      </c>
      <c r="D1213" s="199" t="inlineStr">
        <is>
          <t>T2 Secondary</t>
        </is>
      </c>
      <c r="E1213" s="199" t="inlineStr">
        <is>
          <t>Quality Assurance &amp; Control</t>
        </is>
      </c>
      <c r="F1213" s="199" t="n">
        <v>25.3333</v>
      </c>
      <c r="G1213" s="199" t="n">
        <v>403</v>
      </c>
      <c r="H1213" s="199" t="inlineStr">
        <is>
          <t>No separate deliverable explicitly named</t>
        </is>
      </c>
    </row>
    <row r="1214">
      <c r="A1214" s="208" t="inlineStr">
        <is>
          <t>RTM-645</t>
        </is>
      </c>
      <c r="B1214" s="224" t="inlineStr">
        <is>
          <t>L3 Procurement &amp; Manufacturing / FAT</t>
        </is>
      </c>
      <c r="C1214" s="208" t="n">
        <v>4</v>
      </c>
      <c r="D1214" s="208" t="inlineStr">
        <is>
          <t>T2 Secondary</t>
        </is>
      </c>
      <c r="E1214" s="208" t="inlineStr">
        <is>
          <t>Quality Assurance &amp; Control</t>
        </is>
      </c>
      <c r="F1214" s="208" t="n">
        <v>25.3333</v>
      </c>
      <c r="G1214" s="208" t="n">
        <v>403</v>
      </c>
      <c r="H1214" s="208" t="inlineStr">
        <is>
          <t>No separate deliverable explicitly named</t>
        </is>
      </c>
    </row>
    <row r="1215">
      <c r="A1215" s="199" t="inlineStr">
        <is>
          <t>RTM-645</t>
        </is>
      </c>
      <c r="B1215" s="220" t="inlineStr">
        <is>
          <t>L4 Installation</t>
        </is>
      </c>
      <c r="C1215" s="199" t="n">
        <v>6</v>
      </c>
      <c r="D1215" s="199" t="inlineStr">
        <is>
          <t>T2 Secondary</t>
        </is>
      </c>
      <c r="E1215" s="199" t="inlineStr">
        <is>
          <t>Quality Assurance &amp; Control</t>
        </is>
      </c>
      <c r="F1215" s="199" t="n">
        <v>25.3333</v>
      </c>
      <c r="G1215" s="199" t="n">
        <v>403</v>
      </c>
      <c r="H1215" s="199" t="inlineStr">
        <is>
          <t>No separate deliverable explicitly named</t>
        </is>
      </c>
    </row>
    <row r="1216">
      <c r="A1216" s="208" t="inlineStr">
        <is>
          <t>RTM-645</t>
        </is>
      </c>
      <c r="B1216" s="225" t="inlineStr">
        <is>
          <t>L5 Standalone Commissioning</t>
        </is>
      </c>
      <c r="C1216" s="208" t="n">
        <v>7</v>
      </c>
      <c r="D1216" s="208" t="inlineStr">
        <is>
          <t>T2 Secondary</t>
        </is>
      </c>
      <c r="E1216" s="208" t="inlineStr">
        <is>
          <t>Quality Assurance &amp; Control</t>
        </is>
      </c>
      <c r="F1216" s="208" t="n">
        <v>25.3333</v>
      </c>
      <c r="G1216" s="208" t="n">
        <v>403</v>
      </c>
      <c r="H1216" s="208" t="inlineStr">
        <is>
          <t>No separate deliverable explicitly named</t>
        </is>
      </c>
    </row>
    <row r="1217">
      <c r="A1217" s="199" t="inlineStr">
        <is>
          <t>RTM-645</t>
        </is>
      </c>
      <c r="B1217" s="226" t="inlineStr">
        <is>
          <t>L6 Site Acceptance Testing</t>
        </is>
      </c>
      <c r="C1217" s="199" t="n">
        <v>8</v>
      </c>
      <c r="D1217" s="199" t="inlineStr">
        <is>
          <t>T2 Secondary</t>
        </is>
      </c>
      <c r="E1217" s="199" t="inlineStr">
        <is>
          <t>Quality Assurance &amp; Control</t>
        </is>
      </c>
      <c r="F1217" s="199" t="n">
        <v>25.3333</v>
      </c>
      <c r="G1217" s="199" t="n">
        <v>403</v>
      </c>
      <c r="H1217" s="199" t="inlineStr">
        <is>
          <t>No separate deliverable explicitly named</t>
        </is>
      </c>
    </row>
    <row r="1218">
      <c r="A1218" s="208" t="inlineStr">
        <is>
          <t>RTM-646</t>
        </is>
      </c>
      <c r="B1218" s="221" t="inlineStr">
        <is>
          <t>L0 Tender / Offer</t>
        </is>
      </c>
      <c r="C1218" s="208" t="n">
        <v>1</v>
      </c>
      <c r="D1218" s="208" t="inlineStr">
        <is>
          <t>T2 Secondary</t>
        </is>
      </c>
      <c r="E1218" s="208" t="inlineStr">
        <is>
          <t>Quality Assurance &amp; Control</t>
        </is>
      </c>
      <c r="F1218" s="208" t="n">
        <v>25.3333</v>
      </c>
      <c r="G1218" s="208" t="n">
        <v>404</v>
      </c>
      <c r="H1218" s="208" t="inlineStr">
        <is>
          <t>No separate deliverable explicitly named</t>
        </is>
      </c>
    </row>
    <row r="1219">
      <c r="A1219" s="199" t="inlineStr">
        <is>
          <t>RTM-646</t>
        </is>
      </c>
      <c r="B1219" s="222" t="inlineStr">
        <is>
          <t>L1 Conceptual Design</t>
        </is>
      </c>
      <c r="C1219" s="199" t="n">
        <v>2</v>
      </c>
      <c r="D1219" s="199" t="inlineStr">
        <is>
          <t>T2 Secondary</t>
        </is>
      </c>
      <c r="E1219" s="199" t="inlineStr">
        <is>
          <t>Quality Assurance &amp; Control</t>
        </is>
      </c>
      <c r="F1219" s="199" t="n">
        <v>25.3333</v>
      </c>
      <c r="G1219" s="199" t="n">
        <v>404</v>
      </c>
      <c r="H1219" s="199" t="inlineStr">
        <is>
          <t>No separate deliverable explicitly named</t>
        </is>
      </c>
    </row>
    <row r="1220">
      <c r="A1220" s="208" t="inlineStr">
        <is>
          <t>RTM-646</t>
        </is>
      </c>
      <c r="B1220" s="223" t="inlineStr">
        <is>
          <t>L2 Detailed Design</t>
        </is>
      </c>
      <c r="C1220" s="208" t="n">
        <v>3</v>
      </c>
      <c r="D1220" s="208" t="inlineStr">
        <is>
          <t>T2 Secondary</t>
        </is>
      </c>
      <c r="E1220" s="208" t="inlineStr">
        <is>
          <t>Quality Assurance &amp; Control</t>
        </is>
      </c>
      <c r="F1220" s="208" t="n">
        <v>25.3333</v>
      </c>
      <c r="G1220" s="208" t="n">
        <v>404</v>
      </c>
      <c r="H1220" s="208" t="inlineStr">
        <is>
          <t>No separate deliverable explicitly named</t>
        </is>
      </c>
    </row>
    <row r="1221">
      <c r="A1221" s="199" t="inlineStr">
        <is>
          <t>RTM-646</t>
        </is>
      </c>
      <c r="B1221" s="224" t="inlineStr">
        <is>
          <t>L3 Procurement &amp; Manufacturing / FAT</t>
        </is>
      </c>
      <c r="C1221" s="199" t="n">
        <v>4</v>
      </c>
      <c r="D1221" s="199" t="inlineStr">
        <is>
          <t>T2 Secondary</t>
        </is>
      </c>
      <c r="E1221" s="199" t="inlineStr">
        <is>
          <t>Quality Assurance &amp; Control</t>
        </is>
      </c>
      <c r="F1221" s="199" t="n">
        <v>25.3333</v>
      </c>
      <c r="G1221" s="199" t="n">
        <v>404</v>
      </c>
      <c r="H1221" s="199" t="inlineStr">
        <is>
          <t>No separate deliverable explicitly named</t>
        </is>
      </c>
    </row>
    <row r="1222">
      <c r="A1222" s="208" t="inlineStr">
        <is>
          <t>RTM-646</t>
        </is>
      </c>
      <c r="B1222" s="220" t="inlineStr">
        <is>
          <t>L4 Installation</t>
        </is>
      </c>
      <c r="C1222" s="208" t="n">
        <v>6</v>
      </c>
      <c r="D1222" s="208" t="inlineStr">
        <is>
          <t>T2 Secondary</t>
        </is>
      </c>
      <c r="E1222" s="208" t="inlineStr">
        <is>
          <t>Quality Assurance &amp; Control</t>
        </is>
      </c>
      <c r="F1222" s="208" t="n">
        <v>25.3333</v>
      </c>
      <c r="G1222" s="208" t="n">
        <v>404</v>
      </c>
      <c r="H1222" s="208" t="inlineStr">
        <is>
          <t>No separate deliverable explicitly named</t>
        </is>
      </c>
    </row>
    <row r="1223">
      <c r="A1223" s="199" t="inlineStr">
        <is>
          <t>RTM-646</t>
        </is>
      </c>
      <c r="B1223" s="225" t="inlineStr">
        <is>
          <t>L5 Standalone Commissioning</t>
        </is>
      </c>
      <c r="C1223" s="199" t="n">
        <v>7</v>
      </c>
      <c r="D1223" s="199" t="inlineStr">
        <is>
          <t>T2 Secondary</t>
        </is>
      </c>
      <c r="E1223" s="199" t="inlineStr">
        <is>
          <t>Quality Assurance &amp; Control</t>
        </is>
      </c>
      <c r="F1223" s="199" t="n">
        <v>25.3333</v>
      </c>
      <c r="G1223" s="199" t="n">
        <v>404</v>
      </c>
      <c r="H1223" s="199" t="inlineStr">
        <is>
          <t>No separate deliverable explicitly named</t>
        </is>
      </c>
    </row>
    <row r="1224">
      <c r="A1224" s="208" t="inlineStr">
        <is>
          <t>RTM-646</t>
        </is>
      </c>
      <c r="B1224" s="226" t="inlineStr">
        <is>
          <t>L6 Site Acceptance Testing</t>
        </is>
      </c>
      <c r="C1224" s="208" t="n">
        <v>8</v>
      </c>
      <c r="D1224" s="208" t="inlineStr">
        <is>
          <t>T2 Secondary</t>
        </is>
      </c>
      <c r="E1224" s="208" t="inlineStr">
        <is>
          <t>Quality Assurance &amp; Control</t>
        </is>
      </c>
      <c r="F1224" s="208" t="n">
        <v>25.3333</v>
      </c>
      <c r="G1224" s="208" t="n">
        <v>404</v>
      </c>
      <c r="H1224" s="208" t="inlineStr">
        <is>
          <t>No separate deliverable explicitly named</t>
        </is>
      </c>
    </row>
    <row r="1225">
      <c r="A1225" s="199" t="inlineStr">
        <is>
          <t>RTM-647</t>
        </is>
      </c>
      <c r="B1225" s="221" t="inlineStr">
        <is>
          <t>L0 Tender / Offer</t>
        </is>
      </c>
      <c r="C1225" s="199" t="n">
        <v>1</v>
      </c>
      <c r="D1225" s="199" t="inlineStr">
        <is>
          <t>T2 Secondary</t>
        </is>
      </c>
      <c r="E1225" s="199" t="inlineStr">
        <is>
          <t>Quality Assurance &amp; Control</t>
        </is>
      </c>
      <c r="F1225" s="199" t="n">
        <v>25.3333</v>
      </c>
      <c r="G1225" s="199" t="n">
        <v>405</v>
      </c>
      <c r="H1225" s="199" t="inlineStr">
        <is>
          <t>No separate deliverable explicitly named</t>
        </is>
      </c>
    </row>
    <row r="1226">
      <c r="A1226" s="208" t="inlineStr">
        <is>
          <t>RTM-647</t>
        </is>
      </c>
      <c r="B1226" s="222" t="inlineStr">
        <is>
          <t>L1 Conceptual Design</t>
        </is>
      </c>
      <c r="C1226" s="208" t="n">
        <v>2</v>
      </c>
      <c r="D1226" s="208" t="inlineStr">
        <is>
          <t>T2 Secondary</t>
        </is>
      </c>
      <c r="E1226" s="208" t="inlineStr">
        <is>
          <t>Quality Assurance &amp; Control</t>
        </is>
      </c>
      <c r="F1226" s="208" t="n">
        <v>25.3333</v>
      </c>
      <c r="G1226" s="208" t="n">
        <v>405</v>
      </c>
      <c r="H1226" s="208" t="inlineStr">
        <is>
          <t>No separate deliverable explicitly named</t>
        </is>
      </c>
    </row>
    <row r="1227">
      <c r="A1227" s="199" t="inlineStr">
        <is>
          <t>RTM-647</t>
        </is>
      </c>
      <c r="B1227" s="223" t="inlineStr">
        <is>
          <t>L2 Detailed Design</t>
        </is>
      </c>
      <c r="C1227" s="199" t="n">
        <v>3</v>
      </c>
      <c r="D1227" s="199" t="inlineStr">
        <is>
          <t>T2 Secondary</t>
        </is>
      </c>
      <c r="E1227" s="199" t="inlineStr">
        <is>
          <t>Quality Assurance &amp; Control</t>
        </is>
      </c>
      <c r="F1227" s="199" t="n">
        <v>25.3333</v>
      </c>
      <c r="G1227" s="199" t="n">
        <v>405</v>
      </c>
      <c r="H1227" s="199" t="inlineStr">
        <is>
          <t>No separate deliverable explicitly named</t>
        </is>
      </c>
    </row>
    <row r="1228">
      <c r="A1228" s="208" t="inlineStr">
        <is>
          <t>RTM-647</t>
        </is>
      </c>
      <c r="B1228" s="224" t="inlineStr">
        <is>
          <t>L3 Procurement &amp; Manufacturing / FAT</t>
        </is>
      </c>
      <c r="C1228" s="208" t="n">
        <v>4</v>
      </c>
      <c r="D1228" s="208" t="inlineStr">
        <is>
          <t>T2 Secondary</t>
        </is>
      </c>
      <c r="E1228" s="208" t="inlineStr">
        <is>
          <t>Quality Assurance &amp; Control</t>
        </is>
      </c>
      <c r="F1228" s="208" t="n">
        <v>25.3333</v>
      </c>
      <c r="G1228" s="208" t="n">
        <v>405</v>
      </c>
      <c r="H1228" s="208" t="inlineStr">
        <is>
          <t>No separate deliverable explicitly named</t>
        </is>
      </c>
    </row>
    <row r="1229">
      <c r="A1229" s="199" t="inlineStr">
        <is>
          <t>RTM-647</t>
        </is>
      </c>
      <c r="B1229" s="220" t="inlineStr">
        <is>
          <t>L4 Installation</t>
        </is>
      </c>
      <c r="C1229" s="199" t="n">
        <v>6</v>
      </c>
      <c r="D1229" s="199" t="inlineStr">
        <is>
          <t>T2 Secondary</t>
        </is>
      </c>
      <c r="E1229" s="199" t="inlineStr">
        <is>
          <t>Quality Assurance &amp; Control</t>
        </is>
      </c>
      <c r="F1229" s="199" t="n">
        <v>25.3333</v>
      </c>
      <c r="G1229" s="199" t="n">
        <v>405</v>
      </c>
      <c r="H1229" s="199" t="inlineStr">
        <is>
          <t>No separate deliverable explicitly named</t>
        </is>
      </c>
    </row>
    <row r="1230">
      <c r="A1230" s="208" t="inlineStr">
        <is>
          <t>RTM-647</t>
        </is>
      </c>
      <c r="B1230" s="225" t="inlineStr">
        <is>
          <t>L5 Standalone Commissioning</t>
        </is>
      </c>
      <c r="C1230" s="208" t="n">
        <v>7</v>
      </c>
      <c r="D1230" s="208" t="inlineStr">
        <is>
          <t>T2 Secondary</t>
        </is>
      </c>
      <c r="E1230" s="208" t="inlineStr">
        <is>
          <t>Quality Assurance &amp; Control</t>
        </is>
      </c>
      <c r="F1230" s="208" t="n">
        <v>25.3333</v>
      </c>
      <c r="G1230" s="208" t="n">
        <v>405</v>
      </c>
      <c r="H1230" s="208" t="inlineStr">
        <is>
          <t>No separate deliverable explicitly named</t>
        </is>
      </c>
    </row>
    <row r="1231">
      <c r="A1231" s="199" t="inlineStr">
        <is>
          <t>RTM-647</t>
        </is>
      </c>
      <c r="B1231" s="226" t="inlineStr">
        <is>
          <t>L6 Site Acceptance Testing</t>
        </is>
      </c>
      <c r="C1231" s="199" t="n">
        <v>8</v>
      </c>
      <c r="D1231" s="199" t="inlineStr">
        <is>
          <t>T2 Secondary</t>
        </is>
      </c>
      <c r="E1231" s="199" t="inlineStr">
        <is>
          <t>Quality Assurance &amp; Control</t>
        </is>
      </c>
      <c r="F1231" s="199" t="n">
        <v>25.3333</v>
      </c>
      <c r="G1231" s="199" t="n">
        <v>405</v>
      </c>
      <c r="H1231" s="199" t="inlineStr">
        <is>
          <t>No separate deliverable explicitly named</t>
        </is>
      </c>
    </row>
    <row r="1232">
      <c r="A1232" s="208" t="inlineStr">
        <is>
          <t>RTM-648</t>
        </is>
      </c>
      <c r="B1232" s="221" t="inlineStr">
        <is>
          <t>L0 Tender / Offer</t>
        </is>
      </c>
      <c r="C1232" s="208" t="n">
        <v>1</v>
      </c>
      <c r="D1232" s="208" t="inlineStr">
        <is>
          <t>T2 Secondary</t>
        </is>
      </c>
      <c r="E1232" s="208" t="inlineStr">
        <is>
          <t>Quality Assurance &amp; Control</t>
        </is>
      </c>
      <c r="F1232" s="208" t="n">
        <v>25.3333</v>
      </c>
      <c r="G1232" s="208" t="n">
        <v>406</v>
      </c>
      <c r="H1232" s="208" t="inlineStr">
        <is>
          <t>Quality Assurance Plan (QAP); Manufacturing and Inspection Plan (MIP)</t>
        </is>
      </c>
    </row>
    <row r="1233">
      <c r="A1233" s="199" t="inlineStr">
        <is>
          <t>RTM-648</t>
        </is>
      </c>
      <c r="B1233" s="222" t="inlineStr">
        <is>
          <t>L1 Conceptual Design</t>
        </is>
      </c>
      <c r="C1233" s="199" t="n">
        <v>2</v>
      </c>
      <c r="D1233" s="199" t="inlineStr">
        <is>
          <t>T2 Secondary</t>
        </is>
      </c>
      <c r="E1233" s="199" t="inlineStr">
        <is>
          <t>Quality Assurance &amp; Control</t>
        </is>
      </c>
      <c r="F1233" s="199" t="n">
        <v>25.3333</v>
      </c>
      <c r="G1233" s="199" t="n">
        <v>406</v>
      </c>
      <c r="H1233" s="199" t="inlineStr">
        <is>
          <t>Quality Assurance Plan (QAP); Manufacturing and Inspection Plan (MIP)</t>
        </is>
      </c>
    </row>
    <row r="1234">
      <c r="A1234" s="208" t="inlineStr">
        <is>
          <t>RTM-648</t>
        </is>
      </c>
      <c r="B1234" s="223" t="inlineStr">
        <is>
          <t>L2 Detailed Design</t>
        </is>
      </c>
      <c r="C1234" s="208" t="n">
        <v>3</v>
      </c>
      <c r="D1234" s="208" t="inlineStr">
        <is>
          <t>T2 Secondary</t>
        </is>
      </c>
      <c r="E1234" s="208" t="inlineStr">
        <is>
          <t>Quality Assurance &amp; Control</t>
        </is>
      </c>
      <c r="F1234" s="208" t="n">
        <v>25.3333</v>
      </c>
      <c r="G1234" s="208" t="n">
        <v>406</v>
      </c>
      <c r="H1234" s="208" t="inlineStr">
        <is>
          <t>Quality Assurance Plan (QAP); Manufacturing and Inspection Plan (MIP)</t>
        </is>
      </c>
    </row>
    <row r="1235">
      <c r="A1235" s="199" t="inlineStr">
        <is>
          <t>RTM-648</t>
        </is>
      </c>
      <c r="B1235" s="224" t="inlineStr">
        <is>
          <t>L3 Procurement &amp; Manufacturing / FAT</t>
        </is>
      </c>
      <c r="C1235" s="199" t="n">
        <v>4</v>
      </c>
      <c r="D1235" s="199" t="inlineStr">
        <is>
          <t>T2 Secondary</t>
        </is>
      </c>
      <c r="E1235" s="199" t="inlineStr">
        <is>
          <t>Quality Assurance &amp; Control</t>
        </is>
      </c>
      <c r="F1235" s="199" t="n">
        <v>25.3333</v>
      </c>
      <c r="G1235" s="199" t="n">
        <v>406</v>
      </c>
      <c r="H1235" s="199" t="inlineStr">
        <is>
          <t>Quality Assurance Plan (QAP); Manufacturing and Inspection Plan (MIP)</t>
        </is>
      </c>
    </row>
    <row r="1236">
      <c r="A1236" s="208" t="inlineStr">
        <is>
          <t>RTM-648</t>
        </is>
      </c>
      <c r="B1236" s="220" t="inlineStr">
        <is>
          <t>L4 Installation</t>
        </is>
      </c>
      <c r="C1236" s="208" t="n">
        <v>6</v>
      </c>
      <c r="D1236" s="208" t="inlineStr">
        <is>
          <t>T2 Secondary</t>
        </is>
      </c>
      <c r="E1236" s="208" t="inlineStr">
        <is>
          <t>Quality Assurance &amp; Control</t>
        </is>
      </c>
      <c r="F1236" s="208" t="n">
        <v>25.3333</v>
      </c>
      <c r="G1236" s="208" t="n">
        <v>406</v>
      </c>
      <c r="H1236" s="208" t="inlineStr">
        <is>
          <t>Quality Assurance Plan (QAP); Manufacturing and Inspection Plan (MIP)</t>
        </is>
      </c>
    </row>
    <row r="1237">
      <c r="A1237" s="199" t="inlineStr">
        <is>
          <t>RTM-648</t>
        </is>
      </c>
      <c r="B1237" s="225" t="inlineStr">
        <is>
          <t>L5 Standalone Commissioning</t>
        </is>
      </c>
      <c r="C1237" s="199" t="n">
        <v>7</v>
      </c>
      <c r="D1237" s="199" t="inlineStr">
        <is>
          <t>T2 Secondary</t>
        </is>
      </c>
      <c r="E1237" s="199" t="inlineStr">
        <is>
          <t>Quality Assurance &amp; Control</t>
        </is>
      </c>
      <c r="F1237" s="199" t="n">
        <v>25.3333</v>
      </c>
      <c r="G1237" s="199" t="n">
        <v>406</v>
      </c>
      <c r="H1237" s="199" t="inlineStr">
        <is>
          <t>Quality Assurance Plan (QAP); Manufacturing and Inspection Plan (MIP)</t>
        </is>
      </c>
    </row>
    <row r="1238">
      <c r="A1238" s="208" t="inlineStr">
        <is>
          <t>RTM-648</t>
        </is>
      </c>
      <c r="B1238" s="226" t="inlineStr">
        <is>
          <t>L6 Site Acceptance Testing</t>
        </is>
      </c>
      <c r="C1238" s="208" t="n">
        <v>8</v>
      </c>
      <c r="D1238" s="208" t="inlineStr">
        <is>
          <t>T2 Secondary</t>
        </is>
      </c>
      <c r="E1238" s="208" t="inlineStr">
        <is>
          <t>Quality Assurance &amp; Control</t>
        </is>
      </c>
      <c r="F1238" s="208" t="n">
        <v>25.3333</v>
      </c>
      <c r="G1238" s="208" t="n">
        <v>406</v>
      </c>
      <c r="H1238" s="208" t="inlineStr">
        <is>
          <t>Quality Assurance Plan (QAP); Manufacturing and Inspection Plan (MIP)</t>
        </is>
      </c>
    </row>
    <row r="1239">
      <c r="A1239" s="199" t="inlineStr">
        <is>
          <t>RTM-651</t>
        </is>
      </c>
      <c r="B1239" s="221" t="inlineStr">
        <is>
          <t>L0 Tender / Offer</t>
        </is>
      </c>
      <c r="C1239" s="199" t="n">
        <v>1</v>
      </c>
      <c r="D1239" s="199" t="inlineStr">
        <is>
          <t>T2 Secondary</t>
        </is>
      </c>
      <c r="E1239" s="199" t="inlineStr">
        <is>
          <t>Quality Assurance &amp; Control</t>
        </is>
      </c>
      <c r="F1239" s="199" t="n">
        <v>25.3333</v>
      </c>
      <c r="G1239" s="199" t="n">
        <v>407</v>
      </c>
      <c r="H1239" s="199" t="inlineStr">
        <is>
          <t>Quality Assurance Plan (QAP)</t>
        </is>
      </c>
    </row>
    <row r="1240">
      <c r="A1240" s="208" t="inlineStr">
        <is>
          <t>RTM-651</t>
        </is>
      </c>
      <c r="B1240" s="222" t="inlineStr">
        <is>
          <t>L1 Conceptual Design</t>
        </is>
      </c>
      <c r="C1240" s="208" t="n">
        <v>2</v>
      </c>
      <c r="D1240" s="208" t="inlineStr">
        <is>
          <t>T2 Secondary</t>
        </is>
      </c>
      <c r="E1240" s="208" t="inlineStr">
        <is>
          <t>Quality Assurance &amp; Control</t>
        </is>
      </c>
      <c r="F1240" s="208" t="n">
        <v>25.3333</v>
      </c>
      <c r="G1240" s="208" t="n">
        <v>407</v>
      </c>
      <c r="H1240" s="208" t="inlineStr">
        <is>
          <t>Quality Assurance Plan (QAP)</t>
        </is>
      </c>
    </row>
    <row r="1241">
      <c r="A1241" s="199" t="inlineStr">
        <is>
          <t>RTM-651</t>
        </is>
      </c>
      <c r="B1241" s="223" t="inlineStr">
        <is>
          <t>L2 Detailed Design</t>
        </is>
      </c>
      <c r="C1241" s="199" t="n">
        <v>3</v>
      </c>
      <c r="D1241" s="199" t="inlineStr">
        <is>
          <t>T2 Secondary</t>
        </is>
      </c>
      <c r="E1241" s="199" t="inlineStr">
        <is>
          <t>Quality Assurance &amp; Control</t>
        </is>
      </c>
      <c r="F1241" s="199" t="n">
        <v>25.3333</v>
      </c>
      <c r="G1241" s="199" t="n">
        <v>407</v>
      </c>
      <c r="H1241" s="199" t="inlineStr">
        <is>
          <t>Quality Assurance Plan (QAP)</t>
        </is>
      </c>
    </row>
    <row r="1242">
      <c r="A1242" s="208" t="inlineStr">
        <is>
          <t>RTM-651</t>
        </is>
      </c>
      <c r="B1242" s="224" t="inlineStr">
        <is>
          <t>L3 Procurement &amp; Manufacturing / FAT</t>
        </is>
      </c>
      <c r="C1242" s="208" t="n">
        <v>4</v>
      </c>
      <c r="D1242" s="208" t="inlineStr">
        <is>
          <t>T2 Secondary</t>
        </is>
      </c>
      <c r="E1242" s="208" t="inlineStr">
        <is>
          <t>Quality Assurance &amp; Control</t>
        </is>
      </c>
      <c r="F1242" s="208" t="n">
        <v>25.3333</v>
      </c>
      <c r="G1242" s="208" t="n">
        <v>407</v>
      </c>
      <c r="H1242" s="208" t="inlineStr">
        <is>
          <t>Quality Assurance Plan (QAP)</t>
        </is>
      </c>
    </row>
    <row r="1243">
      <c r="A1243" s="199" t="inlineStr">
        <is>
          <t>RTM-651</t>
        </is>
      </c>
      <c r="B1243" s="220" t="inlineStr">
        <is>
          <t>L4 Installation</t>
        </is>
      </c>
      <c r="C1243" s="199" t="n">
        <v>6</v>
      </c>
      <c r="D1243" s="199" t="inlineStr">
        <is>
          <t>T2 Secondary</t>
        </is>
      </c>
      <c r="E1243" s="199" t="inlineStr">
        <is>
          <t>Quality Assurance &amp; Control</t>
        </is>
      </c>
      <c r="F1243" s="199" t="n">
        <v>25.3333</v>
      </c>
      <c r="G1243" s="199" t="n">
        <v>407</v>
      </c>
      <c r="H1243" s="199" t="inlineStr">
        <is>
          <t>Quality Assurance Plan (QAP)</t>
        </is>
      </c>
    </row>
    <row r="1244">
      <c r="A1244" s="208" t="inlineStr">
        <is>
          <t>RTM-651</t>
        </is>
      </c>
      <c r="B1244" s="225" t="inlineStr">
        <is>
          <t>L5 Standalone Commissioning</t>
        </is>
      </c>
      <c r="C1244" s="208" t="n">
        <v>7</v>
      </c>
      <c r="D1244" s="208" t="inlineStr">
        <is>
          <t>T2 Secondary</t>
        </is>
      </c>
      <c r="E1244" s="208" t="inlineStr">
        <is>
          <t>Quality Assurance &amp; Control</t>
        </is>
      </c>
      <c r="F1244" s="208" t="n">
        <v>25.3333</v>
      </c>
      <c r="G1244" s="208" t="n">
        <v>407</v>
      </c>
      <c r="H1244" s="208" t="inlineStr">
        <is>
          <t>Quality Assurance Plan (QAP)</t>
        </is>
      </c>
    </row>
    <row r="1245">
      <c r="A1245" s="199" t="inlineStr">
        <is>
          <t>RTM-651</t>
        </is>
      </c>
      <c r="B1245" s="226" t="inlineStr">
        <is>
          <t>L6 Site Acceptance Testing</t>
        </is>
      </c>
      <c r="C1245" s="199" t="n">
        <v>8</v>
      </c>
      <c r="D1245" s="199" t="inlineStr">
        <is>
          <t>T2 Secondary</t>
        </is>
      </c>
      <c r="E1245" s="199" t="inlineStr">
        <is>
          <t>Quality Assurance &amp; Control</t>
        </is>
      </c>
      <c r="F1245" s="199" t="n">
        <v>25.3333</v>
      </c>
      <c r="G1245" s="199" t="n">
        <v>407</v>
      </c>
      <c r="H1245" s="199" t="inlineStr">
        <is>
          <t>Quality Assurance Plan (QAP)</t>
        </is>
      </c>
    </row>
    <row r="1246">
      <c r="A1246" s="208" t="inlineStr">
        <is>
          <t>RTM-652</t>
        </is>
      </c>
      <c r="B1246" s="221" t="inlineStr">
        <is>
          <t>L0 Tender / Offer</t>
        </is>
      </c>
      <c r="C1246" s="208" t="n">
        <v>1</v>
      </c>
      <c r="D1246" s="208" t="inlineStr">
        <is>
          <t>T2 Secondary</t>
        </is>
      </c>
      <c r="E1246" s="208" t="inlineStr">
        <is>
          <t>Quality Assurance &amp; Control</t>
        </is>
      </c>
      <c r="F1246" s="208" t="n">
        <v>25.3333</v>
      </c>
      <c r="G1246" s="208" t="n">
        <v>408</v>
      </c>
      <c r="H1246" s="208" t="inlineStr">
        <is>
          <t>Quality Assurance Plan (QAP)</t>
        </is>
      </c>
    </row>
    <row r="1247">
      <c r="A1247" s="199" t="inlineStr">
        <is>
          <t>RTM-652</t>
        </is>
      </c>
      <c r="B1247" s="222" t="inlineStr">
        <is>
          <t>L1 Conceptual Design</t>
        </is>
      </c>
      <c r="C1247" s="199" t="n">
        <v>2</v>
      </c>
      <c r="D1247" s="199" t="inlineStr">
        <is>
          <t>T2 Secondary</t>
        </is>
      </c>
      <c r="E1247" s="199" t="inlineStr">
        <is>
          <t>Quality Assurance &amp; Control</t>
        </is>
      </c>
      <c r="F1247" s="199" t="n">
        <v>25.3333</v>
      </c>
      <c r="G1247" s="199" t="n">
        <v>408</v>
      </c>
      <c r="H1247" s="199" t="inlineStr">
        <is>
          <t>Quality Assurance Plan (QAP)</t>
        </is>
      </c>
    </row>
    <row r="1248">
      <c r="A1248" s="208" t="inlineStr">
        <is>
          <t>RTM-652</t>
        </is>
      </c>
      <c r="B1248" s="223" t="inlineStr">
        <is>
          <t>L2 Detailed Design</t>
        </is>
      </c>
      <c r="C1248" s="208" t="n">
        <v>3</v>
      </c>
      <c r="D1248" s="208" t="inlineStr">
        <is>
          <t>T2 Secondary</t>
        </is>
      </c>
      <c r="E1248" s="208" t="inlineStr">
        <is>
          <t>Quality Assurance &amp; Control</t>
        </is>
      </c>
      <c r="F1248" s="208" t="n">
        <v>25.3333</v>
      </c>
      <c r="G1248" s="208" t="n">
        <v>408</v>
      </c>
      <c r="H1248" s="208" t="inlineStr">
        <is>
          <t>Quality Assurance Plan (QAP)</t>
        </is>
      </c>
    </row>
    <row r="1249">
      <c r="A1249" s="199" t="inlineStr">
        <is>
          <t>RTM-652</t>
        </is>
      </c>
      <c r="B1249" s="224" t="inlineStr">
        <is>
          <t>L3 Procurement &amp; Manufacturing / FAT</t>
        </is>
      </c>
      <c r="C1249" s="199" t="n">
        <v>4</v>
      </c>
      <c r="D1249" s="199" t="inlineStr">
        <is>
          <t>T2 Secondary</t>
        </is>
      </c>
      <c r="E1249" s="199" t="inlineStr">
        <is>
          <t>Quality Assurance &amp; Control</t>
        </is>
      </c>
      <c r="F1249" s="199" t="n">
        <v>25.3333</v>
      </c>
      <c r="G1249" s="199" t="n">
        <v>408</v>
      </c>
      <c r="H1249" s="199" t="inlineStr">
        <is>
          <t>Quality Assurance Plan (QAP)</t>
        </is>
      </c>
    </row>
    <row r="1250">
      <c r="A1250" s="208" t="inlineStr">
        <is>
          <t>RTM-652</t>
        </is>
      </c>
      <c r="B1250" s="220" t="inlineStr">
        <is>
          <t>L4 Installation</t>
        </is>
      </c>
      <c r="C1250" s="208" t="n">
        <v>6</v>
      </c>
      <c r="D1250" s="208" t="inlineStr">
        <is>
          <t>T2 Secondary</t>
        </is>
      </c>
      <c r="E1250" s="208" t="inlineStr">
        <is>
          <t>Quality Assurance &amp; Control</t>
        </is>
      </c>
      <c r="F1250" s="208" t="n">
        <v>25.3333</v>
      </c>
      <c r="G1250" s="208" t="n">
        <v>408</v>
      </c>
      <c r="H1250" s="208" t="inlineStr">
        <is>
          <t>Quality Assurance Plan (QAP)</t>
        </is>
      </c>
    </row>
    <row r="1251">
      <c r="A1251" s="199" t="inlineStr">
        <is>
          <t>RTM-652</t>
        </is>
      </c>
      <c r="B1251" s="225" t="inlineStr">
        <is>
          <t>L5 Standalone Commissioning</t>
        </is>
      </c>
      <c r="C1251" s="199" t="n">
        <v>7</v>
      </c>
      <c r="D1251" s="199" t="inlineStr">
        <is>
          <t>T2 Secondary</t>
        </is>
      </c>
      <c r="E1251" s="199" t="inlineStr">
        <is>
          <t>Quality Assurance &amp; Control</t>
        </is>
      </c>
      <c r="F1251" s="199" t="n">
        <v>25.3333</v>
      </c>
      <c r="G1251" s="199" t="n">
        <v>408</v>
      </c>
      <c r="H1251" s="199" t="inlineStr">
        <is>
          <t>Quality Assurance Plan (QAP)</t>
        </is>
      </c>
    </row>
    <row r="1252">
      <c r="A1252" s="208" t="inlineStr">
        <is>
          <t>RTM-652</t>
        </is>
      </c>
      <c r="B1252" s="226" t="inlineStr">
        <is>
          <t>L6 Site Acceptance Testing</t>
        </is>
      </c>
      <c r="C1252" s="208" t="n">
        <v>8</v>
      </c>
      <c r="D1252" s="208" t="inlineStr">
        <is>
          <t>T2 Secondary</t>
        </is>
      </c>
      <c r="E1252" s="208" t="inlineStr">
        <is>
          <t>Quality Assurance &amp; Control</t>
        </is>
      </c>
      <c r="F1252" s="208" t="n">
        <v>25.3333</v>
      </c>
      <c r="G1252" s="208" t="n">
        <v>408</v>
      </c>
      <c r="H1252" s="208" t="inlineStr">
        <is>
          <t>Quality Assurance Plan (QAP)</t>
        </is>
      </c>
    </row>
    <row r="1253">
      <c r="A1253" s="199" t="inlineStr">
        <is>
          <t>RTM-654</t>
        </is>
      </c>
      <c r="B1253" s="221" t="inlineStr">
        <is>
          <t>L0 Tender / Offer</t>
        </is>
      </c>
      <c r="C1253" s="199" t="n">
        <v>1</v>
      </c>
      <c r="D1253" s="199" t="inlineStr">
        <is>
          <t>T2 Secondary</t>
        </is>
      </c>
      <c r="E1253" s="199" t="inlineStr">
        <is>
          <t>Quality Assurance &amp; Control</t>
        </is>
      </c>
      <c r="F1253" s="199" t="n">
        <v>25.3333</v>
      </c>
      <c r="G1253" s="199" t="n">
        <v>409</v>
      </c>
      <c r="H1253" s="199" t="inlineStr">
        <is>
          <t>No separate deliverable explicitly named</t>
        </is>
      </c>
    </row>
    <row r="1254">
      <c r="A1254" s="208" t="inlineStr">
        <is>
          <t>RTM-654</t>
        </is>
      </c>
      <c r="B1254" s="222" t="inlineStr">
        <is>
          <t>L1 Conceptual Design</t>
        </is>
      </c>
      <c r="C1254" s="208" t="n">
        <v>2</v>
      </c>
      <c r="D1254" s="208" t="inlineStr">
        <is>
          <t>T2 Secondary</t>
        </is>
      </c>
      <c r="E1254" s="208" t="inlineStr">
        <is>
          <t>Quality Assurance &amp; Control</t>
        </is>
      </c>
      <c r="F1254" s="208" t="n">
        <v>25.3333</v>
      </c>
      <c r="G1254" s="208" t="n">
        <v>409</v>
      </c>
      <c r="H1254" s="208" t="inlineStr">
        <is>
          <t>No separate deliverable explicitly named</t>
        </is>
      </c>
    </row>
    <row r="1255">
      <c r="A1255" s="199" t="inlineStr">
        <is>
          <t>RTM-654</t>
        </is>
      </c>
      <c r="B1255" s="223" t="inlineStr">
        <is>
          <t>L2 Detailed Design</t>
        </is>
      </c>
      <c r="C1255" s="199" t="n">
        <v>3</v>
      </c>
      <c r="D1255" s="199" t="inlineStr">
        <is>
          <t>T2 Secondary</t>
        </is>
      </c>
      <c r="E1255" s="199" t="inlineStr">
        <is>
          <t>Quality Assurance &amp; Control</t>
        </is>
      </c>
      <c r="F1255" s="199" t="n">
        <v>25.3333</v>
      </c>
      <c r="G1255" s="199" t="n">
        <v>409</v>
      </c>
      <c r="H1255" s="199" t="inlineStr">
        <is>
          <t>No separate deliverable explicitly named</t>
        </is>
      </c>
    </row>
    <row r="1256">
      <c r="A1256" s="208" t="inlineStr">
        <is>
          <t>RTM-654</t>
        </is>
      </c>
      <c r="B1256" s="224" t="inlineStr">
        <is>
          <t>L3 Procurement &amp; Manufacturing / FAT</t>
        </is>
      </c>
      <c r="C1256" s="208" t="n">
        <v>4</v>
      </c>
      <c r="D1256" s="208" t="inlineStr">
        <is>
          <t>T2 Secondary</t>
        </is>
      </c>
      <c r="E1256" s="208" t="inlineStr">
        <is>
          <t>Quality Assurance &amp; Control</t>
        </is>
      </c>
      <c r="F1256" s="208" t="n">
        <v>25.3333</v>
      </c>
      <c r="G1256" s="208" t="n">
        <v>409</v>
      </c>
      <c r="H1256" s="208" t="inlineStr">
        <is>
          <t>No separate deliverable explicitly named</t>
        </is>
      </c>
    </row>
    <row r="1257">
      <c r="A1257" s="199" t="inlineStr">
        <is>
          <t>RTM-654</t>
        </is>
      </c>
      <c r="B1257" s="220" t="inlineStr">
        <is>
          <t>L4 Installation</t>
        </is>
      </c>
      <c r="C1257" s="199" t="n">
        <v>6</v>
      </c>
      <c r="D1257" s="199" t="inlineStr">
        <is>
          <t>T2 Secondary</t>
        </is>
      </c>
      <c r="E1257" s="199" t="inlineStr">
        <is>
          <t>Quality Assurance &amp; Control</t>
        </is>
      </c>
      <c r="F1257" s="199" t="n">
        <v>25.3333</v>
      </c>
      <c r="G1257" s="199" t="n">
        <v>409</v>
      </c>
      <c r="H1257" s="199" t="inlineStr">
        <is>
          <t>No separate deliverable explicitly named</t>
        </is>
      </c>
    </row>
    <row r="1258">
      <c r="A1258" s="208" t="inlineStr">
        <is>
          <t>RTM-654</t>
        </is>
      </c>
      <c r="B1258" s="225" t="inlineStr">
        <is>
          <t>L5 Standalone Commissioning</t>
        </is>
      </c>
      <c r="C1258" s="208" t="n">
        <v>7</v>
      </c>
      <c r="D1258" s="208" t="inlineStr">
        <is>
          <t>T2 Secondary</t>
        </is>
      </c>
      <c r="E1258" s="208" t="inlineStr">
        <is>
          <t>Quality Assurance &amp; Control</t>
        </is>
      </c>
      <c r="F1258" s="208" t="n">
        <v>25.3333</v>
      </c>
      <c r="G1258" s="208" t="n">
        <v>409</v>
      </c>
      <c r="H1258" s="208" t="inlineStr">
        <is>
          <t>No separate deliverable explicitly named</t>
        </is>
      </c>
    </row>
    <row r="1259">
      <c r="A1259" s="199" t="inlineStr">
        <is>
          <t>RTM-654</t>
        </is>
      </c>
      <c r="B1259" s="226" t="inlineStr">
        <is>
          <t>L6 Site Acceptance Testing</t>
        </is>
      </c>
      <c r="C1259" s="199" t="n">
        <v>8</v>
      </c>
      <c r="D1259" s="199" t="inlineStr">
        <is>
          <t>T2 Secondary</t>
        </is>
      </c>
      <c r="E1259" s="199" t="inlineStr">
        <is>
          <t>Quality Assurance &amp; Control</t>
        </is>
      </c>
      <c r="F1259" s="199" t="n">
        <v>25.3333</v>
      </c>
      <c r="G1259" s="199" t="n">
        <v>409</v>
      </c>
      <c r="H1259" s="199" t="inlineStr">
        <is>
          <t>No separate deliverable explicitly named</t>
        </is>
      </c>
    </row>
    <row r="1260">
      <c r="A1260" s="208" t="inlineStr">
        <is>
          <t>RTM-655</t>
        </is>
      </c>
      <c r="B1260" s="221" t="inlineStr">
        <is>
          <t>L0 Tender / Offer</t>
        </is>
      </c>
      <c r="C1260" s="208" t="n">
        <v>1</v>
      </c>
      <c r="D1260" s="208" t="inlineStr">
        <is>
          <t>T2 Secondary</t>
        </is>
      </c>
      <c r="E1260" s="208" t="inlineStr">
        <is>
          <t>Quality Assurance &amp; Control</t>
        </is>
      </c>
      <c r="F1260" s="208" t="n">
        <v>25.3333</v>
      </c>
      <c r="G1260" s="208" t="n">
        <v>410</v>
      </c>
      <c r="H1260" s="208" t="inlineStr">
        <is>
          <t>No separate deliverable explicitly named</t>
        </is>
      </c>
    </row>
    <row r="1261">
      <c r="A1261" s="199" t="inlineStr">
        <is>
          <t>RTM-655</t>
        </is>
      </c>
      <c r="B1261" s="222" t="inlineStr">
        <is>
          <t>L1 Conceptual Design</t>
        </is>
      </c>
      <c r="C1261" s="199" t="n">
        <v>2</v>
      </c>
      <c r="D1261" s="199" t="inlineStr">
        <is>
          <t>T2 Secondary</t>
        </is>
      </c>
      <c r="E1261" s="199" t="inlineStr">
        <is>
          <t>Quality Assurance &amp; Control</t>
        </is>
      </c>
      <c r="F1261" s="199" t="n">
        <v>25.3333</v>
      </c>
      <c r="G1261" s="199" t="n">
        <v>410</v>
      </c>
      <c r="H1261" s="199" t="inlineStr">
        <is>
          <t>No separate deliverable explicitly named</t>
        </is>
      </c>
    </row>
    <row r="1262">
      <c r="A1262" s="208" t="inlineStr">
        <is>
          <t>RTM-655</t>
        </is>
      </c>
      <c r="B1262" s="223" t="inlineStr">
        <is>
          <t>L2 Detailed Design</t>
        </is>
      </c>
      <c r="C1262" s="208" t="n">
        <v>3</v>
      </c>
      <c r="D1262" s="208" t="inlineStr">
        <is>
          <t>T2 Secondary</t>
        </is>
      </c>
      <c r="E1262" s="208" t="inlineStr">
        <is>
          <t>Quality Assurance &amp; Control</t>
        </is>
      </c>
      <c r="F1262" s="208" t="n">
        <v>25.3333</v>
      </c>
      <c r="G1262" s="208" t="n">
        <v>410</v>
      </c>
      <c r="H1262" s="208" t="inlineStr">
        <is>
          <t>No separate deliverable explicitly named</t>
        </is>
      </c>
    </row>
    <row r="1263">
      <c r="A1263" s="199" t="inlineStr">
        <is>
          <t>RTM-655</t>
        </is>
      </c>
      <c r="B1263" s="224" t="inlineStr">
        <is>
          <t>L3 Procurement &amp; Manufacturing / FAT</t>
        </is>
      </c>
      <c r="C1263" s="199" t="n">
        <v>4</v>
      </c>
      <c r="D1263" s="199" t="inlineStr">
        <is>
          <t>T2 Secondary</t>
        </is>
      </c>
      <c r="E1263" s="199" t="inlineStr">
        <is>
          <t>Quality Assurance &amp; Control</t>
        </is>
      </c>
      <c r="F1263" s="199" t="n">
        <v>25.3333</v>
      </c>
      <c r="G1263" s="199" t="n">
        <v>410</v>
      </c>
      <c r="H1263" s="199" t="inlineStr">
        <is>
          <t>No separate deliverable explicitly named</t>
        </is>
      </c>
    </row>
    <row r="1264">
      <c r="A1264" s="208" t="inlineStr">
        <is>
          <t>RTM-655</t>
        </is>
      </c>
      <c r="B1264" s="220" t="inlineStr">
        <is>
          <t>L4 Installation</t>
        </is>
      </c>
      <c r="C1264" s="208" t="n">
        <v>6</v>
      </c>
      <c r="D1264" s="208" t="inlineStr">
        <is>
          <t>T2 Secondary</t>
        </is>
      </c>
      <c r="E1264" s="208" t="inlineStr">
        <is>
          <t>Quality Assurance &amp; Control</t>
        </is>
      </c>
      <c r="F1264" s="208" t="n">
        <v>25.3333</v>
      </c>
      <c r="G1264" s="208" t="n">
        <v>410</v>
      </c>
      <c r="H1264" s="208" t="inlineStr">
        <is>
          <t>No separate deliverable explicitly named</t>
        </is>
      </c>
    </row>
    <row r="1265">
      <c r="A1265" s="199" t="inlineStr">
        <is>
          <t>RTM-655</t>
        </is>
      </c>
      <c r="B1265" s="225" t="inlineStr">
        <is>
          <t>L5 Standalone Commissioning</t>
        </is>
      </c>
      <c r="C1265" s="199" t="n">
        <v>7</v>
      </c>
      <c r="D1265" s="199" t="inlineStr">
        <is>
          <t>T2 Secondary</t>
        </is>
      </c>
      <c r="E1265" s="199" t="inlineStr">
        <is>
          <t>Quality Assurance &amp; Control</t>
        </is>
      </c>
      <c r="F1265" s="199" t="n">
        <v>25.3333</v>
      </c>
      <c r="G1265" s="199" t="n">
        <v>410</v>
      </c>
      <c r="H1265" s="199" t="inlineStr">
        <is>
          <t>No separate deliverable explicitly named</t>
        </is>
      </c>
    </row>
    <row r="1266">
      <c r="A1266" s="208" t="inlineStr">
        <is>
          <t>RTM-655</t>
        </is>
      </c>
      <c r="B1266" s="226" t="inlineStr">
        <is>
          <t>L6 Site Acceptance Testing</t>
        </is>
      </c>
      <c r="C1266" s="208" t="n">
        <v>8</v>
      </c>
      <c r="D1266" s="208" t="inlineStr">
        <is>
          <t>T2 Secondary</t>
        </is>
      </c>
      <c r="E1266" s="208" t="inlineStr">
        <is>
          <t>Quality Assurance &amp; Control</t>
        </is>
      </c>
      <c r="F1266" s="208" t="n">
        <v>25.3333</v>
      </c>
      <c r="G1266" s="208" t="n">
        <v>410</v>
      </c>
      <c r="H1266" s="208" t="inlineStr">
        <is>
          <t>No separate deliverable explicitly named</t>
        </is>
      </c>
    </row>
    <row r="1267">
      <c r="A1267" s="199" t="inlineStr">
        <is>
          <t>RTM-659</t>
        </is>
      </c>
      <c r="B1267" s="221" t="inlineStr">
        <is>
          <t>L0 Tender / Offer</t>
        </is>
      </c>
      <c r="C1267" s="199" t="n">
        <v>1</v>
      </c>
      <c r="D1267" s="199" t="inlineStr">
        <is>
          <t>T2 Secondary</t>
        </is>
      </c>
      <c r="E1267" s="199" t="inlineStr">
        <is>
          <t>Quality Assurance &amp; Control</t>
        </is>
      </c>
      <c r="F1267" s="199" t="n">
        <v>25.3333</v>
      </c>
      <c r="G1267" s="199" t="n">
        <v>411</v>
      </c>
      <c r="H1267" s="199" t="inlineStr">
        <is>
          <t>No separate deliverable explicitly named</t>
        </is>
      </c>
    </row>
    <row r="1268">
      <c r="A1268" s="208" t="inlineStr">
        <is>
          <t>RTM-659</t>
        </is>
      </c>
      <c r="B1268" s="222" t="inlineStr">
        <is>
          <t>L1 Conceptual Design</t>
        </is>
      </c>
      <c r="C1268" s="208" t="n">
        <v>2</v>
      </c>
      <c r="D1268" s="208" t="inlineStr">
        <is>
          <t>T2 Secondary</t>
        </is>
      </c>
      <c r="E1268" s="208" t="inlineStr">
        <is>
          <t>Quality Assurance &amp; Control</t>
        </is>
      </c>
      <c r="F1268" s="208" t="n">
        <v>25.3333</v>
      </c>
      <c r="G1268" s="208" t="n">
        <v>411</v>
      </c>
      <c r="H1268" s="208" t="inlineStr">
        <is>
          <t>No separate deliverable explicitly named</t>
        </is>
      </c>
    </row>
    <row r="1269">
      <c r="A1269" s="199" t="inlineStr">
        <is>
          <t>RTM-659</t>
        </is>
      </c>
      <c r="B1269" s="223" t="inlineStr">
        <is>
          <t>L2 Detailed Design</t>
        </is>
      </c>
      <c r="C1269" s="199" t="n">
        <v>3</v>
      </c>
      <c r="D1269" s="199" t="inlineStr">
        <is>
          <t>T2 Secondary</t>
        </is>
      </c>
      <c r="E1269" s="199" t="inlineStr">
        <is>
          <t>Quality Assurance &amp; Control</t>
        </is>
      </c>
      <c r="F1269" s="199" t="n">
        <v>25.3333</v>
      </c>
      <c r="G1269" s="199" t="n">
        <v>411</v>
      </c>
      <c r="H1269" s="199" t="inlineStr">
        <is>
          <t>No separate deliverable explicitly named</t>
        </is>
      </c>
    </row>
    <row r="1270">
      <c r="A1270" s="208" t="inlineStr">
        <is>
          <t>RTM-659</t>
        </is>
      </c>
      <c r="B1270" s="224" t="inlineStr">
        <is>
          <t>L3 Procurement &amp; Manufacturing / FAT</t>
        </is>
      </c>
      <c r="C1270" s="208" t="n">
        <v>4</v>
      </c>
      <c r="D1270" s="208" t="inlineStr">
        <is>
          <t>T2 Secondary</t>
        </is>
      </c>
      <c r="E1270" s="208" t="inlineStr">
        <is>
          <t>Quality Assurance &amp; Control</t>
        </is>
      </c>
      <c r="F1270" s="208" t="n">
        <v>25.3333</v>
      </c>
      <c r="G1270" s="208" t="n">
        <v>411</v>
      </c>
      <c r="H1270" s="208" t="inlineStr">
        <is>
          <t>No separate deliverable explicitly named</t>
        </is>
      </c>
    </row>
    <row r="1271">
      <c r="A1271" s="199" t="inlineStr">
        <is>
          <t>RTM-659</t>
        </is>
      </c>
      <c r="B1271" s="220" t="inlineStr">
        <is>
          <t>L4 Installation</t>
        </is>
      </c>
      <c r="C1271" s="199" t="n">
        <v>6</v>
      </c>
      <c r="D1271" s="199" t="inlineStr">
        <is>
          <t>T2 Secondary</t>
        </is>
      </c>
      <c r="E1271" s="199" t="inlineStr">
        <is>
          <t>Quality Assurance &amp; Control</t>
        </is>
      </c>
      <c r="F1271" s="199" t="n">
        <v>25.3333</v>
      </c>
      <c r="G1271" s="199" t="n">
        <v>411</v>
      </c>
      <c r="H1271" s="199" t="inlineStr">
        <is>
          <t>No separate deliverable explicitly named</t>
        </is>
      </c>
    </row>
    <row r="1272">
      <c r="A1272" s="208" t="inlineStr">
        <is>
          <t>RTM-659</t>
        </is>
      </c>
      <c r="B1272" s="225" t="inlineStr">
        <is>
          <t>L5 Standalone Commissioning</t>
        </is>
      </c>
      <c r="C1272" s="208" t="n">
        <v>7</v>
      </c>
      <c r="D1272" s="208" t="inlineStr">
        <is>
          <t>T2 Secondary</t>
        </is>
      </c>
      <c r="E1272" s="208" t="inlineStr">
        <is>
          <t>Quality Assurance &amp; Control</t>
        </is>
      </c>
      <c r="F1272" s="208" t="n">
        <v>25.3333</v>
      </c>
      <c r="G1272" s="208" t="n">
        <v>411</v>
      </c>
      <c r="H1272" s="208" t="inlineStr">
        <is>
          <t>No separate deliverable explicitly named</t>
        </is>
      </c>
    </row>
    <row r="1273">
      <c r="A1273" s="199" t="inlineStr">
        <is>
          <t>RTM-659</t>
        </is>
      </c>
      <c r="B1273" s="226" t="inlineStr">
        <is>
          <t>L6 Site Acceptance Testing</t>
        </is>
      </c>
      <c r="C1273" s="199" t="n">
        <v>8</v>
      </c>
      <c r="D1273" s="199" t="inlineStr">
        <is>
          <t>T2 Secondary</t>
        </is>
      </c>
      <c r="E1273" s="199" t="inlineStr">
        <is>
          <t>Quality Assurance &amp; Control</t>
        </is>
      </c>
      <c r="F1273" s="199" t="n">
        <v>25.3333</v>
      </c>
      <c r="G1273" s="199" t="n">
        <v>411</v>
      </c>
      <c r="H1273" s="199" t="inlineStr">
        <is>
          <t>No separate deliverable explicitly named</t>
        </is>
      </c>
    </row>
    <row r="1274">
      <c r="A1274" s="208" t="inlineStr">
        <is>
          <t>RTM-661</t>
        </is>
      </c>
      <c r="B1274" s="221" t="inlineStr">
        <is>
          <t>L0 Tender / Offer</t>
        </is>
      </c>
      <c r="C1274" s="208" t="n">
        <v>1</v>
      </c>
      <c r="D1274" s="208" t="inlineStr">
        <is>
          <t>T2 Secondary</t>
        </is>
      </c>
      <c r="E1274" s="208" t="inlineStr">
        <is>
          <t>Quality Assurance &amp; Control</t>
        </is>
      </c>
      <c r="F1274" s="208" t="n">
        <v>25.3333</v>
      </c>
      <c r="G1274" s="208" t="n">
        <v>412</v>
      </c>
      <c r="H1274" s="208" t="inlineStr">
        <is>
          <t>No separate deliverable explicitly named</t>
        </is>
      </c>
    </row>
    <row r="1275">
      <c r="A1275" s="199" t="inlineStr">
        <is>
          <t>RTM-661</t>
        </is>
      </c>
      <c r="B1275" s="222" t="inlineStr">
        <is>
          <t>L1 Conceptual Design</t>
        </is>
      </c>
      <c r="C1275" s="199" t="n">
        <v>2</v>
      </c>
      <c r="D1275" s="199" t="inlineStr">
        <is>
          <t>T2 Secondary</t>
        </is>
      </c>
      <c r="E1275" s="199" t="inlineStr">
        <is>
          <t>Quality Assurance &amp; Control</t>
        </is>
      </c>
      <c r="F1275" s="199" t="n">
        <v>25.3333</v>
      </c>
      <c r="G1275" s="199" t="n">
        <v>412</v>
      </c>
      <c r="H1275" s="199" t="inlineStr">
        <is>
          <t>No separate deliverable explicitly named</t>
        </is>
      </c>
    </row>
    <row r="1276">
      <c r="A1276" s="208" t="inlineStr">
        <is>
          <t>RTM-661</t>
        </is>
      </c>
      <c r="B1276" s="223" t="inlineStr">
        <is>
          <t>L2 Detailed Design</t>
        </is>
      </c>
      <c r="C1276" s="208" t="n">
        <v>3</v>
      </c>
      <c r="D1276" s="208" t="inlineStr">
        <is>
          <t>T2 Secondary</t>
        </is>
      </c>
      <c r="E1276" s="208" t="inlineStr">
        <is>
          <t>Quality Assurance &amp; Control</t>
        </is>
      </c>
      <c r="F1276" s="208" t="n">
        <v>25.3333</v>
      </c>
      <c r="G1276" s="208" t="n">
        <v>412</v>
      </c>
      <c r="H1276" s="208" t="inlineStr">
        <is>
          <t>No separate deliverable explicitly named</t>
        </is>
      </c>
    </row>
    <row r="1277">
      <c r="A1277" s="199" t="inlineStr">
        <is>
          <t>RTM-661</t>
        </is>
      </c>
      <c r="B1277" s="224" t="inlineStr">
        <is>
          <t>L3 Procurement &amp; Manufacturing / FAT</t>
        </is>
      </c>
      <c r="C1277" s="199" t="n">
        <v>4</v>
      </c>
      <c r="D1277" s="199" t="inlineStr">
        <is>
          <t>T2 Secondary</t>
        </is>
      </c>
      <c r="E1277" s="199" t="inlineStr">
        <is>
          <t>Quality Assurance &amp; Control</t>
        </is>
      </c>
      <c r="F1277" s="199" t="n">
        <v>25.3333</v>
      </c>
      <c r="G1277" s="199" t="n">
        <v>412</v>
      </c>
      <c r="H1277" s="199" t="inlineStr">
        <is>
          <t>No separate deliverable explicitly named</t>
        </is>
      </c>
    </row>
    <row r="1278">
      <c r="A1278" s="208" t="inlineStr">
        <is>
          <t>RTM-661</t>
        </is>
      </c>
      <c r="B1278" s="220" t="inlineStr">
        <is>
          <t>L4 Installation</t>
        </is>
      </c>
      <c r="C1278" s="208" t="n">
        <v>6</v>
      </c>
      <c r="D1278" s="208" t="inlineStr">
        <is>
          <t>T2 Secondary</t>
        </is>
      </c>
      <c r="E1278" s="208" t="inlineStr">
        <is>
          <t>Quality Assurance &amp; Control</t>
        </is>
      </c>
      <c r="F1278" s="208" t="n">
        <v>25.3333</v>
      </c>
      <c r="G1278" s="208" t="n">
        <v>412</v>
      </c>
      <c r="H1278" s="208" t="inlineStr">
        <is>
          <t>No separate deliverable explicitly named</t>
        </is>
      </c>
    </row>
    <row r="1279">
      <c r="A1279" s="199" t="inlineStr">
        <is>
          <t>RTM-661</t>
        </is>
      </c>
      <c r="B1279" s="225" t="inlineStr">
        <is>
          <t>L5 Standalone Commissioning</t>
        </is>
      </c>
      <c r="C1279" s="199" t="n">
        <v>7</v>
      </c>
      <c r="D1279" s="199" t="inlineStr">
        <is>
          <t>T2 Secondary</t>
        </is>
      </c>
      <c r="E1279" s="199" t="inlineStr">
        <is>
          <t>Quality Assurance &amp; Control</t>
        </is>
      </c>
      <c r="F1279" s="199" t="n">
        <v>25.3333</v>
      </c>
      <c r="G1279" s="199" t="n">
        <v>412</v>
      </c>
      <c r="H1279" s="199" t="inlineStr">
        <is>
          <t>No separate deliverable explicitly named</t>
        </is>
      </c>
    </row>
    <row r="1280">
      <c r="A1280" s="208" t="inlineStr">
        <is>
          <t>RTM-661</t>
        </is>
      </c>
      <c r="B1280" s="226" t="inlineStr">
        <is>
          <t>L6 Site Acceptance Testing</t>
        </is>
      </c>
      <c r="C1280" s="208" t="n">
        <v>8</v>
      </c>
      <c r="D1280" s="208" t="inlineStr">
        <is>
          <t>T2 Secondary</t>
        </is>
      </c>
      <c r="E1280" s="208" t="inlineStr">
        <is>
          <t>Quality Assurance &amp; Control</t>
        </is>
      </c>
      <c r="F1280" s="208" t="n">
        <v>25.3333</v>
      </c>
      <c r="G1280" s="208" t="n">
        <v>412</v>
      </c>
      <c r="H1280" s="208" t="inlineStr">
        <is>
          <t>No separate deliverable explicitly named</t>
        </is>
      </c>
    </row>
    <row r="1281">
      <c r="A1281" s="199" t="inlineStr">
        <is>
          <t>RTM-663</t>
        </is>
      </c>
      <c r="B1281" s="221" t="inlineStr">
        <is>
          <t>L0 Tender / Offer</t>
        </is>
      </c>
      <c r="C1281" s="199" t="n">
        <v>1</v>
      </c>
      <c r="D1281" s="199" t="inlineStr">
        <is>
          <t>T2 Secondary</t>
        </is>
      </c>
      <c r="E1281" s="199" t="inlineStr">
        <is>
          <t>Quality Assurance &amp; Control</t>
        </is>
      </c>
      <c r="F1281" s="199" t="n">
        <v>25.3333</v>
      </c>
      <c r="G1281" s="199" t="n">
        <v>413</v>
      </c>
      <c r="H1281" s="199" t="inlineStr">
        <is>
          <t>Quality Assurance Plan (QAP)</t>
        </is>
      </c>
    </row>
    <row r="1282">
      <c r="A1282" s="208" t="inlineStr">
        <is>
          <t>RTM-663</t>
        </is>
      </c>
      <c r="B1282" s="222" t="inlineStr">
        <is>
          <t>L1 Conceptual Design</t>
        </is>
      </c>
      <c r="C1282" s="208" t="n">
        <v>2</v>
      </c>
      <c r="D1282" s="208" t="inlineStr">
        <is>
          <t>T2 Secondary</t>
        </is>
      </c>
      <c r="E1282" s="208" t="inlineStr">
        <is>
          <t>Quality Assurance &amp; Control</t>
        </is>
      </c>
      <c r="F1282" s="208" t="n">
        <v>25.3333</v>
      </c>
      <c r="G1282" s="208" t="n">
        <v>413</v>
      </c>
      <c r="H1282" s="208" t="inlineStr">
        <is>
          <t>Quality Assurance Plan (QAP)</t>
        </is>
      </c>
    </row>
    <row r="1283">
      <c r="A1283" s="199" t="inlineStr">
        <is>
          <t>RTM-663</t>
        </is>
      </c>
      <c r="B1283" s="223" t="inlineStr">
        <is>
          <t>L2 Detailed Design</t>
        </is>
      </c>
      <c r="C1283" s="199" t="n">
        <v>3</v>
      </c>
      <c r="D1283" s="199" t="inlineStr">
        <is>
          <t>T2 Secondary</t>
        </is>
      </c>
      <c r="E1283" s="199" t="inlineStr">
        <is>
          <t>Quality Assurance &amp; Control</t>
        </is>
      </c>
      <c r="F1283" s="199" t="n">
        <v>25.3333</v>
      </c>
      <c r="G1283" s="199" t="n">
        <v>413</v>
      </c>
      <c r="H1283" s="199" t="inlineStr">
        <is>
          <t>Quality Assurance Plan (QAP)</t>
        </is>
      </c>
    </row>
    <row r="1284">
      <c r="A1284" s="208" t="inlineStr">
        <is>
          <t>RTM-663</t>
        </is>
      </c>
      <c r="B1284" s="224" t="inlineStr">
        <is>
          <t>L3 Procurement &amp; Manufacturing / FAT</t>
        </is>
      </c>
      <c r="C1284" s="208" t="n">
        <v>4</v>
      </c>
      <c r="D1284" s="208" t="inlineStr">
        <is>
          <t>T2 Secondary</t>
        </is>
      </c>
      <c r="E1284" s="208" t="inlineStr">
        <is>
          <t>Quality Assurance &amp; Control</t>
        </is>
      </c>
      <c r="F1284" s="208" t="n">
        <v>25.3333</v>
      </c>
      <c r="G1284" s="208" t="n">
        <v>413</v>
      </c>
      <c r="H1284" s="208" t="inlineStr">
        <is>
          <t>Quality Assurance Plan (QAP)</t>
        </is>
      </c>
    </row>
    <row r="1285">
      <c r="A1285" s="199" t="inlineStr">
        <is>
          <t>RTM-663</t>
        </is>
      </c>
      <c r="B1285" s="220" t="inlineStr">
        <is>
          <t>L4 Installation</t>
        </is>
      </c>
      <c r="C1285" s="199" t="n">
        <v>6</v>
      </c>
      <c r="D1285" s="199" t="inlineStr">
        <is>
          <t>T2 Secondary</t>
        </is>
      </c>
      <c r="E1285" s="199" t="inlineStr">
        <is>
          <t>Quality Assurance &amp; Control</t>
        </is>
      </c>
      <c r="F1285" s="199" t="n">
        <v>25.3333</v>
      </c>
      <c r="G1285" s="199" t="n">
        <v>413</v>
      </c>
      <c r="H1285" s="199" t="inlineStr">
        <is>
          <t>Quality Assurance Plan (QAP)</t>
        </is>
      </c>
    </row>
    <row r="1286">
      <c r="A1286" s="208" t="inlineStr">
        <is>
          <t>RTM-663</t>
        </is>
      </c>
      <c r="B1286" s="225" t="inlineStr">
        <is>
          <t>L5 Standalone Commissioning</t>
        </is>
      </c>
      <c r="C1286" s="208" t="n">
        <v>7</v>
      </c>
      <c r="D1286" s="208" t="inlineStr">
        <is>
          <t>T2 Secondary</t>
        </is>
      </c>
      <c r="E1286" s="208" t="inlineStr">
        <is>
          <t>Quality Assurance &amp; Control</t>
        </is>
      </c>
      <c r="F1286" s="208" t="n">
        <v>25.3333</v>
      </c>
      <c r="G1286" s="208" t="n">
        <v>413</v>
      </c>
      <c r="H1286" s="208" t="inlineStr">
        <is>
          <t>Quality Assurance Plan (QAP)</t>
        </is>
      </c>
    </row>
    <row r="1287">
      <c r="A1287" s="199" t="inlineStr">
        <is>
          <t>RTM-663</t>
        </is>
      </c>
      <c r="B1287" s="226" t="inlineStr">
        <is>
          <t>L6 Site Acceptance Testing</t>
        </is>
      </c>
      <c r="C1287" s="199" t="n">
        <v>8</v>
      </c>
      <c r="D1287" s="199" t="inlineStr">
        <is>
          <t>T2 Secondary</t>
        </is>
      </c>
      <c r="E1287" s="199" t="inlineStr">
        <is>
          <t>Quality Assurance &amp; Control</t>
        </is>
      </c>
      <c r="F1287" s="199" t="n">
        <v>25.3333</v>
      </c>
      <c r="G1287" s="199" t="n">
        <v>413</v>
      </c>
      <c r="H1287" s="199" t="inlineStr">
        <is>
          <t>Quality Assurance Plan (QAP)</t>
        </is>
      </c>
    </row>
    <row r="1288">
      <c r="A1288" s="208" t="inlineStr">
        <is>
          <t>RTM-664</t>
        </is>
      </c>
      <c r="B1288" s="221" t="inlineStr">
        <is>
          <t>L0 Tender / Offer</t>
        </is>
      </c>
      <c r="C1288" s="208" t="n">
        <v>1</v>
      </c>
      <c r="D1288" s="208" t="inlineStr">
        <is>
          <t>T2 Secondary</t>
        </is>
      </c>
      <c r="E1288" s="208" t="inlineStr">
        <is>
          <t>Quality Assurance &amp; Control</t>
        </is>
      </c>
      <c r="F1288" s="208" t="n">
        <v>25.3333</v>
      </c>
      <c r="G1288" s="208" t="n">
        <v>414</v>
      </c>
      <c r="H1288" s="208" t="inlineStr">
        <is>
          <t>No separate deliverable explicitly named</t>
        </is>
      </c>
    </row>
    <row r="1289">
      <c r="A1289" s="199" t="inlineStr">
        <is>
          <t>RTM-664</t>
        </is>
      </c>
      <c r="B1289" s="222" t="inlineStr">
        <is>
          <t>L1 Conceptual Design</t>
        </is>
      </c>
      <c r="C1289" s="199" t="n">
        <v>2</v>
      </c>
      <c r="D1289" s="199" t="inlineStr">
        <is>
          <t>T2 Secondary</t>
        </is>
      </c>
      <c r="E1289" s="199" t="inlineStr">
        <is>
          <t>Quality Assurance &amp; Control</t>
        </is>
      </c>
      <c r="F1289" s="199" t="n">
        <v>25.3333</v>
      </c>
      <c r="G1289" s="199" t="n">
        <v>414</v>
      </c>
      <c r="H1289" s="199" t="inlineStr">
        <is>
          <t>No separate deliverable explicitly named</t>
        </is>
      </c>
    </row>
    <row r="1290">
      <c r="A1290" s="208" t="inlineStr">
        <is>
          <t>RTM-664</t>
        </is>
      </c>
      <c r="B1290" s="223" t="inlineStr">
        <is>
          <t>L2 Detailed Design</t>
        </is>
      </c>
      <c r="C1290" s="208" t="n">
        <v>3</v>
      </c>
      <c r="D1290" s="208" t="inlineStr">
        <is>
          <t>T2 Secondary</t>
        </is>
      </c>
      <c r="E1290" s="208" t="inlineStr">
        <is>
          <t>Quality Assurance &amp; Control</t>
        </is>
      </c>
      <c r="F1290" s="208" t="n">
        <v>25.3333</v>
      </c>
      <c r="G1290" s="208" t="n">
        <v>414</v>
      </c>
      <c r="H1290" s="208" t="inlineStr">
        <is>
          <t>No separate deliverable explicitly named</t>
        </is>
      </c>
    </row>
    <row r="1291">
      <c r="A1291" s="199" t="inlineStr">
        <is>
          <t>RTM-664</t>
        </is>
      </c>
      <c r="B1291" s="224" t="inlineStr">
        <is>
          <t>L3 Procurement &amp; Manufacturing / FAT</t>
        </is>
      </c>
      <c r="C1291" s="199" t="n">
        <v>4</v>
      </c>
      <c r="D1291" s="199" t="inlineStr">
        <is>
          <t>T2 Secondary</t>
        </is>
      </c>
      <c r="E1291" s="199" t="inlineStr">
        <is>
          <t>Quality Assurance &amp; Control</t>
        </is>
      </c>
      <c r="F1291" s="199" t="n">
        <v>25.3333</v>
      </c>
      <c r="G1291" s="199" t="n">
        <v>414</v>
      </c>
      <c r="H1291" s="199" t="inlineStr">
        <is>
          <t>No separate deliverable explicitly named</t>
        </is>
      </c>
    </row>
    <row r="1292">
      <c r="A1292" s="208" t="inlineStr">
        <is>
          <t>RTM-664</t>
        </is>
      </c>
      <c r="B1292" s="220" t="inlineStr">
        <is>
          <t>L4 Installation</t>
        </is>
      </c>
      <c r="C1292" s="208" t="n">
        <v>6</v>
      </c>
      <c r="D1292" s="208" t="inlineStr">
        <is>
          <t>T2 Secondary</t>
        </is>
      </c>
      <c r="E1292" s="208" t="inlineStr">
        <is>
          <t>Quality Assurance &amp; Control</t>
        </is>
      </c>
      <c r="F1292" s="208" t="n">
        <v>25.3333</v>
      </c>
      <c r="G1292" s="208" t="n">
        <v>414</v>
      </c>
      <c r="H1292" s="208" t="inlineStr">
        <is>
          <t>No separate deliverable explicitly named</t>
        </is>
      </c>
    </row>
    <row r="1293">
      <c r="A1293" s="199" t="inlineStr">
        <is>
          <t>RTM-664</t>
        </is>
      </c>
      <c r="B1293" s="225" t="inlineStr">
        <is>
          <t>L5 Standalone Commissioning</t>
        </is>
      </c>
      <c r="C1293" s="199" t="n">
        <v>7</v>
      </c>
      <c r="D1293" s="199" t="inlineStr">
        <is>
          <t>T2 Secondary</t>
        </is>
      </c>
      <c r="E1293" s="199" t="inlineStr">
        <is>
          <t>Quality Assurance &amp; Control</t>
        </is>
      </c>
      <c r="F1293" s="199" t="n">
        <v>25.3333</v>
      </c>
      <c r="G1293" s="199" t="n">
        <v>414</v>
      </c>
      <c r="H1293" s="199" t="inlineStr">
        <is>
          <t>No separate deliverable explicitly named</t>
        </is>
      </c>
    </row>
    <row r="1294">
      <c r="A1294" s="208" t="inlineStr">
        <is>
          <t>RTM-664</t>
        </is>
      </c>
      <c r="B1294" s="226" t="inlineStr">
        <is>
          <t>L6 Site Acceptance Testing</t>
        </is>
      </c>
      <c r="C1294" s="208" t="n">
        <v>8</v>
      </c>
      <c r="D1294" s="208" t="inlineStr">
        <is>
          <t>T2 Secondary</t>
        </is>
      </c>
      <c r="E1294" s="208" t="inlineStr">
        <is>
          <t>Quality Assurance &amp; Control</t>
        </is>
      </c>
      <c r="F1294" s="208" t="n">
        <v>25.3333</v>
      </c>
      <c r="G1294" s="208" t="n">
        <v>414</v>
      </c>
      <c r="H1294" s="208" t="inlineStr">
        <is>
          <t>No separate deliverable explicitly named</t>
        </is>
      </c>
    </row>
    <row r="1295">
      <c r="A1295" s="199" t="inlineStr">
        <is>
          <t>RTM-665</t>
        </is>
      </c>
      <c r="B1295" s="221" t="inlineStr">
        <is>
          <t>L0 Tender / Offer</t>
        </is>
      </c>
      <c r="C1295" s="199" t="n">
        <v>1</v>
      </c>
      <c r="D1295" s="199" t="inlineStr">
        <is>
          <t>T2 Secondary</t>
        </is>
      </c>
      <c r="E1295" s="199" t="inlineStr">
        <is>
          <t>Quality Assurance &amp; Control</t>
        </is>
      </c>
      <c r="F1295" s="199" t="n">
        <v>25.3333</v>
      </c>
      <c r="G1295" s="199" t="n">
        <v>415</v>
      </c>
      <c r="H1295" s="199" t="inlineStr">
        <is>
          <t>List / register / matrix</t>
        </is>
      </c>
    </row>
    <row r="1296">
      <c r="A1296" s="208" t="inlineStr">
        <is>
          <t>RTM-665</t>
        </is>
      </c>
      <c r="B1296" s="222" t="inlineStr">
        <is>
          <t>L1 Conceptual Design</t>
        </is>
      </c>
      <c r="C1296" s="208" t="n">
        <v>2</v>
      </c>
      <c r="D1296" s="208" t="inlineStr">
        <is>
          <t>T2 Secondary</t>
        </is>
      </c>
      <c r="E1296" s="208" t="inlineStr">
        <is>
          <t>Quality Assurance &amp; Control</t>
        </is>
      </c>
      <c r="F1296" s="208" t="n">
        <v>25.3333</v>
      </c>
      <c r="G1296" s="208" t="n">
        <v>415</v>
      </c>
      <c r="H1296" s="208" t="inlineStr">
        <is>
          <t>List / register / matrix</t>
        </is>
      </c>
    </row>
    <row r="1297">
      <c r="A1297" s="199" t="inlineStr">
        <is>
          <t>RTM-665</t>
        </is>
      </c>
      <c r="B1297" s="223" t="inlineStr">
        <is>
          <t>L2 Detailed Design</t>
        </is>
      </c>
      <c r="C1297" s="199" t="n">
        <v>3</v>
      </c>
      <c r="D1297" s="199" t="inlineStr">
        <is>
          <t>T2 Secondary</t>
        </is>
      </c>
      <c r="E1297" s="199" t="inlineStr">
        <is>
          <t>Quality Assurance &amp; Control</t>
        </is>
      </c>
      <c r="F1297" s="199" t="n">
        <v>25.3333</v>
      </c>
      <c r="G1297" s="199" t="n">
        <v>415</v>
      </c>
      <c r="H1297" s="199" t="inlineStr">
        <is>
          <t>List / register / matrix</t>
        </is>
      </c>
    </row>
    <row r="1298">
      <c r="A1298" s="208" t="inlineStr">
        <is>
          <t>RTM-665</t>
        </is>
      </c>
      <c r="B1298" s="224" t="inlineStr">
        <is>
          <t>L3 Procurement &amp; Manufacturing / FAT</t>
        </is>
      </c>
      <c r="C1298" s="208" t="n">
        <v>4</v>
      </c>
      <c r="D1298" s="208" t="inlineStr">
        <is>
          <t>T2 Secondary</t>
        </is>
      </c>
      <c r="E1298" s="208" t="inlineStr">
        <is>
          <t>Quality Assurance &amp; Control</t>
        </is>
      </c>
      <c r="F1298" s="208" t="n">
        <v>25.3333</v>
      </c>
      <c r="G1298" s="208" t="n">
        <v>415</v>
      </c>
      <c r="H1298" s="208" t="inlineStr">
        <is>
          <t>List / register / matrix</t>
        </is>
      </c>
    </row>
    <row r="1299">
      <c r="A1299" s="199" t="inlineStr">
        <is>
          <t>RTM-665</t>
        </is>
      </c>
      <c r="B1299" s="220" t="inlineStr">
        <is>
          <t>L4 Installation</t>
        </is>
      </c>
      <c r="C1299" s="199" t="n">
        <v>6</v>
      </c>
      <c r="D1299" s="199" t="inlineStr">
        <is>
          <t>T2 Secondary</t>
        </is>
      </c>
      <c r="E1299" s="199" t="inlineStr">
        <is>
          <t>Quality Assurance &amp; Control</t>
        </is>
      </c>
      <c r="F1299" s="199" t="n">
        <v>25.3333</v>
      </c>
      <c r="G1299" s="199" t="n">
        <v>415</v>
      </c>
      <c r="H1299" s="199" t="inlineStr">
        <is>
          <t>List / register / matrix</t>
        </is>
      </c>
    </row>
    <row r="1300">
      <c r="A1300" s="208" t="inlineStr">
        <is>
          <t>RTM-665</t>
        </is>
      </c>
      <c r="B1300" s="225" t="inlineStr">
        <is>
          <t>L5 Standalone Commissioning</t>
        </is>
      </c>
      <c r="C1300" s="208" t="n">
        <v>7</v>
      </c>
      <c r="D1300" s="208" t="inlineStr">
        <is>
          <t>T2 Secondary</t>
        </is>
      </c>
      <c r="E1300" s="208" t="inlineStr">
        <is>
          <t>Quality Assurance &amp; Control</t>
        </is>
      </c>
      <c r="F1300" s="208" t="n">
        <v>25.3333</v>
      </c>
      <c r="G1300" s="208" t="n">
        <v>415</v>
      </c>
      <c r="H1300" s="208" t="inlineStr">
        <is>
          <t>List / register / matrix</t>
        </is>
      </c>
    </row>
    <row r="1301">
      <c r="A1301" s="199" t="inlineStr">
        <is>
          <t>RTM-665</t>
        </is>
      </c>
      <c r="B1301" s="226" t="inlineStr">
        <is>
          <t>L6 Site Acceptance Testing</t>
        </is>
      </c>
      <c r="C1301" s="199" t="n">
        <v>8</v>
      </c>
      <c r="D1301" s="199" t="inlineStr">
        <is>
          <t>T2 Secondary</t>
        </is>
      </c>
      <c r="E1301" s="199" t="inlineStr">
        <is>
          <t>Quality Assurance &amp; Control</t>
        </is>
      </c>
      <c r="F1301" s="199" t="n">
        <v>25.3333</v>
      </c>
      <c r="G1301" s="199" t="n">
        <v>415</v>
      </c>
      <c r="H1301" s="199" t="inlineStr">
        <is>
          <t>List / register / matrix</t>
        </is>
      </c>
    </row>
    <row r="1302">
      <c r="A1302" s="208" t="inlineStr">
        <is>
          <t>RTM-666</t>
        </is>
      </c>
      <c r="B1302" s="221" t="inlineStr">
        <is>
          <t>L0 Tender / Offer</t>
        </is>
      </c>
      <c r="C1302" s="208" t="n">
        <v>1</v>
      </c>
      <c r="D1302" s="208" t="inlineStr">
        <is>
          <t>T2 Secondary</t>
        </is>
      </c>
      <c r="E1302" s="208" t="inlineStr">
        <is>
          <t>Quality Assurance &amp; Control</t>
        </is>
      </c>
      <c r="F1302" s="208" t="n">
        <v>25.3333</v>
      </c>
      <c r="G1302" s="208" t="n">
        <v>416</v>
      </c>
      <c r="H1302" s="208" t="inlineStr">
        <is>
          <t>No separate deliverable explicitly named</t>
        </is>
      </c>
    </row>
    <row r="1303">
      <c r="A1303" s="199" t="inlineStr">
        <is>
          <t>RTM-666</t>
        </is>
      </c>
      <c r="B1303" s="222" t="inlineStr">
        <is>
          <t>L1 Conceptual Design</t>
        </is>
      </c>
      <c r="C1303" s="199" t="n">
        <v>2</v>
      </c>
      <c r="D1303" s="199" t="inlineStr">
        <is>
          <t>T2 Secondary</t>
        </is>
      </c>
      <c r="E1303" s="199" t="inlineStr">
        <is>
          <t>Quality Assurance &amp; Control</t>
        </is>
      </c>
      <c r="F1303" s="199" t="n">
        <v>25.3333</v>
      </c>
      <c r="G1303" s="199" t="n">
        <v>416</v>
      </c>
      <c r="H1303" s="199" t="inlineStr">
        <is>
          <t>No separate deliverable explicitly named</t>
        </is>
      </c>
    </row>
    <row r="1304">
      <c r="A1304" s="208" t="inlineStr">
        <is>
          <t>RTM-666</t>
        </is>
      </c>
      <c r="B1304" s="223" t="inlineStr">
        <is>
          <t>L2 Detailed Design</t>
        </is>
      </c>
      <c r="C1304" s="208" t="n">
        <v>3</v>
      </c>
      <c r="D1304" s="208" t="inlineStr">
        <is>
          <t>T2 Secondary</t>
        </is>
      </c>
      <c r="E1304" s="208" t="inlineStr">
        <is>
          <t>Quality Assurance &amp; Control</t>
        </is>
      </c>
      <c r="F1304" s="208" t="n">
        <v>25.3333</v>
      </c>
      <c r="G1304" s="208" t="n">
        <v>416</v>
      </c>
      <c r="H1304" s="208" t="inlineStr">
        <is>
          <t>No separate deliverable explicitly named</t>
        </is>
      </c>
    </row>
    <row r="1305">
      <c r="A1305" s="199" t="inlineStr">
        <is>
          <t>RTM-666</t>
        </is>
      </c>
      <c r="B1305" s="224" t="inlineStr">
        <is>
          <t>L3 Procurement &amp; Manufacturing / FAT</t>
        </is>
      </c>
      <c r="C1305" s="199" t="n">
        <v>4</v>
      </c>
      <c r="D1305" s="199" t="inlineStr">
        <is>
          <t>T2 Secondary</t>
        </is>
      </c>
      <c r="E1305" s="199" t="inlineStr">
        <is>
          <t>Quality Assurance &amp; Control</t>
        </is>
      </c>
      <c r="F1305" s="199" t="n">
        <v>25.3333</v>
      </c>
      <c r="G1305" s="199" t="n">
        <v>416</v>
      </c>
      <c r="H1305" s="199" t="inlineStr">
        <is>
          <t>No separate deliverable explicitly named</t>
        </is>
      </c>
    </row>
    <row r="1306">
      <c r="A1306" s="208" t="inlineStr">
        <is>
          <t>RTM-666</t>
        </is>
      </c>
      <c r="B1306" s="220" t="inlineStr">
        <is>
          <t>L4 Installation</t>
        </is>
      </c>
      <c r="C1306" s="208" t="n">
        <v>6</v>
      </c>
      <c r="D1306" s="208" t="inlineStr">
        <is>
          <t>T2 Secondary</t>
        </is>
      </c>
      <c r="E1306" s="208" t="inlineStr">
        <is>
          <t>Quality Assurance &amp; Control</t>
        </is>
      </c>
      <c r="F1306" s="208" t="n">
        <v>25.3333</v>
      </c>
      <c r="G1306" s="208" t="n">
        <v>416</v>
      </c>
      <c r="H1306" s="208" t="inlineStr">
        <is>
          <t>No separate deliverable explicitly named</t>
        </is>
      </c>
    </row>
    <row r="1307">
      <c r="A1307" s="199" t="inlineStr">
        <is>
          <t>RTM-666</t>
        </is>
      </c>
      <c r="B1307" s="225" t="inlineStr">
        <is>
          <t>L5 Standalone Commissioning</t>
        </is>
      </c>
      <c r="C1307" s="199" t="n">
        <v>7</v>
      </c>
      <c r="D1307" s="199" t="inlineStr">
        <is>
          <t>T2 Secondary</t>
        </is>
      </c>
      <c r="E1307" s="199" t="inlineStr">
        <is>
          <t>Quality Assurance &amp; Control</t>
        </is>
      </c>
      <c r="F1307" s="199" t="n">
        <v>25.3333</v>
      </c>
      <c r="G1307" s="199" t="n">
        <v>416</v>
      </c>
      <c r="H1307" s="199" t="inlineStr">
        <is>
          <t>No separate deliverable explicitly named</t>
        </is>
      </c>
    </row>
    <row r="1308">
      <c r="A1308" s="208" t="inlineStr">
        <is>
          <t>RTM-666</t>
        </is>
      </c>
      <c r="B1308" s="226" t="inlineStr">
        <is>
          <t>L6 Site Acceptance Testing</t>
        </is>
      </c>
      <c r="C1308" s="208" t="n">
        <v>8</v>
      </c>
      <c r="D1308" s="208" t="inlineStr">
        <is>
          <t>T2 Secondary</t>
        </is>
      </c>
      <c r="E1308" s="208" t="inlineStr">
        <is>
          <t>Quality Assurance &amp; Control</t>
        </is>
      </c>
      <c r="F1308" s="208" t="n">
        <v>25.3333</v>
      </c>
      <c r="G1308" s="208" t="n">
        <v>416</v>
      </c>
      <c r="H1308" s="208" t="inlineStr">
        <is>
          <t>No separate deliverable explicitly named</t>
        </is>
      </c>
    </row>
    <row r="1309">
      <c r="A1309" s="199" t="inlineStr">
        <is>
          <t>RTM-667</t>
        </is>
      </c>
      <c r="B1309" s="221" t="inlineStr">
        <is>
          <t>L0 Tender / Offer</t>
        </is>
      </c>
      <c r="C1309" s="199" t="n">
        <v>1</v>
      </c>
      <c r="D1309" s="199" t="inlineStr">
        <is>
          <t>T2 Secondary</t>
        </is>
      </c>
      <c r="E1309" s="199" t="inlineStr">
        <is>
          <t>Quality Assurance &amp; Control</t>
        </is>
      </c>
      <c r="F1309" s="199" t="n">
        <v>25.3333</v>
      </c>
      <c r="G1309" s="199" t="n">
        <v>417</v>
      </c>
      <c r="H1309" s="199" t="inlineStr">
        <is>
          <t>No separate deliverable explicitly named</t>
        </is>
      </c>
    </row>
    <row r="1310">
      <c r="A1310" s="208" t="inlineStr">
        <is>
          <t>RTM-667</t>
        </is>
      </c>
      <c r="B1310" s="222" t="inlineStr">
        <is>
          <t>L1 Conceptual Design</t>
        </is>
      </c>
      <c r="C1310" s="208" t="n">
        <v>2</v>
      </c>
      <c r="D1310" s="208" t="inlineStr">
        <is>
          <t>T2 Secondary</t>
        </is>
      </c>
      <c r="E1310" s="208" t="inlineStr">
        <is>
          <t>Quality Assurance &amp; Control</t>
        </is>
      </c>
      <c r="F1310" s="208" t="n">
        <v>25.3333</v>
      </c>
      <c r="G1310" s="208" t="n">
        <v>417</v>
      </c>
      <c r="H1310" s="208" t="inlineStr">
        <is>
          <t>No separate deliverable explicitly named</t>
        </is>
      </c>
    </row>
    <row r="1311">
      <c r="A1311" s="199" t="inlineStr">
        <is>
          <t>RTM-667</t>
        </is>
      </c>
      <c r="B1311" s="223" t="inlineStr">
        <is>
          <t>L2 Detailed Design</t>
        </is>
      </c>
      <c r="C1311" s="199" t="n">
        <v>3</v>
      </c>
      <c r="D1311" s="199" t="inlineStr">
        <is>
          <t>T2 Secondary</t>
        </is>
      </c>
      <c r="E1311" s="199" t="inlineStr">
        <is>
          <t>Quality Assurance &amp; Control</t>
        </is>
      </c>
      <c r="F1311" s="199" t="n">
        <v>25.3333</v>
      </c>
      <c r="G1311" s="199" t="n">
        <v>417</v>
      </c>
      <c r="H1311" s="199" t="inlineStr">
        <is>
          <t>No separate deliverable explicitly named</t>
        </is>
      </c>
    </row>
    <row r="1312">
      <c r="A1312" s="208" t="inlineStr">
        <is>
          <t>RTM-667</t>
        </is>
      </c>
      <c r="B1312" s="224" t="inlineStr">
        <is>
          <t>L3 Procurement &amp; Manufacturing / FAT</t>
        </is>
      </c>
      <c r="C1312" s="208" t="n">
        <v>4</v>
      </c>
      <c r="D1312" s="208" t="inlineStr">
        <is>
          <t>T2 Secondary</t>
        </is>
      </c>
      <c r="E1312" s="208" t="inlineStr">
        <is>
          <t>Quality Assurance &amp; Control</t>
        </is>
      </c>
      <c r="F1312" s="208" t="n">
        <v>25.3333</v>
      </c>
      <c r="G1312" s="208" t="n">
        <v>417</v>
      </c>
      <c r="H1312" s="208" t="inlineStr">
        <is>
          <t>No separate deliverable explicitly named</t>
        </is>
      </c>
    </row>
    <row r="1313">
      <c r="A1313" s="199" t="inlineStr">
        <is>
          <t>RTM-667</t>
        </is>
      </c>
      <c r="B1313" s="220" t="inlineStr">
        <is>
          <t>L4 Installation</t>
        </is>
      </c>
      <c r="C1313" s="199" t="n">
        <v>6</v>
      </c>
      <c r="D1313" s="199" t="inlineStr">
        <is>
          <t>T2 Secondary</t>
        </is>
      </c>
      <c r="E1313" s="199" t="inlineStr">
        <is>
          <t>Quality Assurance &amp; Control</t>
        </is>
      </c>
      <c r="F1313" s="199" t="n">
        <v>25.3333</v>
      </c>
      <c r="G1313" s="199" t="n">
        <v>417</v>
      </c>
      <c r="H1313" s="199" t="inlineStr">
        <is>
          <t>No separate deliverable explicitly named</t>
        </is>
      </c>
    </row>
    <row r="1314">
      <c r="A1314" s="208" t="inlineStr">
        <is>
          <t>RTM-667</t>
        </is>
      </c>
      <c r="B1314" s="225" t="inlineStr">
        <is>
          <t>L5 Standalone Commissioning</t>
        </is>
      </c>
      <c r="C1314" s="208" t="n">
        <v>7</v>
      </c>
      <c r="D1314" s="208" t="inlineStr">
        <is>
          <t>T2 Secondary</t>
        </is>
      </c>
      <c r="E1314" s="208" t="inlineStr">
        <is>
          <t>Quality Assurance &amp; Control</t>
        </is>
      </c>
      <c r="F1314" s="208" t="n">
        <v>25.3333</v>
      </c>
      <c r="G1314" s="208" t="n">
        <v>417</v>
      </c>
      <c r="H1314" s="208" t="inlineStr">
        <is>
          <t>No separate deliverable explicitly named</t>
        </is>
      </c>
    </row>
    <row r="1315">
      <c r="A1315" s="199" t="inlineStr">
        <is>
          <t>RTM-667</t>
        </is>
      </c>
      <c r="B1315" s="226" t="inlineStr">
        <is>
          <t>L6 Site Acceptance Testing</t>
        </is>
      </c>
      <c r="C1315" s="199" t="n">
        <v>8</v>
      </c>
      <c r="D1315" s="199" t="inlineStr">
        <is>
          <t>T2 Secondary</t>
        </is>
      </c>
      <c r="E1315" s="199" t="inlineStr">
        <is>
          <t>Quality Assurance &amp; Control</t>
        </is>
      </c>
      <c r="F1315" s="199" t="n">
        <v>25.3333</v>
      </c>
      <c r="G1315" s="199" t="n">
        <v>417</v>
      </c>
      <c r="H1315" s="199" t="inlineStr">
        <is>
          <t>No separate deliverable explicitly named</t>
        </is>
      </c>
    </row>
    <row r="1316">
      <c r="A1316" s="208" t="inlineStr">
        <is>
          <t>RTM-668</t>
        </is>
      </c>
      <c r="B1316" s="221" t="inlineStr">
        <is>
          <t>L0 Tender / Offer</t>
        </is>
      </c>
      <c r="C1316" s="208" t="n">
        <v>1</v>
      </c>
      <c r="D1316" s="208" t="inlineStr">
        <is>
          <t>T2 Secondary</t>
        </is>
      </c>
      <c r="E1316" s="208" t="inlineStr">
        <is>
          <t>Quality Assurance &amp; Control</t>
        </is>
      </c>
      <c r="F1316" s="208" t="n">
        <v>25.3333</v>
      </c>
      <c r="G1316" s="208" t="n">
        <v>418</v>
      </c>
      <c r="H1316" s="208" t="inlineStr">
        <is>
          <t>No separate deliverable explicitly named</t>
        </is>
      </c>
    </row>
    <row r="1317">
      <c r="A1317" s="199" t="inlineStr">
        <is>
          <t>RTM-668</t>
        </is>
      </c>
      <c r="B1317" s="222" t="inlineStr">
        <is>
          <t>L1 Conceptual Design</t>
        </is>
      </c>
      <c r="C1317" s="199" t="n">
        <v>2</v>
      </c>
      <c r="D1317" s="199" t="inlineStr">
        <is>
          <t>T2 Secondary</t>
        </is>
      </c>
      <c r="E1317" s="199" t="inlineStr">
        <is>
          <t>Quality Assurance &amp; Control</t>
        </is>
      </c>
      <c r="F1317" s="199" t="n">
        <v>25.3333</v>
      </c>
      <c r="G1317" s="199" t="n">
        <v>418</v>
      </c>
      <c r="H1317" s="199" t="inlineStr">
        <is>
          <t>No separate deliverable explicitly named</t>
        </is>
      </c>
    </row>
    <row r="1318">
      <c r="A1318" s="208" t="inlineStr">
        <is>
          <t>RTM-668</t>
        </is>
      </c>
      <c r="B1318" s="223" t="inlineStr">
        <is>
          <t>L2 Detailed Design</t>
        </is>
      </c>
      <c r="C1318" s="208" t="n">
        <v>3</v>
      </c>
      <c r="D1318" s="208" t="inlineStr">
        <is>
          <t>T2 Secondary</t>
        </is>
      </c>
      <c r="E1318" s="208" t="inlineStr">
        <is>
          <t>Quality Assurance &amp; Control</t>
        </is>
      </c>
      <c r="F1318" s="208" t="n">
        <v>25.3333</v>
      </c>
      <c r="G1318" s="208" t="n">
        <v>418</v>
      </c>
      <c r="H1318" s="208" t="inlineStr">
        <is>
          <t>No separate deliverable explicitly named</t>
        </is>
      </c>
    </row>
    <row r="1319">
      <c r="A1319" s="199" t="inlineStr">
        <is>
          <t>RTM-668</t>
        </is>
      </c>
      <c r="B1319" s="224" t="inlineStr">
        <is>
          <t>L3 Procurement &amp; Manufacturing / FAT</t>
        </is>
      </c>
      <c r="C1319" s="199" t="n">
        <v>4</v>
      </c>
      <c r="D1319" s="199" t="inlineStr">
        <is>
          <t>T2 Secondary</t>
        </is>
      </c>
      <c r="E1319" s="199" t="inlineStr">
        <is>
          <t>Quality Assurance &amp; Control</t>
        </is>
      </c>
      <c r="F1319" s="199" t="n">
        <v>25.3333</v>
      </c>
      <c r="G1319" s="199" t="n">
        <v>418</v>
      </c>
      <c r="H1319" s="199" t="inlineStr">
        <is>
          <t>No separate deliverable explicitly named</t>
        </is>
      </c>
    </row>
    <row r="1320">
      <c r="A1320" s="208" t="inlineStr">
        <is>
          <t>RTM-668</t>
        </is>
      </c>
      <c r="B1320" s="220" t="inlineStr">
        <is>
          <t>L4 Installation</t>
        </is>
      </c>
      <c r="C1320" s="208" t="n">
        <v>6</v>
      </c>
      <c r="D1320" s="208" t="inlineStr">
        <is>
          <t>T2 Secondary</t>
        </is>
      </c>
      <c r="E1320" s="208" t="inlineStr">
        <is>
          <t>Quality Assurance &amp; Control</t>
        </is>
      </c>
      <c r="F1320" s="208" t="n">
        <v>25.3333</v>
      </c>
      <c r="G1320" s="208" t="n">
        <v>418</v>
      </c>
      <c r="H1320" s="208" t="inlineStr">
        <is>
          <t>No separate deliverable explicitly named</t>
        </is>
      </c>
    </row>
    <row r="1321">
      <c r="A1321" s="199" t="inlineStr">
        <is>
          <t>RTM-668</t>
        </is>
      </c>
      <c r="B1321" s="225" t="inlineStr">
        <is>
          <t>L5 Standalone Commissioning</t>
        </is>
      </c>
      <c r="C1321" s="199" t="n">
        <v>7</v>
      </c>
      <c r="D1321" s="199" t="inlineStr">
        <is>
          <t>T2 Secondary</t>
        </is>
      </c>
      <c r="E1321" s="199" t="inlineStr">
        <is>
          <t>Quality Assurance &amp; Control</t>
        </is>
      </c>
      <c r="F1321" s="199" t="n">
        <v>25.3333</v>
      </c>
      <c r="G1321" s="199" t="n">
        <v>418</v>
      </c>
      <c r="H1321" s="199" t="inlineStr">
        <is>
          <t>No separate deliverable explicitly named</t>
        </is>
      </c>
    </row>
    <row r="1322">
      <c r="A1322" s="208" t="inlineStr">
        <is>
          <t>RTM-668</t>
        </is>
      </c>
      <c r="B1322" s="226" t="inlineStr">
        <is>
          <t>L6 Site Acceptance Testing</t>
        </is>
      </c>
      <c r="C1322" s="208" t="n">
        <v>8</v>
      </c>
      <c r="D1322" s="208" t="inlineStr">
        <is>
          <t>T2 Secondary</t>
        </is>
      </c>
      <c r="E1322" s="208" t="inlineStr">
        <is>
          <t>Quality Assurance &amp; Control</t>
        </is>
      </c>
      <c r="F1322" s="208" t="n">
        <v>25.3333</v>
      </c>
      <c r="G1322" s="208" t="n">
        <v>418</v>
      </c>
      <c r="H1322" s="208" t="inlineStr">
        <is>
          <t>No separate deliverable explicitly named</t>
        </is>
      </c>
    </row>
    <row r="1323">
      <c r="A1323" s="199" t="inlineStr">
        <is>
          <t>RTM-669</t>
        </is>
      </c>
      <c r="B1323" s="221" t="inlineStr">
        <is>
          <t>L0 Tender / Offer</t>
        </is>
      </c>
      <c r="C1323" s="199" t="n">
        <v>1</v>
      </c>
      <c r="D1323" s="199" t="inlineStr">
        <is>
          <t>T2 Secondary</t>
        </is>
      </c>
      <c r="E1323" s="199" t="inlineStr">
        <is>
          <t>Quality Assurance &amp; Control</t>
        </is>
      </c>
      <c r="F1323" s="199" t="n">
        <v>25.3333</v>
      </c>
      <c r="G1323" s="199" t="n">
        <v>419</v>
      </c>
      <c r="H1323" s="199" t="inlineStr">
        <is>
          <t>No separate deliverable explicitly named</t>
        </is>
      </c>
    </row>
    <row r="1324">
      <c r="A1324" s="208" t="inlineStr">
        <is>
          <t>RTM-669</t>
        </is>
      </c>
      <c r="B1324" s="222" t="inlineStr">
        <is>
          <t>L1 Conceptual Design</t>
        </is>
      </c>
      <c r="C1324" s="208" t="n">
        <v>2</v>
      </c>
      <c r="D1324" s="208" t="inlineStr">
        <is>
          <t>T2 Secondary</t>
        </is>
      </c>
      <c r="E1324" s="208" t="inlineStr">
        <is>
          <t>Quality Assurance &amp; Control</t>
        </is>
      </c>
      <c r="F1324" s="208" t="n">
        <v>25.3333</v>
      </c>
      <c r="G1324" s="208" t="n">
        <v>419</v>
      </c>
      <c r="H1324" s="208" t="inlineStr">
        <is>
          <t>No separate deliverable explicitly named</t>
        </is>
      </c>
    </row>
    <row r="1325">
      <c r="A1325" s="199" t="inlineStr">
        <is>
          <t>RTM-669</t>
        </is>
      </c>
      <c r="B1325" s="223" t="inlineStr">
        <is>
          <t>L2 Detailed Design</t>
        </is>
      </c>
      <c r="C1325" s="199" t="n">
        <v>3</v>
      </c>
      <c r="D1325" s="199" t="inlineStr">
        <is>
          <t>T2 Secondary</t>
        </is>
      </c>
      <c r="E1325" s="199" t="inlineStr">
        <is>
          <t>Quality Assurance &amp; Control</t>
        </is>
      </c>
      <c r="F1325" s="199" t="n">
        <v>25.3333</v>
      </c>
      <c r="G1325" s="199" t="n">
        <v>419</v>
      </c>
      <c r="H1325" s="199" t="inlineStr">
        <is>
          <t>No separate deliverable explicitly named</t>
        </is>
      </c>
    </row>
    <row r="1326">
      <c r="A1326" s="208" t="inlineStr">
        <is>
          <t>RTM-669</t>
        </is>
      </c>
      <c r="B1326" s="224" t="inlineStr">
        <is>
          <t>L3 Procurement &amp; Manufacturing / FAT</t>
        </is>
      </c>
      <c r="C1326" s="208" t="n">
        <v>4</v>
      </c>
      <c r="D1326" s="208" t="inlineStr">
        <is>
          <t>T2 Secondary</t>
        </is>
      </c>
      <c r="E1326" s="208" t="inlineStr">
        <is>
          <t>Quality Assurance &amp; Control</t>
        </is>
      </c>
      <c r="F1326" s="208" t="n">
        <v>25.3333</v>
      </c>
      <c r="G1326" s="208" t="n">
        <v>419</v>
      </c>
      <c r="H1326" s="208" t="inlineStr">
        <is>
          <t>No separate deliverable explicitly named</t>
        </is>
      </c>
    </row>
    <row r="1327">
      <c r="A1327" s="199" t="inlineStr">
        <is>
          <t>RTM-669</t>
        </is>
      </c>
      <c r="B1327" s="220" t="inlineStr">
        <is>
          <t>L4 Installation</t>
        </is>
      </c>
      <c r="C1327" s="199" t="n">
        <v>6</v>
      </c>
      <c r="D1327" s="199" t="inlineStr">
        <is>
          <t>T2 Secondary</t>
        </is>
      </c>
      <c r="E1327" s="199" t="inlineStr">
        <is>
          <t>Quality Assurance &amp; Control</t>
        </is>
      </c>
      <c r="F1327" s="199" t="n">
        <v>25.3333</v>
      </c>
      <c r="G1327" s="199" t="n">
        <v>419</v>
      </c>
      <c r="H1327" s="199" t="inlineStr">
        <is>
          <t>No separate deliverable explicitly named</t>
        </is>
      </c>
    </row>
    <row r="1328">
      <c r="A1328" s="208" t="inlineStr">
        <is>
          <t>RTM-669</t>
        </is>
      </c>
      <c r="B1328" s="225" t="inlineStr">
        <is>
          <t>L5 Standalone Commissioning</t>
        </is>
      </c>
      <c r="C1328" s="208" t="n">
        <v>7</v>
      </c>
      <c r="D1328" s="208" t="inlineStr">
        <is>
          <t>T2 Secondary</t>
        </is>
      </c>
      <c r="E1328" s="208" t="inlineStr">
        <is>
          <t>Quality Assurance &amp; Control</t>
        </is>
      </c>
      <c r="F1328" s="208" t="n">
        <v>25.3333</v>
      </c>
      <c r="G1328" s="208" t="n">
        <v>419</v>
      </c>
      <c r="H1328" s="208" t="inlineStr">
        <is>
          <t>No separate deliverable explicitly named</t>
        </is>
      </c>
    </row>
    <row r="1329">
      <c r="A1329" s="199" t="inlineStr">
        <is>
          <t>RTM-669</t>
        </is>
      </c>
      <c r="B1329" s="226" t="inlineStr">
        <is>
          <t>L6 Site Acceptance Testing</t>
        </is>
      </c>
      <c r="C1329" s="199" t="n">
        <v>8</v>
      </c>
      <c r="D1329" s="199" t="inlineStr">
        <is>
          <t>T2 Secondary</t>
        </is>
      </c>
      <c r="E1329" s="199" t="inlineStr">
        <is>
          <t>Quality Assurance &amp; Control</t>
        </is>
      </c>
      <c r="F1329" s="199" t="n">
        <v>25.3333</v>
      </c>
      <c r="G1329" s="199" t="n">
        <v>419</v>
      </c>
      <c r="H1329" s="199" t="inlineStr">
        <is>
          <t>No separate deliverable explicitly named</t>
        </is>
      </c>
    </row>
    <row r="1330">
      <c r="A1330" s="208" t="inlineStr">
        <is>
          <t>RTM-670</t>
        </is>
      </c>
      <c r="B1330" s="221" t="inlineStr">
        <is>
          <t>L0 Tender / Offer</t>
        </is>
      </c>
      <c r="C1330" s="208" t="n">
        <v>1</v>
      </c>
      <c r="D1330" s="208" t="inlineStr">
        <is>
          <t>T2 Secondary</t>
        </is>
      </c>
      <c r="E1330" s="208" t="inlineStr">
        <is>
          <t>Quality Assurance &amp; Control</t>
        </is>
      </c>
      <c r="F1330" s="208" t="n">
        <v>25.3333</v>
      </c>
      <c r="G1330" s="208" t="n">
        <v>420</v>
      </c>
      <c r="H1330" s="208" t="inlineStr">
        <is>
          <t>No separate deliverable explicitly named</t>
        </is>
      </c>
    </row>
    <row r="1331">
      <c r="A1331" s="199" t="inlineStr">
        <is>
          <t>RTM-670</t>
        </is>
      </c>
      <c r="B1331" s="222" t="inlineStr">
        <is>
          <t>L1 Conceptual Design</t>
        </is>
      </c>
      <c r="C1331" s="199" t="n">
        <v>2</v>
      </c>
      <c r="D1331" s="199" t="inlineStr">
        <is>
          <t>T2 Secondary</t>
        </is>
      </c>
      <c r="E1331" s="199" t="inlineStr">
        <is>
          <t>Quality Assurance &amp; Control</t>
        </is>
      </c>
      <c r="F1331" s="199" t="n">
        <v>25.3333</v>
      </c>
      <c r="G1331" s="199" t="n">
        <v>420</v>
      </c>
      <c r="H1331" s="199" t="inlineStr">
        <is>
          <t>No separate deliverable explicitly named</t>
        </is>
      </c>
    </row>
    <row r="1332">
      <c r="A1332" s="208" t="inlineStr">
        <is>
          <t>RTM-670</t>
        </is>
      </c>
      <c r="B1332" s="223" t="inlineStr">
        <is>
          <t>L2 Detailed Design</t>
        </is>
      </c>
      <c r="C1332" s="208" t="n">
        <v>3</v>
      </c>
      <c r="D1332" s="208" t="inlineStr">
        <is>
          <t>T2 Secondary</t>
        </is>
      </c>
      <c r="E1332" s="208" t="inlineStr">
        <is>
          <t>Quality Assurance &amp; Control</t>
        </is>
      </c>
      <c r="F1332" s="208" t="n">
        <v>25.3333</v>
      </c>
      <c r="G1332" s="208" t="n">
        <v>420</v>
      </c>
      <c r="H1332" s="208" t="inlineStr">
        <is>
          <t>No separate deliverable explicitly named</t>
        </is>
      </c>
    </row>
    <row r="1333">
      <c r="A1333" s="199" t="inlineStr">
        <is>
          <t>RTM-670</t>
        </is>
      </c>
      <c r="B1333" s="224" t="inlineStr">
        <is>
          <t>L3 Procurement &amp; Manufacturing / FAT</t>
        </is>
      </c>
      <c r="C1333" s="199" t="n">
        <v>4</v>
      </c>
      <c r="D1333" s="199" t="inlineStr">
        <is>
          <t>T2 Secondary</t>
        </is>
      </c>
      <c r="E1333" s="199" t="inlineStr">
        <is>
          <t>Quality Assurance &amp; Control</t>
        </is>
      </c>
      <c r="F1333" s="199" t="n">
        <v>25.3333</v>
      </c>
      <c r="G1333" s="199" t="n">
        <v>420</v>
      </c>
      <c r="H1333" s="199" t="inlineStr">
        <is>
          <t>No separate deliverable explicitly named</t>
        </is>
      </c>
    </row>
    <row r="1334">
      <c r="A1334" s="208" t="inlineStr">
        <is>
          <t>RTM-670</t>
        </is>
      </c>
      <c r="B1334" s="220" t="inlineStr">
        <is>
          <t>L4 Installation</t>
        </is>
      </c>
      <c r="C1334" s="208" t="n">
        <v>6</v>
      </c>
      <c r="D1334" s="208" t="inlineStr">
        <is>
          <t>T2 Secondary</t>
        </is>
      </c>
      <c r="E1334" s="208" t="inlineStr">
        <is>
          <t>Quality Assurance &amp; Control</t>
        </is>
      </c>
      <c r="F1334" s="208" t="n">
        <v>25.3333</v>
      </c>
      <c r="G1334" s="208" t="n">
        <v>420</v>
      </c>
      <c r="H1334" s="208" t="inlineStr">
        <is>
          <t>No separate deliverable explicitly named</t>
        </is>
      </c>
    </row>
    <row r="1335">
      <c r="A1335" s="199" t="inlineStr">
        <is>
          <t>RTM-670</t>
        </is>
      </c>
      <c r="B1335" s="225" t="inlineStr">
        <is>
          <t>L5 Standalone Commissioning</t>
        </is>
      </c>
      <c r="C1335" s="199" t="n">
        <v>7</v>
      </c>
      <c r="D1335" s="199" t="inlineStr">
        <is>
          <t>T2 Secondary</t>
        </is>
      </c>
      <c r="E1335" s="199" t="inlineStr">
        <is>
          <t>Quality Assurance &amp; Control</t>
        </is>
      </c>
      <c r="F1335" s="199" t="n">
        <v>25.3333</v>
      </c>
      <c r="G1335" s="199" t="n">
        <v>420</v>
      </c>
      <c r="H1335" s="199" t="inlineStr">
        <is>
          <t>No separate deliverable explicitly named</t>
        </is>
      </c>
    </row>
    <row r="1336">
      <c r="A1336" s="208" t="inlineStr">
        <is>
          <t>RTM-670</t>
        </is>
      </c>
      <c r="B1336" s="226" t="inlineStr">
        <is>
          <t>L6 Site Acceptance Testing</t>
        </is>
      </c>
      <c r="C1336" s="208" t="n">
        <v>8</v>
      </c>
      <c r="D1336" s="208" t="inlineStr">
        <is>
          <t>T2 Secondary</t>
        </is>
      </c>
      <c r="E1336" s="208" t="inlineStr">
        <is>
          <t>Quality Assurance &amp; Control</t>
        </is>
      </c>
      <c r="F1336" s="208" t="n">
        <v>25.3333</v>
      </c>
      <c r="G1336" s="208" t="n">
        <v>420</v>
      </c>
      <c r="H1336" s="208" t="inlineStr">
        <is>
          <t>No separate deliverable explicitly named</t>
        </is>
      </c>
    </row>
    <row r="1337">
      <c r="A1337" s="199" t="inlineStr">
        <is>
          <t>RTM-671</t>
        </is>
      </c>
      <c r="B1337" s="221" t="inlineStr">
        <is>
          <t>L0 Tender / Offer</t>
        </is>
      </c>
      <c r="C1337" s="199" t="n">
        <v>1</v>
      </c>
      <c r="D1337" s="199" t="inlineStr">
        <is>
          <t>T2 Secondary</t>
        </is>
      </c>
      <c r="E1337" s="199" t="inlineStr">
        <is>
          <t>Quality Assurance &amp; Control</t>
        </is>
      </c>
      <c r="F1337" s="199" t="n">
        <v>25.3333</v>
      </c>
      <c r="G1337" s="199" t="n">
        <v>421</v>
      </c>
      <c r="H1337" s="199" t="inlineStr">
        <is>
          <t>Quality Assurance Plan (QAP)</t>
        </is>
      </c>
    </row>
    <row r="1338">
      <c r="A1338" s="208" t="inlineStr">
        <is>
          <t>RTM-671</t>
        </is>
      </c>
      <c r="B1338" s="222" t="inlineStr">
        <is>
          <t>L1 Conceptual Design</t>
        </is>
      </c>
      <c r="C1338" s="208" t="n">
        <v>2</v>
      </c>
      <c r="D1338" s="208" t="inlineStr">
        <is>
          <t>T2 Secondary</t>
        </is>
      </c>
      <c r="E1338" s="208" t="inlineStr">
        <is>
          <t>Quality Assurance &amp; Control</t>
        </is>
      </c>
      <c r="F1338" s="208" t="n">
        <v>25.3333</v>
      </c>
      <c r="G1338" s="208" t="n">
        <v>421</v>
      </c>
      <c r="H1338" s="208" t="inlineStr">
        <is>
          <t>Quality Assurance Plan (QAP)</t>
        </is>
      </c>
    </row>
    <row r="1339">
      <c r="A1339" s="199" t="inlineStr">
        <is>
          <t>RTM-671</t>
        </is>
      </c>
      <c r="B1339" s="223" t="inlineStr">
        <is>
          <t>L2 Detailed Design</t>
        </is>
      </c>
      <c r="C1339" s="199" t="n">
        <v>3</v>
      </c>
      <c r="D1339" s="199" t="inlineStr">
        <is>
          <t>T2 Secondary</t>
        </is>
      </c>
      <c r="E1339" s="199" t="inlineStr">
        <is>
          <t>Quality Assurance &amp; Control</t>
        </is>
      </c>
      <c r="F1339" s="199" t="n">
        <v>25.3333</v>
      </c>
      <c r="G1339" s="199" t="n">
        <v>421</v>
      </c>
      <c r="H1339" s="199" t="inlineStr">
        <is>
          <t>Quality Assurance Plan (QAP)</t>
        </is>
      </c>
    </row>
    <row r="1340">
      <c r="A1340" s="208" t="inlineStr">
        <is>
          <t>RTM-671</t>
        </is>
      </c>
      <c r="B1340" s="224" t="inlineStr">
        <is>
          <t>L3 Procurement &amp; Manufacturing / FAT</t>
        </is>
      </c>
      <c r="C1340" s="208" t="n">
        <v>4</v>
      </c>
      <c r="D1340" s="208" t="inlineStr">
        <is>
          <t>T2 Secondary</t>
        </is>
      </c>
      <c r="E1340" s="208" t="inlineStr">
        <is>
          <t>Quality Assurance &amp; Control</t>
        </is>
      </c>
      <c r="F1340" s="208" t="n">
        <v>25.3333</v>
      </c>
      <c r="G1340" s="208" t="n">
        <v>421</v>
      </c>
      <c r="H1340" s="208" t="inlineStr">
        <is>
          <t>Quality Assurance Plan (QAP)</t>
        </is>
      </c>
    </row>
    <row r="1341">
      <c r="A1341" s="199" t="inlineStr">
        <is>
          <t>RTM-671</t>
        </is>
      </c>
      <c r="B1341" s="220" t="inlineStr">
        <is>
          <t>L4 Installation</t>
        </is>
      </c>
      <c r="C1341" s="199" t="n">
        <v>6</v>
      </c>
      <c r="D1341" s="199" t="inlineStr">
        <is>
          <t>T2 Secondary</t>
        </is>
      </c>
      <c r="E1341" s="199" t="inlineStr">
        <is>
          <t>Quality Assurance &amp; Control</t>
        </is>
      </c>
      <c r="F1341" s="199" t="n">
        <v>25.3333</v>
      </c>
      <c r="G1341" s="199" t="n">
        <v>421</v>
      </c>
      <c r="H1341" s="199" t="inlineStr">
        <is>
          <t>Quality Assurance Plan (QAP)</t>
        </is>
      </c>
    </row>
    <row r="1342">
      <c r="A1342" s="208" t="inlineStr">
        <is>
          <t>RTM-671</t>
        </is>
      </c>
      <c r="B1342" s="225" t="inlineStr">
        <is>
          <t>L5 Standalone Commissioning</t>
        </is>
      </c>
      <c r="C1342" s="208" t="n">
        <v>7</v>
      </c>
      <c r="D1342" s="208" t="inlineStr">
        <is>
          <t>T2 Secondary</t>
        </is>
      </c>
      <c r="E1342" s="208" t="inlineStr">
        <is>
          <t>Quality Assurance &amp; Control</t>
        </is>
      </c>
      <c r="F1342" s="208" t="n">
        <v>25.3333</v>
      </c>
      <c r="G1342" s="208" t="n">
        <v>421</v>
      </c>
      <c r="H1342" s="208" t="inlineStr">
        <is>
          <t>Quality Assurance Plan (QAP)</t>
        </is>
      </c>
    </row>
    <row r="1343">
      <c r="A1343" s="199" t="inlineStr">
        <is>
          <t>RTM-671</t>
        </is>
      </c>
      <c r="B1343" s="226" t="inlineStr">
        <is>
          <t>L6 Site Acceptance Testing</t>
        </is>
      </c>
      <c r="C1343" s="199" t="n">
        <v>8</v>
      </c>
      <c r="D1343" s="199" t="inlineStr">
        <is>
          <t>T2 Secondary</t>
        </is>
      </c>
      <c r="E1343" s="199" t="inlineStr">
        <is>
          <t>Quality Assurance &amp; Control</t>
        </is>
      </c>
      <c r="F1343" s="199" t="n">
        <v>25.3333</v>
      </c>
      <c r="G1343" s="199" t="n">
        <v>421</v>
      </c>
      <c r="H1343" s="199" t="inlineStr">
        <is>
          <t>Quality Assurance Plan (QAP)</t>
        </is>
      </c>
    </row>
    <row r="1344">
      <c r="A1344" s="208" t="inlineStr">
        <is>
          <t>RTM-672</t>
        </is>
      </c>
      <c r="B1344" s="221" t="inlineStr">
        <is>
          <t>L0 Tender / Offer</t>
        </is>
      </c>
      <c r="C1344" s="208" t="n">
        <v>1</v>
      </c>
      <c r="D1344" s="208" t="inlineStr">
        <is>
          <t>T2 Secondary</t>
        </is>
      </c>
      <c r="E1344" s="208" t="inlineStr">
        <is>
          <t>Quality Assurance &amp; Control</t>
        </is>
      </c>
      <c r="F1344" s="208" t="n">
        <v>25.3333</v>
      </c>
      <c r="G1344" s="208" t="n">
        <v>422</v>
      </c>
      <c r="H1344" s="208" t="inlineStr">
        <is>
          <t>No separate deliverable explicitly named</t>
        </is>
      </c>
    </row>
    <row r="1345">
      <c r="A1345" s="199" t="inlineStr">
        <is>
          <t>RTM-672</t>
        </is>
      </c>
      <c r="B1345" s="222" t="inlineStr">
        <is>
          <t>L1 Conceptual Design</t>
        </is>
      </c>
      <c r="C1345" s="199" t="n">
        <v>2</v>
      </c>
      <c r="D1345" s="199" t="inlineStr">
        <is>
          <t>T2 Secondary</t>
        </is>
      </c>
      <c r="E1345" s="199" t="inlineStr">
        <is>
          <t>Quality Assurance &amp; Control</t>
        </is>
      </c>
      <c r="F1345" s="199" t="n">
        <v>25.3333</v>
      </c>
      <c r="G1345" s="199" t="n">
        <v>422</v>
      </c>
      <c r="H1345" s="199" t="inlineStr">
        <is>
          <t>No separate deliverable explicitly named</t>
        </is>
      </c>
    </row>
    <row r="1346">
      <c r="A1346" s="208" t="inlineStr">
        <is>
          <t>RTM-672</t>
        </is>
      </c>
      <c r="B1346" s="223" t="inlineStr">
        <is>
          <t>L2 Detailed Design</t>
        </is>
      </c>
      <c r="C1346" s="208" t="n">
        <v>3</v>
      </c>
      <c r="D1346" s="208" t="inlineStr">
        <is>
          <t>T2 Secondary</t>
        </is>
      </c>
      <c r="E1346" s="208" t="inlineStr">
        <is>
          <t>Quality Assurance &amp; Control</t>
        </is>
      </c>
      <c r="F1346" s="208" t="n">
        <v>25.3333</v>
      </c>
      <c r="G1346" s="208" t="n">
        <v>422</v>
      </c>
      <c r="H1346" s="208" t="inlineStr">
        <is>
          <t>No separate deliverable explicitly named</t>
        </is>
      </c>
    </row>
    <row r="1347">
      <c r="A1347" s="199" t="inlineStr">
        <is>
          <t>RTM-672</t>
        </is>
      </c>
      <c r="B1347" s="224" t="inlineStr">
        <is>
          <t>L3 Procurement &amp; Manufacturing / FAT</t>
        </is>
      </c>
      <c r="C1347" s="199" t="n">
        <v>4</v>
      </c>
      <c r="D1347" s="199" t="inlineStr">
        <is>
          <t>T2 Secondary</t>
        </is>
      </c>
      <c r="E1347" s="199" t="inlineStr">
        <is>
          <t>Quality Assurance &amp; Control</t>
        </is>
      </c>
      <c r="F1347" s="199" t="n">
        <v>25.3333</v>
      </c>
      <c r="G1347" s="199" t="n">
        <v>422</v>
      </c>
      <c r="H1347" s="199" t="inlineStr">
        <is>
          <t>No separate deliverable explicitly named</t>
        </is>
      </c>
    </row>
    <row r="1348">
      <c r="A1348" s="208" t="inlineStr">
        <is>
          <t>RTM-672</t>
        </is>
      </c>
      <c r="B1348" s="220" t="inlineStr">
        <is>
          <t>L4 Installation</t>
        </is>
      </c>
      <c r="C1348" s="208" t="n">
        <v>6</v>
      </c>
      <c r="D1348" s="208" t="inlineStr">
        <is>
          <t>T2 Secondary</t>
        </is>
      </c>
      <c r="E1348" s="208" t="inlineStr">
        <is>
          <t>Quality Assurance &amp; Control</t>
        </is>
      </c>
      <c r="F1348" s="208" t="n">
        <v>25.3333</v>
      </c>
      <c r="G1348" s="208" t="n">
        <v>422</v>
      </c>
      <c r="H1348" s="208" t="inlineStr">
        <is>
          <t>No separate deliverable explicitly named</t>
        </is>
      </c>
    </row>
    <row r="1349">
      <c r="A1349" s="199" t="inlineStr">
        <is>
          <t>RTM-672</t>
        </is>
      </c>
      <c r="B1349" s="225" t="inlineStr">
        <is>
          <t>L5 Standalone Commissioning</t>
        </is>
      </c>
      <c r="C1349" s="199" t="n">
        <v>7</v>
      </c>
      <c r="D1349" s="199" t="inlineStr">
        <is>
          <t>T2 Secondary</t>
        </is>
      </c>
      <c r="E1349" s="199" t="inlineStr">
        <is>
          <t>Quality Assurance &amp; Control</t>
        </is>
      </c>
      <c r="F1349" s="199" t="n">
        <v>25.3333</v>
      </c>
      <c r="G1349" s="199" t="n">
        <v>422</v>
      </c>
      <c r="H1349" s="199" t="inlineStr">
        <is>
          <t>No separate deliverable explicitly named</t>
        </is>
      </c>
    </row>
    <row r="1350">
      <c r="A1350" s="208" t="inlineStr">
        <is>
          <t>RTM-672</t>
        </is>
      </c>
      <c r="B1350" s="226" t="inlineStr">
        <is>
          <t>L6 Site Acceptance Testing</t>
        </is>
      </c>
      <c r="C1350" s="208" t="n">
        <v>8</v>
      </c>
      <c r="D1350" s="208" t="inlineStr">
        <is>
          <t>T2 Secondary</t>
        </is>
      </c>
      <c r="E1350" s="208" t="inlineStr">
        <is>
          <t>Quality Assurance &amp; Control</t>
        </is>
      </c>
      <c r="F1350" s="208" t="n">
        <v>25.3333</v>
      </c>
      <c r="G1350" s="208" t="n">
        <v>422</v>
      </c>
      <c r="H1350" s="208" t="inlineStr">
        <is>
          <t>No separate deliverable explicitly named</t>
        </is>
      </c>
    </row>
    <row r="1351">
      <c r="A1351" s="199" t="inlineStr">
        <is>
          <t>RTM-673</t>
        </is>
      </c>
      <c r="B1351" s="224" t="inlineStr">
        <is>
          <t>L3 Procurement &amp; Manufacturing / FAT</t>
        </is>
      </c>
      <c r="C1351" s="199" t="n">
        <v>4</v>
      </c>
      <c r="D1351" s="199" t="inlineStr">
        <is>
          <t>T2 Secondary</t>
        </is>
      </c>
      <c r="E1351" s="199" t="inlineStr">
        <is>
          <t>Quality Assurance &amp; Control</t>
        </is>
      </c>
      <c r="F1351" s="199" t="n">
        <v>25.3333</v>
      </c>
      <c r="G1351" s="199" t="n">
        <v>423</v>
      </c>
      <c r="H1351" s="199" t="inlineStr">
        <is>
          <t>No separate deliverable explicitly named</t>
        </is>
      </c>
    </row>
    <row r="1352">
      <c r="A1352" s="208" t="inlineStr">
        <is>
          <t>RTM-673</t>
        </is>
      </c>
      <c r="B1352" s="226" t="inlineStr">
        <is>
          <t>L6 Site Acceptance Testing</t>
        </is>
      </c>
      <c r="C1352" s="208" t="n">
        <v>8</v>
      </c>
      <c r="D1352" s="208" t="inlineStr">
        <is>
          <t>T2 Secondary</t>
        </is>
      </c>
      <c r="E1352" s="208" t="inlineStr">
        <is>
          <t>Quality Assurance &amp; Control</t>
        </is>
      </c>
      <c r="F1352" s="208" t="n">
        <v>25.3333</v>
      </c>
      <c r="G1352" s="208" t="n">
        <v>423</v>
      </c>
      <c r="H1352" s="208" t="inlineStr">
        <is>
          <t>No separate deliverable explicitly named</t>
        </is>
      </c>
    </row>
    <row r="1353">
      <c r="A1353" s="199" t="inlineStr">
        <is>
          <t>RTM-673</t>
        </is>
      </c>
      <c r="B1353" s="227" t="inlineStr">
        <is>
          <t>PAC / Handover</t>
        </is>
      </c>
      <c r="C1353" s="199" t="n">
        <v>9</v>
      </c>
      <c r="D1353" s="199" t="inlineStr">
        <is>
          <t>T2 Secondary</t>
        </is>
      </c>
      <c r="E1353" s="199" t="inlineStr">
        <is>
          <t>Quality Assurance &amp; Control</t>
        </is>
      </c>
      <c r="F1353" s="199" t="n">
        <v>25.3333</v>
      </c>
      <c r="G1353" s="199" t="n">
        <v>423</v>
      </c>
      <c r="H1353" s="199" t="inlineStr">
        <is>
          <t>No separate deliverable explicitly named</t>
        </is>
      </c>
    </row>
    <row r="1354">
      <c r="A1354" s="208" t="inlineStr">
        <is>
          <t>RTM-673</t>
        </is>
      </c>
      <c r="B1354" s="221" t="inlineStr">
        <is>
          <t>L0 Tender / Offer</t>
        </is>
      </c>
      <c r="C1354" s="208" t="n">
        <v>1</v>
      </c>
      <c r="D1354" s="208" t="inlineStr">
        <is>
          <t>T2 Secondary</t>
        </is>
      </c>
      <c r="E1354" s="208" t="inlineStr">
        <is>
          <t>Quality Assurance &amp; Control</t>
        </is>
      </c>
      <c r="F1354" s="208" t="n">
        <v>25.3333</v>
      </c>
      <c r="G1354" s="208" t="n">
        <v>423</v>
      </c>
      <c r="H1354" s="208" t="inlineStr">
        <is>
          <t>No separate deliverable explicitly named</t>
        </is>
      </c>
    </row>
    <row r="1355">
      <c r="A1355" s="199" t="inlineStr">
        <is>
          <t>RTM-673</t>
        </is>
      </c>
      <c r="B1355" s="222" t="inlineStr">
        <is>
          <t>L1 Conceptual Design</t>
        </is>
      </c>
      <c r="C1355" s="199" t="n">
        <v>2</v>
      </c>
      <c r="D1355" s="199" t="inlineStr">
        <is>
          <t>T2 Secondary</t>
        </is>
      </c>
      <c r="E1355" s="199" t="inlineStr">
        <is>
          <t>Quality Assurance &amp; Control</t>
        </is>
      </c>
      <c r="F1355" s="199" t="n">
        <v>25.3333</v>
      </c>
      <c r="G1355" s="199" t="n">
        <v>423</v>
      </c>
      <c r="H1355" s="199" t="inlineStr">
        <is>
          <t>No separate deliverable explicitly named</t>
        </is>
      </c>
    </row>
    <row r="1356">
      <c r="A1356" s="208" t="inlineStr">
        <is>
          <t>RTM-673</t>
        </is>
      </c>
      <c r="B1356" s="223" t="inlineStr">
        <is>
          <t>L2 Detailed Design</t>
        </is>
      </c>
      <c r="C1356" s="208" t="n">
        <v>3</v>
      </c>
      <c r="D1356" s="208" t="inlineStr">
        <is>
          <t>T2 Secondary</t>
        </is>
      </c>
      <c r="E1356" s="208" t="inlineStr">
        <is>
          <t>Quality Assurance &amp; Control</t>
        </is>
      </c>
      <c r="F1356" s="208" t="n">
        <v>25.3333</v>
      </c>
      <c r="G1356" s="208" t="n">
        <v>423</v>
      </c>
      <c r="H1356" s="208" t="inlineStr">
        <is>
          <t>No separate deliverable explicitly named</t>
        </is>
      </c>
    </row>
    <row r="1357">
      <c r="A1357" s="199" t="inlineStr">
        <is>
          <t>RTM-673</t>
        </is>
      </c>
      <c r="B1357" s="220" t="inlineStr">
        <is>
          <t>L4 Installation</t>
        </is>
      </c>
      <c r="C1357" s="199" t="n">
        <v>6</v>
      </c>
      <c r="D1357" s="199" t="inlineStr">
        <is>
          <t>T2 Secondary</t>
        </is>
      </c>
      <c r="E1357" s="199" t="inlineStr">
        <is>
          <t>Quality Assurance &amp; Control</t>
        </is>
      </c>
      <c r="F1357" s="199" t="n">
        <v>25.3333</v>
      </c>
      <c r="G1357" s="199" t="n">
        <v>423</v>
      </c>
      <c r="H1357" s="199" t="inlineStr">
        <is>
          <t>No separate deliverable explicitly named</t>
        </is>
      </c>
    </row>
    <row r="1358">
      <c r="A1358" s="208" t="inlineStr">
        <is>
          <t>RTM-673</t>
        </is>
      </c>
      <c r="B1358" s="225" t="inlineStr">
        <is>
          <t>L5 Standalone Commissioning</t>
        </is>
      </c>
      <c r="C1358" s="208" t="n">
        <v>7</v>
      </c>
      <c r="D1358" s="208" t="inlineStr">
        <is>
          <t>T2 Secondary</t>
        </is>
      </c>
      <c r="E1358" s="208" t="inlineStr">
        <is>
          <t>Quality Assurance &amp; Control</t>
        </is>
      </c>
      <c r="F1358" s="208" t="n">
        <v>25.3333</v>
      </c>
      <c r="G1358" s="208" t="n">
        <v>423</v>
      </c>
      <c r="H1358" s="208" t="inlineStr">
        <is>
          <t>No separate deliverable explicitly named</t>
        </is>
      </c>
    </row>
    <row r="1359">
      <c r="A1359" s="199" t="inlineStr">
        <is>
          <t>RTM-674</t>
        </is>
      </c>
      <c r="B1359" s="221" t="inlineStr">
        <is>
          <t>L0 Tender / Offer</t>
        </is>
      </c>
      <c r="C1359" s="199" t="n">
        <v>1</v>
      </c>
      <c r="D1359" s="199" t="inlineStr">
        <is>
          <t>T2 Secondary</t>
        </is>
      </c>
      <c r="E1359" s="199" t="inlineStr">
        <is>
          <t>Quality Assurance &amp; Control</t>
        </is>
      </c>
      <c r="F1359" s="199" t="n">
        <v>25.3333</v>
      </c>
      <c r="G1359" s="199" t="n">
        <v>424</v>
      </c>
      <c r="H1359" s="199" t="inlineStr">
        <is>
          <t>No separate deliverable explicitly named</t>
        </is>
      </c>
    </row>
    <row r="1360">
      <c r="A1360" s="208" t="inlineStr">
        <is>
          <t>RTM-674</t>
        </is>
      </c>
      <c r="B1360" s="222" t="inlineStr">
        <is>
          <t>L1 Conceptual Design</t>
        </is>
      </c>
      <c r="C1360" s="208" t="n">
        <v>2</v>
      </c>
      <c r="D1360" s="208" t="inlineStr">
        <is>
          <t>T2 Secondary</t>
        </is>
      </c>
      <c r="E1360" s="208" t="inlineStr">
        <is>
          <t>Quality Assurance &amp; Control</t>
        </is>
      </c>
      <c r="F1360" s="208" t="n">
        <v>25.3333</v>
      </c>
      <c r="G1360" s="208" t="n">
        <v>424</v>
      </c>
      <c r="H1360" s="208" t="inlineStr">
        <is>
          <t>No separate deliverable explicitly named</t>
        </is>
      </c>
    </row>
    <row r="1361">
      <c r="A1361" s="199" t="inlineStr">
        <is>
          <t>RTM-674</t>
        </is>
      </c>
      <c r="B1361" s="223" t="inlineStr">
        <is>
          <t>L2 Detailed Design</t>
        </is>
      </c>
      <c r="C1361" s="199" t="n">
        <v>3</v>
      </c>
      <c r="D1361" s="199" t="inlineStr">
        <is>
          <t>T2 Secondary</t>
        </is>
      </c>
      <c r="E1361" s="199" t="inlineStr">
        <is>
          <t>Quality Assurance &amp; Control</t>
        </is>
      </c>
      <c r="F1361" s="199" t="n">
        <v>25.3333</v>
      </c>
      <c r="G1361" s="199" t="n">
        <v>424</v>
      </c>
      <c r="H1361" s="199" t="inlineStr">
        <is>
          <t>No separate deliverable explicitly named</t>
        </is>
      </c>
    </row>
    <row r="1362">
      <c r="A1362" s="208" t="inlineStr">
        <is>
          <t>RTM-674</t>
        </is>
      </c>
      <c r="B1362" s="224" t="inlineStr">
        <is>
          <t>L3 Procurement &amp; Manufacturing / FAT</t>
        </is>
      </c>
      <c r="C1362" s="208" t="n">
        <v>4</v>
      </c>
      <c r="D1362" s="208" t="inlineStr">
        <is>
          <t>T2 Secondary</t>
        </is>
      </c>
      <c r="E1362" s="208" t="inlineStr">
        <is>
          <t>Quality Assurance &amp; Control</t>
        </is>
      </c>
      <c r="F1362" s="208" t="n">
        <v>25.3333</v>
      </c>
      <c r="G1362" s="208" t="n">
        <v>424</v>
      </c>
      <c r="H1362" s="208" t="inlineStr">
        <is>
          <t>No separate deliverable explicitly named</t>
        </is>
      </c>
    </row>
    <row r="1363">
      <c r="A1363" s="199" t="inlineStr">
        <is>
          <t>RTM-674</t>
        </is>
      </c>
      <c r="B1363" s="220" t="inlineStr">
        <is>
          <t>L4 Installation</t>
        </is>
      </c>
      <c r="C1363" s="199" t="n">
        <v>6</v>
      </c>
      <c r="D1363" s="199" t="inlineStr">
        <is>
          <t>T2 Secondary</t>
        </is>
      </c>
      <c r="E1363" s="199" t="inlineStr">
        <is>
          <t>Quality Assurance &amp; Control</t>
        </is>
      </c>
      <c r="F1363" s="199" t="n">
        <v>25.3333</v>
      </c>
      <c r="G1363" s="199" t="n">
        <v>424</v>
      </c>
      <c r="H1363" s="199" t="inlineStr">
        <is>
          <t>No separate deliverable explicitly named</t>
        </is>
      </c>
    </row>
    <row r="1364">
      <c r="A1364" s="208" t="inlineStr">
        <is>
          <t>RTM-674</t>
        </is>
      </c>
      <c r="B1364" s="225" t="inlineStr">
        <is>
          <t>L5 Standalone Commissioning</t>
        </is>
      </c>
      <c r="C1364" s="208" t="n">
        <v>7</v>
      </c>
      <c r="D1364" s="208" t="inlineStr">
        <is>
          <t>T2 Secondary</t>
        </is>
      </c>
      <c r="E1364" s="208" t="inlineStr">
        <is>
          <t>Quality Assurance &amp; Control</t>
        </is>
      </c>
      <c r="F1364" s="208" t="n">
        <v>25.3333</v>
      </c>
      <c r="G1364" s="208" t="n">
        <v>424</v>
      </c>
      <c r="H1364" s="208" t="inlineStr">
        <is>
          <t>No separate deliverable explicitly named</t>
        </is>
      </c>
    </row>
    <row r="1365">
      <c r="A1365" s="199" t="inlineStr">
        <is>
          <t>RTM-674</t>
        </is>
      </c>
      <c r="B1365" s="226" t="inlineStr">
        <is>
          <t>L6 Site Acceptance Testing</t>
        </is>
      </c>
      <c r="C1365" s="199" t="n">
        <v>8</v>
      </c>
      <c r="D1365" s="199" t="inlineStr">
        <is>
          <t>T2 Secondary</t>
        </is>
      </c>
      <c r="E1365" s="199" t="inlineStr">
        <is>
          <t>Quality Assurance &amp; Control</t>
        </is>
      </c>
      <c r="F1365" s="199" t="n">
        <v>25.3333</v>
      </c>
      <c r="G1365" s="199" t="n">
        <v>424</v>
      </c>
      <c r="H1365" s="199" t="inlineStr">
        <is>
          <t>No separate deliverable explicitly named</t>
        </is>
      </c>
    </row>
    <row r="1366">
      <c r="A1366" s="208" t="inlineStr">
        <is>
          <t>RTM-675</t>
        </is>
      </c>
      <c r="B1366" s="221" t="inlineStr">
        <is>
          <t>L0 Tender / Offer</t>
        </is>
      </c>
      <c r="C1366" s="208" t="n">
        <v>1</v>
      </c>
      <c r="D1366" s="208" t="inlineStr">
        <is>
          <t>T2 Secondary</t>
        </is>
      </c>
      <c r="E1366" s="208" t="inlineStr">
        <is>
          <t>Quality Assurance &amp; Control</t>
        </is>
      </c>
      <c r="F1366" s="208" t="n">
        <v>25.3333</v>
      </c>
      <c r="G1366" s="208" t="n">
        <v>425</v>
      </c>
      <c r="H1366" s="208" t="inlineStr">
        <is>
          <t>Quality Assurance Plan (QAP)</t>
        </is>
      </c>
    </row>
    <row r="1367">
      <c r="A1367" s="199" t="inlineStr">
        <is>
          <t>RTM-675</t>
        </is>
      </c>
      <c r="B1367" s="222" t="inlineStr">
        <is>
          <t>L1 Conceptual Design</t>
        </is>
      </c>
      <c r="C1367" s="199" t="n">
        <v>2</v>
      </c>
      <c r="D1367" s="199" t="inlineStr">
        <is>
          <t>T2 Secondary</t>
        </is>
      </c>
      <c r="E1367" s="199" t="inlineStr">
        <is>
          <t>Quality Assurance &amp; Control</t>
        </is>
      </c>
      <c r="F1367" s="199" t="n">
        <v>25.3333</v>
      </c>
      <c r="G1367" s="199" t="n">
        <v>425</v>
      </c>
      <c r="H1367" s="199" t="inlineStr">
        <is>
          <t>Quality Assurance Plan (QAP)</t>
        </is>
      </c>
    </row>
    <row r="1368">
      <c r="A1368" s="208" t="inlineStr">
        <is>
          <t>RTM-675</t>
        </is>
      </c>
      <c r="B1368" s="223" t="inlineStr">
        <is>
          <t>L2 Detailed Design</t>
        </is>
      </c>
      <c r="C1368" s="208" t="n">
        <v>3</v>
      </c>
      <c r="D1368" s="208" t="inlineStr">
        <is>
          <t>T2 Secondary</t>
        </is>
      </c>
      <c r="E1368" s="208" t="inlineStr">
        <is>
          <t>Quality Assurance &amp; Control</t>
        </is>
      </c>
      <c r="F1368" s="208" t="n">
        <v>25.3333</v>
      </c>
      <c r="G1368" s="208" t="n">
        <v>425</v>
      </c>
      <c r="H1368" s="208" t="inlineStr">
        <is>
          <t>Quality Assurance Plan (QAP)</t>
        </is>
      </c>
    </row>
    <row r="1369">
      <c r="A1369" s="199" t="inlineStr">
        <is>
          <t>RTM-675</t>
        </is>
      </c>
      <c r="B1369" s="224" t="inlineStr">
        <is>
          <t>L3 Procurement &amp; Manufacturing / FAT</t>
        </is>
      </c>
      <c r="C1369" s="199" t="n">
        <v>4</v>
      </c>
      <c r="D1369" s="199" t="inlineStr">
        <is>
          <t>T2 Secondary</t>
        </is>
      </c>
      <c r="E1369" s="199" t="inlineStr">
        <is>
          <t>Quality Assurance &amp; Control</t>
        </is>
      </c>
      <c r="F1369" s="199" t="n">
        <v>25.3333</v>
      </c>
      <c r="G1369" s="199" t="n">
        <v>425</v>
      </c>
      <c r="H1369" s="199" t="inlineStr">
        <is>
          <t>Quality Assurance Plan (QAP)</t>
        </is>
      </c>
    </row>
    <row r="1370">
      <c r="A1370" s="208" t="inlineStr">
        <is>
          <t>RTM-675</t>
        </is>
      </c>
      <c r="B1370" s="220" t="inlineStr">
        <is>
          <t>L4 Installation</t>
        </is>
      </c>
      <c r="C1370" s="208" t="n">
        <v>6</v>
      </c>
      <c r="D1370" s="208" t="inlineStr">
        <is>
          <t>T2 Secondary</t>
        </is>
      </c>
      <c r="E1370" s="208" t="inlineStr">
        <is>
          <t>Quality Assurance &amp; Control</t>
        </is>
      </c>
      <c r="F1370" s="208" t="n">
        <v>25.3333</v>
      </c>
      <c r="G1370" s="208" t="n">
        <v>425</v>
      </c>
      <c r="H1370" s="208" t="inlineStr">
        <is>
          <t>Quality Assurance Plan (QAP)</t>
        </is>
      </c>
    </row>
    <row r="1371">
      <c r="A1371" s="199" t="inlineStr">
        <is>
          <t>RTM-675</t>
        </is>
      </c>
      <c r="B1371" s="225" t="inlineStr">
        <is>
          <t>L5 Standalone Commissioning</t>
        </is>
      </c>
      <c r="C1371" s="199" t="n">
        <v>7</v>
      </c>
      <c r="D1371" s="199" t="inlineStr">
        <is>
          <t>T2 Secondary</t>
        </is>
      </c>
      <c r="E1371" s="199" t="inlineStr">
        <is>
          <t>Quality Assurance &amp; Control</t>
        </is>
      </c>
      <c r="F1371" s="199" t="n">
        <v>25.3333</v>
      </c>
      <c r="G1371" s="199" t="n">
        <v>425</v>
      </c>
      <c r="H1371" s="199" t="inlineStr">
        <is>
          <t>Quality Assurance Plan (QAP)</t>
        </is>
      </c>
    </row>
    <row r="1372">
      <c r="A1372" s="208" t="inlineStr">
        <is>
          <t>RTM-675</t>
        </is>
      </c>
      <c r="B1372" s="226" t="inlineStr">
        <is>
          <t>L6 Site Acceptance Testing</t>
        </is>
      </c>
      <c r="C1372" s="208" t="n">
        <v>8</v>
      </c>
      <c r="D1372" s="208" t="inlineStr">
        <is>
          <t>T2 Secondary</t>
        </is>
      </c>
      <c r="E1372" s="208" t="inlineStr">
        <is>
          <t>Quality Assurance &amp; Control</t>
        </is>
      </c>
      <c r="F1372" s="208" t="n">
        <v>25.3333</v>
      </c>
      <c r="G1372" s="208" t="n">
        <v>425</v>
      </c>
      <c r="H1372" s="208" t="inlineStr">
        <is>
          <t>Quality Assurance Plan (QAP)</t>
        </is>
      </c>
    </row>
    <row r="1373">
      <c r="A1373" s="199" t="inlineStr">
        <is>
          <t>RTM-676</t>
        </is>
      </c>
      <c r="B1373" s="221" t="inlineStr">
        <is>
          <t>L0 Tender / Offer</t>
        </is>
      </c>
      <c r="C1373" s="199" t="n">
        <v>1</v>
      </c>
      <c r="D1373" s="199" t="inlineStr">
        <is>
          <t>T2 Secondary</t>
        </is>
      </c>
      <c r="E1373" s="199" t="inlineStr">
        <is>
          <t>Quality Assurance &amp; Control</t>
        </is>
      </c>
      <c r="F1373" s="199" t="n">
        <v>25.3333</v>
      </c>
      <c r="G1373" s="199" t="n">
        <v>426</v>
      </c>
      <c r="H1373" s="199" t="inlineStr">
        <is>
          <t>No separate deliverable explicitly named</t>
        </is>
      </c>
    </row>
    <row r="1374">
      <c r="A1374" s="208" t="inlineStr">
        <is>
          <t>RTM-676</t>
        </is>
      </c>
      <c r="B1374" s="222" t="inlineStr">
        <is>
          <t>L1 Conceptual Design</t>
        </is>
      </c>
      <c r="C1374" s="208" t="n">
        <v>2</v>
      </c>
      <c r="D1374" s="208" t="inlineStr">
        <is>
          <t>T2 Secondary</t>
        </is>
      </c>
      <c r="E1374" s="208" t="inlineStr">
        <is>
          <t>Quality Assurance &amp; Control</t>
        </is>
      </c>
      <c r="F1374" s="208" t="n">
        <v>25.3333</v>
      </c>
      <c r="G1374" s="208" t="n">
        <v>426</v>
      </c>
      <c r="H1374" s="208" t="inlineStr">
        <is>
          <t>No separate deliverable explicitly named</t>
        </is>
      </c>
    </row>
    <row r="1375">
      <c r="A1375" s="199" t="inlineStr">
        <is>
          <t>RTM-676</t>
        </is>
      </c>
      <c r="B1375" s="223" t="inlineStr">
        <is>
          <t>L2 Detailed Design</t>
        </is>
      </c>
      <c r="C1375" s="199" t="n">
        <v>3</v>
      </c>
      <c r="D1375" s="199" t="inlineStr">
        <is>
          <t>T2 Secondary</t>
        </is>
      </c>
      <c r="E1375" s="199" t="inlineStr">
        <is>
          <t>Quality Assurance &amp; Control</t>
        </is>
      </c>
      <c r="F1375" s="199" t="n">
        <v>25.3333</v>
      </c>
      <c r="G1375" s="199" t="n">
        <v>426</v>
      </c>
      <c r="H1375" s="199" t="inlineStr">
        <is>
          <t>No separate deliverable explicitly named</t>
        </is>
      </c>
    </row>
    <row r="1376">
      <c r="A1376" s="208" t="inlineStr">
        <is>
          <t>RTM-676</t>
        </is>
      </c>
      <c r="B1376" s="224" t="inlineStr">
        <is>
          <t>L3 Procurement &amp; Manufacturing / FAT</t>
        </is>
      </c>
      <c r="C1376" s="208" t="n">
        <v>4</v>
      </c>
      <c r="D1376" s="208" t="inlineStr">
        <is>
          <t>T2 Secondary</t>
        </is>
      </c>
      <c r="E1376" s="208" t="inlineStr">
        <is>
          <t>Quality Assurance &amp; Control</t>
        </is>
      </c>
      <c r="F1376" s="208" t="n">
        <v>25.3333</v>
      </c>
      <c r="G1376" s="208" t="n">
        <v>426</v>
      </c>
      <c r="H1376" s="208" t="inlineStr">
        <is>
          <t>No separate deliverable explicitly named</t>
        </is>
      </c>
    </row>
    <row r="1377">
      <c r="A1377" s="199" t="inlineStr">
        <is>
          <t>RTM-676</t>
        </is>
      </c>
      <c r="B1377" s="220" t="inlineStr">
        <is>
          <t>L4 Installation</t>
        </is>
      </c>
      <c r="C1377" s="199" t="n">
        <v>6</v>
      </c>
      <c r="D1377" s="199" t="inlineStr">
        <is>
          <t>T2 Secondary</t>
        </is>
      </c>
      <c r="E1377" s="199" t="inlineStr">
        <is>
          <t>Quality Assurance &amp; Control</t>
        </is>
      </c>
      <c r="F1377" s="199" t="n">
        <v>25.3333</v>
      </c>
      <c r="G1377" s="199" t="n">
        <v>426</v>
      </c>
      <c r="H1377" s="199" t="inlineStr">
        <is>
          <t>No separate deliverable explicitly named</t>
        </is>
      </c>
    </row>
    <row r="1378">
      <c r="A1378" s="208" t="inlineStr">
        <is>
          <t>RTM-676</t>
        </is>
      </c>
      <c r="B1378" s="225" t="inlineStr">
        <is>
          <t>L5 Standalone Commissioning</t>
        </is>
      </c>
      <c r="C1378" s="208" t="n">
        <v>7</v>
      </c>
      <c r="D1378" s="208" t="inlineStr">
        <is>
          <t>T2 Secondary</t>
        </is>
      </c>
      <c r="E1378" s="208" t="inlineStr">
        <is>
          <t>Quality Assurance &amp; Control</t>
        </is>
      </c>
      <c r="F1378" s="208" t="n">
        <v>25.3333</v>
      </c>
      <c r="G1378" s="208" t="n">
        <v>426</v>
      </c>
      <c r="H1378" s="208" t="inlineStr">
        <is>
          <t>No separate deliverable explicitly named</t>
        </is>
      </c>
    </row>
    <row r="1379">
      <c r="A1379" s="199" t="inlineStr">
        <is>
          <t>RTM-676</t>
        </is>
      </c>
      <c r="B1379" s="226" t="inlineStr">
        <is>
          <t>L6 Site Acceptance Testing</t>
        </is>
      </c>
      <c r="C1379" s="199" t="n">
        <v>8</v>
      </c>
      <c r="D1379" s="199" t="inlineStr">
        <is>
          <t>T2 Secondary</t>
        </is>
      </c>
      <c r="E1379" s="199" t="inlineStr">
        <is>
          <t>Quality Assurance &amp; Control</t>
        </is>
      </c>
      <c r="F1379" s="199" t="n">
        <v>25.3333</v>
      </c>
      <c r="G1379" s="199" t="n">
        <v>426</v>
      </c>
      <c r="H1379" s="199" t="inlineStr">
        <is>
          <t>No separate deliverable explicitly named</t>
        </is>
      </c>
    </row>
    <row r="1380">
      <c r="A1380" s="208" t="inlineStr">
        <is>
          <t>RTM-678</t>
        </is>
      </c>
      <c r="B1380" s="221" t="inlineStr">
        <is>
          <t>L0 Tender / Offer</t>
        </is>
      </c>
      <c r="C1380" s="208" t="n">
        <v>1</v>
      </c>
      <c r="D1380" s="208" t="inlineStr">
        <is>
          <t>T2 Secondary</t>
        </is>
      </c>
      <c r="E1380" s="208" t="inlineStr">
        <is>
          <t>Quality Assurance &amp; Control</t>
        </is>
      </c>
      <c r="F1380" s="208" t="n">
        <v>25.3333</v>
      </c>
      <c r="G1380" s="208" t="n">
        <v>427</v>
      </c>
      <c r="H1380" s="208" t="inlineStr">
        <is>
          <t>No separate deliverable explicitly named</t>
        </is>
      </c>
    </row>
    <row r="1381">
      <c r="A1381" s="199" t="inlineStr">
        <is>
          <t>RTM-678</t>
        </is>
      </c>
      <c r="B1381" s="222" t="inlineStr">
        <is>
          <t>L1 Conceptual Design</t>
        </is>
      </c>
      <c r="C1381" s="199" t="n">
        <v>2</v>
      </c>
      <c r="D1381" s="199" t="inlineStr">
        <is>
          <t>T2 Secondary</t>
        </is>
      </c>
      <c r="E1381" s="199" t="inlineStr">
        <is>
          <t>Quality Assurance &amp; Control</t>
        </is>
      </c>
      <c r="F1381" s="199" t="n">
        <v>25.3333</v>
      </c>
      <c r="G1381" s="199" t="n">
        <v>427</v>
      </c>
      <c r="H1381" s="199" t="inlineStr">
        <is>
          <t>No separate deliverable explicitly named</t>
        </is>
      </c>
    </row>
    <row r="1382">
      <c r="A1382" s="208" t="inlineStr">
        <is>
          <t>RTM-678</t>
        </is>
      </c>
      <c r="B1382" s="223" t="inlineStr">
        <is>
          <t>L2 Detailed Design</t>
        </is>
      </c>
      <c r="C1382" s="208" t="n">
        <v>3</v>
      </c>
      <c r="D1382" s="208" t="inlineStr">
        <is>
          <t>T2 Secondary</t>
        </is>
      </c>
      <c r="E1382" s="208" t="inlineStr">
        <is>
          <t>Quality Assurance &amp; Control</t>
        </is>
      </c>
      <c r="F1382" s="208" t="n">
        <v>25.3333</v>
      </c>
      <c r="G1382" s="208" t="n">
        <v>427</v>
      </c>
      <c r="H1382" s="208" t="inlineStr">
        <is>
          <t>No separate deliverable explicitly named</t>
        </is>
      </c>
    </row>
    <row r="1383">
      <c r="A1383" s="199" t="inlineStr">
        <is>
          <t>RTM-678</t>
        </is>
      </c>
      <c r="B1383" s="224" t="inlineStr">
        <is>
          <t>L3 Procurement &amp; Manufacturing / FAT</t>
        </is>
      </c>
      <c r="C1383" s="199" t="n">
        <v>4</v>
      </c>
      <c r="D1383" s="199" t="inlineStr">
        <is>
          <t>T2 Secondary</t>
        </is>
      </c>
      <c r="E1383" s="199" t="inlineStr">
        <is>
          <t>Quality Assurance &amp; Control</t>
        </is>
      </c>
      <c r="F1383" s="199" t="n">
        <v>25.3333</v>
      </c>
      <c r="G1383" s="199" t="n">
        <v>427</v>
      </c>
      <c r="H1383" s="199" t="inlineStr">
        <is>
          <t>No separate deliverable explicitly named</t>
        </is>
      </c>
    </row>
    <row r="1384">
      <c r="A1384" s="208" t="inlineStr">
        <is>
          <t>RTM-678</t>
        </is>
      </c>
      <c r="B1384" s="220" t="inlineStr">
        <is>
          <t>L4 Installation</t>
        </is>
      </c>
      <c r="C1384" s="208" t="n">
        <v>6</v>
      </c>
      <c r="D1384" s="208" t="inlineStr">
        <is>
          <t>T2 Secondary</t>
        </is>
      </c>
      <c r="E1384" s="208" t="inlineStr">
        <is>
          <t>Quality Assurance &amp; Control</t>
        </is>
      </c>
      <c r="F1384" s="208" t="n">
        <v>25.3333</v>
      </c>
      <c r="G1384" s="208" t="n">
        <v>427</v>
      </c>
      <c r="H1384" s="208" t="inlineStr">
        <is>
          <t>No separate deliverable explicitly named</t>
        </is>
      </c>
    </row>
    <row r="1385">
      <c r="A1385" s="199" t="inlineStr">
        <is>
          <t>RTM-678</t>
        </is>
      </c>
      <c r="B1385" s="225" t="inlineStr">
        <is>
          <t>L5 Standalone Commissioning</t>
        </is>
      </c>
      <c r="C1385" s="199" t="n">
        <v>7</v>
      </c>
      <c r="D1385" s="199" t="inlineStr">
        <is>
          <t>T2 Secondary</t>
        </is>
      </c>
      <c r="E1385" s="199" t="inlineStr">
        <is>
          <t>Quality Assurance &amp; Control</t>
        </is>
      </c>
      <c r="F1385" s="199" t="n">
        <v>25.3333</v>
      </c>
      <c r="G1385" s="199" t="n">
        <v>427</v>
      </c>
      <c r="H1385" s="199" t="inlineStr">
        <is>
          <t>No separate deliverable explicitly named</t>
        </is>
      </c>
    </row>
    <row r="1386">
      <c r="A1386" s="208" t="inlineStr">
        <is>
          <t>RTM-678</t>
        </is>
      </c>
      <c r="B1386" s="226" t="inlineStr">
        <is>
          <t>L6 Site Acceptance Testing</t>
        </is>
      </c>
      <c r="C1386" s="208" t="n">
        <v>8</v>
      </c>
      <c r="D1386" s="208" t="inlineStr">
        <is>
          <t>T2 Secondary</t>
        </is>
      </c>
      <c r="E1386" s="208" t="inlineStr">
        <is>
          <t>Quality Assurance &amp; Control</t>
        </is>
      </c>
      <c r="F1386" s="208" t="n">
        <v>25.3333</v>
      </c>
      <c r="G1386" s="208" t="n">
        <v>427</v>
      </c>
      <c r="H1386" s="208" t="inlineStr">
        <is>
          <t>No separate deliverable explicitly named</t>
        </is>
      </c>
    </row>
    <row r="1387">
      <c r="A1387" s="199" t="inlineStr">
        <is>
          <t>RTM-681</t>
        </is>
      </c>
      <c r="B1387" s="221" t="inlineStr">
        <is>
          <t>L0 Tender / Offer</t>
        </is>
      </c>
      <c r="C1387" s="199" t="n">
        <v>1</v>
      </c>
      <c r="D1387" s="199" t="inlineStr">
        <is>
          <t>T2 Secondary</t>
        </is>
      </c>
      <c r="E1387" s="199" t="inlineStr">
        <is>
          <t>Quality Assurance &amp; Control</t>
        </is>
      </c>
      <c r="F1387" s="199" t="n">
        <v>25.3333</v>
      </c>
      <c r="G1387" s="199" t="n">
        <v>428</v>
      </c>
      <c r="H1387" s="199" t="inlineStr">
        <is>
          <t>No separate deliverable explicitly named</t>
        </is>
      </c>
    </row>
    <row r="1388">
      <c r="A1388" s="208" t="inlineStr">
        <is>
          <t>RTM-681</t>
        </is>
      </c>
      <c r="B1388" s="222" t="inlineStr">
        <is>
          <t>L1 Conceptual Design</t>
        </is>
      </c>
      <c r="C1388" s="208" t="n">
        <v>2</v>
      </c>
      <c r="D1388" s="208" t="inlineStr">
        <is>
          <t>T2 Secondary</t>
        </is>
      </c>
      <c r="E1388" s="208" t="inlineStr">
        <is>
          <t>Quality Assurance &amp; Control</t>
        </is>
      </c>
      <c r="F1388" s="208" t="n">
        <v>25.3333</v>
      </c>
      <c r="G1388" s="208" t="n">
        <v>428</v>
      </c>
      <c r="H1388" s="208" t="inlineStr">
        <is>
          <t>No separate deliverable explicitly named</t>
        </is>
      </c>
    </row>
    <row r="1389">
      <c r="A1389" s="199" t="inlineStr">
        <is>
          <t>RTM-681</t>
        </is>
      </c>
      <c r="B1389" s="223" t="inlineStr">
        <is>
          <t>L2 Detailed Design</t>
        </is>
      </c>
      <c r="C1389" s="199" t="n">
        <v>3</v>
      </c>
      <c r="D1389" s="199" t="inlineStr">
        <is>
          <t>T2 Secondary</t>
        </is>
      </c>
      <c r="E1389" s="199" t="inlineStr">
        <is>
          <t>Quality Assurance &amp; Control</t>
        </is>
      </c>
      <c r="F1389" s="199" t="n">
        <v>25.3333</v>
      </c>
      <c r="G1389" s="199" t="n">
        <v>428</v>
      </c>
      <c r="H1389" s="199" t="inlineStr">
        <is>
          <t>No separate deliverable explicitly named</t>
        </is>
      </c>
    </row>
    <row r="1390">
      <c r="A1390" s="208" t="inlineStr">
        <is>
          <t>RTM-681</t>
        </is>
      </c>
      <c r="B1390" s="224" t="inlineStr">
        <is>
          <t>L3 Procurement &amp; Manufacturing / FAT</t>
        </is>
      </c>
      <c r="C1390" s="208" t="n">
        <v>4</v>
      </c>
      <c r="D1390" s="208" t="inlineStr">
        <is>
          <t>T2 Secondary</t>
        </is>
      </c>
      <c r="E1390" s="208" t="inlineStr">
        <is>
          <t>Quality Assurance &amp; Control</t>
        </is>
      </c>
      <c r="F1390" s="208" t="n">
        <v>25.3333</v>
      </c>
      <c r="G1390" s="208" t="n">
        <v>428</v>
      </c>
      <c r="H1390" s="208" t="inlineStr">
        <is>
          <t>No separate deliverable explicitly named</t>
        </is>
      </c>
    </row>
    <row r="1391">
      <c r="A1391" s="199" t="inlineStr">
        <is>
          <t>RTM-681</t>
        </is>
      </c>
      <c r="B1391" s="220" t="inlineStr">
        <is>
          <t>L4 Installation</t>
        </is>
      </c>
      <c r="C1391" s="199" t="n">
        <v>6</v>
      </c>
      <c r="D1391" s="199" t="inlineStr">
        <is>
          <t>T2 Secondary</t>
        </is>
      </c>
      <c r="E1391" s="199" t="inlineStr">
        <is>
          <t>Quality Assurance &amp; Control</t>
        </is>
      </c>
      <c r="F1391" s="199" t="n">
        <v>25.3333</v>
      </c>
      <c r="G1391" s="199" t="n">
        <v>428</v>
      </c>
      <c r="H1391" s="199" t="inlineStr">
        <is>
          <t>No separate deliverable explicitly named</t>
        </is>
      </c>
    </row>
    <row r="1392">
      <c r="A1392" s="208" t="inlineStr">
        <is>
          <t>RTM-681</t>
        </is>
      </c>
      <c r="B1392" s="225" t="inlineStr">
        <is>
          <t>L5 Standalone Commissioning</t>
        </is>
      </c>
      <c r="C1392" s="208" t="n">
        <v>7</v>
      </c>
      <c r="D1392" s="208" t="inlineStr">
        <is>
          <t>T2 Secondary</t>
        </is>
      </c>
      <c r="E1392" s="208" t="inlineStr">
        <is>
          <t>Quality Assurance &amp; Control</t>
        </is>
      </c>
      <c r="F1392" s="208" t="n">
        <v>25.3333</v>
      </c>
      <c r="G1392" s="208" t="n">
        <v>428</v>
      </c>
      <c r="H1392" s="208" t="inlineStr">
        <is>
          <t>No separate deliverable explicitly named</t>
        </is>
      </c>
    </row>
    <row r="1393">
      <c r="A1393" s="199" t="inlineStr">
        <is>
          <t>RTM-681</t>
        </is>
      </c>
      <c r="B1393" s="226" t="inlineStr">
        <is>
          <t>L6 Site Acceptance Testing</t>
        </is>
      </c>
      <c r="C1393" s="199" t="n">
        <v>8</v>
      </c>
      <c r="D1393" s="199" t="inlineStr">
        <is>
          <t>T2 Secondary</t>
        </is>
      </c>
      <c r="E1393" s="199" t="inlineStr">
        <is>
          <t>Quality Assurance &amp; Control</t>
        </is>
      </c>
      <c r="F1393" s="199" t="n">
        <v>25.3333</v>
      </c>
      <c r="G1393" s="199" t="n">
        <v>428</v>
      </c>
      <c r="H1393" s="199" t="inlineStr">
        <is>
          <t>No separate deliverable explicitly named</t>
        </is>
      </c>
    </row>
    <row r="1394">
      <c r="A1394" s="208" t="inlineStr">
        <is>
          <t>RTM-682</t>
        </is>
      </c>
      <c r="B1394" s="221" t="inlineStr">
        <is>
          <t>L0 Tender / Offer</t>
        </is>
      </c>
      <c r="C1394" s="208" t="n">
        <v>1</v>
      </c>
      <c r="D1394" s="208" t="inlineStr">
        <is>
          <t>T2 Secondary</t>
        </is>
      </c>
      <c r="E1394" s="208" t="inlineStr">
        <is>
          <t>Quality Assurance &amp; Control</t>
        </is>
      </c>
      <c r="F1394" s="208" t="n">
        <v>25.3333</v>
      </c>
      <c r="G1394" s="208" t="n">
        <v>429</v>
      </c>
      <c r="H1394" s="208" t="inlineStr">
        <is>
          <t>No separate deliverable explicitly named</t>
        </is>
      </c>
    </row>
    <row r="1395">
      <c r="A1395" s="199" t="inlineStr">
        <is>
          <t>RTM-682</t>
        </is>
      </c>
      <c r="B1395" s="222" t="inlineStr">
        <is>
          <t>L1 Conceptual Design</t>
        </is>
      </c>
      <c r="C1395" s="199" t="n">
        <v>2</v>
      </c>
      <c r="D1395" s="199" t="inlineStr">
        <is>
          <t>T2 Secondary</t>
        </is>
      </c>
      <c r="E1395" s="199" t="inlineStr">
        <is>
          <t>Quality Assurance &amp; Control</t>
        </is>
      </c>
      <c r="F1395" s="199" t="n">
        <v>25.3333</v>
      </c>
      <c r="G1395" s="199" t="n">
        <v>429</v>
      </c>
      <c r="H1395" s="199" t="inlineStr">
        <is>
          <t>No separate deliverable explicitly named</t>
        </is>
      </c>
    </row>
    <row r="1396">
      <c r="A1396" s="208" t="inlineStr">
        <is>
          <t>RTM-682</t>
        </is>
      </c>
      <c r="B1396" s="223" t="inlineStr">
        <is>
          <t>L2 Detailed Design</t>
        </is>
      </c>
      <c r="C1396" s="208" t="n">
        <v>3</v>
      </c>
      <c r="D1396" s="208" t="inlineStr">
        <is>
          <t>T2 Secondary</t>
        </is>
      </c>
      <c r="E1396" s="208" t="inlineStr">
        <is>
          <t>Quality Assurance &amp; Control</t>
        </is>
      </c>
      <c r="F1396" s="208" t="n">
        <v>25.3333</v>
      </c>
      <c r="G1396" s="208" t="n">
        <v>429</v>
      </c>
      <c r="H1396" s="208" t="inlineStr">
        <is>
          <t>No separate deliverable explicitly named</t>
        </is>
      </c>
    </row>
    <row r="1397">
      <c r="A1397" s="199" t="inlineStr">
        <is>
          <t>RTM-682</t>
        </is>
      </c>
      <c r="B1397" s="224" t="inlineStr">
        <is>
          <t>L3 Procurement &amp; Manufacturing / FAT</t>
        </is>
      </c>
      <c r="C1397" s="199" t="n">
        <v>4</v>
      </c>
      <c r="D1397" s="199" t="inlineStr">
        <is>
          <t>T2 Secondary</t>
        </is>
      </c>
      <c r="E1397" s="199" t="inlineStr">
        <is>
          <t>Quality Assurance &amp; Control</t>
        </is>
      </c>
      <c r="F1397" s="199" t="n">
        <v>25.3333</v>
      </c>
      <c r="G1397" s="199" t="n">
        <v>429</v>
      </c>
      <c r="H1397" s="199" t="inlineStr">
        <is>
          <t>No separate deliverable explicitly named</t>
        </is>
      </c>
    </row>
    <row r="1398">
      <c r="A1398" s="208" t="inlineStr">
        <is>
          <t>RTM-682</t>
        </is>
      </c>
      <c r="B1398" s="220" t="inlineStr">
        <is>
          <t>L4 Installation</t>
        </is>
      </c>
      <c r="C1398" s="208" t="n">
        <v>6</v>
      </c>
      <c r="D1398" s="208" t="inlineStr">
        <is>
          <t>T2 Secondary</t>
        </is>
      </c>
      <c r="E1398" s="208" t="inlineStr">
        <is>
          <t>Quality Assurance &amp; Control</t>
        </is>
      </c>
      <c r="F1398" s="208" t="n">
        <v>25.3333</v>
      </c>
      <c r="G1398" s="208" t="n">
        <v>429</v>
      </c>
      <c r="H1398" s="208" t="inlineStr">
        <is>
          <t>No separate deliverable explicitly named</t>
        </is>
      </c>
    </row>
    <row r="1399">
      <c r="A1399" s="199" t="inlineStr">
        <is>
          <t>RTM-682</t>
        </is>
      </c>
      <c r="B1399" s="225" t="inlineStr">
        <is>
          <t>L5 Standalone Commissioning</t>
        </is>
      </c>
      <c r="C1399" s="199" t="n">
        <v>7</v>
      </c>
      <c r="D1399" s="199" t="inlineStr">
        <is>
          <t>T2 Secondary</t>
        </is>
      </c>
      <c r="E1399" s="199" t="inlineStr">
        <is>
          <t>Quality Assurance &amp; Control</t>
        </is>
      </c>
      <c r="F1399" s="199" t="n">
        <v>25.3333</v>
      </c>
      <c r="G1399" s="199" t="n">
        <v>429</v>
      </c>
      <c r="H1399" s="199" t="inlineStr">
        <is>
          <t>No separate deliverable explicitly named</t>
        </is>
      </c>
    </row>
    <row r="1400">
      <c r="A1400" s="208" t="inlineStr">
        <is>
          <t>RTM-682</t>
        </is>
      </c>
      <c r="B1400" s="226" t="inlineStr">
        <is>
          <t>L6 Site Acceptance Testing</t>
        </is>
      </c>
      <c r="C1400" s="208" t="n">
        <v>8</v>
      </c>
      <c r="D1400" s="208" t="inlineStr">
        <is>
          <t>T2 Secondary</t>
        </is>
      </c>
      <c r="E1400" s="208" t="inlineStr">
        <is>
          <t>Quality Assurance &amp; Control</t>
        </is>
      </c>
      <c r="F1400" s="208" t="n">
        <v>25.3333</v>
      </c>
      <c r="G1400" s="208" t="n">
        <v>429</v>
      </c>
      <c r="H1400" s="208" t="inlineStr">
        <is>
          <t>No separate deliverable explicitly named</t>
        </is>
      </c>
    </row>
    <row r="1401">
      <c r="A1401" s="199" t="inlineStr">
        <is>
          <t>RTM-683</t>
        </is>
      </c>
      <c r="B1401" s="221" t="inlineStr">
        <is>
          <t>L0 Tender / Offer</t>
        </is>
      </c>
      <c r="C1401" s="199" t="n">
        <v>1</v>
      </c>
      <c r="D1401" s="199" t="inlineStr">
        <is>
          <t>T2 Secondary</t>
        </is>
      </c>
      <c r="E1401" s="199" t="inlineStr">
        <is>
          <t>Quality Assurance &amp; Control</t>
        </is>
      </c>
      <c r="F1401" s="199" t="n">
        <v>25.3333</v>
      </c>
      <c r="G1401" s="199" t="n">
        <v>430</v>
      </c>
      <c r="H1401" s="199" t="inlineStr">
        <is>
          <t>No separate deliverable explicitly named</t>
        </is>
      </c>
    </row>
    <row r="1402">
      <c r="A1402" s="208" t="inlineStr">
        <is>
          <t>RTM-683</t>
        </is>
      </c>
      <c r="B1402" s="222" t="inlineStr">
        <is>
          <t>L1 Conceptual Design</t>
        </is>
      </c>
      <c r="C1402" s="208" t="n">
        <v>2</v>
      </c>
      <c r="D1402" s="208" t="inlineStr">
        <is>
          <t>T2 Secondary</t>
        </is>
      </c>
      <c r="E1402" s="208" t="inlineStr">
        <is>
          <t>Quality Assurance &amp; Control</t>
        </is>
      </c>
      <c r="F1402" s="208" t="n">
        <v>25.3333</v>
      </c>
      <c r="G1402" s="208" t="n">
        <v>430</v>
      </c>
      <c r="H1402" s="208" t="inlineStr">
        <is>
          <t>No separate deliverable explicitly named</t>
        </is>
      </c>
    </row>
    <row r="1403">
      <c r="A1403" s="199" t="inlineStr">
        <is>
          <t>RTM-683</t>
        </is>
      </c>
      <c r="B1403" s="223" t="inlineStr">
        <is>
          <t>L2 Detailed Design</t>
        </is>
      </c>
      <c r="C1403" s="199" t="n">
        <v>3</v>
      </c>
      <c r="D1403" s="199" t="inlineStr">
        <is>
          <t>T2 Secondary</t>
        </is>
      </c>
      <c r="E1403" s="199" t="inlineStr">
        <is>
          <t>Quality Assurance &amp; Control</t>
        </is>
      </c>
      <c r="F1403" s="199" t="n">
        <v>25.3333</v>
      </c>
      <c r="G1403" s="199" t="n">
        <v>430</v>
      </c>
      <c r="H1403" s="199" t="inlineStr">
        <is>
          <t>No separate deliverable explicitly named</t>
        </is>
      </c>
    </row>
    <row r="1404">
      <c r="A1404" s="208" t="inlineStr">
        <is>
          <t>RTM-683</t>
        </is>
      </c>
      <c r="B1404" s="224" t="inlineStr">
        <is>
          <t>L3 Procurement &amp; Manufacturing / FAT</t>
        </is>
      </c>
      <c r="C1404" s="208" t="n">
        <v>4</v>
      </c>
      <c r="D1404" s="208" t="inlineStr">
        <is>
          <t>T2 Secondary</t>
        </is>
      </c>
      <c r="E1404" s="208" t="inlineStr">
        <is>
          <t>Quality Assurance &amp; Control</t>
        </is>
      </c>
      <c r="F1404" s="208" t="n">
        <v>25.3333</v>
      </c>
      <c r="G1404" s="208" t="n">
        <v>430</v>
      </c>
      <c r="H1404" s="208" t="inlineStr">
        <is>
          <t>No separate deliverable explicitly named</t>
        </is>
      </c>
    </row>
    <row r="1405">
      <c r="A1405" s="199" t="inlineStr">
        <is>
          <t>RTM-683</t>
        </is>
      </c>
      <c r="B1405" s="220" t="inlineStr">
        <is>
          <t>L4 Installation</t>
        </is>
      </c>
      <c r="C1405" s="199" t="n">
        <v>6</v>
      </c>
      <c r="D1405" s="199" t="inlineStr">
        <is>
          <t>T2 Secondary</t>
        </is>
      </c>
      <c r="E1405" s="199" t="inlineStr">
        <is>
          <t>Quality Assurance &amp; Control</t>
        </is>
      </c>
      <c r="F1405" s="199" t="n">
        <v>25.3333</v>
      </c>
      <c r="G1405" s="199" t="n">
        <v>430</v>
      </c>
      <c r="H1405" s="199" t="inlineStr">
        <is>
          <t>No separate deliverable explicitly named</t>
        </is>
      </c>
    </row>
    <row r="1406">
      <c r="A1406" s="208" t="inlineStr">
        <is>
          <t>RTM-683</t>
        </is>
      </c>
      <c r="B1406" s="225" t="inlineStr">
        <is>
          <t>L5 Standalone Commissioning</t>
        </is>
      </c>
      <c r="C1406" s="208" t="n">
        <v>7</v>
      </c>
      <c r="D1406" s="208" t="inlineStr">
        <is>
          <t>T2 Secondary</t>
        </is>
      </c>
      <c r="E1406" s="208" t="inlineStr">
        <is>
          <t>Quality Assurance &amp; Control</t>
        </is>
      </c>
      <c r="F1406" s="208" t="n">
        <v>25.3333</v>
      </c>
      <c r="G1406" s="208" t="n">
        <v>430</v>
      </c>
      <c r="H1406" s="208" t="inlineStr">
        <is>
          <t>No separate deliverable explicitly named</t>
        </is>
      </c>
    </row>
    <row r="1407">
      <c r="A1407" s="199" t="inlineStr">
        <is>
          <t>RTM-683</t>
        </is>
      </c>
      <c r="B1407" s="226" t="inlineStr">
        <is>
          <t>L6 Site Acceptance Testing</t>
        </is>
      </c>
      <c r="C1407" s="199" t="n">
        <v>8</v>
      </c>
      <c r="D1407" s="199" t="inlineStr">
        <is>
          <t>T2 Secondary</t>
        </is>
      </c>
      <c r="E1407" s="199" t="inlineStr">
        <is>
          <t>Quality Assurance &amp; Control</t>
        </is>
      </c>
      <c r="F1407" s="199" t="n">
        <v>25.3333</v>
      </c>
      <c r="G1407" s="199" t="n">
        <v>430</v>
      </c>
      <c r="H1407" s="199" t="inlineStr">
        <is>
          <t>No separate deliverable explicitly named</t>
        </is>
      </c>
    </row>
    <row r="1408">
      <c r="A1408" s="208" t="inlineStr">
        <is>
          <t>RTM-684</t>
        </is>
      </c>
      <c r="B1408" s="221" t="inlineStr">
        <is>
          <t>L0 Tender / Offer</t>
        </is>
      </c>
      <c r="C1408" s="208" t="n">
        <v>1</v>
      </c>
      <c r="D1408" s="208" t="inlineStr">
        <is>
          <t>T2 Secondary</t>
        </is>
      </c>
      <c r="E1408" s="208" t="inlineStr">
        <is>
          <t>Quality Assurance &amp; Control</t>
        </is>
      </c>
      <c r="F1408" s="208" t="n">
        <v>25.3333</v>
      </c>
      <c r="G1408" s="208" t="n">
        <v>431</v>
      </c>
      <c r="H1408" s="208" t="inlineStr">
        <is>
          <t>Quality Assurance Plan (QAP)</t>
        </is>
      </c>
    </row>
    <row r="1409">
      <c r="A1409" s="199" t="inlineStr">
        <is>
          <t>RTM-684</t>
        </is>
      </c>
      <c r="B1409" s="222" t="inlineStr">
        <is>
          <t>L1 Conceptual Design</t>
        </is>
      </c>
      <c r="C1409" s="199" t="n">
        <v>2</v>
      </c>
      <c r="D1409" s="199" t="inlineStr">
        <is>
          <t>T2 Secondary</t>
        </is>
      </c>
      <c r="E1409" s="199" t="inlineStr">
        <is>
          <t>Quality Assurance &amp; Control</t>
        </is>
      </c>
      <c r="F1409" s="199" t="n">
        <v>25.3333</v>
      </c>
      <c r="G1409" s="199" t="n">
        <v>431</v>
      </c>
      <c r="H1409" s="199" t="inlineStr">
        <is>
          <t>Quality Assurance Plan (QAP)</t>
        </is>
      </c>
    </row>
    <row r="1410">
      <c r="A1410" s="208" t="inlineStr">
        <is>
          <t>RTM-684</t>
        </is>
      </c>
      <c r="B1410" s="223" t="inlineStr">
        <is>
          <t>L2 Detailed Design</t>
        </is>
      </c>
      <c r="C1410" s="208" t="n">
        <v>3</v>
      </c>
      <c r="D1410" s="208" t="inlineStr">
        <is>
          <t>T2 Secondary</t>
        </is>
      </c>
      <c r="E1410" s="208" t="inlineStr">
        <is>
          <t>Quality Assurance &amp; Control</t>
        </is>
      </c>
      <c r="F1410" s="208" t="n">
        <v>25.3333</v>
      </c>
      <c r="G1410" s="208" t="n">
        <v>431</v>
      </c>
      <c r="H1410" s="208" t="inlineStr">
        <is>
          <t>Quality Assurance Plan (QAP)</t>
        </is>
      </c>
    </row>
    <row r="1411">
      <c r="A1411" s="199" t="inlineStr">
        <is>
          <t>RTM-684</t>
        </is>
      </c>
      <c r="B1411" s="224" t="inlineStr">
        <is>
          <t>L3 Procurement &amp; Manufacturing / FAT</t>
        </is>
      </c>
      <c r="C1411" s="199" t="n">
        <v>4</v>
      </c>
      <c r="D1411" s="199" t="inlineStr">
        <is>
          <t>T2 Secondary</t>
        </is>
      </c>
      <c r="E1411" s="199" t="inlineStr">
        <is>
          <t>Quality Assurance &amp; Control</t>
        </is>
      </c>
      <c r="F1411" s="199" t="n">
        <v>25.3333</v>
      </c>
      <c r="G1411" s="199" t="n">
        <v>431</v>
      </c>
      <c r="H1411" s="199" t="inlineStr">
        <is>
          <t>Quality Assurance Plan (QAP)</t>
        </is>
      </c>
    </row>
    <row r="1412">
      <c r="A1412" s="208" t="inlineStr">
        <is>
          <t>RTM-684</t>
        </is>
      </c>
      <c r="B1412" s="220" t="inlineStr">
        <is>
          <t>L4 Installation</t>
        </is>
      </c>
      <c r="C1412" s="208" t="n">
        <v>6</v>
      </c>
      <c r="D1412" s="208" t="inlineStr">
        <is>
          <t>T2 Secondary</t>
        </is>
      </c>
      <c r="E1412" s="208" t="inlineStr">
        <is>
          <t>Quality Assurance &amp; Control</t>
        </is>
      </c>
      <c r="F1412" s="208" t="n">
        <v>25.3333</v>
      </c>
      <c r="G1412" s="208" t="n">
        <v>431</v>
      </c>
      <c r="H1412" s="208" t="inlineStr">
        <is>
          <t>Quality Assurance Plan (QAP)</t>
        </is>
      </c>
    </row>
    <row r="1413">
      <c r="A1413" s="199" t="inlineStr">
        <is>
          <t>RTM-684</t>
        </is>
      </c>
      <c r="B1413" s="225" t="inlineStr">
        <is>
          <t>L5 Standalone Commissioning</t>
        </is>
      </c>
      <c r="C1413" s="199" t="n">
        <v>7</v>
      </c>
      <c r="D1413" s="199" t="inlineStr">
        <is>
          <t>T2 Secondary</t>
        </is>
      </c>
      <c r="E1413" s="199" t="inlineStr">
        <is>
          <t>Quality Assurance &amp; Control</t>
        </is>
      </c>
      <c r="F1413" s="199" t="n">
        <v>25.3333</v>
      </c>
      <c r="G1413" s="199" t="n">
        <v>431</v>
      </c>
      <c r="H1413" s="199" t="inlineStr">
        <is>
          <t>Quality Assurance Plan (QAP)</t>
        </is>
      </c>
    </row>
    <row r="1414">
      <c r="A1414" s="208" t="inlineStr">
        <is>
          <t>RTM-684</t>
        </is>
      </c>
      <c r="B1414" s="226" t="inlineStr">
        <is>
          <t>L6 Site Acceptance Testing</t>
        </is>
      </c>
      <c r="C1414" s="208" t="n">
        <v>8</v>
      </c>
      <c r="D1414" s="208" t="inlineStr">
        <is>
          <t>T2 Secondary</t>
        </is>
      </c>
      <c r="E1414" s="208" t="inlineStr">
        <is>
          <t>Quality Assurance &amp; Control</t>
        </is>
      </c>
      <c r="F1414" s="208" t="n">
        <v>25.3333</v>
      </c>
      <c r="G1414" s="208" t="n">
        <v>431</v>
      </c>
      <c r="H1414" s="208" t="inlineStr">
        <is>
          <t>Quality Assurance Plan (QAP)</t>
        </is>
      </c>
    </row>
    <row r="1415">
      <c r="A1415" s="199" t="inlineStr">
        <is>
          <t>RTM-442</t>
        </is>
      </c>
      <c r="B1415" s="222" t="inlineStr">
        <is>
          <t>L1 Conceptual Design</t>
        </is>
      </c>
      <c r="C1415" s="199" t="n">
        <v>2</v>
      </c>
      <c r="D1415" s="199" t="inlineStr">
        <is>
          <t>T2 Secondary</t>
        </is>
      </c>
      <c r="E1415" s="199" t="inlineStr">
        <is>
          <t>Design &amp; Fabrication</t>
        </is>
      </c>
      <c r="F1415" s="199" t="n">
        <v>25</v>
      </c>
      <c r="G1415" s="199" t="n">
        <v>432</v>
      </c>
      <c r="H1415" s="199" t="inlineStr">
        <is>
          <t>3D / CAD Model</t>
        </is>
      </c>
    </row>
    <row r="1416">
      <c r="A1416" s="208" t="inlineStr">
        <is>
          <t>RTM-442</t>
        </is>
      </c>
      <c r="B1416" s="223" t="inlineStr">
        <is>
          <t>L2 Detailed Design</t>
        </is>
      </c>
      <c r="C1416" s="208" t="n">
        <v>3</v>
      </c>
      <c r="D1416" s="208" t="inlineStr">
        <is>
          <t>T2 Secondary</t>
        </is>
      </c>
      <c r="E1416" s="208" t="inlineStr">
        <is>
          <t>Design &amp; Fabrication</t>
        </is>
      </c>
      <c r="F1416" s="208" t="n">
        <v>25</v>
      </c>
      <c r="G1416" s="208" t="n">
        <v>432</v>
      </c>
      <c r="H1416" s="208" t="inlineStr">
        <is>
          <t>3D / CAD Model</t>
        </is>
      </c>
    </row>
    <row r="1417">
      <c r="A1417" s="199" t="inlineStr">
        <is>
          <t>RTM-442</t>
        </is>
      </c>
      <c r="B1417" s="226" t="inlineStr">
        <is>
          <t>L6 Site Acceptance Testing</t>
        </is>
      </c>
      <c r="C1417" s="199" t="n">
        <v>8</v>
      </c>
      <c r="D1417" s="199" t="inlineStr">
        <is>
          <t>T2 Secondary</t>
        </is>
      </c>
      <c r="E1417" s="199" t="inlineStr">
        <is>
          <t>Design &amp; Fabrication</t>
        </is>
      </c>
      <c r="F1417" s="199" t="n">
        <v>25</v>
      </c>
      <c r="G1417" s="199" t="n">
        <v>432</v>
      </c>
      <c r="H1417" s="199" t="inlineStr">
        <is>
          <t>3D / CAD Model</t>
        </is>
      </c>
    </row>
    <row r="1418">
      <c r="A1418" s="208" t="inlineStr">
        <is>
          <t>RTM-638</t>
        </is>
      </c>
      <c r="B1418" s="226" t="inlineStr">
        <is>
          <t>L6 Site Acceptance Testing</t>
        </is>
      </c>
      <c r="C1418" s="208" t="n">
        <v>8</v>
      </c>
      <c r="D1418" s="208" t="inlineStr">
        <is>
          <t>T2 Secondary</t>
        </is>
      </c>
      <c r="E1418" s="208" t="inlineStr">
        <is>
          <t>Contract Performance</t>
        </is>
      </c>
      <c r="F1418" s="208" t="n">
        <v>25</v>
      </c>
      <c r="G1418" s="208" t="n">
        <v>433</v>
      </c>
      <c r="H1418" s="208" t="inlineStr">
        <is>
          <t>Schedule / milestone plan</t>
        </is>
      </c>
    </row>
    <row r="1419">
      <c r="A1419" s="199" t="inlineStr">
        <is>
          <t>RTM-638</t>
        </is>
      </c>
      <c r="B1419" s="221" t="inlineStr">
        <is>
          <t>L0 Tender / Offer</t>
        </is>
      </c>
      <c r="C1419" s="199" t="n">
        <v>1</v>
      </c>
      <c r="D1419" s="199" t="inlineStr">
        <is>
          <t>T2 Secondary</t>
        </is>
      </c>
      <c r="E1419" s="199" t="inlineStr">
        <is>
          <t>Contract Performance</t>
        </is>
      </c>
      <c r="F1419" s="199" t="n">
        <v>25</v>
      </c>
      <c r="G1419" s="199" t="n">
        <v>433</v>
      </c>
      <c r="H1419" s="199" t="inlineStr">
        <is>
          <t>Schedule / milestone plan</t>
        </is>
      </c>
    </row>
    <row r="1420">
      <c r="A1420" s="208" t="inlineStr">
        <is>
          <t>RTM-638</t>
        </is>
      </c>
      <c r="B1420" s="222" t="inlineStr">
        <is>
          <t>L1 Conceptual Design</t>
        </is>
      </c>
      <c r="C1420" s="208" t="n">
        <v>2</v>
      </c>
      <c r="D1420" s="208" t="inlineStr">
        <is>
          <t>T2 Secondary</t>
        </is>
      </c>
      <c r="E1420" s="208" t="inlineStr">
        <is>
          <t>Contract Performance</t>
        </is>
      </c>
      <c r="F1420" s="208" t="n">
        <v>25</v>
      </c>
      <c r="G1420" s="208" t="n">
        <v>433</v>
      </c>
      <c r="H1420" s="208" t="inlineStr">
        <is>
          <t>Schedule / milestone plan</t>
        </is>
      </c>
    </row>
    <row r="1421">
      <c r="A1421" s="199" t="inlineStr">
        <is>
          <t>RTM-638</t>
        </is>
      </c>
      <c r="B1421" s="223" t="inlineStr">
        <is>
          <t>L2 Detailed Design</t>
        </is>
      </c>
      <c r="C1421" s="199" t="n">
        <v>3</v>
      </c>
      <c r="D1421" s="199" t="inlineStr">
        <is>
          <t>T2 Secondary</t>
        </is>
      </c>
      <c r="E1421" s="199" t="inlineStr">
        <is>
          <t>Contract Performance</t>
        </is>
      </c>
      <c r="F1421" s="199" t="n">
        <v>25</v>
      </c>
      <c r="G1421" s="199" t="n">
        <v>433</v>
      </c>
      <c r="H1421" s="199" t="inlineStr">
        <is>
          <t>Schedule / milestone plan</t>
        </is>
      </c>
    </row>
    <row r="1422">
      <c r="A1422" s="208" t="inlineStr">
        <is>
          <t>RTM-638</t>
        </is>
      </c>
      <c r="B1422" s="224" t="inlineStr">
        <is>
          <t>L3 Procurement &amp; Manufacturing / FAT</t>
        </is>
      </c>
      <c r="C1422" s="208" t="n">
        <v>4</v>
      </c>
      <c r="D1422" s="208" t="inlineStr">
        <is>
          <t>T2 Secondary</t>
        </is>
      </c>
      <c r="E1422" s="208" t="inlineStr">
        <is>
          <t>Contract Performance</t>
        </is>
      </c>
      <c r="F1422" s="208" t="n">
        <v>25</v>
      </c>
      <c r="G1422" s="208" t="n">
        <v>433</v>
      </c>
      <c r="H1422" s="208" t="inlineStr">
        <is>
          <t>Schedule / milestone plan</t>
        </is>
      </c>
    </row>
    <row r="1423">
      <c r="A1423" s="199" t="inlineStr">
        <is>
          <t>RTM-638</t>
        </is>
      </c>
      <c r="B1423" s="220" t="inlineStr">
        <is>
          <t>L4 Installation</t>
        </is>
      </c>
      <c r="C1423" s="199" t="n">
        <v>6</v>
      </c>
      <c r="D1423" s="199" t="inlineStr">
        <is>
          <t>T2 Secondary</t>
        </is>
      </c>
      <c r="E1423" s="199" t="inlineStr">
        <is>
          <t>Contract Performance</t>
        </is>
      </c>
      <c r="F1423" s="199" t="n">
        <v>25</v>
      </c>
      <c r="G1423" s="199" t="n">
        <v>433</v>
      </c>
      <c r="H1423" s="199" t="inlineStr">
        <is>
          <t>Schedule / milestone plan</t>
        </is>
      </c>
    </row>
    <row r="1424">
      <c r="A1424" s="208" t="inlineStr">
        <is>
          <t>RTM-638</t>
        </is>
      </c>
      <c r="B1424" s="225" t="inlineStr">
        <is>
          <t>L5 Standalone Commissioning</t>
        </is>
      </c>
      <c r="C1424" s="208" t="n">
        <v>7</v>
      </c>
      <c r="D1424" s="208" t="inlineStr">
        <is>
          <t>T2 Secondary</t>
        </is>
      </c>
      <c r="E1424" s="208" t="inlineStr">
        <is>
          <t>Contract Performance</t>
        </is>
      </c>
      <c r="F1424" s="208" t="n">
        <v>25</v>
      </c>
      <c r="G1424" s="208" t="n">
        <v>433</v>
      </c>
      <c r="H1424" s="208" t="inlineStr">
        <is>
          <t>Schedule / milestone plan</t>
        </is>
      </c>
    </row>
    <row r="1425">
      <c r="A1425" s="199" t="inlineStr">
        <is>
          <t>RTM-008</t>
        </is>
      </c>
      <c r="B1425" s="222" t="inlineStr">
        <is>
          <t>L1 Conceptual Design</t>
        </is>
      </c>
      <c r="C1425" s="199" t="n">
        <v>2</v>
      </c>
      <c r="D1425" s="199" t="inlineStr">
        <is>
          <t>T2 Secondary</t>
        </is>
      </c>
      <c r="E1425" s="199" t="inlineStr">
        <is>
          <t>Process &amp; Functional</t>
        </is>
      </c>
      <c r="F1425" s="199" t="n">
        <v>24</v>
      </c>
      <c r="G1425" s="199" t="n">
        <v>434</v>
      </c>
      <c r="H1425" s="199" t="inlineStr">
        <is>
          <t>No separate deliverable explicitly named</t>
        </is>
      </c>
    </row>
    <row r="1426">
      <c r="A1426" s="208" t="inlineStr">
        <is>
          <t>RTM-008</t>
        </is>
      </c>
      <c r="B1426" s="223" t="inlineStr">
        <is>
          <t>L2 Detailed Design</t>
        </is>
      </c>
      <c r="C1426" s="208" t="n">
        <v>3</v>
      </c>
      <c r="D1426" s="208" t="inlineStr">
        <is>
          <t>T2 Secondary</t>
        </is>
      </c>
      <c r="E1426" s="208" t="inlineStr">
        <is>
          <t>Process &amp; Functional</t>
        </is>
      </c>
      <c r="F1426" s="208" t="n">
        <v>24</v>
      </c>
      <c r="G1426" s="208" t="n">
        <v>434</v>
      </c>
      <c r="H1426" s="208" t="inlineStr">
        <is>
          <t>No separate deliverable explicitly named</t>
        </is>
      </c>
    </row>
    <row r="1427">
      <c r="A1427" s="199" t="inlineStr">
        <is>
          <t>RTM-051</t>
        </is>
      </c>
      <c r="B1427" s="222" t="inlineStr">
        <is>
          <t>L1 Conceptual Design</t>
        </is>
      </c>
      <c r="C1427" s="199" t="n">
        <v>2</v>
      </c>
      <c r="D1427" s="199" t="inlineStr">
        <is>
          <t>T2 Secondary</t>
        </is>
      </c>
      <c r="E1427" s="199" t="inlineStr">
        <is>
          <t>Process &amp; Functional</t>
        </is>
      </c>
      <c r="F1427" s="199" t="n">
        <v>24</v>
      </c>
      <c r="G1427" s="199" t="n">
        <v>435</v>
      </c>
      <c r="H1427" s="199" t="inlineStr">
        <is>
          <t>No separate deliverable explicitly named</t>
        </is>
      </c>
    </row>
    <row r="1428">
      <c r="A1428" s="208" t="inlineStr">
        <is>
          <t>RTM-051</t>
        </is>
      </c>
      <c r="B1428" s="223" t="inlineStr">
        <is>
          <t>L2 Detailed Design</t>
        </is>
      </c>
      <c r="C1428" s="208" t="n">
        <v>3</v>
      </c>
      <c r="D1428" s="208" t="inlineStr">
        <is>
          <t>T2 Secondary</t>
        </is>
      </c>
      <c r="E1428" s="208" t="inlineStr">
        <is>
          <t>Process &amp; Functional</t>
        </is>
      </c>
      <c r="F1428" s="208" t="n">
        <v>24</v>
      </c>
      <c r="G1428" s="208" t="n">
        <v>435</v>
      </c>
      <c r="H1428" s="208" t="inlineStr">
        <is>
          <t>No separate deliverable explicitly named</t>
        </is>
      </c>
    </row>
    <row r="1429">
      <c r="A1429" s="199" t="inlineStr">
        <is>
          <t>RTM-073</t>
        </is>
      </c>
      <c r="B1429" s="222" t="inlineStr">
        <is>
          <t>L1 Conceptual Design</t>
        </is>
      </c>
      <c r="C1429" s="199" t="n">
        <v>2</v>
      </c>
      <c r="D1429" s="199" t="inlineStr">
        <is>
          <t>T2 Secondary</t>
        </is>
      </c>
      <c r="E1429" s="199" t="inlineStr">
        <is>
          <t>Global Design Criteria</t>
        </is>
      </c>
      <c r="F1429" s="199" t="n">
        <v>24</v>
      </c>
      <c r="G1429" s="199" t="n">
        <v>436</v>
      </c>
      <c r="H1429" s="199" t="inlineStr">
        <is>
          <t>No separate deliverable explicitly named</t>
        </is>
      </c>
    </row>
    <row r="1430">
      <c r="A1430" s="208" t="inlineStr">
        <is>
          <t>RTM-073</t>
        </is>
      </c>
      <c r="B1430" s="223" t="inlineStr">
        <is>
          <t>L2 Detailed Design</t>
        </is>
      </c>
      <c r="C1430" s="208" t="n">
        <v>3</v>
      </c>
      <c r="D1430" s="208" t="inlineStr">
        <is>
          <t>T2 Secondary</t>
        </is>
      </c>
      <c r="E1430" s="208" t="inlineStr">
        <is>
          <t>Global Design Criteria</t>
        </is>
      </c>
      <c r="F1430" s="208" t="n">
        <v>24</v>
      </c>
      <c r="G1430" s="208" t="n">
        <v>436</v>
      </c>
      <c r="H1430" s="208" t="inlineStr">
        <is>
          <t>No separate deliverable explicitly named</t>
        </is>
      </c>
    </row>
    <row r="1431">
      <c r="A1431" s="199" t="inlineStr">
        <is>
          <t>RTM-093</t>
        </is>
      </c>
      <c r="B1431" s="222" t="inlineStr">
        <is>
          <t>L1 Conceptual Design</t>
        </is>
      </c>
      <c r="C1431" s="199" t="n">
        <v>2</v>
      </c>
      <c r="D1431" s="199" t="inlineStr">
        <is>
          <t>T2 Secondary</t>
        </is>
      </c>
      <c r="E1431" s="199" t="inlineStr">
        <is>
          <t>Subsystems</t>
        </is>
      </c>
      <c r="F1431" s="199" t="n">
        <v>24</v>
      </c>
      <c r="G1431" s="199" t="n">
        <v>437</v>
      </c>
      <c r="H1431" s="199" t="inlineStr">
        <is>
          <t>No separate deliverable explicitly named</t>
        </is>
      </c>
    </row>
    <row r="1432">
      <c r="A1432" s="208" t="inlineStr">
        <is>
          <t>RTM-093</t>
        </is>
      </c>
      <c r="B1432" s="223" t="inlineStr">
        <is>
          <t>L2 Detailed Design</t>
        </is>
      </c>
      <c r="C1432" s="208" t="n">
        <v>3</v>
      </c>
      <c r="D1432" s="208" t="inlineStr">
        <is>
          <t>T2 Secondary</t>
        </is>
      </c>
      <c r="E1432" s="208" t="inlineStr">
        <is>
          <t>Subsystems</t>
        </is>
      </c>
      <c r="F1432" s="208" t="n">
        <v>24</v>
      </c>
      <c r="G1432" s="208" t="n">
        <v>437</v>
      </c>
      <c r="H1432" s="208" t="inlineStr">
        <is>
          <t>No separate deliverable explicitly named</t>
        </is>
      </c>
    </row>
    <row r="1433">
      <c r="A1433" s="199" t="inlineStr">
        <is>
          <t>RTM-095</t>
        </is>
      </c>
      <c r="B1433" s="222" t="inlineStr">
        <is>
          <t>L1 Conceptual Design</t>
        </is>
      </c>
      <c r="C1433" s="199" t="n">
        <v>2</v>
      </c>
      <c r="D1433" s="199" t="inlineStr">
        <is>
          <t>T2 Secondary</t>
        </is>
      </c>
      <c r="E1433" s="199" t="inlineStr">
        <is>
          <t>Subsystems</t>
        </is>
      </c>
      <c r="F1433" s="199" t="n">
        <v>24</v>
      </c>
      <c r="G1433" s="199" t="n">
        <v>438</v>
      </c>
      <c r="H1433" s="199" t="inlineStr">
        <is>
          <t>No separate deliverable explicitly named</t>
        </is>
      </c>
    </row>
    <row r="1434">
      <c r="A1434" s="208" t="inlineStr">
        <is>
          <t>RTM-095</t>
        </is>
      </c>
      <c r="B1434" s="223" t="inlineStr">
        <is>
          <t>L2 Detailed Design</t>
        </is>
      </c>
      <c r="C1434" s="208" t="n">
        <v>3</v>
      </c>
      <c r="D1434" s="208" t="inlineStr">
        <is>
          <t>T2 Secondary</t>
        </is>
      </c>
      <c r="E1434" s="208" t="inlineStr">
        <is>
          <t>Subsystems</t>
        </is>
      </c>
      <c r="F1434" s="208" t="n">
        <v>24</v>
      </c>
      <c r="G1434" s="208" t="n">
        <v>438</v>
      </c>
      <c r="H1434" s="208" t="inlineStr">
        <is>
          <t>No separate deliverable explicitly named</t>
        </is>
      </c>
    </row>
    <row r="1435">
      <c r="A1435" s="199" t="inlineStr">
        <is>
          <t>RTM-097</t>
        </is>
      </c>
      <c r="B1435" s="222" t="inlineStr">
        <is>
          <t>L1 Conceptual Design</t>
        </is>
      </c>
      <c r="C1435" s="199" t="n">
        <v>2</v>
      </c>
      <c r="D1435" s="199" t="inlineStr">
        <is>
          <t>T2 Secondary</t>
        </is>
      </c>
      <c r="E1435" s="199" t="inlineStr">
        <is>
          <t>Subsystems</t>
        </is>
      </c>
      <c r="F1435" s="199" t="n">
        <v>24</v>
      </c>
      <c r="G1435" s="199" t="n">
        <v>439</v>
      </c>
      <c r="H1435" s="199" t="inlineStr">
        <is>
          <t>No separate deliverable explicitly named</t>
        </is>
      </c>
    </row>
    <row r="1436">
      <c r="A1436" s="208" t="inlineStr">
        <is>
          <t>RTM-097</t>
        </is>
      </c>
      <c r="B1436" s="223" t="inlineStr">
        <is>
          <t>L2 Detailed Design</t>
        </is>
      </c>
      <c r="C1436" s="208" t="n">
        <v>3</v>
      </c>
      <c r="D1436" s="208" t="inlineStr">
        <is>
          <t>T2 Secondary</t>
        </is>
      </c>
      <c r="E1436" s="208" t="inlineStr">
        <is>
          <t>Subsystems</t>
        </is>
      </c>
      <c r="F1436" s="208" t="n">
        <v>24</v>
      </c>
      <c r="G1436" s="208" t="n">
        <v>439</v>
      </c>
      <c r="H1436" s="208" t="inlineStr">
        <is>
          <t>No separate deliverable explicitly named</t>
        </is>
      </c>
    </row>
    <row r="1437">
      <c r="A1437" s="199" t="inlineStr">
        <is>
          <t>RTM-098</t>
        </is>
      </c>
      <c r="B1437" s="222" t="inlineStr">
        <is>
          <t>L1 Conceptual Design</t>
        </is>
      </c>
      <c r="C1437" s="199" t="n">
        <v>2</v>
      </c>
      <c r="D1437" s="199" t="inlineStr">
        <is>
          <t>T2 Secondary</t>
        </is>
      </c>
      <c r="E1437" s="199" t="inlineStr">
        <is>
          <t>Subsystems</t>
        </is>
      </c>
      <c r="F1437" s="199" t="n">
        <v>24</v>
      </c>
      <c r="G1437" s="199" t="n">
        <v>440</v>
      </c>
      <c r="H1437" s="199" t="inlineStr">
        <is>
          <t>No separate deliverable explicitly named</t>
        </is>
      </c>
    </row>
    <row r="1438">
      <c r="A1438" s="208" t="inlineStr">
        <is>
          <t>RTM-098</t>
        </is>
      </c>
      <c r="B1438" s="223" t="inlineStr">
        <is>
          <t>L2 Detailed Design</t>
        </is>
      </c>
      <c r="C1438" s="208" t="n">
        <v>3</v>
      </c>
      <c r="D1438" s="208" t="inlineStr">
        <is>
          <t>T2 Secondary</t>
        </is>
      </c>
      <c r="E1438" s="208" t="inlineStr">
        <is>
          <t>Subsystems</t>
        </is>
      </c>
      <c r="F1438" s="208" t="n">
        <v>24</v>
      </c>
      <c r="G1438" s="208" t="n">
        <v>440</v>
      </c>
      <c r="H1438" s="208" t="inlineStr">
        <is>
          <t>No separate deliverable explicitly named</t>
        </is>
      </c>
    </row>
    <row r="1439">
      <c r="A1439" s="199" t="inlineStr">
        <is>
          <t>RTM-099</t>
        </is>
      </c>
      <c r="B1439" s="222" t="inlineStr">
        <is>
          <t>L1 Conceptual Design</t>
        </is>
      </c>
      <c r="C1439" s="199" t="n">
        <v>2</v>
      </c>
      <c r="D1439" s="199" t="inlineStr">
        <is>
          <t>T2 Secondary</t>
        </is>
      </c>
      <c r="E1439" s="199" t="inlineStr">
        <is>
          <t>Subsystems</t>
        </is>
      </c>
      <c r="F1439" s="199" t="n">
        <v>24</v>
      </c>
      <c r="G1439" s="199" t="n">
        <v>441</v>
      </c>
      <c r="H1439" s="199" t="inlineStr">
        <is>
          <t>No separate deliverable explicitly named</t>
        </is>
      </c>
    </row>
    <row r="1440">
      <c r="A1440" s="208" t="inlineStr">
        <is>
          <t>RTM-099</t>
        </is>
      </c>
      <c r="B1440" s="223" t="inlineStr">
        <is>
          <t>L2 Detailed Design</t>
        </is>
      </c>
      <c r="C1440" s="208" t="n">
        <v>3</v>
      </c>
      <c r="D1440" s="208" t="inlineStr">
        <is>
          <t>T2 Secondary</t>
        </is>
      </c>
      <c r="E1440" s="208" t="inlineStr">
        <is>
          <t>Subsystems</t>
        </is>
      </c>
      <c r="F1440" s="208" t="n">
        <v>24</v>
      </c>
      <c r="G1440" s="208" t="n">
        <v>441</v>
      </c>
      <c r="H1440" s="208" t="inlineStr">
        <is>
          <t>No separate deliverable explicitly named</t>
        </is>
      </c>
    </row>
    <row r="1441">
      <c r="A1441" s="199" t="inlineStr">
        <is>
          <t>RTM-103</t>
        </is>
      </c>
      <c r="B1441" s="220" t="inlineStr">
        <is>
          <t>L4 Installation</t>
        </is>
      </c>
      <c r="C1441" s="199" t="n">
        <v>6</v>
      </c>
      <c r="D1441" s="199" t="inlineStr">
        <is>
          <t>T2 Secondary</t>
        </is>
      </c>
      <c r="E1441" s="199" t="inlineStr">
        <is>
          <t>Subsystems</t>
        </is>
      </c>
      <c r="F1441" s="199" t="n">
        <v>24</v>
      </c>
      <c r="G1441" s="199" t="n">
        <v>442</v>
      </c>
      <c r="H1441" s="199" t="inlineStr">
        <is>
          <t>No separate deliverable explicitly named</t>
        </is>
      </c>
    </row>
    <row r="1442">
      <c r="A1442" s="208" t="inlineStr">
        <is>
          <t>RTM-103</t>
        </is>
      </c>
      <c r="B1442" s="222" t="inlineStr">
        <is>
          <t>L1 Conceptual Design</t>
        </is>
      </c>
      <c r="C1442" s="208" t="n">
        <v>2</v>
      </c>
      <c r="D1442" s="208" t="inlineStr">
        <is>
          <t>T2 Secondary</t>
        </is>
      </c>
      <c r="E1442" s="208" t="inlineStr">
        <is>
          <t>Subsystems</t>
        </is>
      </c>
      <c r="F1442" s="208" t="n">
        <v>24</v>
      </c>
      <c r="G1442" s="208" t="n">
        <v>442</v>
      </c>
      <c r="H1442" s="208" t="inlineStr">
        <is>
          <t>No separate deliverable explicitly named</t>
        </is>
      </c>
    </row>
    <row r="1443">
      <c r="A1443" s="199" t="inlineStr">
        <is>
          <t>RTM-103</t>
        </is>
      </c>
      <c r="B1443" s="223" t="inlineStr">
        <is>
          <t>L2 Detailed Design</t>
        </is>
      </c>
      <c r="C1443" s="199" t="n">
        <v>3</v>
      </c>
      <c r="D1443" s="199" t="inlineStr">
        <is>
          <t>T2 Secondary</t>
        </is>
      </c>
      <c r="E1443" s="199" t="inlineStr">
        <is>
          <t>Subsystems</t>
        </is>
      </c>
      <c r="F1443" s="199" t="n">
        <v>24</v>
      </c>
      <c r="G1443" s="199" t="n">
        <v>442</v>
      </c>
      <c r="H1443" s="199" t="inlineStr">
        <is>
          <t>No separate deliverable explicitly named</t>
        </is>
      </c>
    </row>
    <row r="1444">
      <c r="A1444" s="208" t="inlineStr">
        <is>
          <t>RTM-117</t>
        </is>
      </c>
      <c r="B1444" s="222" t="inlineStr">
        <is>
          <t>L1 Conceptual Design</t>
        </is>
      </c>
      <c r="C1444" s="208" t="n">
        <v>2</v>
      </c>
      <c r="D1444" s="208" t="inlineStr">
        <is>
          <t>T2 Secondary</t>
        </is>
      </c>
      <c r="E1444" s="208" t="inlineStr">
        <is>
          <t>Subsystems</t>
        </is>
      </c>
      <c r="F1444" s="208" t="n">
        <v>24</v>
      </c>
      <c r="G1444" s="208" t="n">
        <v>443</v>
      </c>
      <c r="H1444" s="208" t="inlineStr">
        <is>
          <t>No separate deliverable explicitly named</t>
        </is>
      </c>
    </row>
    <row r="1445">
      <c r="A1445" s="199" t="inlineStr">
        <is>
          <t>RTM-117</t>
        </is>
      </c>
      <c r="B1445" s="223" t="inlineStr">
        <is>
          <t>L2 Detailed Design</t>
        </is>
      </c>
      <c r="C1445" s="199" t="n">
        <v>3</v>
      </c>
      <c r="D1445" s="199" t="inlineStr">
        <is>
          <t>T2 Secondary</t>
        </is>
      </c>
      <c r="E1445" s="199" t="inlineStr">
        <is>
          <t>Subsystems</t>
        </is>
      </c>
      <c r="F1445" s="199" t="n">
        <v>24</v>
      </c>
      <c r="G1445" s="199" t="n">
        <v>443</v>
      </c>
      <c r="H1445" s="199" t="inlineStr">
        <is>
          <t>No separate deliverable explicitly named</t>
        </is>
      </c>
    </row>
    <row r="1446">
      <c r="A1446" s="208" t="inlineStr">
        <is>
          <t>RTM-121</t>
        </is>
      </c>
      <c r="B1446" s="222" t="inlineStr">
        <is>
          <t>L1 Conceptual Design</t>
        </is>
      </c>
      <c r="C1446" s="208" t="n">
        <v>2</v>
      </c>
      <c r="D1446" s="208" t="inlineStr">
        <is>
          <t>T3 Contextual</t>
        </is>
      </c>
      <c r="E1446" s="208" t="inlineStr">
        <is>
          <t>Subsystems</t>
        </is>
      </c>
      <c r="F1446" s="208" t="n">
        <v>24</v>
      </c>
      <c r="G1446" s="208" t="n">
        <v>444</v>
      </c>
      <c r="H1446" s="208" t="inlineStr">
        <is>
          <t>Engineering File</t>
        </is>
      </c>
    </row>
    <row r="1447">
      <c r="A1447" s="199" t="inlineStr">
        <is>
          <t>RTM-121</t>
        </is>
      </c>
      <c r="B1447" s="223" t="inlineStr">
        <is>
          <t>L2 Detailed Design</t>
        </is>
      </c>
      <c r="C1447" s="199" t="n">
        <v>3</v>
      </c>
      <c r="D1447" s="199" t="inlineStr">
        <is>
          <t>T3 Contextual</t>
        </is>
      </c>
      <c r="E1447" s="199" t="inlineStr">
        <is>
          <t>Subsystems</t>
        </is>
      </c>
      <c r="F1447" s="199" t="n">
        <v>24</v>
      </c>
      <c r="G1447" s="199" t="n">
        <v>444</v>
      </c>
      <c r="H1447" s="199" t="inlineStr">
        <is>
          <t>Engineering File</t>
        </is>
      </c>
    </row>
    <row r="1448">
      <c r="A1448" s="208" t="inlineStr">
        <is>
          <t>RTM-125</t>
        </is>
      </c>
      <c r="B1448" s="222" t="inlineStr">
        <is>
          <t>L1 Conceptual Design</t>
        </is>
      </c>
      <c r="C1448" s="208" t="n">
        <v>2</v>
      </c>
      <c r="D1448" s="208" t="inlineStr">
        <is>
          <t>T3 Contextual</t>
        </is>
      </c>
      <c r="E1448" s="208" t="inlineStr">
        <is>
          <t>Subsystems</t>
        </is>
      </c>
      <c r="F1448" s="208" t="n">
        <v>24</v>
      </c>
      <c r="G1448" s="208" t="n">
        <v>445</v>
      </c>
      <c r="H1448" s="208" t="inlineStr">
        <is>
          <t>No separate deliverable explicitly named</t>
        </is>
      </c>
    </row>
    <row r="1449">
      <c r="A1449" s="199" t="inlineStr">
        <is>
          <t>RTM-125</t>
        </is>
      </c>
      <c r="B1449" s="223" t="inlineStr">
        <is>
          <t>L2 Detailed Design</t>
        </is>
      </c>
      <c r="C1449" s="199" t="n">
        <v>3</v>
      </c>
      <c r="D1449" s="199" t="inlineStr">
        <is>
          <t>T3 Contextual</t>
        </is>
      </c>
      <c r="E1449" s="199" t="inlineStr">
        <is>
          <t>Subsystems</t>
        </is>
      </c>
      <c r="F1449" s="199" t="n">
        <v>24</v>
      </c>
      <c r="G1449" s="199" t="n">
        <v>445</v>
      </c>
      <c r="H1449" s="199" t="inlineStr">
        <is>
          <t>No separate deliverable explicitly named</t>
        </is>
      </c>
    </row>
    <row r="1450">
      <c r="A1450" s="208" t="inlineStr">
        <is>
          <t>RTM-126</t>
        </is>
      </c>
      <c r="B1450" s="222" t="inlineStr">
        <is>
          <t>L1 Conceptual Design</t>
        </is>
      </c>
      <c r="C1450" s="208" t="n">
        <v>2</v>
      </c>
      <c r="D1450" s="208" t="inlineStr">
        <is>
          <t>T3 Contextual</t>
        </is>
      </c>
      <c r="E1450" s="208" t="inlineStr">
        <is>
          <t>Subsystems</t>
        </is>
      </c>
      <c r="F1450" s="208" t="n">
        <v>24</v>
      </c>
      <c r="G1450" s="208" t="n">
        <v>446</v>
      </c>
      <c r="H1450" s="208" t="inlineStr">
        <is>
          <t>No separate deliverable explicitly named</t>
        </is>
      </c>
    </row>
    <row r="1451">
      <c r="A1451" s="199" t="inlineStr">
        <is>
          <t>RTM-126</t>
        </is>
      </c>
      <c r="B1451" s="223" t="inlineStr">
        <is>
          <t>L2 Detailed Design</t>
        </is>
      </c>
      <c r="C1451" s="199" t="n">
        <v>3</v>
      </c>
      <c r="D1451" s="199" t="inlineStr">
        <is>
          <t>T3 Contextual</t>
        </is>
      </c>
      <c r="E1451" s="199" t="inlineStr">
        <is>
          <t>Subsystems</t>
        </is>
      </c>
      <c r="F1451" s="199" t="n">
        <v>24</v>
      </c>
      <c r="G1451" s="199" t="n">
        <v>446</v>
      </c>
      <c r="H1451" s="199" t="inlineStr">
        <is>
          <t>No separate deliverable explicitly named</t>
        </is>
      </c>
    </row>
    <row r="1452">
      <c r="A1452" s="208" t="inlineStr">
        <is>
          <t>RTM-128</t>
        </is>
      </c>
      <c r="B1452" s="222" t="inlineStr">
        <is>
          <t>L1 Conceptual Design</t>
        </is>
      </c>
      <c r="C1452" s="208" t="n">
        <v>2</v>
      </c>
      <c r="D1452" s="208" t="inlineStr">
        <is>
          <t>T3 Contextual</t>
        </is>
      </c>
      <c r="E1452" s="208" t="inlineStr">
        <is>
          <t>Subsystems</t>
        </is>
      </c>
      <c r="F1452" s="208" t="n">
        <v>24</v>
      </c>
      <c r="G1452" s="208" t="n">
        <v>447</v>
      </c>
      <c r="H1452" s="208" t="inlineStr">
        <is>
          <t>No separate deliverable explicitly named</t>
        </is>
      </c>
    </row>
    <row r="1453">
      <c r="A1453" s="199" t="inlineStr">
        <is>
          <t>RTM-128</t>
        </is>
      </c>
      <c r="B1453" s="223" t="inlineStr">
        <is>
          <t>L2 Detailed Design</t>
        </is>
      </c>
      <c r="C1453" s="199" t="n">
        <v>3</v>
      </c>
      <c r="D1453" s="199" t="inlineStr">
        <is>
          <t>T3 Contextual</t>
        </is>
      </c>
      <c r="E1453" s="199" t="inlineStr">
        <is>
          <t>Subsystems</t>
        </is>
      </c>
      <c r="F1453" s="199" t="n">
        <v>24</v>
      </c>
      <c r="G1453" s="199" t="n">
        <v>447</v>
      </c>
      <c r="H1453" s="199" t="inlineStr">
        <is>
          <t>No separate deliverable explicitly named</t>
        </is>
      </c>
    </row>
    <row r="1454">
      <c r="A1454" s="208" t="inlineStr">
        <is>
          <t>RTM-130</t>
        </is>
      </c>
      <c r="B1454" s="222" t="inlineStr">
        <is>
          <t>L1 Conceptual Design</t>
        </is>
      </c>
      <c r="C1454" s="208" t="n">
        <v>2</v>
      </c>
      <c r="D1454" s="208" t="inlineStr">
        <is>
          <t>T3 Contextual</t>
        </is>
      </c>
      <c r="E1454" s="208" t="inlineStr">
        <is>
          <t>Subsystems</t>
        </is>
      </c>
      <c r="F1454" s="208" t="n">
        <v>24</v>
      </c>
      <c r="G1454" s="208" t="n">
        <v>448</v>
      </c>
      <c r="H1454" s="208" t="inlineStr">
        <is>
          <t>No separate deliverable explicitly named</t>
        </is>
      </c>
    </row>
    <row r="1455">
      <c r="A1455" s="199" t="inlineStr">
        <is>
          <t>RTM-130</t>
        </is>
      </c>
      <c r="B1455" s="223" t="inlineStr">
        <is>
          <t>L2 Detailed Design</t>
        </is>
      </c>
      <c r="C1455" s="199" t="n">
        <v>3</v>
      </c>
      <c r="D1455" s="199" t="inlineStr">
        <is>
          <t>T3 Contextual</t>
        </is>
      </c>
      <c r="E1455" s="199" t="inlineStr">
        <is>
          <t>Subsystems</t>
        </is>
      </c>
      <c r="F1455" s="199" t="n">
        <v>24</v>
      </c>
      <c r="G1455" s="199" t="n">
        <v>448</v>
      </c>
      <c r="H1455" s="199" t="inlineStr">
        <is>
          <t>No separate deliverable explicitly named</t>
        </is>
      </c>
    </row>
    <row r="1456">
      <c r="A1456" s="208" t="inlineStr">
        <is>
          <t>RTM-131</t>
        </is>
      </c>
      <c r="B1456" s="222" t="inlineStr">
        <is>
          <t>L1 Conceptual Design</t>
        </is>
      </c>
      <c r="C1456" s="208" t="n">
        <v>2</v>
      </c>
      <c r="D1456" s="208" t="inlineStr">
        <is>
          <t>T3 Contextual</t>
        </is>
      </c>
      <c r="E1456" s="208" t="inlineStr">
        <is>
          <t>Subsystems</t>
        </is>
      </c>
      <c r="F1456" s="208" t="n">
        <v>24</v>
      </c>
      <c r="G1456" s="208" t="n">
        <v>449</v>
      </c>
      <c r="H1456" s="208" t="inlineStr">
        <is>
          <t>No separate deliverable explicitly named</t>
        </is>
      </c>
    </row>
    <row r="1457">
      <c r="A1457" s="199" t="inlineStr">
        <is>
          <t>RTM-131</t>
        </is>
      </c>
      <c r="B1457" s="223" t="inlineStr">
        <is>
          <t>L2 Detailed Design</t>
        </is>
      </c>
      <c r="C1457" s="199" t="n">
        <v>3</v>
      </c>
      <c r="D1457" s="199" t="inlineStr">
        <is>
          <t>T3 Contextual</t>
        </is>
      </c>
      <c r="E1457" s="199" t="inlineStr">
        <is>
          <t>Subsystems</t>
        </is>
      </c>
      <c r="F1457" s="199" t="n">
        <v>24</v>
      </c>
      <c r="G1457" s="199" t="n">
        <v>449</v>
      </c>
      <c r="H1457" s="199" t="inlineStr">
        <is>
          <t>No separate deliverable explicitly named</t>
        </is>
      </c>
    </row>
    <row r="1458">
      <c r="A1458" s="208" t="inlineStr">
        <is>
          <t>RTM-132</t>
        </is>
      </c>
      <c r="B1458" s="222" t="inlineStr">
        <is>
          <t>L1 Conceptual Design</t>
        </is>
      </c>
      <c r="C1458" s="208" t="n">
        <v>2</v>
      </c>
      <c r="D1458" s="208" t="inlineStr">
        <is>
          <t>T3 Contextual</t>
        </is>
      </c>
      <c r="E1458" s="208" t="inlineStr">
        <is>
          <t>Subsystems</t>
        </is>
      </c>
      <c r="F1458" s="208" t="n">
        <v>24</v>
      </c>
      <c r="G1458" s="208" t="n">
        <v>450</v>
      </c>
      <c r="H1458" s="208" t="inlineStr">
        <is>
          <t>No separate deliverable explicitly named</t>
        </is>
      </c>
    </row>
    <row r="1459">
      <c r="A1459" s="199" t="inlineStr">
        <is>
          <t>RTM-132</t>
        </is>
      </c>
      <c r="B1459" s="223" t="inlineStr">
        <is>
          <t>L2 Detailed Design</t>
        </is>
      </c>
      <c r="C1459" s="199" t="n">
        <v>3</v>
      </c>
      <c r="D1459" s="199" t="inlineStr">
        <is>
          <t>T3 Contextual</t>
        </is>
      </c>
      <c r="E1459" s="199" t="inlineStr">
        <is>
          <t>Subsystems</t>
        </is>
      </c>
      <c r="F1459" s="199" t="n">
        <v>24</v>
      </c>
      <c r="G1459" s="199" t="n">
        <v>450</v>
      </c>
      <c r="H1459" s="199" t="inlineStr">
        <is>
          <t>No separate deliverable explicitly named</t>
        </is>
      </c>
    </row>
    <row r="1460">
      <c r="A1460" s="208" t="inlineStr">
        <is>
          <t>RTM-136</t>
        </is>
      </c>
      <c r="B1460" s="223" t="inlineStr">
        <is>
          <t>L2 Detailed Design</t>
        </is>
      </c>
      <c r="C1460" s="208" t="n">
        <v>3</v>
      </c>
      <c r="D1460" s="208" t="inlineStr">
        <is>
          <t>T3 Contextual</t>
        </is>
      </c>
      <c r="E1460" s="208" t="inlineStr">
        <is>
          <t>Subsystems</t>
        </is>
      </c>
      <c r="F1460" s="208" t="n">
        <v>24</v>
      </c>
      <c r="G1460" s="208" t="n">
        <v>451</v>
      </c>
      <c r="H1460" s="208" t="inlineStr">
        <is>
          <t>No separate deliverable explicitly named</t>
        </is>
      </c>
    </row>
    <row r="1461">
      <c r="A1461" s="199" t="inlineStr">
        <is>
          <t>RTM-136</t>
        </is>
      </c>
      <c r="B1461" s="222" t="inlineStr">
        <is>
          <t>L1 Conceptual Design</t>
        </is>
      </c>
      <c r="C1461" s="199" t="n">
        <v>2</v>
      </c>
      <c r="D1461" s="199" t="inlineStr">
        <is>
          <t>T3 Contextual</t>
        </is>
      </c>
      <c r="E1461" s="199" t="inlineStr">
        <is>
          <t>Subsystems</t>
        </is>
      </c>
      <c r="F1461" s="199" t="n">
        <v>24</v>
      </c>
      <c r="G1461" s="199" t="n">
        <v>451</v>
      </c>
      <c r="H1461" s="199" t="inlineStr">
        <is>
          <t>No separate deliverable explicitly named</t>
        </is>
      </c>
    </row>
    <row r="1462">
      <c r="A1462" s="208" t="inlineStr">
        <is>
          <t>RTM-138</t>
        </is>
      </c>
      <c r="B1462" s="222" t="inlineStr">
        <is>
          <t>L1 Conceptual Design</t>
        </is>
      </c>
      <c r="C1462" s="208" t="n">
        <v>2</v>
      </c>
      <c r="D1462" s="208" t="inlineStr">
        <is>
          <t>T3 Contextual</t>
        </is>
      </c>
      <c r="E1462" s="208" t="inlineStr">
        <is>
          <t>Subsystems</t>
        </is>
      </c>
      <c r="F1462" s="208" t="n">
        <v>24</v>
      </c>
      <c r="G1462" s="208" t="n">
        <v>452</v>
      </c>
      <c r="H1462" s="208" t="inlineStr">
        <is>
          <t>No separate deliverable explicitly named</t>
        </is>
      </c>
    </row>
    <row r="1463">
      <c r="A1463" s="199" t="inlineStr">
        <is>
          <t>RTM-138</t>
        </is>
      </c>
      <c r="B1463" s="223" t="inlineStr">
        <is>
          <t>L2 Detailed Design</t>
        </is>
      </c>
      <c r="C1463" s="199" t="n">
        <v>3</v>
      </c>
      <c r="D1463" s="199" t="inlineStr">
        <is>
          <t>T3 Contextual</t>
        </is>
      </c>
      <c r="E1463" s="199" t="inlineStr">
        <is>
          <t>Subsystems</t>
        </is>
      </c>
      <c r="F1463" s="199" t="n">
        <v>24</v>
      </c>
      <c r="G1463" s="199" t="n">
        <v>452</v>
      </c>
      <c r="H1463" s="199" t="inlineStr">
        <is>
          <t>No separate deliverable explicitly named</t>
        </is>
      </c>
    </row>
    <row r="1464">
      <c r="A1464" s="208" t="inlineStr">
        <is>
          <t>RTM-139</t>
        </is>
      </c>
      <c r="B1464" s="222" t="inlineStr">
        <is>
          <t>L1 Conceptual Design</t>
        </is>
      </c>
      <c r="C1464" s="208" t="n">
        <v>2</v>
      </c>
      <c r="D1464" s="208" t="inlineStr">
        <is>
          <t>T3 Contextual</t>
        </is>
      </c>
      <c r="E1464" s="208" t="inlineStr">
        <is>
          <t>Subsystems</t>
        </is>
      </c>
      <c r="F1464" s="208" t="n">
        <v>24</v>
      </c>
      <c r="G1464" s="208" t="n">
        <v>453</v>
      </c>
      <c r="H1464" s="208" t="inlineStr">
        <is>
          <t>No separate deliverable explicitly named</t>
        </is>
      </c>
    </row>
    <row r="1465">
      <c r="A1465" s="199" t="inlineStr">
        <is>
          <t>RTM-139</t>
        </is>
      </c>
      <c r="B1465" s="223" t="inlineStr">
        <is>
          <t>L2 Detailed Design</t>
        </is>
      </c>
      <c r="C1465" s="199" t="n">
        <v>3</v>
      </c>
      <c r="D1465" s="199" t="inlineStr">
        <is>
          <t>T3 Contextual</t>
        </is>
      </c>
      <c r="E1465" s="199" t="inlineStr">
        <is>
          <t>Subsystems</t>
        </is>
      </c>
      <c r="F1465" s="199" t="n">
        <v>24</v>
      </c>
      <c r="G1465" s="199" t="n">
        <v>453</v>
      </c>
      <c r="H1465" s="199" t="inlineStr">
        <is>
          <t>No separate deliverable explicitly named</t>
        </is>
      </c>
    </row>
    <row r="1466">
      <c r="A1466" s="208" t="inlineStr">
        <is>
          <t>RTM-141</t>
        </is>
      </c>
      <c r="B1466" s="222" t="inlineStr">
        <is>
          <t>L1 Conceptual Design</t>
        </is>
      </c>
      <c r="C1466" s="208" t="n">
        <v>2</v>
      </c>
      <c r="D1466" s="208" t="inlineStr">
        <is>
          <t>T3 Contextual</t>
        </is>
      </c>
      <c r="E1466" s="208" t="inlineStr">
        <is>
          <t>Subsystems</t>
        </is>
      </c>
      <c r="F1466" s="208" t="n">
        <v>24</v>
      </c>
      <c r="G1466" s="208" t="n">
        <v>454</v>
      </c>
      <c r="H1466" s="208" t="inlineStr">
        <is>
          <t>No separate deliverable explicitly named</t>
        </is>
      </c>
    </row>
    <row r="1467">
      <c r="A1467" s="199" t="inlineStr">
        <is>
          <t>RTM-141</t>
        </is>
      </c>
      <c r="B1467" s="223" t="inlineStr">
        <is>
          <t>L2 Detailed Design</t>
        </is>
      </c>
      <c r="C1467" s="199" t="n">
        <v>3</v>
      </c>
      <c r="D1467" s="199" t="inlineStr">
        <is>
          <t>T3 Contextual</t>
        </is>
      </c>
      <c r="E1467" s="199" t="inlineStr">
        <is>
          <t>Subsystems</t>
        </is>
      </c>
      <c r="F1467" s="199" t="n">
        <v>24</v>
      </c>
      <c r="G1467" s="199" t="n">
        <v>454</v>
      </c>
      <c r="H1467" s="199" t="inlineStr">
        <is>
          <t>No separate deliverable explicitly named</t>
        </is>
      </c>
    </row>
    <row r="1468">
      <c r="A1468" s="208" t="inlineStr">
        <is>
          <t>RTM-142</t>
        </is>
      </c>
      <c r="B1468" s="222" t="inlineStr">
        <is>
          <t>L1 Conceptual Design</t>
        </is>
      </c>
      <c r="C1468" s="208" t="n">
        <v>2</v>
      </c>
      <c r="D1468" s="208" t="inlineStr">
        <is>
          <t>T3 Contextual</t>
        </is>
      </c>
      <c r="E1468" s="208" t="inlineStr">
        <is>
          <t>Subsystems</t>
        </is>
      </c>
      <c r="F1468" s="208" t="n">
        <v>24</v>
      </c>
      <c r="G1468" s="208" t="n">
        <v>455</v>
      </c>
      <c r="H1468" s="208" t="inlineStr">
        <is>
          <t>No separate deliverable explicitly named</t>
        </is>
      </c>
    </row>
    <row r="1469">
      <c r="A1469" s="199" t="inlineStr">
        <is>
          <t>RTM-142</t>
        </is>
      </c>
      <c r="B1469" s="223" t="inlineStr">
        <is>
          <t>L2 Detailed Design</t>
        </is>
      </c>
      <c r="C1469" s="199" t="n">
        <v>3</v>
      </c>
      <c r="D1469" s="199" t="inlineStr">
        <is>
          <t>T3 Contextual</t>
        </is>
      </c>
      <c r="E1469" s="199" t="inlineStr">
        <is>
          <t>Subsystems</t>
        </is>
      </c>
      <c r="F1469" s="199" t="n">
        <v>24</v>
      </c>
      <c r="G1469" s="199" t="n">
        <v>455</v>
      </c>
      <c r="H1469" s="199" t="inlineStr">
        <is>
          <t>No separate deliverable explicitly named</t>
        </is>
      </c>
    </row>
    <row r="1470">
      <c r="A1470" s="208" t="inlineStr">
        <is>
          <t>RTM-143</t>
        </is>
      </c>
      <c r="B1470" s="222" t="inlineStr">
        <is>
          <t>L1 Conceptual Design</t>
        </is>
      </c>
      <c r="C1470" s="208" t="n">
        <v>2</v>
      </c>
      <c r="D1470" s="208" t="inlineStr">
        <is>
          <t>T3 Contextual</t>
        </is>
      </c>
      <c r="E1470" s="208" t="inlineStr">
        <is>
          <t>Subsystems</t>
        </is>
      </c>
      <c r="F1470" s="208" t="n">
        <v>24</v>
      </c>
      <c r="G1470" s="208" t="n">
        <v>456</v>
      </c>
      <c r="H1470" s="208" t="inlineStr">
        <is>
          <t>No separate deliverable explicitly named</t>
        </is>
      </c>
    </row>
    <row r="1471">
      <c r="A1471" s="199" t="inlineStr">
        <is>
          <t>RTM-143</t>
        </is>
      </c>
      <c r="B1471" s="223" t="inlineStr">
        <is>
          <t>L2 Detailed Design</t>
        </is>
      </c>
      <c r="C1471" s="199" t="n">
        <v>3</v>
      </c>
      <c r="D1471" s="199" t="inlineStr">
        <is>
          <t>T3 Contextual</t>
        </is>
      </c>
      <c r="E1471" s="199" t="inlineStr">
        <is>
          <t>Subsystems</t>
        </is>
      </c>
      <c r="F1471" s="199" t="n">
        <v>24</v>
      </c>
      <c r="G1471" s="199" t="n">
        <v>456</v>
      </c>
      <c r="H1471" s="199" t="inlineStr">
        <is>
          <t>No separate deliverable explicitly named</t>
        </is>
      </c>
    </row>
    <row r="1472">
      <c r="A1472" s="208" t="inlineStr">
        <is>
          <t>RTM-144</t>
        </is>
      </c>
      <c r="B1472" s="222" t="inlineStr">
        <is>
          <t>L1 Conceptual Design</t>
        </is>
      </c>
      <c r="C1472" s="208" t="n">
        <v>2</v>
      </c>
      <c r="D1472" s="208" t="inlineStr">
        <is>
          <t>T3 Contextual</t>
        </is>
      </c>
      <c r="E1472" s="208" t="inlineStr">
        <is>
          <t>Subsystems</t>
        </is>
      </c>
      <c r="F1472" s="208" t="n">
        <v>24</v>
      </c>
      <c r="G1472" s="208" t="n">
        <v>457</v>
      </c>
      <c r="H1472" s="208" t="inlineStr">
        <is>
          <t>No separate deliverable explicitly named</t>
        </is>
      </c>
    </row>
    <row r="1473">
      <c r="A1473" s="199" t="inlineStr">
        <is>
          <t>RTM-144</t>
        </is>
      </c>
      <c r="B1473" s="223" t="inlineStr">
        <is>
          <t>L2 Detailed Design</t>
        </is>
      </c>
      <c r="C1473" s="199" t="n">
        <v>3</v>
      </c>
      <c r="D1473" s="199" t="inlineStr">
        <is>
          <t>T3 Contextual</t>
        </is>
      </c>
      <c r="E1473" s="199" t="inlineStr">
        <is>
          <t>Subsystems</t>
        </is>
      </c>
      <c r="F1473" s="199" t="n">
        <v>24</v>
      </c>
      <c r="G1473" s="199" t="n">
        <v>457</v>
      </c>
      <c r="H1473" s="199" t="inlineStr">
        <is>
          <t>No separate deliverable explicitly named</t>
        </is>
      </c>
    </row>
    <row r="1474">
      <c r="A1474" s="208" t="inlineStr">
        <is>
          <t>RTM-145</t>
        </is>
      </c>
      <c r="B1474" s="222" t="inlineStr">
        <is>
          <t>L1 Conceptual Design</t>
        </is>
      </c>
      <c r="C1474" s="208" t="n">
        <v>2</v>
      </c>
      <c r="D1474" s="208" t="inlineStr">
        <is>
          <t>T3 Contextual</t>
        </is>
      </c>
      <c r="E1474" s="208" t="inlineStr">
        <is>
          <t>Subsystems</t>
        </is>
      </c>
      <c r="F1474" s="208" t="n">
        <v>24</v>
      </c>
      <c r="G1474" s="208" t="n">
        <v>458</v>
      </c>
      <c r="H1474" s="208" t="inlineStr">
        <is>
          <t>No separate deliverable explicitly named</t>
        </is>
      </c>
    </row>
    <row r="1475">
      <c r="A1475" s="199" t="inlineStr">
        <is>
          <t>RTM-145</t>
        </is>
      </c>
      <c r="B1475" s="223" t="inlineStr">
        <is>
          <t>L2 Detailed Design</t>
        </is>
      </c>
      <c r="C1475" s="199" t="n">
        <v>3</v>
      </c>
      <c r="D1475" s="199" t="inlineStr">
        <is>
          <t>T3 Contextual</t>
        </is>
      </c>
      <c r="E1475" s="199" t="inlineStr">
        <is>
          <t>Subsystems</t>
        </is>
      </c>
      <c r="F1475" s="199" t="n">
        <v>24</v>
      </c>
      <c r="G1475" s="199" t="n">
        <v>458</v>
      </c>
      <c r="H1475" s="199" t="inlineStr">
        <is>
          <t>No separate deliverable explicitly named</t>
        </is>
      </c>
    </row>
    <row r="1476">
      <c r="A1476" s="208" t="inlineStr">
        <is>
          <t>RTM-150</t>
        </is>
      </c>
      <c r="B1476" s="222" t="inlineStr">
        <is>
          <t>L1 Conceptual Design</t>
        </is>
      </c>
      <c r="C1476" s="208" t="n">
        <v>2</v>
      </c>
      <c r="D1476" s="208" t="inlineStr">
        <is>
          <t>T3 Contextual</t>
        </is>
      </c>
      <c r="E1476" s="208" t="inlineStr">
        <is>
          <t>Subsystems</t>
        </is>
      </c>
      <c r="F1476" s="208" t="n">
        <v>24</v>
      </c>
      <c r="G1476" s="208" t="n">
        <v>459</v>
      </c>
      <c r="H1476" s="208" t="inlineStr">
        <is>
          <t>No separate deliverable explicitly named</t>
        </is>
      </c>
    </row>
    <row r="1477">
      <c r="A1477" s="199" t="inlineStr">
        <is>
          <t>RTM-150</t>
        </is>
      </c>
      <c r="B1477" s="223" t="inlineStr">
        <is>
          <t>L2 Detailed Design</t>
        </is>
      </c>
      <c r="C1477" s="199" t="n">
        <v>3</v>
      </c>
      <c r="D1477" s="199" t="inlineStr">
        <is>
          <t>T3 Contextual</t>
        </is>
      </c>
      <c r="E1477" s="199" t="inlineStr">
        <is>
          <t>Subsystems</t>
        </is>
      </c>
      <c r="F1477" s="199" t="n">
        <v>24</v>
      </c>
      <c r="G1477" s="199" t="n">
        <v>459</v>
      </c>
      <c r="H1477" s="199" t="inlineStr">
        <is>
          <t>No separate deliverable explicitly named</t>
        </is>
      </c>
    </row>
    <row r="1478">
      <c r="A1478" s="208" t="inlineStr">
        <is>
          <t>RTM-151</t>
        </is>
      </c>
      <c r="B1478" s="222" t="inlineStr">
        <is>
          <t>L1 Conceptual Design</t>
        </is>
      </c>
      <c r="C1478" s="208" t="n">
        <v>2</v>
      </c>
      <c r="D1478" s="208" t="inlineStr">
        <is>
          <t>T3 Contextual</t>
        </is>
      </c>
      <c r="E1478" s="208" t="inlineStr">
        <is>
          <t>Subsystems</t>
        </is>
      </c>
      <c r="F1478" s="208" t="n">
        <v>24</v>
      </c>
      <c r="G1478" s="208" t="n">
        <v>460</v>
      </c>
      <c r="H1478" s="208" t="inlineStr">
        <is>
          <t>No separate deliverable explicitly named</t>
        </is>
      </c>
    </row>
    <row r="1479">
      <c r="A1479" s="199" t="inlineStr">
        <is>
          <t>RTM-151</t>
        </is>
      </c>
      <c r="B1479" s="223" t="inlineStr">
        <is>
          <t>L2 Detailed Design</t>
        </is>
      </c>
      <c r="C1479" s="199" t="n">
        <v>3</v>
      </c>
      <c r="D1479" s="199" t="inlineStr">
        <is>
          <t>T3 Contextual</t>
        </is>
      </c>
      <c r="E1479" s="199" t="inlineStr">
        <is>
          <t>Subsystems</t>
        </is>
      </c>
      <c r="F1479" s="199" t="n">
        <v>24</v>
      </c>
      <c r="G1479" s="199" t="n">
        <v>460</v>
      </c>
      <c r="H1479" s="199" t="inlineStr">
        <is>
          <t>No separate deliverable explicitly named</t>
        </is>
      </c>
    </row>
    <row r="1480">
      <c r="A1480" s="208" t="inlineStr">
        <is>
          <t>RTM-153</t>
        </is>
      </c>
      <c r="B1480" s="222" t="inlineStr">
        <is>
          <t>L1 Conceptual Design</t>
        </is>
      </c>
      <c r="C1480" s="208" t="n">
        <v>2</v>
      </c>
      <c r="D1480" s="208" t="inlineStr">
        <is>
          <t>T3 Contextual</t>
        </is>
      </c>
      <c r="E1480" s="208" t="inlineStr">
        <is>
          <t>Subsystems</t>
        </is>
      </c>
      <c r="F1480" s="208" t="n">
        <v>24</v>
      </c>
      <c r="G1480" s="208" t="n">
        <v>461</v>
      </c>
      <c r="H1480" s="208" t="inlineStr">
        <is>
          <t>No separate deliverable explicitly named</t>
        </is>
      </c>
    </row>
    <row r="1481">
      <c r="A1481" s="199" t="inlineStr">
        <is>
          <t>RTM-153</t>
        </is>
      </c>
      <c r="B1481" s="223" t="inlineStr">
        <is>
          <t>L2 Detailed Design</t>
        </is>
      </c>
      <c r="C1481" s="199" t="n">
        <v>3</v>
      </c>
      <c r="D1481" s="199" t="inlineStr">
        <is>
          <t>T3 Contextual</t>
        </is>
      </c>
      <c r="E1481" s="199" t="inlineStr">
        <is>
          <t>Subsystems</t>
        </is>
      </c>
      <c r="F1481" s="199" t="n">
        <v>24</v>
      </c>
      <c r="G1481" s="199" t="n">
        <v>461</v>
      </c>
      <c r="H1481" s="199" t="inlineStr">
        <is>
          <t>No separate deliverable explicitly named</t>
        </is>
      </c>
    </row>
    <row r="1482">
      <c r="A1482" s="208" t="inlineStr">
        <is>
          <t>RTM-154</t>
        </is>
      </c>
      <c r="B1482" s="222" t="inlineStr">
        <is>
          <t>L1 Conceptual Design</t>
        </is>
      </c>
      <c r="C1482" s="208" t="n">
        <v>2</v>
      </c>
      <c r="D1482" s="208" t="inlineStr">
        <is>
          <t>T3 Contextual</t>
        </is>
      </c>
      <c r="E1482" s="208" t="inlineStr">
        <is>
          <t>Subsystems</t>
        </is>
      </c>
      <c r="F1482" s="208" t="n">
        <v>24</v>
      </c>
      <c r="G1482" s="208" t="n">
        <v>462</v>
      </c>
      <c r="H1482" s="208" t="inlineStr">
        <is>
          <t>No separate deliverable explicitly named</t>
        </is>
      </c>
    </row>
    <row r="1483">
      <c r="A1483" s="199" t="inlineStr">
        <is>
          <t>RTM-154</t>
        </is>
      </c>
      <c r="B1483" s="223" t="inlineStr">
        <is>
          <t>L2 Detailed Design</t>
        </is>
      </c>
      <c r="C1483" s="199" t="n">
        <v>3</v>
      </c>
      <c r="D1483" s="199" t="inlineStr">
        <is>
          <t>T3 Contextual</t>
        </is>
      </c>
      <c r="E1483" s="199" t="inlineStr">
        <is>
          <t>Subsystems</t>
        </is>
      </c>
      <c r="F1483" s="199" t="n">
        <v>24</v>
      </c>
      <c r="G1483" s="199" t="n">
        <v>462</v>
      </c>
      <c r="H1483" s="199" t="inlineStr">
        <is>
          <t>No separate deliverable explicitly named</t>
        </is>
      </c>
    </row>
    <row r="1484">
      <c r="A1484" s="208" t="inlineStr">
        <is>
          <t>RTM-155</t>
        </is>
      </c>
      <c r="B1484" s="222" t="inlineStr">
        <is>
          <t>L1 Conceptual Design</t>
        </is>
      </c>
      <c r="C1484" s="208" t="n">
        <v>2</v>
      </c>
      <c r="D1484" s="208" t="inlineStr">
        <is>
          <t>T3 Contextual</t>
        </is>
      </c>
      <c r="E1484" s="208" t="inlineStr">
        <is>
          <t>Subsystems</t>
        </is>
      </c>
      <c r="F1484" s="208" t="n">
        <v>24</v>
      </c>
      <c r="G1484" s="208" t="n">
        <v>463</v>
      </c>
      <c r="H1484" s="208" t="inlineStr">
        <is>
          <t>No separate deliverable explicitly named</t>
        </is>
      </c>
    </row>
    <row r="1485">
      <c r="A1485" s="199" t="inlineStr">
        <is>
          <t>RTM-155</t>
        </is>
      </c>
      <c r="B1485" s="223" t="inlineStr">
        <is>
          <t>L2 Detailed Design</t>
        </is>
      </c>
      <c r="C1485" s="199" t="n">
        <v>3</v>
      </c>
      <c r="D1485" s="199" t="inlineStr">
        <is>
          <t>T3 Contextual</t>
        </is>
      </c>
      <c r="E1485" s="199" t="inlineStr">
        <is>
          <t>Subsystems</t>
        </is>
      </c>
      <c r="F1485" s="199" t="n">
        <v>24</v>
      </c>
      <c r="G1485" s="199" t="n">
        <v>463</v>
      </c>
      <c r="H1485" s="199" t="inlineStr">
        <is>
          <t>No separate deliverable explicitly named</t>
        </is>
      </c>
    </row>
    <row r="1486">
      <c r="A1486" s="208" t="inlineStr">
        <is>
          <t>RTM-156</t>
        </is>
      </c>
      <c r="B1486" s="222" t="inlineStr">
        <is>
          <t>L1 Conceptual Design</t>
        </is>
      </c>
      <c r="C1486" s="208" t="n">
        <v>2</v>
      </c>
      <c r="D1486" s="208" t="inlineStr">
        <is>
          <t>T3 Contextual</t>
        </is>
      </c>
      <c r="E1486" s="208" t="inlineStr">
        <is>
          <t>Subsystems</t>
        </is>
      </c>
      <c r="F1486" s="208" t="n">
        <v>24</v>
      </c>
      <c r="G1486" s="208" t="n">
        <v>464</v>
      </c>
      <c r="H1486" s="208" t="inlineStr">
        <is>
          <t>No separate deliverable explicitly named</t>
        </is>
      </c>
    </row>
    <row r="1487">
      <c r="A1487" s="199" t="inlineStr">
        <is>
          <t>RTM-156</t>
        </is>
      </c>
      <c r="B1487" s="223" t="inlineStr">
        <is>
          <t>L2 Detailed Design</t>
        </is>
      </c>
      <c r="C1487" s="199" t="n">
        <v>3</v>
      </c>
      <c r="D1487" s="199" t="inlineStr">
        <is>
          <t>T3 Contextual</t>
        </is>
      </c>
      <c r="E1487" s="199" t="inlineStr">
        <is>
          <t>Subsystems</t>
        </is>
      </c>
      <c r="F1487" s="199" t="n">
        <v>24</v>
      </c>
      <c r="G1487" s="199" t="n">
        <v>464</v>
      </c>
      <c r="H1487" s="199" t="inlineStr">
        <is>
          <t>No separate deliverable explicitly named</t>
        </is>
      </c>
    </row>
    <row r="1488">
      <c r="A1488" s="208" t="inlineStr">
        <is>
          <t>RTM-157</t>
        </is>
      </c>
      <c r="B1488" s="222" t="inlineStr">
        <is>
          <t>L1 Conceptual Design</t>
        </is>
      </c>
      <c r="C1488" s="208" t="n">
        <v>2</v>
      </c>
      <c r="D1488" s="208" t="inlineStr">
        <is>
          <t>T3 Contextual</t>
        </is>
      </c>
      <c r="E1488" s="208" t="inlineStr">
        <is>
          <t>Subsystems</t>
        </is>
      </c>
      <c r="F1488" s="208" t="n">
        <v>24</v>
      </c>
      <c r="G1488" s="208" t="n">
        <v>465</v>
      </c>
      <c r="H1488" s="208" t="inlineStr">
        <is>
          <t>No separate deliverable explicitly named</t>
        </is>
      </c>
    </row>
    <row r="1489">
      <c r="A1489" s="199" t="inlineStr">
        <is>
          <t>RTM-157</t>
        </is>
      </c>
      <c r="B1489" s="223" t="inlineStr">
        <is>
          <t>L2 Detailed Design</t>
        </is>
      </c>
      <c r="C1489" s="199" t="n">
        <v>3</v>
      </c>
      <c r="D1489" s="199" t="inlineStr">
        <is>
          <t>T3 Contextual</t>
        </is>
      </c>
      <c r="E1489" s="199" t="inlineStr">
        <is>
          <t>Subsystems</t>
        </is>
      </c>
      <c r="F1489" s="199" t="n">
        <v>24</v>
      </c>
      <c r="G1489" s="199" t="n">
        <v>465</v>
      </c>
      <c r="H1489" s="199" t="inlineStr">
        <is>
          <t>No separate deliverable explicitly named</t>
        </is>
      </c>
    </row>
    <row r="1490">
      <c r="A1490" s="208" t="inlineStr">
        <is>
          <t>RTM-159</t>
        </is>
      </c>
      <c r="B1490" s="222" t="inlineStr">
        <is>
          <t>L1 Conceptual Design</t>
        </is>
      </c>
      <c r="C1490" s="208" t="n">
        <v>2</v>
      </c>
      <c r="D1490" s="208" t="inlineStr">
        <is>
          <t>T3 Contextual</t>
        </is>
      </c>
      <c r="E1490" s="208" t="inlineStr">
        <is>
          <t>Subsystems</t>
        </is>
      </c>
      <c r="F1490" s="208" t="n">
        <v>24</v>
      </c>
      <c r="G1490" s="208" t="n">
        <v>466</v>
      </c>
      <c r="H1490" s="208" t="inlineStr">
        <is>
          <t>No separate deliverable explicitly named</t>
        </is>
      </c>
    </row>
    <row r="1491">
      <c r="A1491" s="199" t="inlineStr">
        <is>
          <t>RTM-159</t>
        </is>
      </c>
      <c r="B1491" s="223" t="inlineStr">
        <is>
          <t>L2 Detailed Design</t>
        </is>
      </c>
      <c r="C1491" s="199" t="n">
        <v>3</v>
      </c>
      <c r="D1491" s="199" t="inlineStr">
        <is>
          <t>T3 Contextual</t>
        </is>
      </c>
      <c r="E1491" s="199" t="inlineStr">
        <is>
          <t>Subsystems</t>
        </is>
      </c>
      <c r="F1491" s="199" t="n">
        <v>24</v>
      </c>
      <c r="G1491" s="199" t="n">
        <v>466</v>
      </c>
      <c r="H1491" s="199" t="inlineStr">
        <is>
          <t>No separate deliverable explicitly named</t>
        </is>
      </c>
    </row>
    <row r="1492">
      <c r="A1492" s="208" t="inlineStr">
        <is>
          <t>RTM-160</t>
        </is>
      </c>
      <c r="B1492" s="222" t="inlineStr">
        <is>
          <t>L1 Conceptual Design</t>
        </is>
      </c>
      <c r="C1492" s="208" t="n">
        <v>2</v>
      </c>
      <c r="D1492" s="208" t="inlineStr">
        <is>
          <t>T3 Contextual</t>
        </is>
      </c>
      <c r="E1492" s="208" t="inlineStr">
        <is>
          <t>Subsystems</t>
        </is>
      </c>
      <c r="F1492" s="208" t="n">
        <v>24</v>
      </c>
      <c r="G1492" s="208" t="n">
        <v>467</v>
      </c>
      <c r="H1492" s="208" t="inlineStr">
        <is>
          <t>No separate deliverable explicitly named</t>
        </is>
      </c>
    </row>
    <row r="1493">
      <c r="A1493" s="199" t="inlineStr">
        <is>
          <t>RTM-160</t>
        </is>
      </c>
      <c r="B1493" s="223" t="inlineStr">
        <is>
          <t>L2 Detailed Design</t>
        </is>
      </c>
      <c r="C1493" s="199" t="n">
        <v>3</v>
      </c>
      <c r="D1493" s="199" t="inlineStr">
        <is>
          <t>T3 Contextual</t>
        </is>
      </c>
      <c r="E1493" s="199" t="inlineStr">
        <is>
          <t>Subsystems</t>
        </is>
      </c>
      <c r="F1493" s="199" t="n">
        <v>24</v>
      </c>
      <c r="G1493" s="199" t="n">
        <v>467</v>
      </c>
      <c r="H1493" s="199" t="inlineStr">
        <is>
          <t>No separate deliverable explicitly named</t>
        </is>
      </c>
    </row>
    <row r="1494">
      <c r="A1494" s="208" t="inlineStr">
        <is>
          <t>RTM-162</t>
        </is>
      </c>
      <c r="B1494" s="222" t="inlineStr">
        <is>
          <t>L1 Conceptual Design</t>
        </is>
      </c>
      <c r="C1494" s="208" t="n">
        <v>2</v>
      </c>
      <c r="D1494" s="208" t="inlineStr">
        <is>
          <t>T3 Contextual</t>
        </is>
      </c>
      <c r="E1494" s="208" t="inlineStr">
        <is>
          <t>Subsystems</t>
        </is>
      </c>
      <c r="F1494" s="208" t="n">
        <v>24</v>
      </c>
      <c r="G1494" s="208" t="n">
        <v>468</v>
      </c>
      <c r="H1494" s="208" t="inlineStr">
        <is>
          <t>No separate deliverable explicitly named</t>
        </is>
      </c>
    </row>
    <row r="1495">
      <c r="A1495" s="199" t="inlineStr">
        <is>
          <t>RTM-162</t>
        </is>
      </c>
      <c r="B1495" s="223" t="inlineStr">
        <is>
          <t>L2 Detailed Design</t>
        </is>
      </c>
      <c r="C1495" s="199" t="n">
        <v>3</v>
      </c>
      <c r="D1495" s="199" t="inlineStr">
        <is>
          <t>T3 Contextual</t>
        </is>
      </c>
      <c r="E1495" s="199" t="inlineStr">
        <is>
          <t>Subsystems</t>
        </is>
      </c>
      <c r="F1495" s="199" t="n">
        <v>24</v>
      </c>
      <c r="G1495" s="199" t="n">
        <v>468</v>
      </c>
      <c r="H1495" s="199" t="inlineStr">
        <is>
          <t>No separate deliverable explicitly named</t>
        </is>
      </c>
    </row>
    <row r="1496">
      <c r="A1496" s="208" t="inlineStr">
        <is>
          <t>RTM-163</t>
        </is>
      </c>
      <c r="B1496" s="222" t="inlineStr">
        <is>
          <t>L1 Conceptual Design</t>
        </is>
      </c>
      <c r="C1496" s="208" t="n">
        <v>2</v>
      </c>
      <c r="D1496" s="208" t="inlineStr">
        <is>
          <t>T3 Contextual</t>
        </is>
      </c>
      <c r="E1496" s="208" t="inlineStr">
        <is>
          <t>Subsystems</t>
        </is>
      </c>
      <c r="F1496" s="208" t="n">
        <v>24</v>
      </c>
      <c r="G1496" s="208" t="n">
        <v>469</v>
      </c>
      <c r="H1496" s="208" t="inlineStr">
        <is>
          <t>No separate deliverable explicitly named</t>
        </is>
      </c>
    </row>
    <row r="1497">
      <c r="A1497" s="199" t="inlineStr">
        <is>
          <t>RTM-163</t>
        </is>
      </c>
      <c r="B1497" s="223" t="inlineStr">
        <is>
          <t>L2 Detailed Design</t>
        </is>
      </c>
      <c r="C1497" s="199" t="n">
        <v>3</v>
      </c>
      <c r="D1497" s="199" t="inlineStr">
        <is>
          <t>T3 Contextual</t>
        </is>
      </c>
      <c r="E1497" s="199" t="inlineStr">
        <is>
          <t>Subsystems</t>
        </is>
      </c>
      <c r="F1497" s="199" t="n">
        <v>24</v>
      </c>
      <c r="G1497" s="199" t="n">
        <v>469</v>
      </c>
      <c r="H1497" s="199" t="inlineStr">
        <is>
          <t>No separate deliverable explicitly named</t>
        </is>
      </c>
    </row>
    <row r="1498">
      <c r="A1498" s="208" t="inlineStr">
        <is>
          <t>RTM-165</t>
        </is>
      </c>
      <c r="B1498" s="222" t="inlineStr">
        <is>
          <t>L1 Conceptual Design</t>
        </is>
      </c>
      <c r="C1498" s="208" t="n">
        <v>2</v>
      </c>
      <c r="D1498" s="208" t="inlineStr">
        <is>
          <t>T3 Contextual</t>
        </is>
      </c>
      <c r="E1498" s="208" t="inlineStr">
        <is>
          <t>Subsystems</t>
        </is>
      </c>
      <c r="F1498" s="208" t="n">
        <v>24</v>
      </c>
      <c r="G1498" s="208" t="n">
        <v>470</v>
      </c>
      <c r="H1498" s="208" t="inlineStr">
        <is>
          <t>No separate deliverable explicitly named</t>
        </is>
      </c>
    </row>
    <row r="1499">
      <c r="A1499" s="199" t="inlineStr">
        <is>
          <t>RTM-165</t>
        </is>
      </c>
      <c r="B1499" s="223" t="inlineStr">
        <is>
          <t>L2 Detailed Design</t>
        </is>
      </c>
      <c r="C1499" s="199" t="n">
        <v>3</v>
      </c>
      <c r="D1499" s="199" t="inlineStr">
        <is>
          <t>T3 Contextual</t>
        </is>
      </c>
      <c r="E1499" s="199" t="inlineStr">
        <is>
          <t>Subsystems</t>
        </is>
      </c>
      <c r="F1499" s="199" t="n">
        <v>24</v>
      </c>
      <c r="G1499" s="199" t="n">
        <v>470</v>
      </c>
      <c r="H1499" s="199" t="inlineStr">
        <is>
          <t>No separate deliverable explicitly named</t>
        </is>
      </c>
    </row>
    <row r="1500">
      <c r="A1500" s="208" t="inlineStr">
        <is>
          <t>RTM-171</t>
        </is>
      </c>
      <c r="B1500" s="222" t="inlineStr">
        <is>
          <t>L1 Conceptual Design</t>
        </is>
      </c>
      <c r="C1500" s="208" t="n">
        <v>2</v>
      </c>
      <c r="D1500" s="208" t="inlineStr">
        <is>
          <t>T3 Contextual</t>
        </is>
      </c>
      <c r="E1500" s="208" t="inlineStr">
        <is>
          <t>Subsystems</t>
        </is>
      </c>
      <c r="F1500" s="208" t="n">
        <v>24</v>
      </c>
      <c r="G1500" s="208" t="n">
        <v>471</v>
      </c>
      <c r="H1500" s="208" t="inlineStr">
        <is>
          <t>No separate deliverable explicitly named</t>
        </is>
      </c>
    </row>
    <row r="1501">
      <c r="A1501" s="199" t="inlineStr">
        <is>
          <t>RTM-171</t>
        </is>
      </c>
      <c r="B1501" s="223" t="inlineStr">
        <is>
          <t>L2 Detailed Design</t>
        </is>
      </c>
      <c r="C1501" s="199" t="n">
        <v>3</v>
      </c>
      <c r="D1501" s="199" t="inlineStr">
        <is>
          <t>T3 Contextual</t>
        </is>
      </c>
      <c r="E1501" s="199" t="inlineStr">
        <is>
          <t>Subsystems</t>
        </is>
      </c>
      <c r="F1501" s="199" t="n">
        <v>24</v>
      </c>
      <c r="G1501" s="199" t="n">
        <v>471</v>
      </c>
      <c r="H1501" s="199" t="inlineStr">
        <is>
          <t>No separate deliverable explicitly named</t>
        </is>
      </c>
    </row>
    <row r="1502">
      <c r="A1502" s="208" t="inlineStr">
        <is>
          <t>RTM-175</t>
        </is>
      </c>
      <c r="B1502" s="222" t="inlineStr">
        <is>
          <t>L1 Conceptual Design</t>
        </is>
      </c>
      <c r="C1502" s="208" t="n">
        <v>2</v>
      </c>
      <c r="D1502" s="208" t="inlineStr">
        <is>
          <t>T3 Contextual</t>
        </is>
      </c>
      <c r="E1502" s="208" t="inlineStr">
        <is>
          <t>Subsystems</t>
        </is>
      </c>
      <c r="F1502" s="208" t="n">
        <v>24</v>
      </c>
      <c r="G1502" s="208" t="n">
        <v>472</v>
      </c>
      <c r="H1502" s="208" t="inlineStr">
        <is>
          <t>No separate deliverable explicitly named</t>
        </is>
      </c>
    </row>
    <row r="1503">
      <c r="A1503" s="199" t="inlineStr">
        <is>
          <t>RTM-175</t>
        </is>
      </c>
      <c r="B1503" s="223" t="inlineStr">
        <is>
          <t>L2 Detailed Design</t>
        </is>
      </c>
      <c r="C1503" s="199" t="n">
        <v>3</v>
      </c>
      <c r="D1503" s="199" t="inlineStr">
        <is>
          <t>T3 Contextual</t>
        </is>
      </c>
      <c r="E1503" s="199" t="inlineStr">
        <is>
          <t>Subsystems</t>
        </is>
      </c>
      <c r="F1503" s="199" t="n">
        <v>24</v>
      </c>
      <c r="G1503" s="199" t="n">
        <v>472</v>
      </c>
      <c r="H1503" s="199" t="inlineStr">
        <is>
          <t>No separate deliverable explicitly named</t>
        </is>
      </c>
    </row>
    <row r="1504">
      <c r="A1504" s="208" t="inlineStr">
        <is>
          <t>RTM-176</t>
        </is>
      </c>
      <c r="B1504" s="222" t="inlineStr">
        <is>
          <t>L1 Conceptual Design</t>
        </is>
      </c>
      <c r="C1504" s="208" t="n">
        <v>2</v>
      </c>
      <c r="D1504" s="208" t="inlineStr">
        <is>
          <t>T3 Contextual</t>
        </is>
      </c>
      <c r="E1504" s="208" t="inlineStr">
        <is>
          <t>Subsystems</t>
        </is>
      </c>
      <c r="F1504" s="208" t="n">
        <v>24</v>
      </c>
      <c r="G1504" s="208" t="n">
        <v>473</v>
      </c>
      <c r="H1504" s="208" t="inlineStr">
        <is>
          <t>No separate deliverable explicitly named</t>
        </is>
      </c>
    </row>
    <row r="1505">
      <c r="A1505" s="199" t="inlineStr">
        <is>
          <t>RTM-176</t>
        </is>
      </c>
      <c r="B1505" s="223" t="inlineStr">
        <is>
          <t>L2 Detailed Design</t>
        </is>
      </c>
      <c r="C1505" s="199" t="n">
        <v>3</v>
      </c>
      <c r="D1505" s="199" t="inlineStr">
        <is>
          <t>T3 Contextual</t>
        </is>
      </c>
      <c r="E1505" s="199" t="inlineStr">
        <is>
          <t>Subsystems</t>
        </is>
      </c>
      <c r="F1505" s="199" t="n">
        <v>24</v>
      </c>
      <c r="G1505" s="199" t="n">
        <v>473</v>
      </c>
      <c r="H1505" s="199" t="inlineStr">
        <is>
          <t>No separate deliverable explicitly named</t>
        </is>
      </c>
    </row>
    <row r="1506">
      <c r="A1506" s="208" t="inlineStr">
        <is>
          <t>RTM-179</t>
        </is>
      </c>
      <c r="B1506" s="222" t="inlineStr">
        <is>
          <t>L1 Conceptual Design</t>
        </is>
      </c>
      <c r="C1506" s="208" t="n">
        <v>2</v>
      </c>
      <c r="D1506" s="208" t="inlineStr">
        <is>
          <t>T3 Contextual</t>
        </is>
      </c>
      <c r="E1506" s="208" t="inlineStr">
        <is>
          <t>Subsystems</t>
        </is>
      </c>
      <c r="F1506" s="208" t="n">
        <v>24</v>
      </c>
      <c r="G1506" s="208" t="n">
        <v>474</v>
      </c>
      <c r="H1506" s="208" t="inlineStr">
        <is>
          <t>No separate deliverable explicitly named</t>
        </is>
      </c>
    </row>
    <row r="1507">
      <c r="A1507" s="199" t="inlineStr">
        <is>
          <t>RTM-179</t>
        </is>
      </c>
      <c r="B1507" s="223" t="inlineStr">
        <is>
          <t>L2 Detailed Design</t>
        </is>
      </c>
      <c r="C1507" s="199" t="n">
        <v>3</v>
      </c>
      <c r="D1507" s="199" t="inlineStr">
        <is>
          <t>T3 Contextual</t>
        </is>
      </c>
      <c r="E1507" s="199" t="inlineStr">
        <is>
          <t>Subsystems</t>
        </is>
      </c>
      <c r="F1507" s="199" t="n">
        <v>24</v>
      </c>
      <c r="G1507" s="199" t="n">
        <v>474</v>
      </c>
      <c r="H1507" s="199" t="inlineStr">
        <is>
          <t>No separate deliverable explicitly named</t>
        </is>
      </c>
    </row>
    <row r="1508">
      <c r="A1508" s="208" t="inlineStr">
        <is>
          <t>RTM-181</t>
        </is>
      </c>
      <c r="B1508" s="222" t="inlineStr">
        <is>
          <t>L1 Conceptual Design</t>
        </is>
      </c>
      <c r="C1508" s="208" t="n">
        <v>2</v>
      </c>
      <c r="D1508" s="208" t="inlineStr">
        <is>
          <t>T3 Contextual</t>
        </is>
      </c>
      <c r="E1508" s="208" t="inlineStr">
        <is>
          <t>Subsystems</t>
        </is>
      </c>
      <c r="F1508" s="208" t="n">
        <v>24</v>
      </c>
      <c r="G1508" s="208" t="n">
        <v>475</v>
      </c>
      <c r="H1508" s="208" t="inlineStr">
        <is>
          <t>No separate deliverable explicitly named</t>
        </is>
      </c>
    </row>
    <row r="1509">
      <c r="A1509" s="199" t="inlineStr">
        <is>
          <t>RTM-181</t>
        </is>
      </c>
      <c r="B1509" s="223" t="inlineStr">
        <is>
          <t>L2 Detailed Design</t>
        </is>
      </c>
      <c r="C1509" s="199" t="n">
        <v>3</v>
      </c>
      <c r="D1509" s="199" t="inlineStr">
        <is>
          <t>T3 Contextual</t>
        </is>
      </c>
      <c r="E1509" s="199" t="inlineStr">
        <is>
          <t>Subsystems</t>
        </is>
      </c>
      <c r="F1509" s="199" t="n">
        <v>24</v>
      </c>
      <c r="G1509" s="199" t="n">
        <v>475</v>
      </c>
      <c r="H1509" s="199" t="inlineStr">
        <is>
          <t>No separate deliverable explicitly named</t>
        </is>
      </c>
    </row>
    <row r="1510">
      <c r="A1510" s="208" t="inlineStr">
        <is>
          <t>RTM-182</t>
        </is>
      </c>
      <c r="B1510" s="222" t="inlineStr">
        <is>
          <t>L1 Conceptual Design</t>
        </is>
      </c>
      <c r="C1510" s="208" t="n">
        <v>2</v>
      </c>
      <c r="D1510" s="208" t="inlineStr">
        <is>
          <t>T3 Contextual</t>
        </is>
      </c>
      <c r="E1510" s="208" t="inlineStr">
        <is>
          <t>Subsystems</t>
        </is>
      </c>
      <c r="F1510" s="208" t="n">
        <v>24</v>
      </c>
      <c r="G1510" s="208" t="n">
        <v>476</v>
      </c>
      <c r="H1510" s="208" t="inlineStr">
        <is>
          <t>No separate deliverable explicitly named</t>
        </is>
      </c>
    </row>
    <row r="1511">
      <c r="A1511" s="199" t="inlineStr">
        <is>
          <t>RTM-182</t>
        </is>
      </c>
      <c r="B1511" s="223" t="inlineStr">
        <is>
          <t>L2 Detailed Design</t>
        </is>
      </c>
      <c r="C1511" s="199" t="n">
        <v>3</v>
      </c>
      <c r="D1511" s="199" t="inlineStr">
        <is>
          <t>T3 Contextual</t>
        </is>
      </c>
      <c r="E1511" s="199" t="inlineStr">
        <is>
          <t>Subsystems</t>
        </is>
      </c>
      <c r="F1511" s="199" t="n">
        <v>24</v>
      </c>
      <c r="G1511" s="199" t="n">
        <v>476</v>
      </c>
      <c r="H1511" s="199" t="inlineStr">
        <is>
          <t>No separate deliverable explicitly named</t>
        </is>
      </c>
    </row>
    <row r="1512">
      <c r="A1512" s="208" t="inlineStr">
        <is>
          <t>RTM-183</t>
        </is>
      </c>
      <c r="B1512" s="222" t="inlineStr">
        <is>
          <t>L1 Conceptual Design</t>
        </is>
      </c>
      <c r="C1512" s="208" t="n">
        <v>2</v>
      </c>
      <c r="D1512" s="208" t="inlineStr">
        <is>
          <t>T3 Contextual</t>
        </is>
      </c>
      <c r="E1512" s="208" t="inlineStr">
        <is>
          <t>Subsystems</t>
        </is>
      </c>
      <c r="F1512" s="208" t="n">
        <v>24</v>
      </c>
      <c r="G1512" s="208" t="n">
        <v>477</v>
      </c>
      <c r="H1512" s="208" t="inlineStr">
        <is>
          <t>No separate deliverable explicitly named</t>
        </is>
      </c>
    </row>
    <row r="1513">
      <c r="A1513" s="199" t="inlineStr">
        <is>
          <t>RTM-183</t>
        </is>
      </c>
      <c r="B1513" s="223" t="inlineStr">
        <is>
          <t>L2 Detailed Design</t>
        </is>
      </c>
      <c r="C1513" s="199" t="n">
        <v>3</v>
      </c>
      <c r="D1513" s="199" t="inlineStr">
        <is>
          <t>T3 Contextual</t>
        </is>
      </c>
      <c r="E1513" s="199" t="inlineStr">
        <is>
          <t>Subsystems</t>
        </is>
      </c>
      <c r="F1513" s="199" t="n">
        <v>24</v>
      </c>
      <c r="G1513" s="199" t="n">
        <v>477</v>
      </c>
      <c r="H1513" s="199" t="inlineStr">
        <is>
          <t>No separate deliverable explicitly named</t>
        </is>
      </c>
    </row>
    <row r="1514">
      <c r="A1514" s="208" t="inlineStr">
        <is>
          <t>RTM-185</t>
        </is>
      </c>
      <c r="B1514" s="222" t="inlineStr">
        <is>
          <t>L1 Conceptual Design</t>
        </is>
      </c>
      <c r="C1514" s="208" t="n">
        <v>2</v>
      </c>
      <c r="D1514" s="208" t="inlineStr">
        <is>
          <t>T3 Contextual</t>
        </is>
      </c>
      <c r="E1514" s="208" t="inlineStr">
        <is>
          <t>Subsystems</t>
        </is>
      </c>
      <c r="F1514" s="208" t="n">
        <v>24</v>
      </c>
      <c r="G1514" s="208" t="n">
        <v>478</v>
      </c>
      <c r="H1514" s="208" t="inlineStr">
        <is>
          <t>No separate deliverable explicitly named</t>
        </is>
      </c>
    </row>
    <row r="1515">
      <c r="A1515" s="199" t="inlineStr">
        <is>
          <t>RTM-185</t>
        </is>
      </c>
      <c r="B1515" s="223" t="inlineStr">
        <is>
          <t>L2 Detailed Design</t>
        </is>
      </c>
      <c r="C1515" s="199" t="n">
        <v>3</v>
      </c>
      <c r="D1515" s="199" t="inlineStr">
        <is>
          <t>T3 Contextual</t>
        </is>
      </c>
      <c r="E1515" s="199" t="inlineStr">
        <is>
          <t>Subsystems</t>
        </is>
      </c>
      <c r="F1515" s="199" t="n">
        <v>24</v>
      </c>
      <c r="G1515" s="199" t="n">
        <v>478</v>
      </c>
      <c r="H1515" s="199" t="inlineStr">
        <is>
          <t>No separate deliverable explicitly named</t>
        </is>
      </c>
    </row>
    <row r="1516">
      <c r="A1516" s="208" t="inlineStr">
        <is>
          <t>RTM-188</t>
        </is>
      </c>
      <c r="B1516" s="222" t="inlineStr">
        <is>
          <t>L1 Conceptual Design</t>
        </is>
      </c>
      <c r="C1516" s="208" t="n">
        <v>2</v>
      </c>
      <c r="D1516" s="208" t="inlineStr">
        <is>
          <t>T3 Contextual</t>
        </is>
      </c>
      <c r="E1516" s="208" t="inlineStr">
        <is>
          <t>Subsystems</t>
        </is>
      </c>
      <c r="F1516" s="208" t="n">
        <v>24</v>
      </c>
      <c r="G1516" s="208" t="n">
        <v>479</v>
      </c>
      <c r="H1516" s="208" t="inlineStr">
        <is>
          <t>No separate deliverable explicitly named</t>
        </is>
      </c>
    </row>
    <row r="1517">
      <c r="A1517" s="199" t="inlineStr">
        <is>
          <t>RTM-188</t>
        </is>
      </c>
      <c r="B1517" s="223" t="inlineStr">
        <is>
          <t>L2 Detailed Design</t>
        </is>
      </c>
      <c r="C1517" s="199" t="n">
        <v>3</v>
      </c>
      <c r="D1517" s="199" t="inlineStr">
        <is>
          <t>T3 Contextual</t>
        </is>
      </c>
      <c r="E1517" s="199" t="inlineStr">
        <is>
          <t>Subsystems</t>
        </is>
      </c>
      <c r="F1517" s="199" t="n">
        <v>24</v>
      </c>
      <c r="G1517" s="199" t="n">
        <v>479</v>
      </c>
      <c r="H1517" s="199" t="inlineStr">
        <is>
          <t>No separate deliverable explicitly named</t>
        </is>
      </c>
    </row>
    <row r="1518">
      <c r="A1518" s="208" t="inlineStr">
        <is>
          <t>RTM-189</t>
        </is>
      </c>
      <c r="B1518" s="222" t="inlineStr">
        <is>
          <t>L1 Conceptual Design</t>
        </is>
      </c>
      <c r="C1518" s="208" t="n">
        <v>2</v>
      </c>
      <c r="D1518" s="208" t="inlineStr">
        <is>
          <t>T3 Contextual</t>
        </is>
      </c>
      <c r="E1518" s="208" t="inlineStr">
        <is>
          <t>Subsystems</t>
        </is>
      </c>
      <c r="F1518" s="208" t="n">
        <v>24</v>
      </c>
      <c r="G1518" s="208" t="n">
        <v>480</v>
      </c>
      <c r="H1518" s="208" t="inlineStr">
        <is>
          <t>No separate deliverable explicitly named</t>
        </is>
      </c>
    </row>
    <row r="1519">
      <c r="A1519" s="199" t="inlineStr">
        <is>
          <t>RTM-189</t>
        </is>
      </c>
      <c r="B1519" s="223" t="inlineStr">
        <is>
          <t>L2 Detailed Design</t>
        </is>
      </c>
      <c r="C1519" s="199" t="n">
        <v>3</v>
      </c>
      <c r="D1519" s="199" t="inlineStr">
        <is>
          <t>T3 Contextual</t>
        </is>
      </c>
      <c r="E1519" s="199" t="inlineStr">
        <is>
          <t>Subsystems</t>
        </is>
      </c>
      <c r="F1519" s="199" t="n">
        <v>24</v>
      </c>
      <c r="G1519" s="199" t="n">
        <v>480</v>
      </c>
      <c r="H1519" s="199" t="inlineStr">
        <is>
          <t>No separate deliverable explicitly named</t>
        </is>
      </c>
    </row>
    <row r="1520">
      <c r="A1520" s="208" t="inlineStr">
        <is>
          <t>RTM-190</t>
        </is>
      </c>
      <c r="B1520" s="222" t="inlineStr">
        <is>
          <t>L1 Conceptual Design</t>
        </is>
      </c>
      <c r="C1520" s="208" t="n">
        <v>2</v>
      </c>
      <c r="D1520" s="208" t="inlineStr">
        <is>
          <t>T3 Contextual</t>
        </is>
      </c>
      <c r="E1520" s="208" t="inlineStr">
        <is>
          <t>Subsystems</t>
        </is>
      </c>
      <c r="F1520" s="208" t="n">
        <v>24</v>
      </c>
      <c r="G1520" s="208" t="n">
        <v>481</v>
      </c>
      <c r="H1520" s="208" t="inlineStr">
        <is>
          <t>No separate deliverable explicitly named</t>
        </is>
      </c>
    </row>
    <row r="1521">
      <c r="A1521" s="199" t="inlineStr">
        <is>
          <t>RTM-190</t>
        </is>
      </c>
      <c r="B1521" s="223" t="inlineStr">
        <is>
          <t>L2 Detailed Design</t>
        </is>
      </c>
      <c r="C1521" s="199" t="n">
        <v>3</v>
      </c>
      <c r="D1521" s="199" t="inlineStr">
        <is>
          <t>T3 Contextual</t>
        </is>
      </c>
      <c r="E1521" s="199" t="inlineStr">
        <is>
          <t>Subsystems</t>
        </is>
      </c>
      <c r="F1521" s="199" t="n">
        <v>24</v>
      </c>
      <c r="G1521" s="199" t="n">
        <v>481</v>
      </c>
      <c r="H1521" s="199" t="inlineStr">
        <is>
          <t>No separate deliverable explicitly named</t>
        </is>
      </c>
    </row>
    <row r="1522">
      <c r="A1522" s="208" t="inlineStr">
        <is>
          <t>RTM-192</t>
        </is>
      </c>
      <c r="B1522" s="222" t="inlineStr">
        <is>
          <t>L1 Conceptual Design</t>
        </is>
      </c>
      <c r="C1522" s="208" t="n">
        <v>2</v>
      </c>
      <c r="D1522" s="208" t="inlineStr">
        <is>
          <t>T3 Contextual</t>
        </is>
      </c>
      <c r="E1522" s="208" t="inlineStr">
        <is>
          <t>Subsystems</t>
        </is>
      </c>
      <c r="F1522" s="208" t="n">
        <v>24</v>
      </c>
      <c r="G1522" s="208" t="n">
        <v>482</v>
      </c>
      <c r="H1522" s="208" t="inlineStr">
        <is>
          <t>No separate deliverable explicitly named</t>
        </is>
      </c>
    </row>
    <row r="1523">
      <c r="A1523" s="199" t="inlineStr">
        <is>
          <t>RTM-192</t>
        </is>
      </c>
      <c r="B1523" s="223" t="inlineStr">
        <is>
          <t>L2 Detailed Design</t>
        </is>
      </c>
      <c r="C1523" s="199" t="n">
        <v>3</v>
      </c>
      <c r="D1523" s="199" t="inlineStr">
        <is>
          <t>T3 Contextual</t>
        </is>
      </c>
      <c r="E1523" s="199" t="inlineStr">
        <is>
          <t>Subsystems</t>
        </is>
      </c>
      <c r="F1523" s="199" t="n">
        <v>24</v>
      </c>
      <c r="G1523" s="199" t="n">
        <v>482</v>
      </c>
      <c r="H1523" s="199" t="inlineStr">
        <is>
          <t>No separate deliverable explicitly named</t>
        </is>
      </c>
    </row>
    <row r="1524">
      <c r="A1524" s="208" t="inlineStr">
        <is>
          <t>RTM-193</t>
        </is>
      </c>
      <c r="B1524" s="222" t="inlineStr">
        <is>
          <t>L1 Conceptual Design</t>
        </is>
      </c>
      <c r="C1524" s="208" t="n">
        <v>2</v>
      </c>
      <c r="D1524" s="208" t="inlineStr">
        <is>
          <t>T3 Contextual</t>
        </is>
      </c>
      <c r="E1524" s="208" t="inlineStr">
        <is>
          <t>Subsystems</t>
        </is>
      </c>
      <c r="F1524" s="208" t="n">
        <v>24</v>
      </c>
      <c r="G1524" s="208" t="n">
        <v>483</v>
      </c>
      <c r="H1524" s="208" t="inlineStr">
        <is>
          <t>No separate deliverable explicitly named</t>
        </is>
      </c>
    </row>
    <row r="1525">
      <c r="A1525" s="199" t="inlineStr">
        <is>
          <t>RTM-193</t>
        </is>
      </c>
      <c r="B1525" s="223" t="inlineStr">
        <is>
          <t>L2 Detailed Design</t>
        </is>
      </c>
      <c r="C1525" s="199" t="n">
        <v>3</v>
      </c>
      <c r="D1525" s="199" t="inlineStr">
        <is>
          <t>T3 Contextual</t>
        </is>
      </c>
      <c r="E1525" s="199" t="inlineStr">
        <is>
          <t>Subsystems</t>
        </is>
      </c>
      <c r="F1525" s="199" t="n">
        <v>24</v>
      </c>
      <c r="G1525" s="199" t="n">
        <v>483</v>
      </c>
      <c r="H1525" s="199" t="inlineStr">
        <is>
          <t>No separate deliverable explicitly named</t>
        </is>
      </c>
    </row>
    <row r="1526">
      <c r="A1526" s="208" t="inlineStr">
        <is>
          <t>RTM-196</t>
        </is>
      </c>
      <c r="B1526" s="222" t="inlineStr">
        <is>
          <t>L1 Conceptual Design</t>
        </is>
      </c>
      <c r="C1526" s="208" t="n">
        <v>2</v>
      </c>
      <c r="D1526" s="208" t="inlineStr">
        <is>
          <t>T3 Contextual</t>
        </is>
      </c>
      <c r="E1526" s="208" t="inlineStr">
        <is>
          <t>Subsystems</t>
        </is>
      </c>
      <c r="F1526" s="208" t="n">
        <v>24</v>
      </c>
      <c r="G1526" s="208" t="n">
        <v>484</v>
      </c>
      <c r="H1526" s="208" t="inlineStr">
        <is>
          <t>No separate deliverable explicitly named</t>
        </is>
      </c>
    </row>
    <row r="1527">
      <c r="A1527" s="199" t="inlineStr">
        <is>
          <t>RTM-196</t>
        </is>
      </c>
      <c r="B1527" s="223" t="inlineStr">
        <is>
          <t>L2 Detailed Design</t>
        </is>
      </c>
      <c r="C1527" s="199" t="n">
        <v>3</v>
      </c>
      <c r="D1527" s="199" t="inlineStr">
        <is>
          <t>T3 Contextual</t>
        </is>
      </c>
      <c r="E1527" s="199" t="inlineStr">
        <is>
          <t>Subsystems</t>
        </is>
      </c>
      <c r="F1527" s="199" t="n">
        <v>24</v>
      </c>
      <c r="G1527" s="199" t="n">
        <v>484</v>
      </c>
      <c r="H1527" s="199" t="inlineStr">
        <is>
          <t>No separate deliverable explicitly named</t>
        </is>
      </c>
    </row>
    <row r="1528">
      <c r="A1528" s="208" t="inlineStr">
        <is>
          <t>RTM-199</t>
        </is>
      </c>
      <c r="B1528" s="222" t="inlineStr">
        <is>
          <t>L1 Conceptual Design</t>
        </is>
      </c>
      <c r="C1528" s="208" t="n">
        <v>2</v>
      </c>
      <c r="D1528" s="208" t="inlineStr">
        <is>
          <t>T3 Contextual</t>
        </is>
      </c>
      <c r="E1528" s="208" t="inlineStr">
        <is>
          <t>Subsystems</t>
        </is>
      </c>
      <c r="F1528" s="208" t="n">
        <v>24</v>
      </c>
      <c r="G1528" s="208" t="n">
        <v>485</v>
      </c>
      <c r="H1528" s="208" t="inlineStr">
        <is>
          <t>No separate deliverable explicitly named</t>
        </is>
      </c>
    </row>
    <row r="1529">
      <c r="A1529" s="199" t="inlineStr">
        <is>
          <t>RTM-199</t>
        </is>
      </c>
      <c r="B1529" s="223" t="inlineStr">
        <is>
          <t>L2 Detailed Design</t>
        </is>
      </c>
      <c r="C1529" s="199" t="n">
        <v>3</v>
      </c>
      <c r="D1529" s="199" t="inlineStr">
        <is>
          <t>T3 Contextual</t>
        </is>
      </c>
      <c r="E1529" s="199" t="inlineStr">
        <is>
          <t>Subsystems</t>
        </is>
      </c>
      <c r="F1529" s="199" t="n">
        <v>24</v>
      </c>
      <c r="G1529" s="199" t="n">
        <v>485</v>
      </c>
      <c r="H1529" s="199" t="inlineStr">
        <is>
          <t>No separate deliverable explicitly named</t>
        </is>
      </c>
    </row>
    <row r="1530">
      <c r="A1530" s="208" t="inlineStr">
        <is>
          <t>RTM-200</t>
        </is>
      </c>
      <c r="B1530" s="222" t="inlineStr">
        <is>
          <t>L1 Conceptual Design</t>
        </is>
      </c>
      <c r="C1530" s="208" t="n">
        <v>2</v>
      </c>
      <c r="D1530" s="208" t="inlineStr">
        <is>
          <t>T3 Contextual</t>
        </is>
      </c>
      <c r="E1530" s="208" t="inlineStr">
        <is>
          <t>Subsystems</t>
        </is>
      </c>
      <c r="F1530" s="208" t="n">
        <v>24</v>
      </c>
      <c r="G1530" s="208" t="n">
        <v>486</v>
      </c>
      <c r="H1530" s="208" t="inlineStr">
        <is>
          <t>No separate deliverable explicitly named</t>
        </is>
      </c>
    </row>
    <row r="1531">
      <c r="A1531" s="199" t="inlineStr">
        <is>
          <t>RTM-200</t>
        </is>
      </c>
      <c r="B1531" s="223" t="inlineStr">
        <is>
          <t>L2 Detailed Design</t>
        </is>
      </c>
      <c r="C1531" s="199" t="n">
        <v>3</v>
      </c>
      <c r="D1531" s="199" t="inlineStr">
        <is>
          <t>T3 Contextual</t>
        </is>
      </c>
      <c r="E1531" s="199" t="inlineStr">
        <is>
          <t>Subsystems</t>
        </is>
      </c>
      <c r="F1531" s="199" t="n">
        <v>24</v>
      </c>
      <c r="G1531" s="199" t="n">
        <v>486</v>
      </c>
      <c r="H1531" s="199" t="inlineStr">
        <is>
          <t>No separate deliverable explicitly named</t>
        </is>
      </c>
    </row>
    <row r="1532">
      <c r="A1532" s="208" t="inlineStr">
        <is>
          <t>RTM-202</t>
        </is>
      </c>
      <c r="B1532" s="223" t="inlineStr">
        <is>
          <t>L2 Detailed Design</t>
        </is>
      </c>
      <c r="C1532" s="208" t="n">
        <v>3</v>
      </c>
      <c r="D1532" s="208" t="inlineStr">
        <is>
          <t>T3 Contextual</t>
        </is>
      </c>
      <c r="E1532" s="208" t="inlineStr">
        <is>
          <t>Subsystems</t>
        </is>
      </c>
      <c r="F1532" s="208" t="n">
        <v>24</v>
      </c>
      <c r="G1532" s="208" t="n">
        <v>487</v>
      </c>
      <c r="H1532" s="208" t="inlineStr">
        <is>
          <t>No separate deliverable explicitly named</t>
        </is>
      </c>
    </row>
    <row r="1533">
      <c r="A1533" s="199" t="inlineStr">
        <is>
          <t>RTM-202</t>
        </is>
      </c>
      <c r="B1533" s="222" t="inlineStr">
        <is>
          <t>L1 Conceptual Design</t>
        </is>
      </c>
      <c r="C1533" s="199" t="n">
        <v>2</v>
      </c>
      <c r="D1533" s="199" t="inlineStr">
        <is>
          <t>T3 Contextual</t>
        </is>
      </c>
      <c r="E1533" s="199" t="inlineStr">
        <is>
          <t>Subsystems</t>
        </is>
      </c>
      <c r="F1533" s="199" t="n">
        <v>24</v>
      </c>
      <c r="G1533" s="199" t="n">
        <v>487</v>
      </c>
      <c r="H1533" s="199" t="inlineStr">
        <is>
          <t>No separate deliverable explicitly named</t>
        </is>
      </c>
    </row>
    <row r="1534">
      <c r="A1534" s="208" t="inlineStr">
        <is>
          <t>RTM-204</t>
        </is>
      </c>
      <c r="B1534" s="224" t="inlineStr">
        <is>
          <t>L3 Procurement &amp; Manufacturing / FAT</t>
        </is>
      </c>
      <c r="C1534" s="208" t="n">
        <v>4</v>
      </c>
      <c r="D1534" s="208" t="inlineStr">
        <is>
          <t>T3 Contextual</t>
        </is>
      </c>
      <c r="E1534" s="208" t="inlineStr">
        <is>
          <t>Subsystems</t>
        </is>
      </c>
      <c r="F1534" s="208" t="n">
        <v>24</v>
      </c>
      <c r="G1534" s="208" t="n">
        <v>488</v>
      </c>
      <c r="H1534" s="208" t="inlineStr">
        <is>
          <t>No separate deliverable explicitly named</t>
        </is>
      </c>
    </row>
    <row r="1535">
      <c r="A1535" s="199" t="inlineStr">
        <is>
          <t>RTM-204</t>
        </is>
      </c>
      <c r="B1535" s="222" t="inlineStr">
        <is>
          <t>L1 Conceptual Design</t>
        </is>
      </c>
      <c r="C1535" s="199" t="n">
        <v>2</v>
      </c>
      <c r="D1535" s="199" t="inlineStr">
        <is>
          <t>T3 Contextual</t>
        </is>
      </c>
      <c r="E1535" s="199" t="inlineStr">
        <is>
          <t>Subsystems</t>
        </is>
      </c>
      <c r="F1535" s="199" t="n">
        <v>24</v>
      </c>
      <c r="G1535" s="199" t="n">
        <v>488</v>
      </c>
      <c r="H1535" s="199" t="inlineStr">
        <is>
          <t>No separate deliverable explicitly named</t>
        </is>
      </c>
    </row>
    <row r="1536">
      <c r="A1536" s="208" t="inlineStr">
        <is>
          <t>RTM-204</t>
        </is>
      </c>
      <c r="B1536" s="223" t="inlineStr">
        <is>
          <t>L2 Detailed Design</t>
        </is>
      </c>
      <c r="C1536" s="208" t="n">
        <v>3</v>
      </c>
      <c r="D1536" s="208" t="inlineStr">
        <is>
          <t>T3 Contextual</t>
        </is>
      </c>
      <c r="E1536" s="208" t="inlineStr">
        <is>
          <t>Subsystems</t>
        </is>
      </c>
      <c r="F1536" s="208" t="n">
        <v>24</v>
      </c>
      <c r="G1536" s="208" t="n">
        <v>488</v>
      </c>
      <c r="H1536" s="208" t="inlineStr">
        <is>
          <t>No separate deliverable explicitly named</t>
        </is>
      </c>
    </row>
    <row r="1537">
      <c r="A1537" s="199" t="inlineStr">
        <is>
          <t>RTM-207</t>
        </is>
      </c>
      <c r="B1537" s="222" t="inlineStr">
        <is>
          <t>L1 Conceptual Design</t>
        </is>
      </c>
      <c r="C1537" s="199" t="n">
        <v>2</v>
      </c>
      <c r="D1537" s="199" t="inlineStr">
        <is>
          <t>T3 Contextual</t>
        </is>
      </c>
      <c r="E1537" s="199" t="inlineStr">
        <is>
          <t>Subsystems</t>
        </is>
      </c>
      <c r="F1537" s="199" t="n">
        <v>24</v>
      </c>
      <c r="G1537" s="199" t="n">
        <v>489</v>
      </c>
      <c r="H1537" s="199" t="inlineStr">
        <is>
          <t>No separate deliverable explicitly named</t>
        </is>
      </c>
    </row>
    <row r="1538">
      <c r="A1538" s="208" t="inlineStr">
        <is>
          <t>RTM-207</t>
        </is>
      </c>
      <c r="B1538" s="223" t="inlineStr">
        <is>
          <t>L2 Detailed Design</t>
        </is>
      </c>
      <c r="C1538" s="208" t="n">
        <v>3</v>
      </c>
      <c r="D1538" s="208" t="inlineStr">
        <is>
          <t>T3 Contextual</t>
        </is>
      </c>
      <c r="E1538" s="208" t="inlineStr">
        <is>
          <t>Subsystems</t>
        </is>
      </c>
      <c r="F1538" s="208" t="n">
        <v>24</v>
      </c>
      <c r="G1538" s="208" t="n">
        <v>489</v>
      </c>
      <c r="H1538" s="208" t="inlineStr">
        <is>
          <t>No separate deliverable explicitly named</t>
        </is>
      </c>
    </row>
    <row r="1539">
      <c r="A1539" s="199" t="inlineStr">
        <is>
          <t>RTM-217</t>
        </is>
      </c>
      <c r="B1539" s="222" t="inlineStr">
        <is>
          <t>L1 Conceptual Design</t>
        </is>
      </c>
      <c r="C1539" s="199" t="n">
        <v>2</v>
      </c>
      <c r="D1539" s="199" t="inlineStr">
        <is>
          <t>T3 Contextual</t>
        </is>
      </c>
      <c r="E1539" s="199" t="inlineStr">
        <is>
          <t>Subsystems</t>
        </is>
      </c>
      <c r="F1539" s="199" t="n">
        <v>24</v>
      </c>
      <c r="G1539" s="199" t="n">
        <v>490</v>
      </c>
      <c r="H1539" s="199" t="inlineStr">
        <is>
          <t>No separate deliverable explicitly named</t>
        </is>
      </c>
    </row>
    <row r="1540">
      <c r="A1540" s="208" t="inlineStr">
        <is>
          <t>RTM-217</t>
        </is>
      </c>
      <c r="B1540" s="223" t="inlineStr">
        <is>
          <t>L2 Detailed Design</t>
        </is>
      </c>
      <c r="C1540" s="208" t="n">
        <v>3</v>
      </c>
      <c r="D1540" s="208" t="inlineStr">
        <is>
          <t>T3 Contextual</t>
        </is>
      </c>
      <c r="E1540" s="208" t="inlineStr">
        <is>
          <t>Subsystems</t>
        </is>
      </c>
      <c r="F1540" s="208" t="n">
        <v>24</v>
      </c>
      <c r="G1540" s="208" t="n">
        <v>490</v>
      </c>
      <c r="H1540" s="208" t="inlineStr">
        <is>
          <t>No separate deliverable explicitly named</t>
        </is>
      </c>
    </row>
    <row r="1541">
      <c r="A1541" s="199" t="inlineStr">
        <is>
          <t>RTM-222</t>
        </is>
      </c>
      <c r="B1541" s="222" t="inlineStr">
        <is>
          <t>L1 Conceptual Design</t>
        </is>
      </c>
      <c r="C1541" s="199" t="n">
        <v>2</v>
      </c>
      <c r="D1541" s="199" t="inlineStr">
        <is>
          <t>T3 Contextual</t>
        </is>
      </c>
      <c r="E1541" s="199" t="inlineStr">
        <is>
          <t>Subsystems</t>
        </is>
      </c>
      <c r="F1541" s="199" t="n">
        <v>24</v>
      </c>
      <c r="G1541" s="199" t="n">
        <v>491</v>
      </c>
      <c r="H1541" s="199" t="inlineStr">
        <is>
          <t>No separate deliverable explicitly named</t>
        </is>
      </c>
    </row>
    <row r="1542">
      <c r="A1542" s="208" t="inlineStr">
        <is>
          <t>RTM-222</t>
        </is>
      </c>
      <c r="B1542" s="223" t="inlineStr">
        <is>
          <t>L2 Detailed Design</t>
        </is>
      </c>
      <c r="C1542" s="208" t="n">
        <v>3</v>
      </c>
      <c r="D1542" s="208" t="inlineStr">
        <is>
          <t>T3 Contextual</t>
        </is>
      </c>
      <c r="E1542" s="208" t="inlineStr">
        <is>
          <t>Subsystems</t>
        </is>
      </c>
      <c r="F1542" s="208" t="n">
        <v>24</v>
      </c>
      <c r="G1542" s="208" t="n">
        <v>491</v>
      </c>
      <c r="H1542" s="208" t="inlineStr">
        <is>
          <t>No separate deliverable explicitly named</t>
        </is>
      </c>
    </row>
    <row r="1543">
      <c r="A1543" s="199" t="inlineStr">
        <is>
          <t>RTM-225</t>
        </is>
      </c>
      <c r="B1543" s="222" t="inlineStr">
        <is>
          <t>L1 Conceptual Design</t>
        </is>
      </c>
      <c r="C1543" s="199" t="n">
        <v>2</v>
      </c>
      <c r="D1543" s="199" t="inlineStr">
        <is>
          <t>T3 Contextual</t>
        </is>
      </c>
      <c r="E1543" s="199" t="inlineStr">
        <is>
          <t>Subsystems</t>
        </is>
      </c>
      <c r="F1543" s="199" t="n">
        <v>24</v>
      </c>
      <c r="G1543" s="199" t="n">
        <v>492</v>
      </c>
      <c r="H1543" s="199" t="inlineStr">
        <is>
          <t>No separate deliverable explicitly named</t>
        </is>
      </c>
    </row>
    <row r="1544">
      <c r="A1544" s="208" t="inlineStr">
        <is>
          <t>RTM-225</t>
        </is>
      </c>
      <c r="B1544" s="223" t="inlineStr">
        <is>
          <t>L2 Detailed Design</t>
        </is>
      </c>
      <c r="C1544" s="208" t="n">
        <v>3</v>
      </c>
      <c r="D1544" s="208" t="inlineStr">
        <is>
          <t>T3 Contextual</t>
        </is>
      </c>
      <c r="E1544" s="208" t="inlineStr">
        <is>
          <t>Subsystems</t>
        </is>
      </c>
      <c r="F1544" s="208" t="n">
        <v>24</v>
      </c>
      <c r="G1544" s="208" t="n">
        <v>492</v>
      </c>
      <c r="H1544" s="208" t="inlineStr">
        <is>
          <t>No separate deliverable explicitly named</t>
        </is>
      </c>
    </row>
    <row r="1545">
      <c r="A1545" s="199" t="inlineStr">
        <is>
          <t>RTM-229</t>
        </is>
      </c>
      <c r="B1545" s="222" t="inlineStr">
        <is>
          <t>L1 Conceptual Design</t>
        </is>
      </c>
      <c r="C1545" s="199" t="n">
        <v>2</v>
      </c>
      <c r="D1545" s="199" t="inlineStr">
        <is>
          <t>T3 Contextual</t>
        </is>
      </c>
      <c r="E1545" s="199" t="inlineStr">
        <is>
          <t>Subsystems</t>
        </is>
      </c>
      <c r="F1545" s="199" t="n">
        <v>24</v>
      </c>
      <c r="G1545" s="199" t="n">
        <v>493</v>
      </c>
      <c r="H1545" s="199" t="inlineStr">
        <is>
          <t>No separate deliverable explicitly named</t>
        </is>
      </c>
    </row>
    <row r="1546">
      <c r="A1546" s="208" t="inlineStr">
        <is>
          <t>RTM-229</t>
        </is>
      </c>
      <c r="B1546" s="223" t="inlineStr">
        <is>
          <t>L2 Detailed Design</t>
        </is>
      </c>
      <c r="C1546" s="208" t="n">
        <v>3</v>
      </c>
      <c r="D1546" s="208" t="inlineStr">
        <is>
          <t>T3 Contextual</t>
        </is>
      </c>
      <c r="E1546" s="208" t="inlineStr">
        <is>
          <t>Subsystems</t>
        </is>
      </c>
      <c r="F1546" s="208" t="n">
        <v>24</v>
      </c>
      <c r="G1546" s="208" t="n">
        <v>493</v>
      </c>
      <c r="H1546" s="208" t="inlineStr">
        <is>
          <t>No separate deliverable explicitly named</t>
        </is>
      </c>
    </row>
    <row r="1547">
      <c r="A1547" s="199" t="inlineStr">
        <is>
          <t>RTM-231</t>
        </is>
      </c>
      <c r="B1547" s="222" t="inlineStr">
        <is>
          <t>L1 Conceptual Design</t>
        </is>
      </c>
      <c r="C1547" s="199" t="n">
        <v>2</v>
      </c>
      <c r="D1547" s="199" t="inlineStr">
        <is>
          <t>T3 Contextual</t>
        </is>
      </c>
      <c r="E1547" s="199" t="inlineStr">
        <is>
          <t>Subsystems</t>
        </is>
      </c>
      <c r="F1547" s="199" t="n">
        <v>24</v>
      </c>
      <c r="G1547" s="199" t="n">
        <v>494</v>
      </c>
      <c r="H1547" s="199" t="inlineStr">
        <is>
          <t>No separate deliverable explicitly named</t>
        </is>
      </c>
    </row>
    <row r="1548">
      <c r="A1548" s="208" t="inlineStr">
        <is>
          <t>RTM-231</t>
        </is>
      </c>
      <c r="B1548" s="223" t="inlineStr">
        <is>
          <t>L2 Detailed Design</t>
        </is>
      </c>
      <c r="C1548" s="208" t="n">
        <v>3</v>
      </c>
      <c r="D1548" s="208" t="inlineStr">
        <is>
          <t>T3 Contextual</t>
        </is>
      </c>
      <c r="E1548" s="208" t="inlineStr">
        <is>
          <t>Subsystems</t>
        </is>
      </c>
      <c r="F1548" s="208" t="n">
        <v>24</v>
      </c>
      <c r="G1548" s="208" t="n">
        <v>494</v>
      </c>
      <c r="H1548" s="208" t="inlineStr">
        <is>
          <t>No separate deliverable explicitly named</t>
        </is>
      </c>
    </row>
    <row r="1549">
      <c r="A1549" s="199" t="inlineStr">
        <is>
          <t>RTM-233</t>
        </is>
      </c>
      <c r="B1549" s="222" t="inlineStr">
        <is>
          <t>L1 Conceptual Design</t>
        </is>
      </c>
      <c r="C1549" s="199" t="n">
        <v>2</v>
      </c>
      <c r="D1549" s="199" t="inlineStr">
        <is>
          <t>T3 Contextual</t>
        </is>
      </c>
      <c r="E1549" s="199" t="inlineStr">
        <is>
          <t>Subsystems</t>
        </is>
      </c>
      <c r="F1549" s="199" t="n">
        <v>24</v>
      </c>
      <c r="G1549" s="199" t="n">
        <v>495</v>
      </c>
      <c r="H1549" s="199" t="inlineStr">
        <is>
          <t>No separate deliverable explicitly named</t>
        </is>
      </c>
    </row>
    <row r="1550">
      <c r="A1550" s="208" t="inlineStr">
        <is>
          <t>RTM-233</t>
        </is>
      </c>
      <c r="B1550" s="223" t="inlineStr">
        <is>
          <t>L2 Detailed Design</t>
        </is>
      </c>
      <c r="C1550" s="208" t="n">
        <v>3</v>
      </c>
      <c r="D1550" s="208" t="inlineStr">
        <is>
          <t>T3 Contextual</t>
        </is>
      </c>
      <c r="E1550" s="208" t="inlineStr">
        <is>
          <t>Subsystems</t>
        </is>
      </c>
      <c r="F1550" s="208" t="n">
        <v>24</v>
      </c>
      <c r="G1550" s="208" t="n">
        <v>495</v>
      </c>
      <c r="H1550" s="208" t="inlineStr">
        <is>
          <t>No separate deliverable explicitly named</t>
        </is>
      </c>
    </row>
    <row r="1551">
      <c r="A1551" s="199" t="inlineStr">
        <is>
          <t>RTM-234</t>
        </is>
      </c>
      <c r="B1551" s="222" t="inlineStr">
        <is>
          <t>L1 Conceptual Design</t>
        </is>
      </c>
      <c r="C1551" s="199" t="n">
        <v>2</v>
      </c>
      <c r="D1551" s="199" t="inlineStr">
        <is>
          <t>T3 Contextual</t>
        </is>
      </c>
      <c r="E1551" s="199" t="inlineStr">
        <is>
          <t>Subsystems</t>
        </is>
      </c>
      <c r="F1551" s="199" t="n">
        <v>24</v>
      </c>
      <c r="G1551" s="199" t="n">
        <v>496</v>
      </c>
      <c r="H1551" s="199" t="inlineStr">
        <is>
          <t>No separate deliverable explicitly named</t>
        </is>
      </c>
    </row>
    <row r="1552">
      <c r="A1552" s="208" t="inlineStr">
        <is>
          <t>RTM-234</t>
        </is>
      </c>
      <c r="B1552" s="223" t="inlineStr">
        <is>
          <t>L2 Detailed Design</t>
        </is>
      </c>
      <c r="C1552" s="208" t="n">
        <v>3</v>
      </c>
      <c r="D1552" s="208" t="inlineStr">
        <is>
          <t>T3 Contextual</t>
        </is>
      </c>
      <c r="E1552" s="208" t="inlineStr">
        <is>
          <t>Subsystems</t>
        </is>
      </c>
      <c r="F1552" s="208" t="n">
        <v>24</v>
      </c>
      <c r="G1552" s="208" t="n">
        <v>496</v>
      </c>
      <c r="H1552" s="208" t="inlineStr">
        <is>
          <t>No separate deliverable explicitly named</t>
        </is>
      </c>
    </row>
    <row r="1553">
      <c r="A1553" s="199" t="inlineStr">
        <is>
          <t>RTM-235</t>
        </is>
      </c>
      <c r="B1553" s="222" t="inlineStr">
        <is>
          <t>L1 Conceptual Design</t>
        </is>
      </c>
      <c r="C1553" s="199" t="n">
        <v>2</v>
      </c>
      <c r="D1553" s="199" t="inlineStr">
        <is>
          <t>T3 Contextual</t>
        </is>
      </c>
      <c r="E1553" s="199" t="inlineStr">
        <is>
          <t>Subsystems</t>
        </is>
      </c>
      <c r="F1553" s="199" t="n">
        <v>24</v>
      </c>
      <c r="G1553" s="199" t="n">
        <v>497</v>
      </c>
      <c r="H1553" s="199" t="inlineStr">
        <is>
          <t>No separate deliverable explicitly named</t>
        </is>
      </c>
    </row>
    <row r="1554">
      <c r="A1554" s="208" t="inlineStr">
        <is>
          <t>RTM-235</t>
        </is>
      </c>
      <c r="B1554" s="223" t="inlineStr">
        <is>
          <t>L2 Detailed Design</t>
        </is>
      </c>
      <c r="C1554" s="208" t="n">
        <v>3</v>
      </c>
      <c r="D1554" s="208" t="inlineStr">
        <is>
          <t>T3 Contextual</t>
        </is>
      </c>
      <c r="E1554" s="208" t="inlineStr">
        <is>
          <t>Subsystems</t>
        </is>
      </c>
      <c r="F1554" s="208" t="n">
        <v>24</v>
      </c>
      <c r="G1554" s="208" t="n">
        <v>497</v>
      </c>
      <c r="H1554" s="208" t="inlineStr">
        <is>
          <t>No separate deliverable explicitly named</t>
        </is>
      </c>
    </row>
    <row r="1555">
      <c r="A1555" s="199" t="inlineStr">
        <is>
          <t>RTM-236</t>
        </is>
      </c>
      <c r="B1555" s="222" t="inlineStr">
        <is>
          <t>L1 Conceptual Design</t>
        </is>
      </c>
      <c r="C1555" s="199" t="n">
        <v>2</v>
      </c>
      <c r="D1555" s="199" t="inlineStr">
        <is>
          <t>T3 Contextual</t>
        </is>
      </c>
      <c r="E1555" s="199" t="inlineStr">
        <is>
          <t>Subsystems</t>
        </is>
      </c>
      <c r="F1555" s="199" t="n">
        <v>24</v>
      </c>
      <c r="G1555" s="199" t="n">
        <v>498</v>
      </c>
      <c r="H1555" s="199" t="inlineStr">
        <is>
          <t>No separate deliverable explicitly named</t>
        </is>
      </c>
    </row>
    <row r="1556">
      <c r="A1556" s="208" t="inlineStr">
        <is>
          <t>RTM-236</t>
        </is>
      </c>
      <c r="B1556" s="223" t="inlineStr">
        <is>
          <t>L2 Detailed Design</t>
        </is>
      </c>
      <c r="C1556" s="208" t="n">
        <v>3</v>
      </c>
      <c r="D1556" s="208" t="inlineStr">
        <is>
          <t>T3 Contextual</t>
        </is>
      </c>
      <c r="E1556" s="208" t="inlineStr">
        <is>
          <t>Subsystems</t>
        </is>
      </c>
      <c r="F1556" s="208" t="n">
        <v>24</v>
      </c>
      <c r="G1556" s="208" t="n">
        <v>498</v>
      </c>
      <c r="H1556" s="208" t="inlineStr">
        <is>
          <t>No separate deliverable explicitly named</t>
        </is>
      </c>
    </row>
    <row r="1557">
      <c r="A1557" s="199" t="inlineStr">
        <is>
          <t>RTM-238</t>
        </is>
      </c>
      <c r="B1557" s="224" t="inlineStr">
        <is>
          <t>L3 Procurement &amp; Manufacturing / FAT</t>
        </is>
      </c>
      <c r="C1557" s="199" t="n">
        <v>4</v>
      </c>
      <c r="D1557" s="199" t="inlineStr">
        <is>
          <t>T3 Contextual</t>
        </is>
      </c>
      <c r="E1557" s="199" t="inlineStr">
        <is>
          <t>Subsystems</t>
        </is>
      </c>
      <c r="F1557" s="199" t="n">
        <v>24</v>
      </c>
      <c r="G1557" s="199" t="n">
        <v>499</v>
      </c>
      <c r="H1557" s="199" t="inlineStr">
        <is>
          <t>No separate deliverable explicitly named</t>
        </is>
      </c>
    </row>
    <row r="1558">
      <c r="A1558" s="208" t="inlineStr">
        <is>
          <t>RTM-238</t>
        </is>
      </c>
      <c r="B1558" s="222" t="inlineStr">
        <is>
          <t>L1 Conceptual Design</t>
        </is>
      </c>
      <c r="C1558" s="208" t="n">
        <v>2</v>
      </c>
      <c r="D1558" s="208" t="inlineStr">
        <is>
          <t>T3 Contextual</t>
        </is>
      </c>
      <c r="E1558" s="208" t="inlineStr">
        <is>
          <t>Subsystems</t>
        </is>
      </c>
      <c r="F1558" s="208" t="n">
        <v>24</v>
      </c>
      <c r="G1558" s="208" t="n">
        <v>499</v>
      </c>
      <c r="H1558" s="208" t="inlineStr">
        <is>
          <t>No separate deliverable explicitly named</t>
        </is>
      </c>
    </row>
    <row r="1559">
      <c r="A1559" s="199" t="inlineStr">
        <is>
          <t>RTM-238</t>
        </is>
      </c>
      <c r="B1559" s="223" t="inlineStr">
        <is>
          <t>L2 Detailed Design</t>
        </is>
      </c>
      <c r="C1559" s="199" t="n">
        <v>3</v>
      </c>
      <c r="D1559" s="199" t="inlineStr">
        <is>
          <t>T3 Contextual</t>
        </is>
      </c>
      <c r="E1559" s="199" t="inlineStr">
        <is>
          <t>Subsystems</t>
        </is>
      </c>
      <c r="F1559" s="199" t="n">
        <v>24</v>
      </c>
      <c r="G1559" s="199" t="n">
        <v>499</v>
      </c>
      <c r="H1559" s="199" t="inlineStr">
        <is>
          <t>No separate deliverable explicitly named</t>
        </is>
      </c>
    </row>
    <row r="1560">
      <c r="A1560" s="208" t="inlineStr">
        <is>
          <t>RTM-240</t>
        </is>
      </c>
      <c r="B1560" s="227" t="inlineStr">
        <is>
          <t>PAC / Handover</t>
        </is>
      </c>
      <c r="C1560" s="208" t="n">
        <v>9</v>
      </c>
      <c r="D1560" s="208" t="inlineStr">
        <is>
          <t>T3 Contextual</t>
        </is>
      </c>
      <c r="E1560" s="208" t="inlineStr">
        <is>
          <t>Subsystems</t>
        </is>
      </c>
      <c r="F1560" s="208" t="n">
        <v>24</v>
      </c>
      <c r="G1560" s="208" t="n">
        <v>500</v>
      </c>
      <c r="H1560" s="208" t="inlineStr">
        <is>
          <t>No separate deliverable explicitly named</t>
        </is>
      </c>
    </row>
    <row r="1561">
      <c r="A1561" s="199" t="inlineStr">
        <is>
          <t>RTM-240</t>
        </is>
      </c>
      <c r="B1561" s="222" t="inlineStr">
        <is>
          <t>L1 Conceptual Design</t>
        </is>
      </c>
      <c r="C1561" s="199" t="n">
        <v>2</v>
      </c>
      <c r="D1561" s="199" t="inlineStr">
        <is>
          <t>T3 Contextual</t>
        </is>
      </c>
      <c r="E1561" s="199" t="inlineStr">
        <is>
          <t>Subsystems</t>
        </is>
      </c>
      <c r="F1561" s="199" t="n">
        <v>24</v>
      </c>
      <c r="G1561" s="199" t="n">
        <v>500</v>
      </c>
      <c r="H1561" s="199" t="inlineStr">
        <is>
          <t>No separate deliverable explicitly named</t>
        </is>
      </c>
    </row>
    <row r="1562">
      <c r="A1562" s="208" t="inlineStr">
        <is>
          <t>RTM-240</t>
        </is>
      </c>
      <c r="B1562" s="223" t="inlineStr">
        <is>
          <t>L2 Detailed Design</t>
        </is>
      </c>
      <c r="C1562" s="208" t="n">
        <v>3</v>
      </c>
      <c r="D1562" s="208" t="inlineStr">
        <is>
          <t>T3 Contextual</t>
        </is>
      </c>
      <c r="E1562" s="208" t="inlineStr">
        <is>
          <t>Subsystems</t>
        </is>
      </c>
      <c r="F1562" s="208" t="n">
        <v>24</v>
      </c>
      <c r="G1562" s="208" t="n">
        <v>500</v>
      </c>
      <c r="H1562" s="208" t="inlineStr">
        <is>
          <t>No separate deliverable explicitly named</t>
        </is>
      </c>
    </row>
    <row r="1563">
      <c r="A1563" s="199" t="inlineStr">
        <is>
          <t>RTM-244</t>
        </is>
      </c>
      <c r="B1563" s="222" t="inlineStr">
        <is>
          <t>L1 Conceptual Design</t>
        </is>
      </c>
      <c r="C1563" s="199" t="n">
        <v>2</v>
      </c>
      <c r="D1563" s="199" t="inlineStr">
        <is>
          <t>T3 Contextual</t>
        </is>
      </c>
      <c r="E1563" s="199" t="inlineStr">
        <is>
          <t>Subsystems</t>
        </is>
      </c>
      <c r="F1563" s="199" t="n">
        <v>24</v>
      </c>
      <c r="G1563" s="199" t="n">
        <v>501</v>
      </c>
      <c r="H1563" s="199" t="inlineStr">
        <is>
          <t>No separate deliverable explicitly named</t>
        </is>
      </c>
    </row>
    <row r="1564">
      <c r="A1564" s="208" t="inlineStr">
        <is>
          <t>RTM-244</t>
        </is>
      </c>
      <c r="B1564" s="223" t="inlineStr">
        <is>
          <t>L2 Detailed Design</t>
        </is>
      </c>
      <c r="C1564" s="208" t="n">
        <v>3</v>
      </c>
      <c r="D1564" s="208" t="inlineStr">
        <is>
          <t>T3 Contextual</t>
        </is>
      </c>
      <c r="E1564" s="208" t="inlineStr">
        <is>
          <t>Subsystems</t>
        </is>
      </c>
      <c r="F1564" s="208" t="n">
        <v>24</v>
      </c>
      <c r="G1564" s="208" t="n">
        <v>501</v>
      </c>
      <c r="H1564" s="208" t="inlineStr">
        <is>
          <t>No separate deliverable explicitly named</t>
        </is>
      </c>
    </row>
    <row r="1565">
      <c r="A1565" s="199" t="inlineStr">
        <is>
          <t>RTM-245</t>
        </is>
      </c>
      <c r="B1565" s="222" t="inlineStr">
        <is>
          <t>L1 Conceptual Design</t>
        </is>
      </c>
      <c r="C1565" s="199" t="n">
        <v>2</v>
      </c>
      <c r="D1565" s="199" t="inlineStr">
        <is>
          <t>T3 Contextual</t>
        </is>
      </c>
      <c r="E1565" s="199" t="inlineStr">
        <is>
          <t>Subsystems</t>
        </is>
      </c>
      <c r="F1565" s="199" t="n">
        <v>24</v>
      </c>
      <c r="G1565" s="199" t="n">
        <v>502</v>
      </c>
      <c r="H1565" s="199" t="inlineStr">
        <is>
          <t>No separate deliverable explicitly named</t>
        </is>
      </c>
    </row>
    <row r="1566">
      <c r="A1566" s="208" t="inlineStr">
        <is>
          <t>RTM-245</t>
        </is>
      </c>
      <c r="B1566" s="223" t="inlineStr">
        <is>
          <t>L2 Detailed Design</t>
        </is>
      </c>
      <c r="C1566" s="208" t="n">
        <v>3</v>
      </c>
      <c r="D1566" s="208" t="inlineStr">
        <is>
          <t>T3 Contextual</t>
        </is>
      </c>
      <c r="E1566" s="208" t="inlineStr">
        <is>
          <t>Subsystems</t>
        </is>
      </c>
      <c r="F1566" s="208" t="n">
        <v>24</v>
      </c>
      <c r="G1566" s="208" t="n">
        <v>502</v>
      </c>
      <c r="H1566" s="208" t="inlineStr">
        <is>
          <t>No separate deliverable explicitly named</t>
        </is>
      </c>
    </row>
    <row r="1567">
      <c r="A1567" s="199" t="inlineStr">
        <is>
          <t>RTM-246</t>
        </is>
      </c>
      <c r="B1567" s="222" t="inlineStr">
        <is>
          <t>L1 Conceptual Design</t>
        </is>
      </c>
      <c r="C1567" s="199" t="n">
        <v>2</v>
      </c>
      <c r="D1567" s="199" t="inlineStr">
        <is>
          <t>T3 Contextual</t>
        </is>
      </c>
      <c r="E1567" s="199" t="inlineStr">
        <is>
          <t>Subsystems</t>
        </is>
      </c>
      <c r="F1567" s="199" t="n">
        <v>24</v>
      </c>
      <c r="G1567" s="199" t="n">
        <v>503</v>
      </c>
      <c r="H1567" s="199" t="inlineStr">
        <is>
          <t>No separate deliverable explicitly named</t>
        </is>
      </c>
    </row>
    <row r="1568">
      <c r="A1568" s="208" t="inlineStr">
        <is>
          <t>RTM-246</t>
        </is>
      </c>
      <c r="B1568" s="223" t="inlineStr">
        <is>
          <t>L2 Detailed Design</t>
        </is>
      </c>
      <c r="C1568" s="208" t="n">
        <v>3</v>
      </c>
      <c r="D1568" s="208" t="inlineStr">
        <is>
          <t>T3 Contextual</t>
        </is>
      </c>
      <c r="E1568" s="208" t="inlineStr">
        <is>
          <t>Subsystems</t>
        </is>
      </c>
      <c r="F1568" s="208" t="n">
        <v>24</v>
      </c>
      <c r="G1568" s="208" t="n">
        <v>503</v>
      </c>
      <c r="H1568" s="208" t="inlineStr">
        <is>
          <t>No separate deliverable explicitly named</t>
        </is>
      </c>
    </row>
    <row r="1569">
      <c r="A1569" s="199" t="inlineStr">
        <is>
          <t>RTM-247</t>
        </is>
      </c>
      <c r="B1569" s="222" t="inlineStr">
        <is>
          <t>L1 Conceptual Design</t>
        </is>
      </c>
      <c r="C1569" s="199" t="n">
        <v>2</v>
      </c>
      <c r="D1569" s="199" t="inlineStr">
        <is>
          <t>T3 Contextual</t>
        </is>
      </c>
      <c r="E1569" s="199" t="inlineStr">
        <is>
          <t>Subsystems</t>
        </is>
      </c>
      <c r="F1569" s="199" t="n">
        <v>24</v>
      </c>
      <c r="G1569" s="199" t="n">
        <v>504</v>
      </c>
      <c r="H1569" s="199" t="inlineStr">
        <is>
          <t>No separate deliverable explicitly named</t>
        </is>
      </c>
    </row>
    <row r="1570">
      <c r="A1570" s="208" t="inlineStr">
        <is>
          <t>RTM-247</t>
        </is>
      </c>
      <c r="B1570" s="223" t="inlineStr">
        <is>
          <t>L2 Detailed Design</t>
        </is>
      </c>
      <c r="C1570" s="208" t="n">
        <v>3</v>
      </c>
      <c r="D1570" s="208" t="inlineStr">
        <is>
          <t>T3 Contextual</t>
        </is>
      </c>
      <c r="E1570" s="208" t="inlineStr">
        <is>
          <t>Subsystems</t>
        </is>
      </c>
      <c r="F1570" s="208" t="n">
        <v>24</v>
      </c>
      <c r="G1570" s="208" t="n">
        <v>504</v>
      </c>
      <c r="H1570" s="208" t="inlineStr">
        <is>
          <t>No separate deliverable explicitly named</t>
        </is>
      </c>
    </row>
    <row r="1571">
      <c r="A1571" s="199" t="inlineStr">
        <is>
          <t>RTM-248</t>
        </is>
      </c>
      <c r="B1571" s="222" t="inlineStr">
        <is>
          <t>L1 Conceptual Design</t>
        </is>
      </c>
      <c r="C1571" s="199" t="n">
        <v>2</v>
      </c>
      <c r="D1571" s="199" t="inlineStr">
        <is>
          <t>T3 Contextual</t>
        </is>
      </c>
      <c r="E1571" s="199" t="inlineStr">
        <is>
          <t>Subsystems</t>
        </is>
      </c>
      <c r="F1571" s="199" t="n">
        <v>24</v>
      </c>
      <c r="G1571" s="199" t="n">
        <v>505</v>
      </c>
      <c r="H1571" s="199" t="inlineStr">
        <is>
          <t>No separate deliverable explicitly named</t>
        </is>
      </c>
    </row>
    <row r="1572">
      <c r="A1572" s="208" t="inlineStr">
        <is>
          <t>RTM-248</t>
        </is>
      </c>
      <c r="B1572" s="223" t="inlineStr">
        <is>
          <t>L2 Detailed Design</t>
        </is>
      </c>
      <c r="C1572" s="208" t="n">
        <v>3</v>
      </c>
      <c r="D1572" s="208" t="inlineStr">
        <is>
          <t>T3 Contextual</t>
        </is>
      </c>
      <c r="E1572" s="208" t="inlineStr">
        <is>
          <t>Subsystems</t>
        </is>
      </c>
      <c r="F1572" s="208" t="n">
        <v>24</v>
      </c>
      <c r="G1572" s="208" t="n">
        <v>505</v>
      </c>
      <c r="H1572" s="208" t="inlineStr">
        <is>
          <t>No separate deliverable explicitly named</t>
        </is>
      </c>
    </row>
    <row r="1573">
      <c r="A1573" s="199" t="inlineStr">
        <is>
          <t>RTM-249</t>
        </is>
      </c>
      <c r="B1573" s="222" t="inlineStr">
        <is>
          <t>L1 Conceptual Design</t>
        </is>
      </c>
      <c r="C1573" s="199" t="n">
        <v>2</v>
      </c>
      <c r="D1573" s="199" t="inlineStr">
        <is>
          <t>T3 Contextual</t>
        </is>
      </c>
      <c r="E1573" s="199" t="inlineStr">
        <is>
          <t>Subsystems</t>
        </is>
      </c>
      <c r="F1573" s="199" t="n">
        <v>24</v>
      </c>
      <c r="G1573" s="199" t="n">
        <v>506</v>
      </c>
      <c r="H1573" s="199" t="inlineStr">
        <is>
          <t>No separate deliverable explicitly named</t>
        </is>
      </c>
    </row>
    <row r="1574">
      <c r="A1574" s="208" t="inlineStr">
        <is>
          <t>RTM-249</t>
        </is>
      </c>
      <c r="B1574" s="223" t="inlineStr">
        <is>
          <t>L2 Detailed Design</t>
        </is>
      </c>
      <c r="C1574" s="208" t="n">
        <v>3</v>
      </c>
      <c r="D1574" s="208" t="inlineStr">
        <is>
          <t>T3 Contextual</t>
        </is>
      </c>
      <c r="E1574" s="208" t="inlineStr">
        <is>
          <t>Subsystems</t>
        </is>
      </c>
      <c r="F1574" s="208" t="n">
        <v>24</v>
      </c>
      <c r="G1574" s="208" t="n">
        <v>506</v>
      </c>
      <c r="H1574" s="208" t="inlineStr">
        <is>
          <t>No separate deliverable explicitly named</t>
        </is>
      </c>
    </row>
    <row r="1575">
      <c r="A1575" s="199" t="inlineStr">
        <is>
          <t>RTM-250</t>
        </is>
      </c>
      <c r="B1575" s="222" t="inlineStr">
        <is>
          <t>L1 Conceptual Design</t>
        </is>
      </c>
      <c r="C1575" s="199" t="n">
        <v>2</v>
      </c>
      <c r="D1575" s="199" t="inlineStr">
        <is>
          <t>T3 Contextual</t>
        </is>
      </c>
      <c r="E1575" s="199" t="inlineStr">
        <is>
          <t>Subsystems</t>
        </is>
      </c>
      <c r="F1575" s="199" t="n">
        <v>24</v>
      </c>
      <c r="G1575" s="199" t="n">
        <v>507</v>
      </c>
      <c r="H1575" s="199" t="inlineStr">
        <is>
          <t>No separate deliverable explicitly named</t>
        </is>
      </c>
    </row>
    <row r="1576">
      <c r="A1576" s="208" t="inlineStr">
        <is>
          <t>RTM-250</t>
        </is>
      </c>
      <c r="B1576" s="223" t="inlineStr">
        <is>
          <t>L2 Detailed Design</t>
        </is>
      </c>
      <c r="C1576" s="208" t="n">
        <v>3</v>
      </c>
      <c r="D1576" s="208" t="inlineStr">
        <is>
          <t>T3 Contextual</t>
        </is>
      </c>
      <c r="E1576" s="208" t="inlineStr">
        <is>
          <t>Subsystems</t>
        </is>
      </c>
      <c r="F1576" s="208" t="n">
        <v>24</v>
      </c>
      <c r="G1576" s="208" t="n">
        <v>507</v>
      </c>
      <c r="H1576" s="208" t="inlineStr">
        <is>
          <t>No separate deliverable explicitly named</t>
        </is>
      </c>
    </row>
    <row r="1577">
      <c r="A1577" s="199" t="inlineStr">
        <is>
          <t>RTM-251</t>
        </is>
      </c>
      <c r="B1577" s="227" t="inlineStr">
        <is>
          <t>PAC / Handover</t>
        </is>
      </c>
      <c r="C1577" s="199" t="n">
        <v>9</v>
      </c>
      <c r="D1577" s="199" t="inlineStr">
        <is>
          <t>T3 Contextual</t>
        </is>
      </c>
      <c r="E1577" s="199" t="inlineStr">
        <is>
          <t>Subsystems</t>
        </is>
      </c>
      <c r="F1577" s="199" t="n">
        <v>24</v>
      </c>
      <c r="G1577" s="199" t="n">
        <v>508</v>
      </c>
      <c r="H1577" s="199" t="inlineStr">
        <is>
          <t>No separate deliverable explicitly named</t>
        </is>
      </c>
    </row>
    <row r="1578">
      <c r="A1578" s="208" t="inlineStr">
        <is>
          <t>RTM-251</t>
        </is>
      </c>
      <c r="B1578" s="222" t="inlineStr">
        <is>
          <t>L1 Conceptual Design</t>
        </is>
      </c>
      <c r="C1578" s="208" t="n">
        <v>2</v>
      </c>
      <c r="D1578" s="208" t="inlineStr">
        <is>
          <t>T3 Contextual</t>
        </is>
      </c>
      <c r="E1578" s="208" t="inlineStr">
        <is>
          <t>Subsystems</t>
        </is>
      </c>
      <c r="F1578" s="208" t="n">
        <v>24</v>
      </c>
      <c r="G1578" s="208" t="n">
        <v>508</v>
      </c>
      <c r="H1578" s="208" t="inlineStr">
        <is>
          <t>No separate deliverable explicitly named</t>
        </is>
      </c>
    </row>
    <row r="1579">
      <c r="A1579" s="199" t="inlineStr">
        <is>
          <t>RTM-251</t>
        </is>
      </c>
      <c r="B1579" s="223" t="inlineStr">
        <is>
          <t>L2 Detailed Design</t>
        </is>
      </c>
      <c r="C1579" s="199" t="n">
        <v>3</v>
      </c>
      <c r="D1579" s="199" t="inlineStr">
        <is>
          <t>T3 Contextual</t>
        </is>
      </c>
      <c r="E1579" s="199" t="inlineStr">
        <is>
          <t>Subsystems</t>
        </is>
      </c>
      <c r="F1579" s="199" t="n">
        <v>24</v>
      </c>
      <c r="G1579" s="199" t="n">
        <v>508</v>
      </c>
      <c r="H1579" s="199" t="inlineStr">
        <is>
          <t>No separate deliverable explicitly named</t>
        </is>
      </c>
    </row>
    <row r="1580">
      <c r="A1580" s="208" t="inlineStr">
        <is>
          <t>RTM-268</t>
        </is>
      </c>
      <c r="B1580" s="222" t="inlineStr">
        <is>
          <t>L1 Conceptual Design</t>
        </is>
      </c>
      <c r="C1580" s="208" t="n">
        <v>2</v>
      </c>
      <c r="D1580" s="208" t="inlineStr">
        <is>
          <t>T3 Contextual</t>
        </is>
      </c>
      <c r="E1580" s="208" t="inlineStr">
        <is>
          <t>Subsystems</t>
        </is>
      </c>
      <c r="F1580" s="208" t="n">
        <v>24</v>
      </c>
      <c r="G1580" s="208" t="n">
        <v>509</v>
      </c>
      <c r="H1580" s="208" t="inlineStr">
        <is>
          <t>No separate deliverable explicitly named</t>
        </is>
      </c>
    </row>
    <row r="1581">
      <c r="A1581" s="199" t="inlineStr">
        <is>
          <t>RTM-268</t>
        </is>
      </c>
      <c r="B1581" s="223" t="inlineStr">
        <is>
          <t>L2 Detailed Design</t>
        </is>
      </c>
      <c r="C1581" s="199" t="n">
        <v>3</v>
      </c>
      <c r="D1581" s="199" t="inlineStr">
        <is>
          <t>T3 Contextual</t>
        </is>
      </c>
      <c r="E1581" s="199" t="inlineStr">
        <is>
          <t>Subsystems</t>
        </is>
      </c>
      <c r="F1581" s="199" t="n">
        <v>24</v>
      </c>
      <c r="G1581" s="199" t="n">
        <v>509</v>
      </c>
      <c r="H1581" s="199" t="inlineStr">
        <is>
          <t>No separate deliverable explicitly named</t>
        </is>
      </c>
    </row>
    <row r="1582">
      <c r="A1582" s="208" t="inlineStr">
        <is>
          <t>RTM-306</t>
        </is>
      </c>
      <c r="B1582" s="222" t="inlineStr">
        <is>
          <t>L1 Conceptual Design</t>
        </is>
      </c>
      <c r="C1582" s="208" t="n">
        <v>2</v>
      </c>
      <c r="D1582" s="208" t="inlineStr">
        <is>
          <t>T3 Contextual</t>
        </is>
      </c>
      <c r="E1582" s="208" t="inlineStr">
        <is>
          <t>Control &amp; Interlock</t>
        </is>
      </c>
      <c r="F1582" s="208" t="n">
        <v>24</v>
      </c>
      <c r="G1582" s="208" t="n">
        <v>510</v>
      </c>
      <c r="H1582" s="208" t="inlineStr">
        <is>
          <t>No separate deliverable explicitly named</t>
        </is>
      </c>
    </row>
    <row r="1583">
      <c r="A1583" s="199" t="inlineStr">
        <is>
          <t>RTM-306</t>
        </is>
      </c>
      <c r="B1583" s="223" t="inlineStr">
        <is>
          <t>L2 Detailed Design</t>
        </is>
      </c>
      <c r="C1583" s="199" t="n">
        <v>3</v>
      </c>
      <c r="D1583" s="199" t="inlineStr">
        <is>
          <t>T3 Contextual</t>
        </is>
      </c>
      <c r="E1583" s="199" t="inlineStr">
        <is>
          <t>Control &amp; Interlock</t>
        </is>
      </c>
      <c r="F1583" s="199" t="n">
        <v>24</v>
      </c>
      <c r="G1583" s="199" t="n">
        <v>510</v>
      </c>
      <c r="H1583" s="199" t="inlineStr">
        <is>
          <t>No separate deliverable explicitly named</t>
        </is>
      </c>
    </row>
    <row r="1584">
      <c r="A1584" s="208" t="inlineStr">
        <is>
          <t>RTM-323</t>
        </is>
      </c>
      <c r="B1584" s="221" t="inlineStr">
        <is>
          <t>L0 Tender / Offer</t>
        </is>
      </c>
      <c r="C1584" s="208" t="n">
        <v>1</v>
      </c>
      <c r="D1584" s="208" t="inlineStr">
        <is>
          <t>T3 Contextual</t>
        </is>
      </c>
      <c r="E1584" s="208" t="inlineStr">
        <is>
          <t>Control &amp; Interlock</t>
        </is>
      </c>
      <c r="F1584" s="208" t="n">
        <v>24</v>
      </c>
      <c r="G1584" s="208" t="n">
        <v>511</v>
      </c>
      <c r="H1584" s="208" t="inlineStr">
        <is>
          <t>Certificate / calibration evidence</t>
        </is>
      </c>
    </row>
    <row r="1585">
      <c r="A1585" s="199" t="inlineStr">
        <is>
          <t>RTM-323</t>
        </is>
      </c>
      <c r="B1585" s="222" t="inlineStr">
        <is>
          <t>L1 Conceptual Design</t>
        </is>
      </c>
      <c r="C1585" s="199" t="n">
        <v>2</v>
      </c>
      <c r="D1585" s="199" t="inlineStr">
        <is>
          <t>T3 Contextual</t>
        </is>
      </c>
      <c r="E1585" s="199" t="inlineStr">
        <is>
          <t>Control &amp; Interlock</t>
        </is>
      </c>
      <c r="F1585" s="199" t="n">
        <v>24</v>
      </c>
      <c r="G1585" s="199" t="n">
        <v>511</v>
      </c>
      <c r="H1585" s="199" t="inlineStr">
        <is>
          <t>Certificate / calibration evidence</t>
        </is>
      </c>
    </row>
    <row r="1586">
      <c r="A1586" s="208" t="inlineStr">
        <is>
          <t>RTM-323</t>
        </is>
      </c>
      <c r="B1586" s="223" t="inlineStr">
        <is>
          <t>L2 Detailed Design</t>
        </is>
      </c>
      <c r="C1586" s="208" t="n">
        <v>3</v>
      </c>
      <c r="D1586" s="208" t="inlineStr">
        <is>
          <t>T3 Contextual</t>
        </is>
      </c>
      <c r="E1586" s="208" t="inlineStr">
        <is>
          <t>Control &amp; Interlock</t>
        </is>
      </c>
      <c r="F1586" s="208" t="n">
        <v>24</v>
      </c>
      <c r="G1586" s="208" t="n">
        <v>511</v>
      </c>
      <c r="H1586" s="208" t="inlineStr">
        <is>
          <t>Certificate / calibration evidence</t>
        </is>
      </c>
    </row>
    <row r="1587">
      <c r="A1587" s="199" t="inlineStr">
        <is>
          <t>RTM-344</t>
        </is>
      </c>
      <c r="B1587" s="222" t="inlineStr">
        <is>
          <t>L1 Conceptual Design</t>
        </is>
      </c>
      <c r="C1587" s="199" t="n">
        <v>2</v>
      </c>
      <c r="D1587" s="199" t="inlineStr">
        <is>
          <t>T3 Contextual</t>
        </is>
      </c>
      <c r="E1587" s="199" t="inlineStr">
        <is>
          <t>Control &amp; Interlock</t>
        </is>
      </c>
      <c r="F1587" s="199" t="n">
        <v>24</v>
      </c>
      <c r="G1587" s="199" t="n">
        <v>512</v>
      </c>
      <c r="H1587" s="199" t="inlineStr">
        <is>
          <t>No separate deliverable explicitly named</t>
        </is>
      </c>
    </row>
    <row r="1588">
      <c r="A1588" s="208" t="inlineStr">
        <is>
          <t>RTM-344</t>
        </is>
      </c>
      <c r="B1588" s="223" t="inlineStr">
        <is>
          <t>L2 Detailed Design</t>
        </is>
      </c>
      <c r="C1588" s="208" t="n">
        <v>3</v>
      </c>
      <c r="D1588" s="208" t="inlineStr">
        <is>
          <t>T3 Contextual</t>
        </is>
      </c>
      <c r="E1588" s="208" t="inlineStr">
        <is>
          <t>Control &amp; Interlock</t>
        </is>
      </c>
      <c r="F1588" s="208" t="n">
        <v>24</v>
      </c>
      <c r="G1588" s="208" t="n">
        <v>512</v>
      </c>
      <c r="H1588" s="208" t="inlineStr">
        <is>
          <t>No separate deliverable explicitly named</t>
        </is>
      </c>
    </row>
    <row r="1589">
      <c r="A1589" s="199" t="inlineStr">
        <is>
          <t>RTM-347</t>
        </is>
      </c>
      <c r="B1589" s="222" t="inlineStr">
        <is>
          <t>L1 Conceptual Design</t>
        </is>
      </c>
      <c r="C1589" s="199" t="n">
        <v>2</v>
      </c>
      <c r="D1589" s="199" t="inlineStr">
        <is>
          <t>T3 Contextual</t>
        </is>
      </c>
      <c r="E1589" s="199" t="inlineStr">
        <is>
          <t>Control &amp; Interlock</t>
        </is>
      </c>
      <c r="F1589" s="199" t="n">
        <v>24</v>
      </c>
      <c r="G1589" s="199" t="n">
        <v>513</v>
      </c>
      <c r="H1589" s="199" t="inlineStr">
        <is>
          <t>No separate deliverable explicitly named</t>
        </is>
      </c>
    </row>
    <row r="1590">
      <c r="A1590" s="208" t="inlineStr">
        <is>
          <t>RTM-347</t>
        </is>
      </c>
      <c r="B1590" s="223" t="inlineStr">
        <is>
          <t>L2 Detailed Design</t>
        </is>
      </c>
      <c r="C1590" s="208" t="n">
        <v>3</v>
      </c>
      <c r="D1590" s="208" t="inlineStr">
        <is>
          <t>T3 Contextual</t>
        </is>
      </c>
      <c r="E1590" s="208" t="inlineStr">
        <is>
          <t>Control &amp; Interlock</t>
        </is>
      </c>
      <c r="F1590" s="208" t="n">
        <v>24</v>
      </c>
      <c r="G1590" s="208" t="n">
        <v>513</v>
      </c>
      <c r="H1590" s="208" t="inlineStr">
        <is>
          <t>No separate deliverable explicitly named</t>
        </is>
      </c>
    </row>
    <row r="1591">
      <c r="A1591" s="199" t="inlineStr">
        <is>
          <t>RTM-391</t>
        </is>
      </c>
      <c r="B1591" s="222" t="inlineStr">
        <is>
          <t>L1 Conceptual Design</t>
        </is>
      </c>
      <c r="C1591" s="199" t="n">
        <v>2</v>
      </c>
      <c r="D1591" s="199" t="inlineStr">
        <is>
          <t>T3 Contextual</t>
        </is>
      </c>
      <c r="E1591" s="199" t="inlineStr">
        <is>
          <t>Buildings &amp; Utilities</t>
        </is>
      </c>
      <c r="F1591" s="199" t="n">
        <v>24</v>
      </c>
      <c r="G1591" s="199" t="n">
        <v>514</v>
      </c>
      <c r="H1591" s="199" t="inlineStr">
        <is>
          <t>No separate deliverable explicitly named</t>
        </is>
      </c>
    </row>
    <row r="1592">
      <c r="A1592" s="208" t="inlineStr">
        <is>
          <t>RTM-391</t>
        </is>
      </c>
      <c r="B1592" s="223" t="inlineStr">
        <is>
          <t>L2 Detailed Design</t>
        </is>
      </c>
      <c r="C1592" s="208" t="n">
        <v>3</v>
      </c>
      <c r="D1592" s="208" t="inlineStr">
        <is>
          <t>T3 Contextual</t>
        </is>
      </c>
      <c r="E1592" s="208" t="inlineStr">
        <is>
          <t>Buildings &amp; Utilities</t>
        </is>
      </c>
      <c r="F1592" s="208" t="n">
        <v>24</v>
      </c>
      <c r="G1592" s="208" t="n">
        <v>514</v>
      </c>
      <c r="H1592" s="208" t="inlineStr">
        <is>
          <t>No separate deliverable explicitly named</t>
        </is>
      </c>
    </row>
    <row r="1593">
      <c r="A1593" s="199" t="inlineStr">
        <is>
          <t>RTM-395</t>
        </is>
      </c>
      <c r="B1593" s="222" t="inlineStr">
        <is>
          <t>L1 Conceptual Design</t>
        </is>
      </c>
      <c r="C1593" s="199" t="n">
        <v>2</v>
      </c>
      <c r="D1593" s="199" t="inlineStr">
        <is>
          <t>T3 Contextual</t>
        </is>
      </c>
      <c r="E1593" s="199" t="inlineStr">
        <is>
          <t>Buildings &amp; Utilities</t>
        </is>
      </c>
      <c r="F1593" s="199" t="n">
        <v>24</v>
      </c>
      <c r="G1593" s="199" t="n">
        <v>515</v>
      </c>
      <c r="H1593" s="199" t="inlineStr">
        <is>
          <t>No separate deliverable explicitly named</t>
        </is>
      </c>
    </row>
    <row r="1594">
      <c r="A1594" s="208" t="inlineStr">
        <is>
          <t>RTM-395</t>
        </is>
      </c>
      <c r="B1594" s="223" t="inlineStr">
        <is>
          <t>L2 Detailed Design</t>
        </is>
      </c>
      <c r="C1594" s="208" t="n">
        <v>3</v>
      </c>
      <c r="D1594" s="208" t="inlineStr">
        <is>
          <t>T3 Contextual</t>
        </is>
      </c>
      <c r="E1594" s="208" t="inlineStr">
        <is>
          <t>Buildings &amp; Utilities</t>
        </is>
      </c>
      <c r="F1594" s="208" t="n">
        <v>24</v>
      </c>
      <c r="G1594" s="208" t="n">
        <v>515</v>
      </c>
      <c r="H1594" s="208" t="inlineStr">
        <is>
          <t>No separate deliverable explicitly named</t>
        </is>
      </c>
    </row>
    <row r="1595">
      <c r="A1595" s="199" t="inlineStr">
        <is>
          <t>RTM-396</t>
        </is>
      </c>
      <c r="B1595" s="222" t="inlineStr">
        <is>
          <t>L1 Conceptual Design</t>
        </is>
      </c>
      <c r="C1595" s="199" t="n">
        <v>2</v>
      </c>
      <c r="D1595" s="199" t="inlineStr">
        <is>
          <t>T3 Contextual</t>
        </is>
      </c>
      <c r="E1595" s="199" t="inlineStr">
        <is>
          <t>Buildings &amp; Utilities</t>
        </is>
      </c>
      <c r="F1595" s="199" t="n">
        <v>24</v>
      </c>
      <c r="G1595" s="199" t="n">
        <v>516</v>
      </c>
      <c r="H1595" s="199" t="inlineStr">
        <is>
          <t>No separate deliverable explicitly named</t>
        </is>
      </c>
    </row>
    <row r="1596">
      <c r="A1596" s="208" t="inlineStr">
        <is>
          <t>RTM-396</t>
        </is>
      </c>
      <c r="B1596" s="223" t="inlineStr">
        <is>
          <t>L2 Detailed Design</t>
        </is>
      </c>
      <c r="C1596" s="208" t="n">
        <v>3</v>
      </c>
      <c r="D1596" s="208" t="inlineStr">
        <is>
          <t>T3 Contextual</t>
        </is>
      </c>
      <c r="E1596" s="208" t="inlineStr">
        <is>
          <t>Buildings &amp; Utilities</t>
        </is>
      </c>
      <c r="F1596" s="208" t="n">
        <v>24</v>
      </c>
      <c r="G1596" s="208" t="n">
        <v>516</v>
      </c>
      <c r="H1596" s="208" t="inlineStr">
        <is>
          <t>No separate deliverable explicitly named</t>
        </is>
      </c>
    </row>
    <row r="1597">
      <c r="A1597" s="199" t="inlineStr">
        <is>
          <t>RTM-397</t>
        </is>
      </c>
      <c r="B1597" s="222" t="inlineStr">
        <is>
          <t>L1 Conceptual Design</t>
        </is>
      </c>
      <c r="C1597" s="199" t="n">
        <v>2</v>
      </c>
      <c r="D1597" s="199" t="inlineStr">
        <is>
          <t>T3 Contextual</t>
        </is>
      </c>
      <c r="E1597" s="199" t="inlineStr">
        <is>
          <t>Buildings &amp; Utilities</t>
        </is>
      </c>
      <c r="F1597" s="199" t="n">
        <v>24</v>
      </c>
      <c r="G1597" s="199" t="n">
        <v>517</v>
      </c>
      <c r="H1597" s="199" t="inlineStr">
        <is>
          <t>No separate deliverable explicitly named</t>
        </is>
      </c>
    </row>
    <row r="1598">
      <c r="A1598" s="208" t="inlineStr">
        <is>
          <t>RTM-397</t>
        </is>
      </c>
      <c r="B1598" s="223" t="inlineStr">
        <is>
          <t>L2 Detailed Design</t>
        </is>
      </c>
      <c r="C1598" s="208" t="n">
        <v>3</v>
      </c>
      <c r="D1598" s="208" t="inlineStr">
        <is>
          <t>T3 Contextual</t>
        </is>
      </c>
      <c r="E1598" s="208" t="inlineStr">
        <is>
          <t>Buildings &amp; Utilities</t>
        </is>
      </c>
      <c r="F1598" s="208" t="n">
        <v>24</v>
      </c>
      <c r="G1598" s="208" t="n">
        <v>517</v>
      </c>
      <c r="H1598" s="208" t="inlineStr">
        <is>
          <t>No separate deliverable explicitly named</t>
        </is>
      </c>
    </row>
    <row r="1599">
      <c r="A1599" s="199" t="inlineStr">
        <is>
          <t>RTM-398</t>
        </is>
      </c>
      <c r="B1599" s="222" t="inlineStr">
        <is>
          <t>L1 Conceptual Design</t>
        </is>
      </c>
      <c r="C1599" s="199" t="n">
        <v>2</v>
      </c>
      <c r="D1599" s="199" t="inlineStr">
        <is>
          <t>T3 Contextual</t>
        </is>
      </c>
      <c r="E1599" s="199" t="inlineStr">
        <is>
          <t>Buildings &amp; Utilities</t>
        </is>
      </c>
      <c r="F1599" s="199" t="n">
        <v>24</v>
      </c>
      <c r="G1599" s="199" t="n">
        <v>518</v>
      </c>
      <c r="H1599" s="199" t="inlineStr">
        <is>
          <t>Drawing / diagram</t>
        </is>
      </c>
    </row>
    <row r="1600">
      <c r="A1600" s="208" t="inlineStr">
        <is>
          <t>RTM-398</t>
        </is>
      </c>
      <c r="B1600" s="223" t="inlineStr">
        <is>
          <t>L2 Detailed Design</t>
        </is>
      </c>
      <c r="C1600" s="208" t="n">
        <v>3</v>
      </c>
      <c r="D1600" s="208" t="inlineStr">
        <is>
          <t>T3 Contextual</t>
        </is>
      </c>
      <c r="E1600" s="208" t="inlineStr">
        <is>
          <t>Buildings &amp; Utilities</t>
        </is>
      </c>
      <c r="F1600" s="208" t="n">
        <v>24</v>
      </c>
      <c r="G1600" s="208" t="n">
        <v>518</v>
      </c>
      <c r="H1600" s="208" t="inlineStr">
        <is>
          <t>Drawing / diagram</t>
        </is>
      </c>
    </row>
    <row r="1601">
      <c r="A1601" s="199" t="inlineStr">
        <is>
          <t>RTM-399</t>
        </is>
      </c>
      <c r="B1601" s="222" t="inlineStr">
        <is>
          <t>L1 Conceptual Design</t>
        </is>
      </c>
      <c r="C1601" s="199" t="n">
        <v>2</v>
      </c>
      <c r="D1601" s="199" t="inlineStr">
        <is>
          <t>T3 Contextual</t>
        </is>
      </c>
      <c r="E1601" s="199" t="inlineStr">
        <is>
          <t>Buildings &amp; Utilities</t>
        </is>
      </c>
      <c r="F1601" s="199" t="n">
        <v>24</v>
      </c>
      <c r="G1601" s="199" t="n">
        <v>519</v>
      </c>
      <c r="H1601" s="199" t="inlineStr">
        <is>
          <t>No separate deliverable explicitly named</t>
        </is>
      </c>
    </row>
    <row r="1602">
      <c r="A1602" s="208" t="inlineStr">
        <is>
          <t>RTM-399</t>
        </is>
      </c>
      <c r="B1602" s="223" t="inlineStr">
        <is>
          <t>L2 Detailed Design</t>
        </is>
      </c>
      <c r="C1602" s="208" t="n">
        <v>3</v>
      </c>
      <c r="D1602" s="208" t="inlineStr">
        <is>
          <t>T3 Contextual</t>
        </is>
      </c>
      <c r="E1602" s="208" t="inlineStr">
        <is>
          <t>Buildings &amp; Utilities</t>
        </is>
      </c>
      <c r="F1602" s="208" t="n">
        <v>24</v>
      </c>
      <c r="G1602" s="208" t="n">
        <v>519</v>
      </c>
      <c r="H1602" s="208" t="inlineStr">
        <is>
          <t>No separate deliverable explicitly named</t>
        </is>
      </c>
    </row>
    <row r="1603">
      <c r="A1603" s="199" t="inlineStr">
        <is>
          <t>RTM-400</t>
        </is>
      </c>
      <c r="B1603" s="222" t="inlineStr">
        <is>
          <t>L1 Conceptual Design</t>
        </is>
      </c>
      <c r="C1603" s="199" t="n">
        <v>2</v>
      </c>
      <c r="D1603" s="199" t="inlineStr">
        <is>
          <t>T3 Contextual</t>
        </is>
      </c>
      <c r="E1603" s="199" t="inlineStr">
        <is>
          <t>Buildings &amp; Utilities</t>
        </is>
      </c>
      <c r="F1603" s="199" t="n">
        <v>24</v>
      </c>
      <c r="G1603" s="199" t="n">
        <v>520</v>
      </c>
      <c r="H1603" s="199" t="inlineStr">
        <is>
          <t>No separate deliverable explicitly named</t>
        </is>
      </c>
    </row>
    <row r="1604">
      <c r="A1604" s="208" t="inlineStr">
        <is>
          <t>RTM-400</t>
        </is>
      </c>
      <c r="B1604" s="223" t="inlineStr">
        <is>
          <t>L2 Detailed Design</t>
        </is>
      </c>
      <c r="C1604" s="208" t="n">
        <v>3</v>
      </c>
      <c r="D1604" s="208" t="inlineStr">
        <is>
          <t>T3 Contextual</t>
        </is>
      </c>
      <c r="E1604" s="208" t="inlineStr">
        <is>
          <t>Buildings &amp; Utilities</t>
        </is>
      </c>
      <c r="F1604" s="208" t="n">
        <v>24</v>
      </c>
      <c r="G1604" s="208" t="n">
        <v>520</v>
      </c>
      <c r="H1604" s="208" t="inlineStr">
        <is>
          <t>No separate deliverable explicitly named</t>
        </is>
      </c>
    </row>
    <row r="1605">
      <c r="A1605" s="199" t="inlineStr">
        <is>
          <t>RTM-403</t>
        </is>
      </c>
      <c r="B1605" s="222" t="inlineStr">
        <is>
          <t>L1 Conceptual Design</t>
        </is>
      </c>
      <c r="C1605" s="199" t="n">
        <v>2</v>
      </c>
      <c r="D1605" s="199" t="inlineStr">
        <is>
          <t>T3 Contextual</t>
        </is>
      </c>
      <c r="E1605" s="199" t="inlineStr">
        <is>
          <t>Buildings &amp; Utilities</t>
        </is>
      </c>
      <c r="F1605" s="199" t="n">
        <v>24</v>
      </c>
      <c r="G1605" s="199" t="n">
        <v>521</v>
      </c>
      <c r="H1605" s="199" t="inlineStr">
        <is>
          <t>No separate deliverable explicitly named</t>
        </is>
      </c>
    </row>
    <row r="1606">
      <c r="A1606" s="208" t="inlineStr">
        <is>
          <t>RTM-403</t>
        </is>
      </c>
      <c r="B1606" s="223" t="inlineStr">
        <is>
          <t>L2 Detailed Design</t>
        </is>
      </c>
      <c r="C1606" s="208" t="n">
        <v>3</v>
      </c>
      <c r="D1606" s="208" t="inlineStr">
        <is>
          <t>T3 Contextual</t>
        </is>
      </c>
      <c r="E1606" s="208" t="inlineStr">
        <is>
          <t>Buildings &amp; Utilities</t>
        </is>
      </c>
      <c r="F1606" s="208" t="n">
        <v>24</v>
      </c>
      <c r="G1606" s="208" t="n">
        <v>521</v>
      </c>
      <c r="H1606" s="208" t="inlineStr">
        <is>
          <t>No separate deliverable explicitly named</t>
        </is>
      </c>
    </row>
    <row r="1607">
      <c r="A1607" s="199" t="inlineStr">
        <is>
          <t>RTM-404</t>
        </is>
      </c>
      <c r="B1607" s="222" t="inlineStr">
        <is>
          <t>L1 Conceptual Design</t>
        </is>
      </c>
      <c r="C1607" s="199" t="n">
        <v>2</v>
      </c>
      <c r="D1607" s="199" t="inlineStr">
        <is>
          <t>T3 Contextual</t>
        </is>
      </c>
      <c r="E1607" s="199" t="inlineStr">
        <is>
          <t>Buildings &amp; Utilities</t>
        </is>
      </c>
      <c r="F1607" s="199" t="n">
        <v>24</v>
      </c>
      <c r="G1607" s="199" t="n">
        <v>522</v>
      </c>
      <c r="H1607" s="199" t="inlineStr">
        <is>
          <t>No separate deliverable explicitly named</t>
        </is>
      </c>
    </row>
    <row r="1608">
      <c r="A1608" s="208" t="inlineStr">
        <is>
          <t>RTM-404</t>
        </is>
      </c>
      <c r="B1608" s="223" t="inlineStr">
        <is>
          <t>L2 Detailed Design</t>
        </is>
      </c>
      <c r="C1608" s="208" t="n">
        <v>3</v>
      </c>
      <c r="D1608" s="208" t="inlineStr">
        <is>
          <t>T3 Contextual</t>
        </is>
      </c>
      <c r="E1608" s="208" t="inlineStr">
        <is>
          <t>Buildings &amp; Utilities</t>
        </is>
      </c>
      <c r="F1608" s="208" t="n">
        <v>24</v>
      </c>
      <c r="G1608" s="208" t="n">
        <v>522</v>
      </c>
      <c r="H1608" s="208" t="inlineStr">
        <is>
          <t>No separate deliverable explicitly named</t>
        </is>
      </c>
    </row>
    <row r="1609">
      <c r="A1609" s="199" t="inlineStr">
        <is>
          <t>RTM-405</t>
        </is>
      </c>
      <c r="B1609" s="222" t="inlineStr">
        <is>
          <t>L1 Conceptual Design</t>
        </is>
      </c>
      <c r="C1609" s="199" t="n">
        <v>2</v>
      </c>
      <c r="D1609" s="199" t="inlineStr">
        <is>
          <t>T3 Contextual</t>
        </is>
      </c>
      <c r="E1609" s="199" t="inlineStr">
        <is>
          <t>Buildings &amp; Utilities</t>
        </is>
      </c>
      <c r="F1609" s="199" t="n">
        <v>24</v>
      </c>
      <c r="G1609" s="199" t="n">
        <v>523</v>
      </c>
      <c r="H1609" s="199" t="inlineStr">
        <is>
          <t>No separate deliverable explicitly named</t>
        </is>
      </c>
    </row>
    <row r="1610">
      <c r="A1610" s="208" t="inlineStr">
        <is>
          <t>RTM-405</t>
        </is>
      </c>
      <c r="B1610" s="223" t="inlineStr">
        <is>
          <t>L2 Detailed Design</t>
        </is>
      </c>
      <c r="C1610" s="208" t="n">
        <v>3</v>
      </c>
      <c r="D1610" s="208" t="inlineStr">
        <is>
          <t>T3 Contextual</t>
        </is>
      </c>
      <c r="E1610" s="208" t="inlineStr">
        <is>
          <t>Buildings &amp; Utilities</t>
        </is>
      </c>
      <c r="F1610" s="208" t="n">
        <v>24</v>
      </c>
      <c r="G1610" s="208" t="n">
        <v>523</v>
      </c>
      <c r="H1610" s="208" t="inlineStr">
        <is>
          <t>No separate deliverable explicitly named</t>
        </is>
      </c>
    </row>
    <row r="1611">
      <c r="A1611" s="199" t="inlineStr">
        <is>
          <t>RTM-406</t>
        </is>
      </c>
      <c r="B1611" s="222" t="inlineStr">
        <is>
          <t>L1 Conceptual Design</t>
        </is>
      </c>
      <c r="C1611" s="199" t="n">
        <v>2</v>
      </c>
      <c r="D1611" s="199" t="inlineStr">
        <is>
          <t>T3 Contextual</t>
        </is>
      </c>
      <c r="E1611" s="199" t="inlineStr">
        <is>
          <t>Buildings &amp; Utilities</t>
        </is>
      </c>
      <c r="F1611" s="199" t="n">
        <v>24</v>
      </c>
      <c r="G1611" s="199" t="n">
        <v>524</v>
      </c>
      <c r="H1611" s="199" t="inlineStr">
        <is>
          <t>No separate deliverable explicitly named</t>
        </is>
      </c>
    </row>
    <row r="1612">
      <c r="A1612" s="208" t="inlineStr">
        <is>
          <t>RTM-406</t>
        </is>
      </c>
      <c r="B1612" s="223" t="inlineStr">
        <is>
          <t>L2 Detailed Design</t>
        </is>
      </c>
      <c r="C1612" s="208" t="n">
        <v>3</v>
      </c>
      <c r="D1612" s="208" t="inlineStr">
        <is>
          <t>T3 Contextual</t>
        </is>
      </c>
      <c r="E1612" s="208" t="inlineStr">
        <is>
          <t>Buildings &amp; Utilities</t>
        </is>
      </c>
      <c r="F1612" s="208" t="n">
        <v>24</v>
      </c>
      <c r="G1612" s="208" t="n">
        <v>524</v>
      </c>
      <c r="H1612" s="208" t="inlineStr">
        <is>
          <t>No separate deliverable explicitly named</t>
        </is>
      </c>
    </row>
    <row r="1613">
      <c r="A1613" s="199" t="inlineStr">
        <is>
          <t>RTM-408</t>
        </is>
      </c>
      <c r="B1613" s="222" t="inlineStr">
        <is>
          <t>L1 Conceptual Design</t>
        </is>
      </c>
      <c r="C1613" s="199" t="n">
        <v>2</v>
      </c>
      <c r="D1613" s="199" t="inlineStr">
        <is>
          <t>T3 Contextual</t>
        </is>
      </c>
      <c r="E1613" s="199" t="inlineStr">
        <is>
          <t>Buildings &amp; Utilities</t>
        </is>
      </c>
      <c r="F1613" s="199" t="n">
        <v>24</v>
      </c>
      <c r="G1613" s="199" t="n">
        <v>525</v>
      </c>
      <c r="H1613" s="199" t="inlineStr">
        <is>
          <t>No separate deliverable explicitly named</t>
        </is>
      </c>
    </row>
    <row r="1614">
      <c r="A1614" s="208" t="inlineStr">
        <is>
          <t>RTM-408</t>
        </is>
      </c>
      <c r="B1614" s="223" t="inlineStr">
        <is>
          <t>L2 Detailed Design</t>
        </is>
      </c>
      <c r="C1614" s="208" t="n">
        <v>3</v>
      </c>
      <c r="D1614" s="208" t="inlineStr">
        <is>
          <t>T3 Contextual</t>
        </is>
      </c>
      <c r="E1614" s="208" t="inlineStr">
        <is>
          <t>Buildings &amp; Utilities</t>
        </is>
      </c>
      <c r="F1614" s="208" t="n">
        <v>24</v>
      </c>
      <c r="G1614" s="208" t="n">
        <v>525</v>
      </c>
      <c r="H1614" s="208" t="inlineStr">
        <is>
          <t>No separate deliverable explicitly named</t>
        </is>
      </c>
    </row>
    <row r="1615">
      <c r="A1615" s="199" t="inlineStr">
        <is>
          <t>RTM-410</t>
        </is>
      </c>
      <c r="B1615" s="222" t="inlineStr">
        <is>
          <t>L1 Conceptual Design</t>
        </is>
      </c>
      <c r="C1615" s="199" t="n">
        <v>2</v>
      </c>
      <c r="D1615" s="199" t="inlineStr">
        <is>
          <t>T3 Contextual</t>
        </is>
      </c>
      <c r="E1615" s="199" t="inlineStr">
        <is>
          <t>Buildings &amp; Utilities</t>
        </is>
      </c>
      <c r="F1615" s="199" t="n">
        <v>24</v>
      </c>
      <c r="G1615" s="199" t="n">
        <v>526</v>
      </c>
      <c r="H1615" s="199" t="inlineStr">
        <is>
          <t>No separate deliverable explicitly named</t>
        </is>
      </c>
    </row>
    <row r="1616">
      <c r="A1616" s="208" t="inlineStr">
        <is>
          <t>RTM-410</t>
        </is>
      </c>
      <c r="B1616" s="223" t="inlineStr">
        <is>
          <t>L2 Detailed Design</t>
        </is>
      </c>
      <c r="C1616" s="208" t="n">
        <v>3</v>
      </c>
      <c r="D1616" s="208" t="inlineStr">
        <is>
          <t>T3 Contextual</t>
        </is>
      </c>
      <c r="E1616" s="208" t="inlineStr">
        <is>
          <t>Buildings &amp; Utilities</t>
        </is>
      </c>
      <c r="F1616" s="208" t="n">
        <v>24</v>
      </c>
      <c r="G1616" s="208" t="n">
        <v>526</v>
      </c>
      <c r="H1616" s="208" t="inlineStr">
        <is>
          <t>No separate deliverable explicitly named</t>
        </is>
      </c>
    </row>
    <row r="1617">
      <c r="A1617" s="199" t="inlineStr">
        <is>
          <t>RTM-415</t>
        </is>
      </c>
      <c r="B1617" s="222" t="inlineStr">
        <is>
          <t>L1 Conceptual Design</t>
        </is>
      </c>
      <c r="C1617" s="199" t="n">
        <v>2</v>
      </c>
      <c r="D1617" s="199" t="inlineStr">
        <is>
          <t>T3 Contextual</t>
        </is>
      </c>
      <c r="E1617" s="199" t="inlineStr">
        <is>
          <t>Buildings &amp; Utilities</t>
        </is>
      </c>
      <c r="F1617" s="199" t="n">
        <v>24</v>
      </c>
      <c r="G1617" s="199" t="n">
        <v>527</v>
      </c>
      <c r="H1617" s="199" t="inlineStr">
        <is>
          <t>No separate deliverable explicitly named</t>
        </is>
      </c>
    </row>
    <row r="1618">
      <c r="A1618" s="208" t="inlineStr">
        <is>
          <t>RTM-415</t>
        </is>
      </c>
      <c r="B1618" s="223" t="inlineStr">
        <is>
          <t>L2 Detailed Design</t>
        </is>
      </c>
      <c r="C1618" s="208" t="n">
        <v>3</v>
      </c>
      <c r="D1618" s="208" t="inlineStr">
        <is>
          <t>T3 Contextual</t>
        </is>
      </c>
      <c r="E1618" s="208" t="inlineStr">
        <is>
          <t>Buildings &amp; Utilities</t>
        </is>
      </c>
      <c r="F1618" s="208" t="n">
        <v>24</v>
      </c>
      <c r="G1618" s="208" t="n">
        <v>527</v>
      </c>
      <c r="H1618" s="208" t="inlineStr">
        <is>
          <t>No separate deliverable explicitly named</t>
        </is>
      </c>
    </row>
    <row r="1619">
      <c r="A1619" s="199" t="inlineStr">
        <is>
          <t>RTM-418</t>
        </is>
      </c>
      <c r="B1619" s="222" t="inlineStr">
        <is>
          <t>L1 Conceptual Design</t>
        </is>
      </c>
      <c r="C1619" s="199" t="n">
        <v>2</v>
      </c>
      <c r="D1619" s="199" t="inlineStr">
        <is>
          <t>T3 Contextual</t>
        </is>
      </c>
      <c r="E1619" s="199" t="inlineStr">
        <is>
          <t>Buildings &amp; Utilities</t>
        </is>
      </c>
      <c r="F1619" s="199" t="n">
        <v>24</v>
      </c>
      <c r="G1619" s="199" t="n">
        <v>528</v>
      </c>
      <c r="H1619" s="199" t="inlineStr">
        <is>
          <t>No separate deliverable explicitly named</t>
        </is>
      </c>
    </row>
    <row r="1620">
      <c r="A1620" s="208" t="inlineStr">
        <is>
          <t>RTM-418</t>
        </is>
      </c>
      <c r="B1620" s="223" t="inlineStr">
        <is>
          <t>L2 Detailed Design</t>
        </is>
      </c>
      <c r="C1620" s="208" t="n">
        <v>3</v>
      </c>
      <c r="D1620" s="208" t="inlineStr">
        <is>
          <t>T3 Contextual</t>
        </is>
      </c>
      <c r="E1620" s="208" t="inlineStr">
        <is>
          <t>Buildings &amp; Utilities</t>
        </is>
      </c>
      <c r="F1620" s="208" t="n">
        <v>24</v>
      </c>
      <c r="G1620" s="208" t="n">
        <v>528</v>
      </c>
      <c r="H1620" s="208" t="inlineStr">
        <is>
          <t>No separate deliverable explicitly named</t>
        </is>
      </c>
    </row>
    <row r="1621">
      <c r="A1621" s="199" t="inlineStr">
        <is>
          <t>RTM-419</t>
        </is>
      </c>
      <c r="B1621" s="222" t="inlineStr">
        <is>
          <t>L1 Conceptual Design</t>
        </is>
      </c>
      <c r="C1621" s="199" t="n">
        <v>2</v>
      </c>
      <c r="D1621" s="199" t="inlineStr">
        <is>
          <t>T3 Contextual</t>
        </is>
      </c>
      <c r="E1621" s="199" t="inlineStr">
        <is>
          <t>Buildings &amp; Utilities</t>
        </is>
      </c>
      <c r="F1621" s="199" t="n">
        <v>24</v>
      </c>
      <c r="G1621" s="199" t="n">
        <v>529</v>
      </c>
      <c r="H1621" s="199" t="inlineStr">
        <is>
          <t>No separate deliverable explicitly named</t>
        </is>
      </c>
    </row>
    <row r="1622">
      <c r="A1622" s="208" t="inlineStr">
        <is>
          <t>RTM-419</t>
        </is>
      </c>
      <c r="B1622" s="223" t="inlineStr">
        <is>
          <t>L2 Detailed Design</t>
        </is>
      </c>
      <c r="C1622" s="208" t="n">
        <v>3</v>
      </c>
      <c r="D1622" s="208" t="inlineStr">
        <is>
          <t>T3 Contextual</t>
        </is>
      </c>
      <c r="E1622" s="208" t="inlineStr">
        <is>
          <t>Buildings &amp; Utilities</t>
        </is>
      </c>
      <c r="F1622" s="208" t="n">
        <v>24</v>
      </c>
      <c r="G1622" s="208" t="n">
        <v>529</v>
      </c>
      <c r="H1622" s="208" t="inlineStr">
        <is>
          <t>No separate deliverable explicitly named</t>
        </is>
      </c>
    </row>
    <row r="1623">
      <c r="A1623" s="199" t="inlineStr">
        <is>
          <t>RTM-434</t>
        </is>
      </c>
      <c r="B1623" s="222" t="inlineStr">
        <is>
          <t>L1 Conceptual Design</t>
        </is>
      </c>
      <c r="C1623" s="199" t="n">
        <v>2</v>
      </c>
      <c r="D1623" s="199" t="inlineStr">
        <is>
          <t>T3 Contextual</t>
        </is>
      </c>
      <c r="E1623" s="199" t="inlineStr">
        <is>
          <t>Buildings &amp; Utilities</t>
        </is>
      </c>
      <c r="F1623" s="199" t="n">
        <v>24</v>
      </c>
      <c r="G1623" s="199" t="n">
        <v>530</v>
      </c>
      <c r="H1623" s="199" t="inlineStr">
        <is>
          <t>No separate deliverable explicitly named</t>
        </is>
      </c>
    </row>
    <row r="1624">
      <c r="A1624" s="208" t="inlineStr">
        <is>
          <t>RTM-434</t>
        </is>
      </c>
      <c r="B1624" s="223" t="inlineStr">
        <is>
          <t>L2 Detailed Design</t>
        </is>
      </c>
      <c r="C1624" s="208" t="n">
        <v>3</v>
      </c>
      <c r="D1624" s="208" t="inlineStr">
        <is>
          <t>T3 Contextual</t>
        </is>
      </c>
      <c r="E1624" s="208" t="inlineStr">
        <is>
          <t>Buildings &amp; Utilities</t>
        </is>
      </c>
      <c r="F1624" s="208" t="n">
        <v>24</v>
      </c>
      <c r="G1624" s="208" t="n">
        <v>530</v>
      </c>
      <c r="H1624" s="208" t="inlineStr">
        <is>
          <t>No separate deliverable explicitly named</t>
        </is>
      </c>
    </row>
    <row r="1625">
      <c r="A1625" s="199" t="inlineStr">
        <is>
          <t>RTM-617</t>
        </is>
      </c>
      <c r="B1625" s="224" t="inlineStr">
        <is>
          <t>L3 Procurement &amp; Manufacturing / FAT</t>
        </is>
      </c>
      <c r="C1625" s="199" t="n">
        <v>4</v>
      </c>
      <c r="D1625" s="199" t="inlineStr">
        <is>
          <t>T3 Contextual</t>
        </is>
      </c>
      <c r="E1625" s="199" t="inlineStr">
        <is>
          <t>Schedule</t>
        </is>
      </c>
      <c r="F1625" s="199" t="n">
        <v>23.6667</v>
      </c>
      <c r="G1625" s="199" t="n">
        <v>531</v>
      </c>
      <c r="H1625" s="199" t="inlineStr">
        <is>
          <t>Procedure / work instruction</t>
        </is>
      </c>
    </row>
    <row r="1626">
      <c r="A1626" s="208" t="inlineStr">
        <is>
          <t>RTM-617</t>
        </is>
      </c>
      <c r="B1626" s="221" t="inlineStr">
        <is>
          <t>L0 Tender / Offer</t>
        </is>
      </c>
      <c r="C1626" s="208" t="n">
        <v>1</v>
      </c>
      <c r="D1626" s="208" t="inlineStr">
        <is>
          <t>T3 Contextual</t>
        </is>
      </c>
      <c r="E1626" s="208" t="inlineStr">
        <is>
          <t>Schedule</t>
        </is>
      </c>
      <c r="F1626" s="208" t="n">
        <v>23.6667</v>
      </c>
      <c r="G1626" s="208" t="n">
        <v>531</v>
      </c>
      <c r="H1626" s="208" t="inlineStr">
        <is>
          <t>Procedure / work instruction</t>
        </is>
      </c>
    </row>
    <row r="1627">
      <c r="A1627" s="199" t="inlineStr">
        <is>
          <t>RTM-617</t>
        </is>
      </c>
      <c r="B1627" s="222" t="inlineStr">
        <is>
          <t>L1 Conceptual Design</t>
        </is>
      </c>
      <c r="C1627" s="199" t="n">
        <v>2</v>
      </c>
      <c r="D1627" s="199" t="inlineStr">
        <is>
          <t>T3 Contextual</t>
        </is>
      </c>
      <c r="E1627" s="199" t="inlineStr">
        <is>
          <t>Schedule</t>
        </is>
      </c>
      <c r="F1627" s="199" t="n">
        <v>23.6667</v>
      </c>
      <c r="G1627" s="199" t="n">
        <v>531</v>
      </c>
      <c r="H1627" s="199" t="inlineStr">
        <is>
          <t>Procedure / work instruction</t>
        </is>
      </c>
    </row>
    <row r="1628">
      <c r="A1628" s="208" t="inlineStr">
        <is>
          <t>RTM-617</t>
        </is>
      </c>
      <c r="B1628" s="223" t="inlineStr">
        <is>
          <t>L2 Detailed Design</t>
        </is>
      </c>
      <c r="C1628" s="208" t="n">
        <v>3</v>
      </c>
      <c r="D1628" s="208" t="inlineStr">
        <is>
          <t>T3 Contextual</t>
        </is>
      </c>
      <c r="E1628" s="208" t="inlineStr">
        <is>
          <t>Schedule</t>
        </is>
      </c>
      <c r="F1628" s="208" t="n">
        <v>23.6667</v>
      </c>
      <c r="G1628" s="208" t="n">
        <v>531</v>
      </c>
      <c r="H1628" s="208" t="inlineStr">
        <is>
          <t>Procedure / work instruction</t>
        </is>
      </c>
    </row>
    <row r="1629">
      <c r="A1629" s="199" t="inlineStr">
        <is>
          <t>RTM-617</t>
        </is>
      </c>
      <c r="B1629" s="220" t="inlineStr">
        <is>
          <t>L4 Installation</t>
        </is>
      </c>
      <c r="C1629" s="199" t="n">
        <v>6</v>
      </c>
      <c r="D1629" s="199" t="inlineStr">
        <is>
          <t>T3 Contextual</t>
        </is>
      </c>
      <c r="E1629" s="199" t="inlineStr">
        <is>
          <t>Schedule</t>
        </is>
      </c>
      <c r="F1629" s="199" t="n">
        <v>23.6667</v>
      </c>
      <c r="G1629" s="199" t="n">
        <v>531</v>
      </c>
      <c r="H1629" s="199" t="inlineStr">
        <is>
          <t>Procedure / work instruction</t>
        </is>
      </c>
    </row>
    <row r="1630">
      <c r="A1630" s="208" t="inlineStr">
        <is>
          <t>RTM-617</t>
        </is>
      </c>
      <c r="B1630" s="225" t="inlineStr">
        <is>
          <t>L5 Standalone Commissioning</t>
        </is>
      </c>
      <c r="C1630" s="208" t="n">
        <v>7</v>
      </c>
      <c r="D1630" s="208" t="inlineStr">
        <is>
          <t>T3 Contextual</t>
        </is>
      </c>
      <c r="E1630" s="208" t="inlineStr">
        <is>
          <t>Schedule</t>
        </is>
      </c>
      <c r="F1630" s="208" t="n">
        <v>23.6667</v>
      </c>
      <c r="G1630" s="208" t="n">
        <v>531</v>
      </c>
      <c r="H1630" s="208" t="inlineStr">
        <is>
          <t>Procedure / work instruction</t>
        </is>
      </c>
    </row>
    <row r="1631">
      <c r="A1631" s="199" t="inlineStr">
        <is>
          <t>RTM-617</t>
        </is>
      </c>
      <c r="B1631" s="226" t="inlineStr">
        <is>
          <t>L6 Site Acceptance Testing</t>
        </is>
      </c>
      <c r="C1631" s="199" t="n">
        <v>8</v>
      </c>
      <c r="D1631" s="199" t="inlineStr">
        <is>
          <t>T3 Contextual</t>
        </is>
      </c>
      <c r="E1631" s="199" t="inlineStr">
        <is>
          <t>Schedule</t>
        </is>
      </c>
      <c r="F1631" s="199" t="n">
        <v>23.6667</v>
      </c>
      <c r="G1631" s="199" t="n">
        <v>531</v>
      </c>
      <c r="H1631" s="199" t="inlineStr">
        <is>
          <t>Procedure / work instruction</t>
        </is>
      </c>
    </row>
    <row r="1632">
      <c r="A1632" s="208" t="inlineStr">
        <is>
          <t>RTM-302</t>
        </is>
      </c>
      <c r="B1632" s="222" t="inlineStr">
        <is>
          <t>L1 Conceptual Design</t>
        </is>
      </c>
      <c r="C1632" s="208" t="n">
        <v>2</v>
      </c>
      <c r="D1632" s="208" t="inlineStr">
        <is>
          <t>T3 Contextual</t>
        </is>
      </c>
      <c r="E1632" s="208" t="inlineStr">
        <is>
          <t>Control &amp; Interlock</t>
        </is>
      </c>
      <c r="F1632" s="208" t="n">
        <v>23.3333</v>
      </c>
      <c r="G1632" s="208" t="n">
        <v>532</v>
      </c>
      <c r="H1632" s="208" t="inlineStr">
        <is>
          <t>No separate deliverable explicitly named</t>
        </is>
      </c>
    </row>
    <row r="1633">
      <c r="A1633" s="199" t="inlineStr">
        <is>
          <t>RTM-302</t>
        </is>
      </c>
      <c r="B1633" s="223" t="inlineStr">
        <is>
          <t>L2 Detailed Design</t>
        </is>
      </c>
      <c r="C1633" s="199" t="n">
        <v>3</v>
      </c>
      <c r="D1633" s="199" t="inlineStr">
        <is>
          <t>T3 Contextual</t>
        </is>
      </c>
      <c r="E1633" s="199" t="inlineStr">
        <is>
          <t>Control &amp; Interlock</t>
        </is>
      </c>
      <c r="F1633" s="199" t="n">
        <v>23.3333</v>
      </c>
      <c r="G1633" s="199" t="n">
        <v>532</v>
      </c>
      <c r="H1633" s="199" t="inlineStr">
        <is>
          <t>No separate deliverable explicitly named</t>
        </is>
      </c>
    </row>
    <row r="1634">
      <c r="A1634" s="208" t="inlineStr">
        <is>
          <t>RTM-314</t>
        </is>
      </c>
      <c r="B1634" s="222" t="inlineStr">
        <is>
          <t>L1 Conceptual Design</t>
        </is>
      </c>
      <c r="C1634" s="208" t="n">
        <v>2</v>
      </c>
      <c r="D1634" s="208" t="inlineStr">
        <is>
          <t>T3 Contextual</t>
        </is>
      </c>
      <c r="E1634" s="208" t="inlineStr">
        <is>
          <t>Control &amp; Interlock</t>
        </is>
      </c>
      <c r="F1634" s="208" t="n">
        <v>23.3333</v>
      </c>
      <c r="G1634" s="208" t="n">
        <v>533</v>
      </c>
      <c r="H1634" s="208" t="inlineStr">
        <is>
          <t>No separate deliverable explicitly named</t>
        </is>
      </c>
    </row>
    <row r="1635">
      <c r="A1635" s="199" t="inlineStr">
        <is>
          <t>RTM-314</t>
        </is>
      </c>
      <c r="B1635" s="223" t="inlineStr">
        <is>
          <t>L2 Detailed Design</t>
        </is>
      </c>
      <c r="C1635" s="199" t="n">
        <v>3</v>
      </c>
      <c r="D1635" s="199" t="inlineStr">
        <is>
          <t>T3 Contextual</t>
        </is>
      </c>
      <c r="E1635" s="199" t="inlineStr">
        <is>
          <t>Control &amp; Interlock</t>
        </is>
      </c>
      <c r="F1635" s="199" t="n">
        <v>23.3333</v>
      </c>
      <c r="G1635" s="199" t="n">
        <v>533</v>
      </c>
      <c r="H1635" s="199" t="inlineStr">
        <is>
          <t>No separate deliverable explicitly named</t>
        </is>
      </c>
    </row>
    <row r="1636">
      <c r="A1636" s="208" t="inlineStr">
        <is>
          <t>RTM-325</t>
        </is>
      </c>
      <c r="B1636" s="222" t="inlineStr">
        <is>
          <t>L1 Conceptual Design</t>
        </is>
      </c>
      <c r="C1636" s="208" t="n">
        <v>2</v>
      </c>
      <c r="D1636" s="208" t="inlineStr">
        <is>
          <t>T3 Contextual</t>
        </is>
      </c>
      <c r="E1636" s="208" t="inlineStr">
        <is>
          <t>Control &amp; Interlock</t>
        </is>
      </c>
      <c r="F1636" s="208" t="n">
        <v>23.3333</v>
      </c>
      <c r="G1636" s="208" t="n">
        <v>534</v>
      </c>
      <c r="H1636" s="208" t="inlineStr">
        <is>
          <t>No separate deliverable explicitly named</t>
        </is>
      </c>
    </row>
    <row r="1637">
      <c r="A1637" s="199" t="inlineStr">
        <is>
          <t>RTM-325</t>
        </is>
      </c>
      <c r="B1637" s="223" t="inlineStr">
        <is>
          <t>L2 Detailed Design</t>
        </is>
      </c>
      <c r="C1637" s="199" t="n">
        <v>3</v>
      </c>
      <c r="D1637" s="199" t="inlineStr">
        <is>
          <t>T3 Contextual</t>
        </is>
      </c>
      <c r="E1637" s="199" t="inlineStr">
        <is>
          <t>Control &amp; Interlock</t>
        </is>
      </c>
      <c r="F1637" s="199" t="n">
        <v>23.3333</v>
      </c>
      <c r="G1637" s="199" t="n">
        <v>534</v>
      </c>
      <c r="H1637" s="199" t="inlineStr">
        <is>
          <t>No separate deliverable explicitly named</t>
        </is>
      </c>
    </row>
    <row r="1638">
      <c r="A1638" s="208" t="inlineStr">
        <is>
          <t>RTM-330</t>
        </is>
      </c>
      <c r="B1638" s="222" t="inlineStr">
        <is>
          <t>L1 Conceptual Design</t>
        </is>
      </c>
      <c r="C1638" s="208" t="n">
        <v>2</v>
      </c>
      <c r="D1638" s="208" t="inlineStr">
        <is>
          <t>T3 Contextual</t>
        </is>
      </c>
      <c r="E1638" s="208" t="inlineStr">
        <is>
          <t>Control &amp; Interlock</t>
        </is>
      </c>
      <c r="F1638" s="208" t="n">
        <v>23.3333</v>
      </c>
      <c r="G1638" s="208" t="n">
        <v>535</v>
      </c>
      <c r="H1638" s="208" t="inlineStr">
        <is>
          <t>No separate deliverable explicitly named</t>
        </is>
      </c>
    </row>
    <row r="1639">
      <c r="A1639" s="199" t="inlineStr">
        <is>
          <t>RTM-330</t>
        </is>
      </c>
      <c r="B1639" s="223" t="inlineStr">
        <is>
          <t>L2 Detailed Design</t>
        </is>
      </c>
      <c r="C1639" s="199" t="n">
        <v>3</v>
      </c>
      <c r="D1639" s="199" t="inlineStr">
        <is>
          <t>T3 Contextual</t>
        </is>
      </c>
      <c r="E1639" s="199" t="inlineStr">
        <is>
          <t>Control &amp; Interlock</t>
        </is>
      </c>
      <c r="F1639" s="199" t="n">
        <v>23.3333</v>
      </c>
      <c r="G1639" s="199" t="n">
        <v>535</v>
      </c>
      <c r="H1639" s="199" t="inlineStr">
        <is>
          <t>No separate deliverable explicitly named</t>
        </is>
      </c>
    </row>
    <row r="1640">
      <c r="A1640" s="208" t="inlineStr">
        <is>
          <t>RTM-332</t>
        </is>
      </c>
      <c r="B1640" s="222" t="inlineStr">
        <is>
          <t>L1 Conceptual Design</t>
        </is>
      </c>
      <c r="C1640" s="208" t="n">
        <v>2</v>
      </c>
      <c r="D1640" s="208" t="inlineStr">
        <is>
          <t>T3 Contextual</t>
        </is>
      </c>
      <c r="E1640" s="208" t="inlineStr">
        <is>
          <t>Control &amp; Interlock</t>
        </is>
      </c>
      <c r="F1640" s="208" t="n">
        <v>23.3333</v>
      </c>
      <c r="G1640" s="208" t="n">
        <v>536</v>
      </c>
      <c r="H1640" s="208" t="inlineStr">
        <is>
          <t>No separate deliverable explicitly named</t>
        </is>
      </c>
    </row>
    <row r="1641">
      <c r="A1641" s="199" t="inlineStr">
        <is>
          <t>RTM-332</t>
        </is>
      </c>
      <c r="B1641" s="223" t="inlineStr">
        <is>
          <t>L2 Detailed Design</t>
        </is>
      </c>
      <c r="C1641" s="199" t="n">
        <v>3</v>
      </c>
      <c r="D1641" s="199" t="inlineStr">
        <is>
          <t>T3 Contextual</t>
        </is>
      </c>
      <c r="E1641" s="199" t="inlineStr">
        <is>
          <t>Control &amp; Interlock</t>
        </is>
      </c>
      <c r="F1641" s="199" t="n">
        <v>23.3333</v>
      </c>
      <c r="G1641" s="199" t="n">
        <v>536</v>
      </c>
      <c r="H1641" s="199" t="inlineStr">
        <is>
          <t>No separate deliverable explicitly named</t>
        </is>
      </c>
    </row>
    <row r="1642">
      <c r="A1642" s="208" t="inlineStr">
        <is>
          <t>RTM-350</t>
        </is>
      </c>
      <c r="B1642" s="222" t="inlineStr">
        <is>
          <t>L1 Conceptual Design</t>
        </is>
      </c>
      <c r="C1642" s="208" t="n">
        <v>2</v>
      </c>
      <c r="D1642" s="208" t="inlineStr">
        <is>
          <t>T3 Contextual</t>
        </is>
      </c>
      <c r="E1642" s="208" t="inlineStr">
        <is>
          <t>Control &amp; Interlock</t>
        </is>
      </c>
      <c r="F1642" s="208" t="n">
        <v>23.3333</v>
      </c>
      <c r="G1642" s="208" t="n">
        <v>537</v>
      </c>
      <c r="H1642" s="208" t="inlineStr">
        <is>
          <t>No separate deliverable explicitly named</t>
        </is>
      </c>
    </row>
    <row r="1643">
      <c r="A1643" s="199" t="inlineStr">
        <is>
          <t>RTM-350</t>
        </is>
      </c>
      <c r="B1643" s="223" t="inlineStr">
        <is>
          <t>L2 Detailed Design</t>
        </is>
      </c>
      <c r="C1643" s="199" t="n">
        <v>3</v>
      </c>
      <c r="D1643" s="199" t="inlineStr">
        <is>
          <t>T3 Contextual</t>
        </is>
      </c>
      <c r="E1643" s="199" t="inlineStr">
        <is>
          <t>Control &amp; Interlock</t>
        </is>
      </c>
      <c r="F1643" s="199" t="n">
        <v>23.3333</v>
      </c>
      <c r="G1643" s="199" t="n">
        <v>537</v>
      </c>
      <c r="H1643" s="199" t="inlineStr">
        <is>
          <t>No separate deliverable explicitly named</t>
        </is>
      </c>
    </row>
    <row r="1644">
      <c r="A1644" s="208" t="inlineStr">
        <is>
          <t>RTM-356</t>
        </is>
      </c>
      <c r="B1644" s="222" t="inlineStr">
        <is>
          <t>L1 Conceptual Design</t>
        </is>
      </c>
      <c r="C1644" s="208" t="n">
        <v>2</v>
      </c>
      <c r="D1644" s="208" t="inlineStr">
        <is>
          <t>T3 Contextual</t>
        </is>
      </c>
      <c r="E1644" s="208" t="inlineStr">
        <is>
          <t>Control &amp; Interlock</t>
        </is>
      </c>
      <c r="F1644" s="208" t="n">
        <v>23.3333</v>
      </c>
      <c r="G1644" s="208" t="n">
        <v>538</v>
      </c>
      <c r="H1644" s="208" t="inlineStr">
        <is>
          <t>No separate deliverable explicitly named</t>
        </is>
      </c>
    </row>
    <row r="1645">
      <c r="A1645" s="199" t="inlineStr">
        <is>
          <t>RTM-356</t>
        </is>
      </c>
      <c r="B1645" s="223" t="inlineStr">
        <is>
          <t>L2 Detailed Design</t>
        </is>
      </c>
      <c r="C1645" s="199" t="n">
        <v>3</v>
      </c>
      <c r="D1645" s="199" t="inlineStr">
        <is>
          <t>T3 Contextual</t>
        </is>
      </c>
      <c r="E1645" s="199" t="inlineStr">
        <is>
          <t>Control &amp; Interlock</t>
        </is>
      </c>
      <c r="F1645" s="199" t="n">
        <v>23.3333</v>
      </c>
      <c r="G1645" s="199" t="n">
        <v>538</v>
      </c>
      <c r="H1645" s="199" t="inlineStr">
        <is>
          <t>No separate deliverable explicitly named</t>
        </is>
      </c>
    </row>
    <row r="1646">
      <c r="A1646" s="208" t="inlineStr">
        <is>
          <t>RTM-357</t>
        </is>
      </c>
      <c r="B1646" s="222" t="inlineStr">
        <is>
          <t>L1 Conceptual Design</t>
        </is>
      </c>
      <c r="C1646" s="208" t="n">
        <v>2</v>
      </c>
      <c r="D1646" s="208" t="inlineStr">
        <is>
          <t>T3 Contextual</t>
        </is>
      </c>
      <c r="E1646" s="208" t="inlineStr">
        <is>
          <t>Control &amp; Interlock</t>
        </is>
      </c>
      <c r="F1646" s="208" t="n">
        <v>23.3333</v>
      </c>
      <c r="G1646" s="208" t="n">
        <v>539</v>
      </c>
      <c r="H1646" s="208" t="inlineStr">
        <is>
          <t>No separate deliverable explicitly named</t>
        </is>
      </c>
    </row>
    <row r="1647">
      <c r="A1647" s="199" t="inlineStr">
        <is>
          <t>RTM-357</t>
        </is>
      </c>
      <c r="B1647" s="223" t="inlineStr">
        <is>
          <t>L2 Detailed Design</t>
        </is>
      </c>
      <c r="C1647" s="199" t="n">
        <v>3</v>
      </c>
      <c r="D1647" s="199" t="inlineStr">
        <is>
          <t>T3 Contextual</t>
        </is>
      </c>
      <c r="E1647" s="199" t="inlineStr">
        <is>
          <t>Control &amp; Interlock</t>
        </is>
      </c>
      <c r="F1647" s="199" t="n">
        <v>23.3333</v>
      </c>
      <c r="G1647" s="199" t="n">
        <v>539</v>
      </c>
      <c r="H1647" s="199" t="inlineStr">
        <is>
          <t>No separate deliverable explicitly named</t>
        </is>
      </c>
    </row>
    <row r="1648">
      <c r="A1648" s="208" t="inlineStr">
        <is>
          <t>RTM-359</t>
        </is>
      </c>
      <c r="B1648" s="222" t="inlineStr">
        <is>
          <t>L1 Conceptual Design</t>
        </is>
      </c>
      <c r="C1648" s="208" t="n">
        <v>2</v>
      </c>
      <c r="D1648" s="208" t="inlineStr">
        <is>
          <t>T3 Contextual</t>
        </is>
      </c>
      <c r="E1648" s="208" t="inlineStr">
        <is>
          <t>Control &amp; Interlock</t>
        </is>
      </c>
      <c r="F1648" s="208" t="n">
        <v>23.3333</v>
      </c>
      <c r="G1648" s="208" t="n">
        <v>540</v>
      </c>
      <c r="H1648" s="208" t="inlineStr">
        <is>
          <t>No separate deliverable explicitly named</t>
        </is>
      </c>
    </row>
    <row r="1649">
      <c r="A1649" s="199" t="inlineStr">
        <is>
          <t>RTM-359</t>
        </is>
      </c>
      <c r="B1649" s="223" t="inlineStr">
        <is>
          <t>L2 Detailed Design</t>
        </is>
      </c>
      <c r="C1649" s="199" t="n">
        <v>3</v>
      </c>
      <c r="D1649" s="199" t="inlineStr">
        <is>
          <t>T3 Contextual</t>
        </is>
      </c>
      <c r="E1649" s="199" t="inlineStr">
        <is>
          <t>Control &amp; Interlock</t>
        </is>
      </c>
      <c r="F1649" s="199" t="n">
        <v>23.3333</v>
      </c>
      <c r="G1649" s="199" t="n">
        <v>540</v>
      </c>
      <c r="H1649" s="199" t="inlineStr">
        <is>
          <t>No separate deliverable explicitly named</t>
        </is>
      </c>
    </row>
    <row r="1650">
      <c r="A1650" s="208" t="inlineStr">
        <is>
          <t>RTM-360</t>
        </is>
      </c>
      <c r="B1650" s="222" t="inlineStr">
        <is>
          <t>L1 Conceptual Design</t>
        </is>
      </c>
      <c r="C1650" s="208" t="n">
        <v>2</v>
      </c>
      <c r="D1650" s="208" t="inlineStr">
        <is>
          <t>T3 Contextual</t>
        </is>
      </c>
      <c r="E1650" s="208" t="inlineStr">
        <is>
          <t>Control &amp; Interlock</t>
        </is>
      </c>
      <c r="F1650" s="208" t="n">
        <v>23.3333</v>
      </c>
      <c r="G1650" s="208" t="n">
        <v>541</v>
      </c>
      <c r="H1650" s="208" t="inlineStr">
        <is>
          <t>No separate deliverable explicitly named</t>
        </is>
      </c>
    </row>
    <row r="1651">
      <c r="A1651" s="199" t="inlineStr">
        <is>
          <t>RTM-360</t>
        </is>
      </c>
      <c r="B1651" s="223" t="inlineStr">
        <is>
          <t>L2 Detailed Design</t>
        </is>
      </c>
      <c r="C1651" s="199" t="n">
        <v>3</v>
      </c>
      <c r="D1651" s="199" t="inlineStr">
        <is>
          <t>T3 Contextual</t>
        </is>
      </c>
      <c r="E1651" s="199" t="inlineStr">
        <is>
          <t>Control &amp; Interlock</t>
        </is>
      </c>
      <c r="F1651" s="199" t="n">
        <v>23.3333</v>
      </c>
      <c r="G1651" s="199" t="n">
        <v>541</v>
      </c>
      <c r="H1651" s="199" t="inlineStr">
        <is>
          <t>No separate deliverable explicitly named</t>
        </is>
      </c>
    </row>
    <row r="1652">
      <c r="A1652" s="208" t="inlineStr">
        <is>
          <t>RTM-371</t>
        </is>
      </c>
      <c r="B1652" s="222" t="inlineStr">
        <is>
          <t>L1 Conceptual Design</t>
        </is>
      </c>
      <c r="C1652" s="208" t="n">
        <v>2</v>
      </c>
      <c r="D1652" s="208" t="inlineStr">
        <is>
          <t>T3 Contextual</t>
        </is>
      </c>
      <c r="E1652" s="208" t="inlineStr">
        <is>
          <t>Control &amp; Interlock</t>
        </is>
      </c>
      <c r="F1652" s="208" t="n">
        <v>23.3333</v>
      </c>
      <c r="G1652" s="208" t="n">
        <v>542</v>
      </c>
      <c r="H1652" s="208" t="inlineStr">
        <is>
          <t>No separate deliverable explicitly named</t>
        </is>
      </c>
    </row>
    <row r="1653">
      <c r="A1653" s="199" t="inlineStr">
        <is>
          <t>RTM-371</t>
        </is>
      </c>
      <c r="B1653" s="223" t="inlineStr">
        <is>
          <t>L2 Detailed Design</t>
        </is>
      </c>
      <c r="C1653" s="199" t="n">
        <v>3</v>
      </c>
      <c r="D1653" s="199" t="inlineStr">
        <is>
          <t>T3 Contextual</t>
        </is>
      </c>
      <c r="E1653" s="199" t="inlineStr">
        <is>
          <t>Control &amp; Interlock</t>
        </is>
      </c>
      <c r="F1653" s="199" t="n">
        <v>23.3333</v>
      </c>
      <c r="G1653" s="199" t="n">
        <v>542</v>
      </c>
      <c r="H1653" s="199" t="inlineStr">
        <is>
          <t>No separate deliverable explicitly named</t>
        </is>
      </c>
    </row>
    <row r="1654">
      <c r="A1654" s="208" t="inlineStr">
        <is>
          <t>RTM-566</t>
        </is>
      </c>
      <c r="B1654" s="222" t="inlineStr">
        <is>
          <t>L1 Conceptual Design</t>
        </is>
      </c>
      <c r="C1654" s="208" t="n">
        <v>2</v>
      </c>
      <c r="D1654" s="208" t="inlineStr">
        <is>
          <t>T3 Contextual</t>
        </is>
      </c>
      <c r="E1654" s="208" t="inlineStr">
        <is>
          <t>Technical Documentation</t>
        </is>
      </c>
      <c r="F1654" s="208" t="n">
        <v>23.3333</v>
      </c>
      <c r="G1654" s="208" t="n">
        <v>543</v>
      </c>
      <c r="H1654" s="208" t="inlineStr">
        <is>
          <t>No separate deliverable explicitly named</t>
        </is>
      </c>
    </row>
    <row r="1655">
      <c r="A1655" s="199" t="inlineStr">
        <is>
          <t>RTM-566</t>
        </is>
      </c>
      <c r="B1655" s="223" t="inlineStr">
        <is>
          <t>L2 Detailed Design</t>
        </is>
      </c>
      <c r="C1655" s="199" t="n">
        <v>3</v>
      </c>
      <c r="D1655" s="199" t="inlineStr">
        <is>
          <t>T3 Contextual</t>
        </is>
      </c>
      <c r="E1655" s="199" t="inlineStr">
        <is>
          <t>Technical Documentation</t>
        </is>
      </c>
      <c r="F1655" s="199" t="n">
        <v>23.3333</v>
      </c>
      <c r="G1655" s="199" t="n">
        <v>543</v>
      </c>
      <c r="H1655" s="199" t="inlineStr">
        <is>
          <t>No separate deliverable explicitly named</t>
        </is>
      </c>
    </row>
    <row r="1656">
      <c r="A1656" s="208" t="inlineStr">
        <is>
          <t>RTM-580</t>
        </is>
      </c>
      <c r="B1656" s="222" t="inlineStr">
        <is>
          <t>L1 Conceptual Design</t>
        </is>
      </c>
      <c r="C1656" s="208" t="n">
        <v>2</v>
      </c>
      <c r="D1656" s="208" t="inlineStr">
        <is>
          <t>T3 Contextual</t>
        </is>
      </c>
      <c r="E1656" s="208" t="inlineStr">
        <is>
          <t>Technical Documentation</t>
        </is>
      </c>
      <c r="F1656" s="208" t="n">
        <v>23.3333</v>
      </c>
      <c r="G1656" s="208" t="n">
        <v>544</v>
      </c>
      <c r="H1656" s="208" t="inlineStr">
        <is>
          <t>Quality Control Report</t>
        </is>
      </c>
    </row>
    <row r="1657">
      <c r="A1657" s="199" t="inlineStr">
        <is>
          <t>RTM-580</t>
        </is>
      </c>
      <c r="B1657" s="223" t="inlineStr">
        <is>
          <t>L2 Detailed Design</t>
        </is>
      </c>
      <c r="C1657" s="199" t="n">
        <v>3</v>
      </c>
      <c r="D1657" s="199" t="inlineStr">
        <is>
          <t>T3 Contextual</t>
        </is>
      </c>
      <c r="E1657" s="199" t="inlineStr">
        <is>
          <t>Technical Documentation</t>
        </is>
      </c>
      <c r="F1657" s="199" t="n">
        <v>23.3333</v>
      </c>
      <c r="G1657" s="199" t="n">
        <v>544</v>
      </c>
      <c r="H1657" s="199" t="inlineStr">
        <is>
          <t>Quality Control Report</t>
        </is>
      </c>
    </row>
    <row r="1658">
      <c r="A1658" s="208" t="inlineStr">
        <is>
          <t>RTM-581</t>
        </is>
      </c>
      <c r="B1658" s="220" t="inlineStr">
        <is>
          <t>L4 Installation</t>
        </is>
      </c>
      <c r="C1658" s="208" t="n">
        <v>6</v>
      </c>
      <c r="D1658" s="208" t="inlineStr">
        <is>
          <t>T3 Contextual</t>
        </is>
      </c>
      <c r="E1658" s="208" t="inlineStr">
        <is>
          <t>Technical Documentation</t>
        </is>
      </c>
      <c r="F1658" s="208" t="n">
        <v>23.3333</v>
      </c>
      <c r="G1658" s="208" t="n">
        <v>545</v>
      </c>
      <c r="H1658" s="208" t="inlineStr">
        <is>
          <t>Quality Control Report</t>
        </is>
      </c>
    </row>
    <row r="1659">
      <c r="A1659" s="199" t="inlineStr">
        <is>
          <t>RTM-581</t>
        </is>
      </c>
      <c r="B1659" s="222" t="inlineStr">
        <is>
          <t>L1 Conceptual Design</t>
        </is>
      </c>
      <c r="C1659" s="199" t="n">
        <v>2</v>
      </c>
      <c r="D1659" s="199" t="inlineStr">
        <is>
          <t>T3 Contextual</t>
        </is>
      </c>
      <c r="E1659" s="199" t="inlineStr">
        <is>
          <t>Technical Documentation</t>
        </is>
      </c>
      <c r="F1659" s="199" t="n">
        <v>23.3333</v>
      </c>
      <c r="G1659" s="199" t="n">
        <v>545</v>
      </c>
      <c r="H1659" s="199" t="inlineStr">
        <is>
          <t>Quality Control Report</t>
        </is>
      </c>
    </row>
    <row r="1660">
      <c r="A1660" s="208" t="inlineStr">
        <is>
          <t>RTM-581</t>
        </is>
      </c>
      <c r="B1660" s="223" t="inlineStr">
        <is>
          <t>L2 Detailed Design</t>
        </is>
      </c>
      <c r="C1660" s="208" t="n">
        <v>3</v>
      </c>
      <c r="D1660" s="208" t="inlineStr">
        <is>
          <t>T3 Contextual</t>
        </is>
      </c>
      <c r="E1660" s="208" t="inlineStr">
        <is>
          <t>Technical Documentation</t>
        </is>
      </c>
      <c r="F1660" s="208" t="n">
        <v>23.3333</v>
      </c>
      <c r="G1660" s="208" t="n">
        <v>545</v>
      </c>
      <c r="H1660" s="208" t="inlineStr">
        <is>
          <t>Quality Control Report</t>
        </is>
      </c>
    </row>
    <row r="1661">
      <c r="A1661" s="199" t="inlineStr">
        <is>
          <t>RTM-583</t>
        </is>
      </c>
      <c r="B1661" s="222" t="inlineStr">
        <is>
          <t>L1 Conceptual Design</t>
        </is>
      </c>
      <c r="C1661" s="199" t="n">
        <v>2</v>
      </c>
      <c r="D1661" s="199" t="inlineStr">
        <is>
          <t>T3 Contextual</t>
        </is>
      </c>
      <c r="E1661" s="199" t="inlineStr">
        <is>
          <t>Technical Documentation</t>
        </is>
      </c>
      <c r="F1661" s="199" t="n">
        <v>23.3333</v>
      </c>
      <c r="G1661" s="199" t="n">
        <v>546</v>
      </c>
      <c r="H1661" s="199" t="inlineStr">
        <is>
          <t>No separate deliverable explicitly named</t>
        </is>
      </c>
    </row>
    <row r="1662">
      <c r="A1662" s="208" t="inlineStr">
        <is>
          <t>RTM-583</t>
        </is>
      </c>
      <c r="B1662" s="223" t="inlineStr">
        <is>
          <t>L2 Detailed Design</t>
        </is>
      </c>
      <c r="C1662" s="208" t="n">
        <v>3</v>
      </c>
      <c r="D1662" s="208" t="inlineStr">
        <is>
          <t>T3 Contextual</t>
        </is>
      </c>
      <c r="E1662" s="208" t="inlineStr">
        <is>
          <t>Technical Documentation</t>
        </is>
      </c>
      <c r="F1662" s="208" t="n">
        <v>23.3333</v>
      </c>
      <c r="G1662" s="208" t="n">
        <v>546</v>
      </c>
      <c r="H1662" s="208" t="inlineStr">
        <is>
          <t>No separate deliverable explicitly named</t>
        </is>
      </c>
    </row>
    <row r="1663">
      <c r="A1663" s="199" t="inlineStr">
        <is>
          <t>RTM-584</t>
        </is>
      </c>
      <c r="B1663" s="222" t="inlineStr">
        <is>
          <t>L1 Conceptual Design</t>
        </is>
      </c>
      <c r="C1663" s="199" t="n">
        <v>2</v>
      </c>
      <c r="D1663" s="199" t="inlineStr">
        <is>
          <t>T3 Contextual</t>
        </is>
      </c>
      <c r="E1663" s="199" t="inlineStr">
        <is>
          <t>Technical Documentation</t>
        </is>
      </c>
      <c r="F1663" s="199" t="n">
        <v>23.3333</v>
      </c>
      <c r="G1663" s="199" t="n">
        <v>547</v>
      </c>
      <c r="H1663" s="199" t="inlineStr">
        <is>
          <t>No separate deliverable explicitly named</t>
        </is>
      </c>
    </row>
    <row r="1664">
      <c r="A1664" s="208" t="inlineStr">
        <is>
          <t>RTM-584</t>
        </is>
      </c>
      <c r="B1664" s="223" t="inlineStr">
        <is>
          <t>L2 Detailed Design</t>
        </is>
      </c>
      <c r="C1664" s="208" t="n">
        <v>3</v>
      </c>
      <c r="D1664" s="208" t="inlineStr">
        <is>
          <t>T3 Contextual</t>
        </is>
      </c>
      <c r="E1664" s="208" t="inlineStr">
        <is>
          <t>Technical Documentation</t>
        </is>
      </c>
      <c r="F1664" s="208" t="n">
        <v>23.3333</v>
      </c>
      <c r="G1664" s="208" t="n">
        <v>547</v>
      </c>
      <c r="H1664" s="208" t="inlineStr">
        <is>
          <t>No separate deliverable explicitly named</t>
        </is>
      </c>
    </row>
    <row r="1665">
      <c r="A1665" s="199" t="inlineStr">
        <is>
          <t>RTM-585</t>
        </is>
      </c>
      <c r="B1665" s="224" t="inlineStr">
        <is>
          <t>L3 Procurement &amp; Manufacturing / FAT</t>
        </is>
      </c>
      <c r="C1665" s="199" t="n">
        <v>4</v>
      </c>
      <c r="D1665" s="199" t="inlineStr">
        <is>
          <t>T3 Contextual</t>
        </is>
      </c>
      <c r="E1665" s="199" t="inlineStr">
        <is>
          <t>Technical Documentation</t>
        </is>
      </c>
      <c r="F1665" s="199" t="n">
        <v>23.3333</v>
      </c>
      <c r="G1665" s="199" t="n">
        <v>548</v>
      </c>
      <c r="H1665" s="199" t="inlineStr">
        <is>
          <t>Manufacturing File; FAT Report</t>
        </is>
      </c>
    </row>
    <row r="1666">
      <c r="A1666" s="208" t="inlineStr">
        <is>
          <t>RTM-585</t>
        </is>
      </c>
      <c r="B1666" s="222" t="inlineStr">
        <is>
          <t>L1 Conceptual Design</t>
        </is>
      </c>
      <c r="C1666" s="208" t="n">
        <v>2</v>
      </c>
      <c r="D1666" s="208" t="inlineStr">
        <is>
          <t>T3 Contextual</t>
        </is>
      </c>
      <c r="E1666" s="208" t="inlineStr">
        <is>
          <t>Technical Documentation</t>
        </is>
      </c>
      <c r="F1666" s="208" t="n">
        <v>23.3333</v>
      </c>
      <c r="G1666" s="208" t="n">
        <v>548</v>
      </c>
      <c r="H1666" s="208" t="inlineStr">
        <is>
          <t>Manufacturing File; FAT Report</t>
        </is>
      </c>
    </row>
    <row r="1667">
      <c r="A1667" s="199" t="inlineStr">
        <is>
          <t>RTM-585</t>
        </is>
      </c>
      <c r="B1667" s="223" t="inlineStr">
        <is>
          <t>L2 Detailed Design</t>
        </is>
      </c>
      <c r="C1667" s="199" t="n">
        <v>3</v>
      </c>
      <c r="D1667" s="199" t="inlineStr">
        <is>
          <t>T3 Contextual</t>
        </is>
      </c>
      <c r="E1667" s="199" t="inlineStr">
        <is>
          <t>Technical Documentation</t>
        </is>
      </c>
      <c r="F1667" s="199" t="n">
        <v>23.3333</v>
      </c>
      <c r="G1667" s="199" t="n">
        <v>548</v>
      </c>
      <c r="H1667" s="199" t="inlineStr">
        <is>
          <t>Manufacturing File; FAT Report</t>
        </is>
      </c>
    </row>
    <row r="1668">
      <c r="A1668" s="208" t="inlineStr">
        <is>
          <t>RTM-586</t>
        </is>
      </c>
      <c r="B1668" s="226" t="inlineStr">
        <is>
          <t>L6 Site Acceptance Testing</t>
        </is>
      </c>
      <c r="C1668" s="208" t="n">
        <v>8</v>
      </c>
      <c r="D1668" s="208" t="inlineStr">
        <is>
          <t>T3 Contextual</t>
        </is>
      </c>
      <c r="E1668" s="208" t="inlineStr">
        <is>
          <t>Technical Documentation</t>
        </is>
      </c>
      <c r="F1668" s="208" t="n">
        <v>23.3333</v>
      </c>
      <c r="G1668" s="208" t="n">
        <v>549</v>
      </c>
      <c r="H1668" s="208" t="inlineStr">
        <is>
          <t>SAT Report</t>
        </is>
      </c>
    </row>
    <row r="1669">
      <c r="A1669" s="199" t="inlineStr">
        <is>
          <t>RTM-586</t>
        </is>
      </c>
      <c r="B1669" s="222" t="inlineStr">
        <is>
          <t>L1 Conceptual Design</t>
        </is>
      </c>
      <c r="C1669" s="199" t="n">
        <v>2</v>
      </c>
      <c r="D1669" s="199" t="inlineStr">
        <is>
          <t>T3 Contextual</t>
        </is>
      </c>
      <c r="E1669" s="199" t="inlineStr">
        <is>
          <t>Technical Documentation</t>
        </is>
      </c>
      <c r="F1669" s="199" t="n">
        <v>23.3333</v>
      </c>
      <c r="G1669" s="199" t="n">
        <v>549</v>
      </c>
      <c r="H1669" s="199" t="inlineStr">
        <is>
          <t>SAT Report</t>
        </is>
      </c>
    </row>
    <row r="1670">
      <c r="A1670" s="208" t="inlineStr">
        <is>
          <t>RTM-586</t>
        </is>
      </c>
      <c r="B1670" s="223" t="inlineStr">
        <is>
          <t>L2 Detailed Design</t>
        </is>
      </c>
      <c r="C1670" s="208" t="n">
        <v>3</v>
      </c>
      <c r="D1670" s="208" t="inlineStr">
        <is>
          <t>T3 Contextual</t>
        </is>
      </c>
      <c r="E1670" s="208" t="inlineStr">
        <is>
          <t>Technical Documentation</t>
        </is>
      </c>
      <c r="F1670" s="208" t="n">
        <v>23.3333</v>
      </c>
      <c r="G1670" s="208" t="n">
        <v>549</v>
      </c>
      <c r="H1670" s="208" t="inlineStr">
        <is>
          <t>SAT Report</t>
        </is>
      </c>
    </row>
    <row r="1671">
      <c r="A1671" s="199" t="inlineStr">
        <is>
          <t>RTM-589</t>
        </is>
      </c>
      <c r="B1671" s="226" t="inlineStr">
        <is>
          <t>L6 Site Acceptance Testing</t>
        </is>
      </c>
      <c r="C1671" s="199" t="n">
        <v>8</v>
      </c>
      <c r="D1671" s="199" t="inlineStr">
        <is>
          <t>T3 Contextual</t>
        </is>
      </c>
      <c r="E1671" s="199" t="inlineStr">
        <is>
          <t>Technical Documentation</t>
        </is>
      </c>
      <c r="F1671" s="199" t="n">
        <v>23.3333</v>
      </c>
      <c r="G1671" s="199" t="n">
        <v>550</v>
      </c>
      <c r="H1671" s="199" t="inlineStr">
        <is>
          <t>As-built File</t>
        </is>
      </c>
    </row>
    <row r="1672">
      <c r="A1672" s="208" t="inlineStr">
        <is>
          <t>RTM-589</t>
        </is>
      </c>
      <c r="B1672" s="222" t="inlineStr">
        <is>
          <t>L1 Conceptual Design</t>
        </is>
      </c>
      <c r="C1672" s="208" t="n">
        <v>2</v>
      </c>
      <c r="D1672" s="208" t="inlineStr">
        <is>
          <t>T3 Contextual</t>
        </is>
      </c>
      <c r="E1672" s="208" t="inlineStr">
        <is>
          <t>Technical Documentation</t>
        </is>
      </c>
      <c r="F1672" s="208" t="n">
        <v>23.3333</v>
      </c>
      <c r="G1672" s="208" t="n">
        <v>550</v>
      </c>
      <c r="H1672" s="208" t="inlineStr">
        <is>
          <t>As-built File</t>
        </is>
      </c>
    </row>
    <row r="1673">
      <c r="A1673" s="199" t="inlineStr">
        <is>
          <t>RTM-589</t>
        </is>
      </c>
      <c r="B1673" s="223" t="inlineStr">
        <is>
          <t>L2 Detailed Design</t>
        </is>
      </c>
      <c r="C1673" s="199" t="n">
        <v>3</v>
      </c>
      <c r="D1673" s="199" t="inlineStr">
        <is>
          <t>T3 Contextual</t>
        </is>
      </c>
      <c r="E1673" s="199" t="inlineStr">
        <is>
          <t>Technical Documentation</t>
        </is>
      </c>
      <c r="F1673" s="199" t="n">
        <v>23.3333</v>
      </c>
      <c r="G1673" s="199" t="n">
        <v>550</v>
      </c>
      <c r="H1673" s="199" t="inlineStr">
        <is>
          <t>As-built File</t>
        </is>
      </c>
    </row>
    <row r="1674">
      <c r="A1674" s="208" t="inlineStr">
        <is>
          <t>RTM-591</t>
        </is>
      </c>
      <c r="B1674" s="226" t="inlineStr">
        <is>
          <t>L6 Site Acceptance Testing</t>
        </is>
      </c>
      <c r="C1674" s="208" t="n">
        <v>8</v>
      </c>
      <c r="D1674" s="208" t="inlineStr">
        <is>
          <t>T3 Contextual</t>
        </is>
      </c>
      <c r="E1674" s="208" t="inlineStr">
        <is>
          <t>Technical Documentation</t>
        </is>
      </c>
      <c r="F1674" s="208" t="n">
        <v>23.3333</v>
      </c>
      <c r="G1674" s="208" t="n">
        <v>551</v>
      </c>
      <c r="H1674" s="208" t="inlineStr">
        <is>
          <t>As-built File</t>
        </is>
      </c>
    </row>
    <row r="1675">
      <c r="A1675" s="199" t="inlineStr">
        <is>
          <t>RTM-591</t>
        </is>
      </c>
      <c r="B1675" s="222" t="inlineStr">
        <is>
          <t>L1 Conceptual Design</t>
        </is>
      </c>
      <c r="C1675" s="199" t="n">
        <v>2</v>
      </c>
      <c r="D1675" s="199" t="inlineStr">
        <is>
          <t>T3 Contextual</t>
        </is>
      </c>
      <c r="E1675" s="199" t="inlineStr">
        <is>
          <t>Technical Documentation</t>
        </is>
      </c>
      <c r="F1675" s="199" t="n">
        <v>23.3333</v>
      </c>
      <c r="G1675" s="199" t="n">
        <v>551</v>
      </c>
      <c r="H1675" s="199" t="inlineStr">
        <is>
          <t>As-built File</t>
        </is>
      </c>
    </row>
    <row r="1676">
      <c r="A1676" s="208" t="inlineStr">
        <is>
          <t>RTM-591</t>
        </is>
      </c>
      <c r="B1676" s="223" t="inlineStr">
        <is>
          <t>L2 Detailed Design</t>
        </is>
      </c>
      <c r="C1676" s="208" t="n">
        <v>3</v>
      </c>
      <c r="D1676" s="208" t="inlineStr">
        <is>
          <t>T3 Contextual</t>
        </is>
      </c>
      <c r="E1676" s="208" t="inlineStr">
        <is>
          <t>Technical Documentation</t>
        </is>
      </c>
      <c r="F1676" s="208" t="n">
        <v>23.3333</v>
      </c>
      <c r="G1676" s="208" t="n">
        <v>551</v>
      </c>
      <c r="H1676" s="208" t="inlineStr">
        <is>
          <t>As-built File</t>
        </is>
      </c>
    </row>
    <row r="1677">
      <c r="A1677" s="199" t="inlineStr">
        <is>
          <t>RTM-453</t>
        </is>
      </c>
      <c r="B1677" s="222" t="inlineStr">
        <is>
          <t>L1 Conceptual Design</t>
        </is>
      </c>
      <c r="C1677" s="199" t="n">
        <v>2</v>
      </c>
      <c r="D1677" s="199" t="inlineStr">
        <is>
          <t>T3 Contextual</t>
        </is>
      </c>
      <c r="E1677" s="199" t="inlineStr">
        <is>
          <t>Design &amp; Fabrication</t>
        </is>
      </c>
      <c r="F1677" s="199" t="n">
        <v>22.6667</v>
      </c>
      <c r="G1677" s="199" t="n">
        <v>552</v>
      </c>
      <c r="H1677" s="199" t="inlineStr">
        <is>
          <t>No separate deliverable explicitly named</t>
        </is>
      </c>
    </row>
    <row r="1678">
      <c r="A1678" s="208" t="inlineStr">
        <is>
          <t>RTM-453</t>
        </is>
      </c>
      <c r="B1678" s="223" t="inlineStr">
        <is>
          <t>L2 Detailed Design</t>
        </is>
      </c>
      <c r="C1678" s="208" t="n">
        <v>3</v>
      </c>
      <c r="D1678" s="208" t="inlineStr">
        <is>
          <t>T3 Contextual</t>
        </is>
      </c>
      <c r="E1678" s="208" t="inlineStr">
        <is>
          <t>Design &amp; Fabrication</t>
        </is>
      </c>
      <c r="F1678" s="208" t="n">
        <v>22.6667</v>
      </c>
      <c r="G1678" s="208" t="n">
        <v>552</v>
      </c>
      <c r="H1678" s="208" t="inlineStr">
        <is>
          <t>No separate deliverable explicitly named</t>
        </is>
      </c>
    </row>
    <row r="1679">
      <c r="A1679" s="199" t="inlineStr">
        <is>
          <t>RTM-458</t>
        </is>
      </c>
      <c r="B1679" s="222" t="inlineStr">
        <is>
          <t>L1 Conceptual Design</t>
        </is>
      </c>
      <c r="C1679" s="199" t="n">
        <v>2</v>
      </c>
      <c r="D1679" s="199" t="inlineStr">
        <is>
          <t>T3 Contextual</t>
        </is>
      </c>
      <c r="E1679" s="199" t="inlineStr">
        <is>
          <t>Design &amp; Fabrication</t>
        </is>
      </c>
      <c r="F1679" s="199" t="n">
        <v>22.6667</v>
      </c>
      <c r="G1679" s="199" t="n">
        <v>553</v>
      </c>
      <c r="H1679" s="199" t="inlineStr">
        <is>
          <t>Procedure / work instruction</t>
        </is>
      </c>
    </row>
    <row r="1680">
      <c r="A1680" s="208" t="inlineStr">
        <is>
          <t>RTM-458</t>
        </is>
      </c>
      <c r="B1680" s="223" t="inlineStr">
        <is>
          <t>L2 Detailed Design</t>
        </is>
      </c>
      <c r="C1680" s="208" t="n">
        <v>3</v>
      </c>
      <c r="D1680" s="208" t="inlineStr">
        <is>
          <t>T3 Contextual</t>
        </is>
      </c>
      <c r="E1680" s="208" t="inlineStr">
        <is>
          <t>Design &amp; Fabrication</t>
        </is>
      </c>
      <c r="F1680" s="208" t="n">
        <v>22.6667</v>
      </c>
      <c r="G1680" s="208" t="n">
        <v>553</v>
      </c>
      <c r="H1680" s="208" t="inlineStr">
        <is>
          <t>Procedure / work instruction</t>
        </is>
      </c>
    </row>
    <row r="1681">
      <c r="A1681" s="199" t="inlineStr">
        <is>
          <t>RTM-460</t>
        </is>
      </c>
      <c r="B1681" s="226" t="inlineStr">
        <is>
          <t>L6 Site Acceptance Testing</t>
        </is>
      </c>
      <c r="C1681" s="199" t="n">
        <v>8</v>
      </c>
      <c r="D1681" s="199" t="inlineStr">
        <is>
          <t>T3 Contextual</t>
        </is>
      </c>
      <c r="E1681" s="199" t="inlineStr">
        <is>
          <t>Design &amp; Fabrication</t>
        </is>
      </c>
      <c r="F1681" s="199" t="n">
        <v>22.6667</v>
      </c>
      <c r="G1681" s="199" t="n">
        <v>554</v>
      </c>
      <c r="H1681" s="199" t="inlineStr">
        <is>
          <t>No separate deliverable explicitly named</t>
        </is>
      </c>
    </row>
    <row r="1682">
      <c r="A1682" s="208" t="inlineStr">
        <is>
          <t>RTM-460</t>
        </is>
      </c>
      <c r="B1682" s="222" t="inlineStr">
        <is>
          <t>L1 Conceptual Design</t>
        </is>
      </c>
      <c r="C1682" s="208" t="n">
        <v>2</v>
      </c>
      <c r="D1682" s="208" t="inlineStr">
        <is>
          <t>T3 Contextual</t>
        </is>
      </c>
      <c r="E1682" s="208" t="inlineStr">
        <is>
          <t>Design &amp; Fabrication</t>
        </is>
      </c>
      <c r="F1682" s="208" t="n">
        <v>22.6667</v>
      </c>
      <c r="G1682" s="208" t="n">
        <v>554</v>
      </c>
      <c r="H1682" s="208" t="inlineStr">
        <is>
          <t>No separate deliverable explicitly named</t>
        </is>
      </c>
    </row>
    <row r="1683">
      <c r="A1683" s="199" t="inlineStr">
        <is>
          <t>RTM-460</t>
        </is>
      </c>
      <c r="B1683" s="223" t="inlineStr">
        <is>
          <t>L2 Detailed Design</t>
        </is>
      </c>
      <c r="C1683" s="199" t="n">
        <v>3</v>
      </c>
      <c r="D1683" s="199" t="inlineStr">
        <is>
          <t>T3 Contextual</t>
        </is>
      </c>
      <c r="E1683" s="199" t="inlineStr">
        <is>
          <t>Design &amp; Fabrication</t>
        </is>
      </c>
      <c r="F1683" s="199" t="n">
        <v>22.6667</v>
      </c>
      <c r="G1683" s="199" t="n">
        <v>554</v>
      </c>
      <c r="H1683" s="199" t="inlineStr">
        <is>
          <t>No separate deliverable explicitly named</t>
        </is>
      </c>
    </row>
    <row r="1684">
      <c r="A1684" s="208" t="inlineStr">
        <is>
          <t>RTM-463</t>
        </is>
      </c>
      <c r="B1684" s="222" t="inlineStr">
        <is>
          <t>L1 Conceptual Design</t>
        </is>
      </c>
      <c r="C1684" s="208" t="n">
        <v>2</v>
      </c>
      <c r="D1684" s="208" t="inlineStr">
        <is>
          <t>T3 Contextual</t>
        </is>
      </c>
      <c r="E1684" s="208" t="inlineStr">
        <is>
          <t>Design &amp; Fabrication</t>
        </is>
      </c>
      <c r="F1684" s="208" t="n">
        <v>22.6667</v>
      </c>
      <c r="G1684" s="208" t="n">
        <v>555</v>
      </c>
      <c r="H1684" s="208" t="inlineStr">
        <is>
          <t>No separate deliverable explicitly named</t>
        </is>
      </c>
    </row>
    <row r="1685">
      <c r="A1685" s="199" t="inlineStr">
        <is>
          <t>RTM-463</t>
        </is>
      </c>
      <c r="B1685" s="223" t="inlineStr">
        <is>
          <t>L2 Detailed Design</t>
        </is>
      </c>
      <c r="C1685" s="199" t="n">
        <v>3</v>
      </c>
      <c r="D1685" s="199" t="inlineStr">
        <is>
          <t>T3 Contextual</t>
        </is>
      </c>
      <c r="E1685" s="199" t="inlineStr">
        <is>
          <t>Design &amp; Fabrication</t>
        </is>
      </c>
      <c r="F1685" s="199" t="n">
        <v>22.6667</v>
      </c>
      <c r="G1685" s="199" t="n">
        <v>555</v>
      </c>
      <c r="H1685" s="199" t="inlineStr">
        <is>
          <t>No separate deliverable explicitly named</t>
        </is>
      </c>
    </row>
    <row r="1686">
      <c r="A1686" s="208" t="inlineStr">
        <is>
          <t>RTM-476</t>
        </is>
      </c>
      <c r="B1686" s="220" t="inlineStr">
        <is>
          <t>L4 Installation</t>
        </is>
      </c>
      <c r="C1686" s="208" t="n">
        <v>6</v>
      </c>
      <c r="D1686" s="208" t="inlineStr">
        <is>
          <t>T3 Contextual</t>
        </is>
      </c>
      <c r="E1686" s="208" t="inlineStr">
        <is>
          <t>Installation</t>
        </is>
      </c>
      <c r="F1686" s="208" t="n">
        <v>22.6667</v>
      </c>
      <c r="G1686" s="208" t="n">
        <v>556</v>
      </c>
      <c r="H1686" s="208" t="inlineStr">
        <is>
          <t>No separate deliverable explicitly named</t>
        </is>
      </c>
    </row>
    <row r="1687">
      <c r="A1687" s="199" t="inlineStr">
        <is>
          <t>RTM-476</t>
        </is>
      </c>
      <c r="B1687" s="222" t="inlineStr">
        <is>
          <t>L1 Conceptual Design</t>
        </is>
      </c>
      <c r="C1687" s="199" t="n">
        <v>2</v>
      </c>
      <c r="D1687" s="199" t="inlineStr">
        <is>
          <t>T3 Contextual</t>
        </is>
      </c>
      <c r="E1687" s="199" t="inlineStr">
        <is>
          <t>Installation</t>
        </is>
      </c>
      <c r="F1687" s="199" t="n">
        <v>22.6667</v>
      </c>
      <c r="G1687" s="199" t="n">
        <v>556</v>
      </c>
      <c r="H1687" s="199" t="inlineStr">
        <is>
          <t>No separate deliverable explicitly named</t>
        </is>
      </c>
    </row>
    <row r="1688">
      <c r="A1688" s="208" t="inlineStr">
        <is>
          <t>RTM-476</t>
        </is>
      </c>
      <c r="B1688" s="223" t="inlineStr">
        <is>
          <t>L2 Detailed Design</t>
        </is>
      </c>
      <c r="C1688" s="208" t="n">
        <v>3</v>
      </c>
      <c r="D1688" s="208" t="inlineStr">
        <is>
          <t>T3 Contextual</t>
        </is>
      </c>
      <c r="E1688" s="208" t="inlineStr">
        <is>
          <t>Installation</t>
        </is>
      </c>
      <c r="F1688" s="208" t="n">
        <v>22.6667</v>
      </c>
      <c r="G1688" s="208" t="n">
        <v>556</v>
      </c>
      <c r="H1688" s="208" t="inlineStr">
        <is>
          <t>No separate deliverable explicitly named</t>
        </is>
      </c>
    </row>
    <row r="1689">
      <c r="A1689" s="199" t="inlineStr">
        <is>
          <t>RTM-477</t>
        </is>
      </c>
      <c r="B1689" s="220" t="inlineStr">
        <is>
          <t>L4 Installation</t>
        </is>
      </c>
      <c r="C1689" s="199" t="n">
        <v>6</v>
      </c>
      <c r="D1689" s="199" t="inlineStr">
        <is>
          <t>T3 Contextual</t>
        </is>
      </c>
      <c r="E1689" s="199" t="inlineStr">
        <is>
          <t>Installation</t>
        </is>
      </c>
      <c r="F1689" s="199" t="n">
        <v>22.6667</v>
      </c>
      <c r="G1689" s="199" t="n">
        <v>557</v>
      </c>
      <c r="H1689" s="199" t="inlineStr">
        <is>
          <t>No separate deliverable explicitly named</t>
        </is>
      </c>
    </row>
    <row r="1690">
      <c r="A1690" s="208" t="inlineStr">
        <is>
          <t>RTM-477</t>
        </is>
      </c>
      <c r="B1690" s="222" t="inlineStr">
        <is>
          <t>L1 Conceptual Design</t>
        </is>
      </c>
      <c r="C1690" s="208" t="n">
        <v>2</v>
      </c>
      <c r="D1690" s="208" t="inlineStr">
        <is>
          <t>T3 Contextual</t>
        </is>
      </c>
      <c r="E1690" s="208" t="inlineStr">
        <is>
          <t>Installation</t>
        </is>
      </c>
      <c r="F1690" s="208" t="n">
        <v>22.6667</v>
      </c>
      <c r="G1690" s="208" t="n">
        <v>557</v>
      </c>
      <c r="H1690" s="208" t="inlineStr">
        <is>
          <t>No separate deliverable explicitly named</t>
        </is>
      </c>
    </row>
    <row r="1691">
      <c r="A1691" s="199" t="inlineStr">
        <is>
          <t>RTM-477</t>
        </is>
      </c>
      <c r="B1691" s="223" t="inlineStr">
        <is>
          <t>L2 Detailed Design</t>
        </is>
      </c>
      <c r="C1691" s="199" t="n">
        <v>3</v>
      </c>
      <c r="D1691" s="199" t="inlineStr">
        <is>
          <t>T3 Contextual</t>
        </is>
      </c>
      <c r="E1691" s="199" t="inlineStr">
        <is>
          <t>Installation</t>
        </is>
      </c>
      <c r="F1691" s="199" t="n">
        <v>22.6667</v>
      </c>
      <c r="G1691" s="199" t="n">
        <v>557</v>
      </c>
      <c r="H1691" s="199" t="inlineStr">
        <is>
          <t>No separate deliverable explicitly named</t>
        </is>
      </c>
    </row>
    <row r="1692">
      <c r="A1692" s="208" t="inlineStr">
        <is>
          <t>RTM-479</t>
        </is>
      </c>
      <c r="B1692" s="225" t="inlineStr">
        <is>
          <t>L5 Standalone Commissioning</t>
        </is>
      </c>
      <c r="C1692" s="208" t="n">
        <v>7</v>
      </c>
      <c r="D1692" s="208" t="inlineStr">
        <is>
          <t>T3 Contextual</t>
        </is>
      </c>
      <c r="E1692" s="208" t="inlineStr">
        <is>
          <t>Commissioning</t>
        </is>
      </c>
      <c r="F1692" s="208" t="n">
        <v>22.6667</v>
      </c>
      <c r="G1692" s="208" t="n">
        <v>558</v>
      </c>
      <c r="H1692" s="208" t="inlineStr">
        <is>
          <t>No separate deliverable explicitly named</t>
        </is>
      </c>
    </row>
    <row r="1693">
      <c r="A1693" s="199" t="inlineStr">
        <is>
          <t>RTM-479</t>
        </is>
      </c>
      <c r="B1693" s="222" t="inlineStr">
        <is>
          <t>L1 Conceptual Design</t>
        </is>
      </c>
      <c r="C1693" s="199" t="n">
        <v>2</v>
      </c>
      <c r="D1693" s="199" t="inlineStr">
        <is>
          <t>T3 Contextual</t>
        </is>
      </c>
      <c r="E1693" s="199" t="inlineStr">
        <is>
          <t>Commissioning</t>
        </is>
      </c>
      <c r="F1693" s="199" t="n">
        <v>22.6667</v>
      </c>
      <c r="G1693" s="199" t="n">
        <v>558</v>
      </c>
      <c r="H1693" s="199" t="inlineStr">
        <is>
          <t>No separate deliverable explicitly named</t>
        </is>
      </c>
    </row>
    <row r="1694">
      <c r="A1694" s="208" t="inlineStr">
        <is>
          <t>RTM-479</t>
        </is>
      </c>
      <c r="B1694" s="223" t="inlineStr">
        <is>
          <t>L2 Detailed Design</t>
        </is>
      </c>
      <c r="C1694" s="208" t="n">
        <v>3</v>
      </c>
      <c r="D1694" s="208" t="inlineStr">
        <is>
          <t>T3 Contextual</t>
        </is>
      </c>
      <c r="E1694" s="208" t="inlineStr">
        <is>
          <t>Commissioning</t>
        </is>
      </c>
      <c r="F1694" s="208" t="n">
        <v>22.6667</v>
      </c>
      <c r="G1694" s="208" t="n">
        <v>558</v>
      </c>
      <c r="H1694" s="208" t="inlineStr">
        <is>
          <t>No separate deliverable explicitly named</t>
        </is>
      </c>
    </row>
    <row r="1695">
      <c r="A1695" s="199" t="inlineStr">
        <is>
          <t>RTM-480</t>
        </is>
      </c>
      <c r="B1695" s="225" t="inlineStr">
        <is>
          <t>L5 Standalone Commissioning</t>
        </is>
      </c>
      <c r="C1695" s="199" t="n">
        <v>7</v>
      </c>
      <c r="D1695" s="199" t="inlineStr">
        <is>
          <t>T3 Contextual</t>
        </is>
      </c>
      <c r="E1695" s="199" t="inlineStr">
        <is>
          <t>Commissioning</t>
        </is>
      </c>
      <c r="F1695" s="199" t="n">
        <v>22.6667</v>
      </c>
      <c r="G1695" s="199" t="n">
        <v>559</v>
      </c>
      <c r="H1695" s="199" t="inlineStr">
        <is>
          <t>No separate deliverable explicitly named</t>
        </is>
      </c>
    </row>
    <row r="1696">
      <c r="A1696" s="208" t="inlineStr">
        <is>
          <t>RTM-480</t>
        </is>
      </c>
      <c r="B1696" s="222" t="inlineStr">
        <is>
          <t>L1 Conceptual Design</t>
        </is>
      </c>
      <c r="C1696" s="208" t="n">
        <v>2</v>
      </c>
      <c r="D1696" s="208" t="inlineStr">
        <is>
          <t>T3 Contextual</t>
        </is>
      </c>
      <c r="E1696" s="208" t="inlineStr">
        <is>
          <t>Commissioning</t>
        </is>
      </c>
      <c r="F1696" s="208" t="n">
        <v>22.6667</v>
      </c>
      <c r="G1696" s="208" t="n">
        <v>559</v>
      </c>
      <c r="H1696" s="208" t="inlineStr">
        <is>
          <t>No separate deliverable explicitly named</t>
        </is>
      </c>
    </row>
    <row r="1697">
      <c r="A1697" s="199" t="inlineStr">
        <is>
          <t>RTM-480</t>
        </is>
      </c>
      <c r="B1697" s="223" t="inlineStr">
        <is>
          <t>L2 Detailed Design</t>
        </is>
      </c>
      <c r="C1697" s="199" t="n">
        <v>3</v>
      </c>
      <c r="D1697" s="199" t="inlineStr">
        <is>
          <t>T3 Contextual</t>
        </is>
      </c>
      <c r="E1697" s="199" t="inlineStr">
        <is>
          <t>Commissioning</t>
        </is>
      </c>
      <c r="F1697" s="199" t="n">
        <v>22.6667</v>
      </c>
      <c r="G1697" s="199" t="n">
        <v>559</v>
      </c>
      <c r="H1697" s="199" t="inlineStr">
        <is>
          <t>No separate deliverable explicitly named</t>
        </is>
      </c>
    </row>
    <row r="1698">
      <c r="A1698" s="208" t="inlineStr">
        <is>
          <t>RTM-069</t>
        </is>
      </c>
      <c r="B1698" s="222" t="inlineStr">
        <is>
          <t>L1 Conceptual Design</t>
        </is>
      </c>
      <c r="C1698" s="208" t="n">
        <v>2</v>
      </c>
      <c r="D1698" s="208" t="inlineStr">
        <is>
          <t>T3 Contextual</t>
        </is>
      </c>
      <c r="E1698" s="208" t="inlineStr">
        <is>
          <t>Global Design Criteria</t>
        </is>
      </c>
      <c r="F1698" s="208" t="n">
        <v>22</v>
      </c>
      <c r="G1698" s="208" t="n">
        <v>560</v>
      </c>
      <c r="H1698" s="208" t="inlineStr">
        <is>
          <t>No separate deliverable explicitly named</t>
        </is>
      </c>
    </row>
    <row r="1699">
      <c r="A1699" s="199" t="inlineStr">
        <is>
          <t>RTM-069</t>
        </is>
      </c>
      <c r="B1699" s="223" t="inlineStr">
        <is>
          <t>L2 Detailed Design</t>
        </is>
      </c>
      <c r="C1699" s="199" t="n">
        <v>3</v>
      </c>
      <c r="D1699" s="199" t="inlineStr">
        <is>
          <t>T3 Contextual</t>
        </is>
      </c>
      <c r="E1699" s="199" t="inlineStr">
        <is>
          <t>Global Design Criteria</t>
        </is>
      </c>
      <c r="F1699" s="199" t="n">
        <v>22</v>
      </c>
      <c r="G1699" s="199" t="n">
        <v>560</v>
      </c>
      <c r="H1699" s="199" t="inlineStr">
        <is>
          <t>No separate deliverable explicitly named</t>
        </is>
      </c>
    </row>
    <row r="1700">
      <c r="A1700" s="208" t="inlineStr">
        <is>
          <t>RTM-063</t>
        </is>
      </c>
      <c r="B1700" s="222" t="inlineStr">
        <is>
          <t>L1 Conceptual Design</t>
        </is>
      </c>
      <c r="C1700" s="208" t="n">
        <v>2</v>
      </c>
      <c r="D1700" s="208" t="inlineStr">
        <is>
          <t>T3 Contextual</t>
        </is>
      </c>
      <c r="E1700" s="208" t="inlineStr">
        <is>
          <t>Global Design Criteria</t>
        </is>
      </c>
      <c r="F1700" s="208" t="n">
        <v>22</v>
      </c>
      <c r="G1700" s="208" t="n">
        <v>561</v>
      </c>
      <c r="H1700" s="208" t="inlineStr">
        <is>
          <t>No separate deliverable explicitly named</t>
        </is>
      </c>
    </row>
    <row r="1701">
      <c r="A1701" s="199" t="inlineStr">
        <is>
          <t>RTM-063</t>
        </is>
      </c>
      <c r="B1701" s="223" t="inlineStr">
        <is>
          <t>L2 Detailed Design</t>
        </is>
      </c>
      <c r="C1701" s="199" t="n">
        <v>3</v>
      </c>
      <c r="D1701" s="199" t="inlineStr">
        <is>
          <t>T3 Contextual</t>
        </is>
      </c>
      <c r="E1701" s="199" t="inlineStr">
        <is>
          <t>Global Design Criteria</t>
        </is>
      </c>
      <c r="F1701" s="199" t="n">
        <v>22</v>
      </c>
      <c r="G1701" s="199" t="n">
        <v>561</v>
      </c>
      <c r="H1701" s="199" t="inlineStr">
        <is>
          <t>No separate deliverable explicitly named</t>
        </is>
      </c>
    </row>
    <row r="1702">
      <c r="A1702" s="208" t="inlineStr">
        <is>
          <t>RTM-067</t>
        </is>
      </c>
      <c r="B1702" s="222" t="inlineStr">
        <is>
          <t>L1 Conceptual Design</t>
        </is>
      </c>
      <c r="C1702" s="208" t="n">
        <v>2</v>
      </c>
      <c r="D1702" s="208" t="inlineStr">
        <is>
          <t>T3 Contextual</t>
        </is>
      </c>
      <c r="E1702" s="208" t="inlineStr">
        <is>
          <t>Global Design Criteria</t>
        </is>
      </c>
      <c r="F1702" s="208" t="n">
        <v>21.6667</v>
      </c>
      <c r="G1702" s="208" t="n">
        <v>562</v>
      </c>
      <c r="H1702" s="208" t="inlineStr">
        <is>
          <t>Maintenance / RCM Plan</t>
        </is>
      </c>
    </row>
    <row r="1703">
      <c r="A1703" s="199" t="inlineStr">
        <is>
          <t>RTM-067</t>
        </is>
      </c>
      <c r="B1703" s="223" t="inlineStr">
        <is>
          <t>L2 Detailed Design</t>
        </is>
      </c>
      <c r="C1703" s="199" t="n">
        <v>3</v>
      </c>
      <c r="D1703" s="199" t="inlineStr">
        <is>
          <t>T3 Contextual</t>
        </is>
      </c>
      <c r="E1703" s="199" t="inlineStr">
        <is>
          <t>Global Design Criteria</t>
        </is>
      </c>
      <c r="F1703" s="199" t="n">
        <v>21.6667</v>
      </c>
      <c r="G1703" s="199" t="n">
        <v>562</v>
      </c>
      <c r="H1703" s="199" t="inlineStr">
        <is>
          <t>Maintenance / RCM Plan</t>
        </is>
      </c>
    </row>
    <row r="1704">
      <c r="A1704" s="208" t="inlineStr">
        <is>
          <t>RTM-619</t>
        </is>
      </c>
      <c r="B1704" s="221" t="inlineStr">
        <is>
          <t>L0 Tender / Offer</t>
        </is>
      </c>
      <c r="C1704" s="208" t="n">
        <v>1</v>
      </c>
      <c r="D1704" s="208" t="inlineStr">
        <is>
          <t>T3 Contextual</t>
        </is>
      </c>
      <c r="E1704" s="208" t="inlineStr">
        <is>
          <t>Schedule</t>
        </is>
      </c>
      <c r="F1704" s="208" t="n">
        <v>21.6667</v>
      </c>
      <c r="G1704" s="208" t="n">
        <v>563</v>
      </c>
      <c r="H1704" s="208" t="inlineStr">
        <is>
          <t>No separate deliverable explicitly named</t>
        </is>
      </c>
    </row>
    <row r="1705">
      <c r="A1705" s="199" t="inlineStr">
        <is>
          <t>RTM-619</t>
        </is>
      </c>
      <c r="B1705" s="222" t="inlineStr">
        <is>
          <t>L1 Conceptual Design</t>
        </is>
      </c>
      <c r="C1705" s="199" t="n">
        <v>2</v>
      </c>
      <c r="D1705" s="199" t="inlineStr">
        <is>
          <t>T3 Contextual</t>
        </is>
      </c>
      <c r="E1705" s="199" t="inlineStr">
        <is>
          <t>Schedule</t>
        </is>
      </c>
      <c r="F1705" s="199" t="n">
        <v>21.6667</v>
      </c>
      <c r="G1705" s="199" t="n">
        <v>563</v>
      </c>
      <c r="H1705" s="199" t="inlineStr">
        <is>
          <t>No separate deliverable explicitly named</t>
        </is>
      </c>
    </row>
    <row r="1706">
      <c r="A1706" s="208" t="inlineStr">
        <is>
          <t>RTM-619</t>
        </is>
      </c>
      <c r="B1706" s="223" t="inlineStr">
        <is>
          <t>L2 Detailed Design</t>
        </is>
      </c>
      <c r="C1706" s="208" t="n">
        <v>3</v>
      </c>
      <c r="D1706" s="208" t="inlineStr">
        <is>
          <t>T3 Contextual</t>
        </is>
      </c>
      <c r="E1706" s="208" t="inlineStr">
        <is>
          <t>Schedule</t>
        </is>
      </c>
      <c r="F1706" s="208" t="n">
        <v>21.6667</v>
      </c>
      <c r="G1706" s="208" t="n">
        <v>563</v>
      </c>
      <c r="H1706" s="208" t="inlineStr">
        <is>
          <t>No separate deliverable explicitly named</t>
        </is>
      </c>
    </row>
    <row r="1707">
      <c r="A1707" s="199" t="inlineStr">
        <is>
          <t>RTM-619</t>
        </is>
      </c>
      <c r="B1707" s="224" t="inlineStr">
        <is>
          <t>L3 Procurement &amp; Manufacturing / FAT</t>
        </is>
      </c>
      <c r="C1707" s="199" t="n">
        <v>4</v>
      </c>
      <c r="D1707" s="199" t="inlineStr">
        <is>
          <t>T3 Contextual</t>
        </is>
      </c>
      <c r="E1707" s="199" t="inlineStr">
        <is>
          <t>Schedule</t>
        </is>
      </c>
      <c r="F1707" s="199" t="n">
        <v>21.6667</v>
      </c>
      <c r="G1707" s="199" t="n">
        <v>563</v>
      </c>
      <c r="H1707" s="199" t="inlineStr">
        <is>
          <t>No separate deliverable explicitly named</t>
        </is>
      </c>
    </row>
    <row r="1708">
      <c r="A1708" s="208" t="inlineStr">
        <is>
          <t>RTM-619</t>
        </is>
      </c>
      <c r="B1708" s="220" t="inlineStr">
        <is>
          <t>L4 Installation</t>
        </is>
      </c>
      <c r="C1708" s="208" t="n">
        <v>6</v>
      </c>
      <c r="D1708" s="208" t="inlineStr">
        <is>
          <t>T3 Contextual</t>
        </is>
      </c>
      <c r="E1708" s="208" t="inlineStr">
        <is>
          <t>Schedule</t>
        </is>
      </c>
      <c r="F1708" s="208" t="n">
        <v>21.6667</v>
      </c>
      <c r="G1708" s="208" t="n">
        <v>563</v>
      </c>
      <c r="H1708" s="208" t="inlineStr">
        <is>
          <t>No separate deliverable explicitly named</t>
        </is>
      </c>
    </row>
    <row r="1709">
      <c r="A1709" s="199" t="inlineStr">
        <is>
          <t>RTM-619</t>
        </is>
      </c>
      <c r="B1709" s="225" t="inlineStr">
        <is>
          <t>L5 Standalone Commissioning</t>
        </is>
      </c>
      <c r="C1709" s="199" t="n">
        <v>7</v>
      </c>
      <c r="D1709" s="199" t="inlineStr">
        <is>
          <t>T3 Contextual</t>
        </is>
      </c>
      <c r="E1709" s="199" t="inlineStr">
        <is>
          <t>Schedule</t>
        </is>
      </c>
      <c r="F1709" s="199" t="n">
        <v>21.6667</v>
      </c>
      <c r="G1709" s="199" t="n">
        <v>563</v>
      </c>
      <c r="H1709" s="199" t="inlineStr">
        <is>
          <t>No separate deliverable explicitly named</t>
        </is>
      </c>
    </row>
    <row r="1710">
      <c r="A1710" s="208" t="inlineStr">
        <is>
          <t>RTM-619</t>
        </is>
      </c>
      <c r="B1710" s="226" t="inlineStr">
        <is>
          <t>L6 Site Acceptance Testing</t>
        </is>
      </c>
      <c r="C1710" s="208" t="n">
        <v>8</v>
      </c>
      <c r="D1710" s="208" t="inlineStr">
        <is>
          <t>T3 Contextual</t>
        </is>
      </c>
      <c r="E1710" s="208" t="inlineStr">
        <is>
          <t>Schedule</t>
        </is>
      </c>
      <c r="F1710" s="208" t="n">
        <v>21.6667</v>
      </c>
      <c r="G1710" s="208" t="n">
        <v>563</v>
      </c>
      <c r="H1710" s="208" t="inlineStr">
        <is>
          <t>No separate deliverable explicitly named</t>
        </is>
      </c>
    </row>
    <row r="1711">
      <c r="A1711" s="199" t="inlineStr">
        <is>
          <t>RTM-005</t>
        </is>
      </c>
      <c r="B1711" s="222" t="inlineStr">
        <is>
          <t>L1 Conceptual Design</t>
        </is>
      </c>
      <c r="C1711" s="199" t="n">
        <v>2</v>
      </c>
      <c r="D1711" s="199" t="inlineStr">
        <is>
          <t>T3 Contextual</t>
        </is>
      </c>
      <c r="E1711" s="199" t="inlineStr">
        <is>
          <t>General / Compliance</t>
        </is>
      </c>
      <c r="F1711" s="199" t="n">
        <v>21.3333</v>
      </c>
      <c r="G1711" s="199" t="n">
        <v>564</v>
      </c>
      <c r="H1711" s="199" t="inlineStr">
        <is>
          <t>Drawing / diagram</t>
        </is>
      </c>
    </row>
    <row r="1712">
      <c r="A1712" s="208" t="inlineStr">
        <is>
          <t>RTM-005</t>
        </is>
      </c>
      <c r="B1712" s="223" t="inlineStr">
        <is>
          <t>L2 Detailed Design</t>
        </is>
      </c>
      <c r="C1712" s="208" t="n">
        <v>3</v>
      </c>
      <c r="D1712" s="208" t="inlineStr">
        <is>
          <t>T3 Contextual</t>
        </is>
      </c>
      <c r="E1712" s="208" t="inlineStr">
        <is>
          <t>General / Compliance</t>
        </is>
      </c>
      <c r="F1712" s="208" t="n">
        <v>21.3333</v>
      </c>
      <c r="G1712" s="208" t="n">
        <v>564</v>
      </c>
      <c r="H1712" s="208" t="inlineStr">
        <is>
          <t>Drawing / diagram</t>
        </is>
      </c>
    </row>
    <row r="1713">
      <c r="A1713" s="199" t="inlineStr">
        <is>
          <t>RTM-285</t>
        </is>
      </c>
      <c r="B1713" s="222" t="inlineStr">
        <is>
          <t>L1 Conceptual Design</t>
        </is>
      </c>
      <c r="C1713" s="199" t="n">
        <v>2</v>
      </c>
      <c r="D1713" s="199" t="inlineStr">
        <is>
          <t>T3 Contextual</t>
        </is>
      </c>
      <c r="E1713" s="199" t="inlineStr">
        <is>
          <t>Cryogenic Interfaces</t>
        </is>
      </c>
      <c r="F1713" s="199" t="n">
        <v>21.3333</v>
      </c>
      <c r="G1713" s="199" t="n">
        <v>565</v>
      </c>
      <c r="H1713" s="199" t="inlineStr">
        <is>
          <t>No separate deliverable explicitly named</t>
        </is>
      </c>
    </row>
    <row r="1714">
      <c r="A1714" s="208" t="inlineStr">
        <is>
          <t>RTM-285</t>
        </is>
      </c>
      <c r="B1714" s="223" t="inlineStr">
        <is>
          <t>L2 Detailed Design</t>
        </is>
      </c>
      <c r="C1714" s="208" t="n">
        <v>3</v>
      </c>
      <c r="D1714" s="208" t="inlineStr">
        <is>
          <t>T3 Contextual</t>
        </is>
      </c>
      <c r="E1714" s="208" t="inlineStr">
        <is>
          <t>Cryogenic Interfaces</t>
        </is>
      </c>
      <c r="F1714" s="208" t="n">
        <v>21.3333</v>
      </c>
      <c r="G1714" s="208" t="n">
        <v>565</v>
      </c>
      <c r="H1714" s="208" t="inlineStr">
        <is>
          <t>No separate deliverable explicitly named</t>
        </is>
      </c>
    </row>
    <row r="1715">
      <c r="A1715" s="199" t="inlineStr">
        <is>
          <t>RTM-437</t>
        </is>
      </c>
      <c r="B1715" s="224" t="inlineStr">
        <is>
          <t>L3 Procurement &amp; Manufacturing / FAT</t>
        </is>
      </c>
      <c r="C1715" s="199" t="n">
        <v>4</v>
      </c>
      <c r="D1715" s="199" t="inlineStr">
        <is>
          <t>T3 Contextual</t>
        </is>
      </c>
      <c r="E1715" s="199" t="inlineStr">
        <is>
          <t>Design &amp; Fabrication</t>
        </is>
      </c>
      <c r="F1715" s="199" t="n">
        <v>21</v>
      </c>
      <c r="G1715" s="199" t="n">
        <v>566</v>
      </c>
      <c r="H1715" s="199" t="inlineStr">
        <is>
          <t>3D / CAD Model; Drawing / diagram</t>
        </is>
      </c>
    </row>
    <row r="1716">
      <c r="A1716" s="208" t="inlineStr">
        <is>
          <t>RTM-437</t>
        </is>
      </c>
      <c r="B1716" s="222" t="inlineStr">
        <is>
          <t>L1 Conceptual Design</t>
        </is>
      </c>
      <c r="C1716" s="208" t="n">
        <v>2</v>
      </c>
      <c r="D1716" s="208" t="inlineStr">
        <is>
          <t>T3 Contextual</t>
        </is>
      </c>
      <c r="E1716" s="208" t="inlineStr">
        <is>
          <t>Design &amp; Fabrication</t>
        </is>
      </c>
      <c r="F1716" s="208" t="n">
        <v>21</v>
      </c>
      <c r="G1716" s="208" t="n">
        <v>566</v>
      </c>
      <c r="H1716" s="208" t="inlineStr">
        <is>
          <t>3D / CAD Model; Drawing / diagram</t>
        </is>
      </c>
    </row>
    <row r="1717">
      <c r="A1717" s="199" t="inlineStr">
        <is>
          <t>RTM-437</t>
        </is>
      </c>
      <c r="B1717" s="223" t="inlineStr">
        <is>
          <t>L2 Detailed Design</t>
        </is>
      </c>
      <c r="C1717" s="199" t="n">
        <v>3</v>
      </c>
      <c r="D1717" s="199" t="inlineStr">
        <is>
          <t>T3 Contextual</t>
        </is>
      </c>
      <c r="E1717" s="199" t="inlineStr">
        <is>
          <t>Design &amp; Fabrication</t>
        </is>
      </c>
      <c r="F1717" s="199" t="n">
        <v>21</v>
      </c>
      <c r="G1717" s="199" t="n">
        <v>566</v>
      </c>
      <c r="H1717" s="199" t="inlineStr">
        <is>
          <t>3D / CAD Model; Drawing / diagram</t>
        </is>
      </c>
    </row>
    <row r="1718">
      <c r="A1718" s="208" t="inlineStr">
        <is>
          <t>RTM-635</t>
        </is>
      </c>
      <c r="B1718" s="221" t="inlineStr">
        <is>
          <t>L0 Tender / Offer</t>
        </is>
      </c>
      <c r="C1718" s="208" t="n">
        <v>1</v>
      </c>
      <c r="D1718" s="208" t="inlineStr">
        <is>
          <t>T3 Contextual</t>
        </is>
      </c>
      <c r="E1718" s="208" t="inlineStr">
        <is>
          <t>Contract Performance</t>
        </is>
      </c>
      <c r="F1718" s="208" t="n">
        <v>21</v>
      </c>
      <c r="G1718" s="208" t="n">
        <v>567</v>
      </c>
      <c r="H1718" s="208" t="inlineStr">
        <is>
          <t>No separate deliverable explicitly named</t>
        </is>
      </c>
    </row>
    <row r="1719">
      <c r="A1719" s="199" t="inlineStr">
        <is>
          <t>RTM-635</t>
        </is>
      </c>
      <c r="B1719" s="222" t="inlineStr">
        <is>
          <t>L1 Conceptual Design</t>
        </is>
      </c>
      <c r="C1719" s="199" t="n">
        <v>2</v>
      </c>
      <c r="D1719" s="199" t="inlineStr">
        <is>
          <t>T3 Contextual</t>
        </is>
      </c>
      <c r="E1719" s="199" t="inlineStr">
        <is>
          <t>Contract Performance</t>
        </is>
      </c>
      <c r="F1719" s="199" t="n">
        <v>21</v>
      </c>
      <c r="G1719" s="199" t="n">
        <v>567</v>
      </c>
      <c r="H1719" s="199" t="inlineStr">
        <is>
          <t>No separate deliverable explicitly named</t>
        </is>
      </c>
    </row>
    <row r="1720">
      <c r="A1720" s="208" t="inlineStr">
        <is>
          <t>RTM-635</t>
        </is>
      </c>
      <c r="B1720" s="223" t="inlineStr">
        <is>
          <t>L2 Detailed Design</t>
        </is>
      </c>
      <c r="C1720" s="208" t="n">
        <v>3</v>
      </c>
      <c r="D1720" s="208" t="inlineStr">
        <is>
          <t>T3 Contextual</t>
        </is>
      </c>
      <c r="E1720" s="208" t="inlineStr">
        <is>
          <t>Contract Performance</t>
        </is>
      </c>
      <c r="F1720" s="208" t="n">
        <v>21</v>
      </c>
      <c r="G1720" s="208" t="n">
        <v>567</v>
      </c>
      <c r="H1720" s="208" t="inlineStr">
        <is>
          <t>No separate deliverable explicitly named</t>
        </is>
      </c>
    </row>
    <row r="1721">
      <c r="A1721" s="199" t="inlineStr">
        <is>
          <t>RTM-635</t>
        </is>
      </c>
      <c r="B1721" s="224" t="inlineStr">
        <is>
          <t>L3 Procurement &amp; Manufacturing / FAT</t>
        </is>
      </c>
      <c r="C1721" s="199" t="n">
        <v>4</v>
      </c>
      <c r="D1721" s="199" t="inlineStr">
        <is>
          <t>T3 Contextual</t>
        </is>
      </c>
      <c r="E1721" s="199" t="inlineStr">
        <is>
          <t>Contract Performance</t>
        </is>
      </c>
      <c r="F1721" s="199" t="n">
        <v>21</v>
      </c>
      <c r="G1721" s="199" t="n">
        <v>567</v>
      </c>
      <c r="H1721" s="199" t="inlineStr">
        <is>
          <t>No separate deliverable explicitly named</t>
        </is>
      </c>
    </row>
    <row r="1722">
      <c r="A1722" s="208" t="inlineStr">
        <is>
          <t>RTM-635</t>
        </is>
      </c>
      <c r="B1722" s="220" t="inlineStr">
        <is>
          <t>L4 Installation</t>
        </is>
      </c>
      <c r="C1722" s="208" t="n">
        <v>6</v>
      </c>
      <c r="D1722" s="208" t="inlineStr">
        <is>
          <t>T3 Contextual</t>
        </is>
      </c>
      <c r="E1722" s="208" t="inlineStr">
        <is>
          <t>Contract Performance</t>
        </is>
      </c>
      <c r="F1722" s="208" t="n">
        <v>21</v>
      </c>
      <c r="G1722" s="208" t="n">
        <v>567</v>
      </c>
      <c r="H1722" s="208" t="inlineStr">
        <is>
          <t>No separate deliverable explicitly named</t>
        </is>
      </c>
    </row>
    <row r="1723">
      <c r="A1723" s="199" t="inlineStr">
        <is>
          <t>RTM-635</t>
        </is>
      </c>
      <c r="B1723" s="225" t="inlineStr">
        <is>
          <t>L5 Standalone Commissioning</t>
        </is>
      </c>
      <c r="C1723" s="199" t="n">
        <v>7</v>
      </c>
      <c r="D1723" s="199" t="inlineStr">
        <is>
          <t>T3 Contextual</t>
        </is>
      </c>
      <c r="E1723" s="199" t="inlineStr">
        <is>
          <t>Contract Performance</t>
        </is>
      </c>
      <c r="F1723" s="199" t="n">
        <v>21</v>
      </c>
      <c r="G1723" s="199" t="n">
        <v>567</v>
      </c>
      <c r="H1723" s="199" t="inlineStr">
        <is>
          <t>No separate deliverable explicitly named</t>
        </is>
      </c>
    </row>
    <row r="1724">
      <c r="A1724" s="208" t="inlineStr">
        <is>
          <t>RTM-635</t>
        </is>
      </c>
      <c r="B1724" s="226" t="inlineStr">
        <is>
          <t>L6 Site Acceptance Testing</t>
        </is>
      </c>
      <c r="C1724" s="208" t="n">
        <v>8</v>
      </c>
      <c r="D1724" s="208" t="inlineStr">
        <is>
          <t>T3 Contextual</t>
        </is>
      </c>
      <c r="E1724" s="208" t="inlineStr">
        <is>
          <t>Contract Performance</t>
        </is>
      </c>
      <c r="F1724" s="208" t="n">
        <v>21</v>
      </c>
      <c r="G1724" s="208" t="n">
        <v>567</v>
      </c>
      <c r="H1724" s="208" t="inlineStr">
        <is>
          <t>No separate deliverable explicitly named</t>
        </is>
      </c>
    </row>
    <row r="1725">
      <c r="A1725" s="199" t="inlineStr">
        <is>
          <t>RTM-701</t>
        </is>
      </c>
      <c r="B1725" s="221" t="inlineStr">
        <is>
          <t>L0 Tender / Offer</t>
        </is>
      </c>
      <c r="C1725" s="199" t="n">
        <v>1</v>
      </c>
      <c r="D1725" s="199" t="inlineStr">
        <is>
          <t>T3 Contextual</t>
        </is>
      </c>
      <c r="E1725" s="199" t="inlineStr">
        <is>
          <t>Codes &amp; Standards</t>
        </is>
      </c>
      <c r="F1725" s="199" t="n">
        <v>20.6667</v>
      </c>
      <c r="G1725" s="199" t="n">
        <v>568</v>
      </c>
      <c r="H1725" s="199" t="inlineStr">
        <is>
          <t>No separate deliverable explicitly named</t>
        </is>
      </c>
    </row>
    <row r="1726">
      <c r="A1726" s="208" t="inlineStr">
        <is>
          <t>RTM-701</t>
        </is>
      </c>
      <c r="B1726" s="222" t="inlineStr">
        <is>
          <t>L1 Conceptual Design</t>
        </is>
      </c>
      <c r="C1726" s="208" t="n">
        <v>2</v>
      </c>
      <c r="D1726" s="208" t="inlineStr">
        <is>
          <t>T3 Contextual</t>
        </is>
      </c>
      <c r="E1726" s="208" t="inlineStr">
        <is>
          <t>Codes &amp; Standards</t>
        </is>
      </c>
      <c r="F1726" s="208" t="n">
        <v>20.6667</v>
      </c>
      <c r="G1726" s="208" t="n">
        <v>568</v>
      </c>
      <c r="H1726" s="208" t="inlineStr">
        <is>
          <t>No separate deliverable explicitly named</t>
        </is>
      </c>
    </row>
    <row r="1727">
      <c r="A1727" s="199" t="inlineStr">
        <is>
          <t>RTM-701</t>
        </is>
      </c>
      <c r="B1727" s="223" t="inlineStr">
        <is>
          <t>L2 Detailed Design</t>
        </is>
      </c>
      <c r="C1727" s="199" t="n">
        <v>3</v>
      </c>
      <c r="D1727" s="199" t="inlineStr">
        <is>
          <t>T3 Contextual</t>
        </is>
      </c>
      <c r="E1727" s="199" t="inlineStr">
        <is>
          <t>Codes &amp; Standards</t>
        </is>
      </c>
      <c r="F1727" s="199" t="n">
        <v>20.6667</v>
      </c>
      <c r="G1727" s="199" t="n">
        <v>568</v>
      </c>
      <c r="H1727" s="199" t="inlineStr">
        <is>
          <t>No separate deliverable explicitly named</t>
        </is>
      </c>
    </row>
    <row r="1728">
      <c r="A1728" s="208" t="inlineStr">
        <is>
          <t>RTM-701</t>
        </is>
      </c>
      <c r="B1728" s="224" t="inlineStr">
        <is>
          <t>L3 Procurement &amp; Manufacturing / FAT</t>
        </is>
      </c>
      <c r="C1728" s="208" t="n">
        <v>4</v>
      </c>
      <c r="D1728" s="208" t="inlineStr">
        <is>
          <t>T3 Contextual</t>
        </is>
      </c>
      <c r="E1728" s="208" t="inlineStr">
        <is>
          <t>Codes &amp; Standards</t>
        </is>
      </c>
      <c r="F1728" s="208" t="n">
        <v>20.6667</v>
      </c>
      <c r="G1728" s="208" t="n">
        <v>568</v>
      </c>
      <c r="H1728" s="208" t="inlineStr">
        <is>
          <t>No separate deliverable explicitly named</t>
        </is>
      </c>
    </row>
    <row r="1729">
      <c r="A1729" s="199" t="inlineStr">
        <is>
          <t>RTM-701</t>
        </is>
      </c>
      <c r="B1729" s="220" t="inlineStr">
        <is>
          <t>L4 Installation</t>
        </is>
      </c>
      <c r="C1729" s="199" t="n">
        <v>6</v>
      </c>
      <c r="D1729" s="199" t="inlineStr">
        <is>
          <t>T3 Contextual</t>
        </is>
      </c>
      <c r="E1729" s="199" t="inlineStr">
        <is>
          <t>Codes &amp; Standards</t>
        </is>
      </c>
      <c r="F1729" s="199" t="n">
        <v>20.6667</v>
      </c>
      <c r="G1729" s="199" t="n">
        <v>568</v>
      </c>
      <c r="H1729" s="199" t="inlineStr">
        <is>
          <t>No separate deliverable explicitly named</t>
        </is>
      </c>
    </row>
    <row r="1730">
      <c r="A1730" s="208" t="inlineStr">
        <is>
          <t>RTM-701</t>
        </is>
      </c>
      <c r="B1730" s="225" t="inlineStr">
        <is>
          <t>L5 Standalone Commissioning</t>
        </is>
      </c>
      <c r="C1730" s="208" t="n">
        <v>7</v>
      </c>
      <c r="D1730" s="208" t="inlineStr">
        <is>
          <t>T3 Contextual</t>
        </is>
      </c>
      <c r="E1730" s="208" t="inlineStr">
        <is>
          <t>Codes &amp; Standards</t>
        </is>
      </c>
      <c r="F1730" s="208" t="n">
        <v>20.6667</v>
      </c>
      <c r="G1730" s="208" t="n">
        <v>568</v>
      </c>
      <c r="H1730" s="208" t="inlineStr">
        <is>
          <t>No separate deliverable explicitly named</t>
        </is>
      </c>
    </row>
    <row r="1731">
      <c r="A1731" s="199" t="inlineStr">
        <is>
          <t>RTM-701</t>
        </is>
      </c>
      <c r="B1731" s="226" t="inlineStr">
        <is>
          <t>L6 Site Acceptance Testing</t>
        </is>
      </c>
      <c r="C1731" s="199" t="n">
        <v>8</v>
      </c>
      <c r="D1731" s="199" t="inlineStr">
        <is>
          <t>T3 Contextual</t>
        </is>
      </c>
      <c r="E1731" s="199" t="inlineStr">
        <is>
          <t>Codes &amp; Standards</t>
        </is>
      </c>
      <c r="F1731" s="199" t="n">
        <v>20.6667</v>
      </c>
      <c r="G1731" s="199" t="n">
        <v>568</v>
      </c>
      <c r="H1731" s="199" t="inlineStr">
        <is>
          <t>No separate deliverable explicitly named</t>
        </is>
      </c>
    </row>
    <row r="1732">
      <c r="A1732" s="208" t="inlineStr">
        <is>
          <t>RTM-706</t>
        </is>
      </c>
      <c r="B1732" s="227" t="inlineStr">
        <is>
          <t>PAC / Handover</t>
        </is>
      </c>
      <c r="C1732" s="208" t="n">
        <v>9</v>
      </c>
      <c r="D1732" s="208" t="inlineStr">
        <is>
          <t>T3 Contextual</t>
        </is>
      </c>
      <c r="E1732" s="208" t="inlineStr">
        <is>
          <t>Acceptance &amp; Warranty</t>
        </is>
      </c>
      <c r="F1732" s="208" t="n">
        <v>20.3333</v>
      </c>
      <c r="G1732" s="208" t="n">
        <v>569</v>
      </c>
      <c r="H1732" s="208" t="inlineStr">
        <is>
          <t>Certificate / calibration evidence</t>
        </is>
      </c>
    </row>
    <row r="1733">
      <c r="A1733" s="199" t="inlineStr">
        <is>
          <t>RTM-706</t>
        </is>
      </c>
      <c r="B1733" s="228" t="inlineStr">
        <is>
          <t>Warranty</t>
        </is>
      </c>
      <c r="C1733" s="199" t="n">
        <v>10</v>
      </c>
      <c r="D1733" s="199" t="inlineStr">
        <is>
          <t>T3 Contextual</t>
        </is>
      </c>
      <c r="E1733" s="199" t="inlineStr">
        <is>
          <t>Acceptance &amp; Warranty</t>
        </is>
      </c>
      <c r="F1733" s="199" t="n">
        <v>20.3333</v>
      </c>
      <c r="G1733" s="199" t="n">
        <v>569</v>
      </c>
      <c r="H1733" s="199" t="inlineStr">
        <is>
          <t>Certificate / calibration evidence</t>
        </is>
      </c>
    </row>
    <row r="1734">
      <c r="A1734" s="208" t="inlineStr">
        <is>
          <t>RTM-706</t>
        </is>
      </c>
      <c r="B1734" s="229" t="inlineStr">
        <is>
          <t>FAC</t>
        </is>
      </c>
      <c r="C1734" s="208" t="n">
        <v>5</v>
      </c>
      <c r="D1734" s="208" t="inlineStr">
        <is>
          <t>T3 Contextual</t>
        </is>
      </c>
      <c r="E1734" s="208" t="inlineStr">
        <is>
          <t>Acceptance &amp; Warranty</t>
        </is>
      </c>
      <c r="F1734" s="208" t="n">
        <v>20.3333</v>
      </c>
      <c r="G1734" s="208" t="n">
        <v>569</v>
      </c>
      <c r="H1734" s="208" t="inlineStr">
        <is>
          <t>Certificate / calibration evidence</t>
        </is>
      </c>
    </row>
    <row r="1735">
      <c r="A1735" s="199" t="inlineStr">
        <is>
          <t>RTM-711</t>
        </is>
      </c>
      <c r="B1735" s="228" t="inlineStr">
        <is>
          <t>Warranty</t>
        </is>
      </c>
      <c r="C1735" s="199" t="n">
        <v>10</v>
      </c>
      <c r="D1735" s="199" t="inlineStr">
        <is>
          <t>T3 Contextual</t>
        </is>
      </c>
      <c r="E1735" s="199" t="inlineStr">
        <is>
          <t>Acceptance &amp; Warranty</t>
        </is>
      </c>
      <c r="F1735" s="199" t="n">
        <v>20.3333</v>
      </c>
      <c r="G1735" s="199" t="n">
        <v>570</v>
      </c>
      <c r="H1735" s="199" t="inlineStr">
        <is>
          <t>No separate deliverable explicitly named</t>
        </is>
      </c>
    </row>
    <row r="1736">
      <c r="A1736" s="208" t="inlineStr">
        <is>
          <t>RTM-711</t>
        </is>
      </c>
      <c r="B1736" s="227" t="inlineStr">
        <is>
          <t>PAC / Handover</t>
        </is>
      </c>
      <c r="C1736" s="208" t="n">
        <v>9</v>
      </c>
      <c r="D1736" s="208" t="inlineStr">
        <is>
          <t>T3 Contextual</t>
        </is>
      </c>
      <c r="E1736" s="208" t="inlineStr">
        <is>
          <t>Acceptance &amp; Warranty</t>
        </is>
      </c>
      <c r="F1736" s="208" t="n">
        <v>20.3333</v>
      </c>
      <c r="G1736" s="208" t="n">
        <v>570</v>
      </c>
      <c r="H1736" s="208" t="inlineStr">
        <is>
          <t>No separate deliverable explicitly named</t>
        </is>
      </c>
    </row>
    <row r="1737">
      <c r="A1737" s="199" t="inlineStr">
        <is>
          <t>RTM-711</t>
        </is>
      </c>
      <c r="B1737" s="229" t="inlineStr">
        <is>
          <t>FAC</t>
        </is>
      </c>
      <c r="C1737" s="199" t="n">
        <v>5</v>
      </c>
      <c r="D1737" s="199" t="inlineStr">
        <is>
          <t>T3 Contextual</t>
        </is>
      </c>
      <c r="E1737" s="199" t="inlineStr">
        <is>
          <t>Acceptance &amp; Warranty</t>
        </is>
      </c>
      <c r="F1737" s="199" t="n">
        <v>20.3333</v>
      </c>
      <c r="G1737" s="199" t="n">
        <v>570</v>
      </c>
      <c r="H1737" s="199" t="inlineStr">
        <is>
          <t>No separate deliverable explicitly named</t>
        </is>
      </c>
    </row>
    <row r="1738">
      <c r="A1738" s="208" t="inlineStr">
        <is>
          <t>RTM-717</t>
        </is>
      </c>
      <c r="B1738" s="228" t="inlineStr">
        <is>
          <t>Warranty</t>
        </is>
      </c>
      <c r="C1738" s="208" t="n">
        <v>10</v>
      </c>
      <c r="D1738" s="208" t="inlineStr">
        <is>
          <t>T3 Contextual</t>
        </is>
      </c>
      <c r="E1738" s="208" t="inlineStr">
        <is>
          <t>Acceptance &amp; Warranty</t>
        </is>
      </c>
      <c r="F1738" s="208" t="n">
        <v>20.3333</v>
      </c>
      <c r="G1738" s="208" t="n">
        <v>571</v>
      </c>
      <c r="H1738" s="208" t="inlineStr">
        <is>
          <t>No separate deliverable explicitly named</t>
        </is>
      </c>
    </row>
    <row r="1739">
      <c r="A1739" s="199" t="inlineStr">
        <is>
          <t>RTM-717</t>
        </is>
      </c>
      <c r="B1739" s="227" t="inlineStr">
        <is>
          <t>PAC / Handover</t>
        </is>
      </c>
      <c r="C1739" s="199" t="n">
        <v>9</v>
      </c>
      <c r="D1739" s="199" t="inlineStr">
        <is>
          <t>T3 Contextual</t>
        </is>
      </c>
      <c r="E1739" s="199" t="inlineStr">
        <is>
          <t>Acceptance &amp; Warranty</t>
        </is>
      </c>
      <c r="F1739" s="199" t="n">
        <v>20.3333</v>
      </c>
      <c r="G1739" s="199" t="n">
        <v>571</v>
      </c>
      <c r="H1739" s="199" t="inlineStr">
        <is>
          <t>No separate deliverable explicitly named</t>
        </is>
      </c>
    </row>
    <row r="1740">
      <c r="A1740" s="208" t="inlineStr">
        <is>
          <t>RTM-717</t>
        </is>
      </c>
      <c r="B1740" s="229" t="inlineStr">
        <is>
          <t>FAC</t>
        </is>
      </c>
      <c r="C1740" s="208" t="n">
        <v>5</v>
      </c>
      <c r="D1740" s="208" t="inlineStr">
        <is>
          <t>T3 Contextual</t>
        </is>
      </c>
      <c r="E1740" s="208" t="inlineStr">
        <is>
          <t>Acceptance &amp; Warranty</t>
        </is>
      </c>
      <c r="F1740" s="208" t="n">
        <v>20.3333</v>
      </c>
      <c r="G1740" s="208" t="n">
        <v>571</v>
      </c>
      <c r="H1740" s="208" t="inlineStr">
        <is>
          <t>No separate deliverable explicitly named</t>
        </is>
      </c>
    </row>
    <row r="1741">
      <c r="A1741" s="199" t="inlineStr">
        <is>
          <t>RTM-721</t>
        </is>
      </c>
      <c r="B1741" s="228" t="inlineStr">
        <is>
          <t>Warranty</t>
        </is>
      </c>
      <c r="C1741" s="199" t="n">
        <v>10</v>
      </c>
      <c r="D1741" s="199" t="inlineStr">
        <is>
          <t>T3 Contextual</t>
        </is>
      </c>
      <c r="E1741" s="199" t="inlineStr">
        <is>
          <t>Acceptance &amp; Warranty</t>
        </is>
      </c>
      <c r="F1741" s="199" t="n">
        <v>20.3333</v>
      </c>
      <c r="G1741" s="199" t="n">
        <v>572</v>
      </c>
      <c r="H1741" s="199" t="inlineStr">
        <is>
          <t>No separate deliverable explicitly named</t>
        </is>
      </c>
    </row>
    <row r="1742">
      <c r="A1742" s="208" t="inlineStr">
        <is>
          <t>RTM-721</t>
        </is>
      </c>
      <c r="B1742" s="227" t="inlineStr">
        <is>
          <t>PAC / Handover</t>
        </is>
      </c>
      <c r="C1742" s="208" t="n">
        <v>9</v>
      </c>
      <c r="D1742" s="208" t="inlineStr">
        <is>
          <t>T3 Contextual</t>
        </is>
      </c>
      <c r="E1742" s="208" t="inlineStr">
        <is>
          <t>Acceptance &amp; Warranty</t>
        </is>
      </c>
      <c r="F1742" s="208" t="n">
        <v>20.3333</v>
      </c>
      <c r="G1742" s="208" t="n">
        <v>572</v>
      </c>
      <c r="H1742" s="208" t="inlineStr">
        <is>
          <t>No separate deliverable explicitly named</t>
        </is>
      </c>
    </row>
    <row r="1743">
      <c r="A1743" s="199" t="inlineStr">
        <is>
          <t>RTM-721</t>
        </is>
      </c>
      <c r="B1743" s="229" t="inlineStr">
        <is>
          <t>FAC</t>
        </is>
      </c>
      <c r="C1743" s="199" t="n">
        <v>5</v>
      </c>
      <c r="D1743" s="199" t="inlineStr">
        <is>
          <t>T3 Contextual</t>
        </is>
      </c>
      <c r="E1743" s="199" t="inlineStr">
        <is>
          <t>Acceptance &amp; Warranty</t>
        </is>
      </c>
      <c r="F1743" s="199" t="n">
        <v>20.3333</v>
      </c>
      <c r="G1743" s="199" t="n">
        <v>572</v>
      </c>
      <c r="H1743" s="199" t="inlineStr">
        <is>
          <t>No separate deliverable explicitly named</t>
        </is>
      </c>
    </row>
    <row r="1744">
      <c r="A1744" s="208" t="inlineStr">
        <is>
          <t>RTM-006</t>
        </is>
      </c>
      <c r="B1744" s="222" t="inlineStr">
        <is>
          <t>L1 Conceptual Design</t>
        </is>
      </c>
      <c r="C1744" s="208" t="n">
        <v>2</v>
      </c>
      <c r="D1744" s="208" t="inlineStr">
        <is>
          <t>T3 Contextual</t>
        </is>
      </c>
      <c r="E1744" s="208" t="inlineStr">
        <is>
          <t>Process &amp; Functional</t>
        </is>
      </c>
      <c r="F1744" s="208" t="n">
        <v>20</v>
      </c>
      <c r="G1744" s="208" t="n">
        <v>573</v>
      </c>
      <c r="H1744" s="208" t="inlineStr">
        <is>
          <t>No separate deliverable explicitly named</t>
        </is>
      </c>
    </row>
    <row r="1745">
      <c r="A1745" s="199" t="inlineStr">
        <is>
          <t>RTM-006</t>
        </is>
      </c>
      <c r="B1745" s="223" t="inlineStr">
        <is>
          <t>L2 Detailed Design</t>
        </is>
      </c>
      <c r="C1745" s="199" t="n">
        <v>3</v>
      </c>
      <c r="D1745" s="199" t="inlineStr">
        <is>
          <t>T3 Contextual</t>
        </is>
      </c>
      <c r="E1745" s="199" t="inlineStr">
        <is>
          <t>Process &amp; Functional</t>
        </is>
      </c>
      <c r="F1745" s="199" t="n">
        <v>20</v>
      </c>
      <c r="G1745" s="199" t="n">
        <v>573</v>
      </c>
      <c r="H1745" s="199" t="inlineStr">
        <is>
          <t>No separate deliverable explicitly named</t>
        </is>
      </c>
    </row>
    <row r="1746">
      <c r="A1746" s="208" t="inlineStr">
        <is>
          <t>RTM-009</t>
        </is>
      </c>
      <c r="B1746" s="222" t="inlineStr">
        <is>
          <t>L1 Conceptual Design</t>
        </is>
      </c>
      <c r="C1746" s="208" t="n">
        <v>2</v>
      </c>
      <c r="D1746" s="208" t="inlineStr">
        <is>
          <t>T3 Contextual</t>
        </is>
      </c>
      <c r="E1746" s="208" t="inlineStr">
        <is>
          <t>Process &amp; Functional</t>
        </is>
      </c>
      <c r="F1746" s="208" t="n">
        <v>20</v>
      </c>
      <c r="G1746" s="208" t="n">
        <v>574</v>
      </c>
      <c r="H1746" s="208" t="inlineStr">
        <is>
          <t>No separate deliverable explicitly named</t>
        </is>
      </c>
    </row>
    <row r="1747">
      <c r="A1747" s="199" t="inlineStr">
        <is>
          <t>RTM-009</t>
        </is>
      </c>
      <c r="B1747" s="223" t="inlineStr">
        <is>
          <t>L2 Detailed Design</t>
        </is>
      </c>
      <c r="C1747" s="199" t="n">
        <v>3</v>
      </c>
      <c r="D1747" s="199" t="inlineStr">
        <is>
          <t>T3 Contextual</t>
        </is>
      </c>
      <c r="E1747" s="199" t="inlineStr">
        <is>
          <t>Process &amp; Functional</t>
        </is>
      </c>
      <c r="F1747" s="199" t="n">
        <v>20</v>
      </c>
      <c r="G1747" s="199" t="n">
        <v>574</v>
      </c>
      <c r="H1747" s="199" t="inlineStr">
        <is>
          <t>No separate deliverable explicitly named</t>
        </is>
      </c>
    </row>
    <row r="1748">
      <c r="A1748" s="208" t="inlineStr">
        <is>
          <t>RTM-037</t>
        </is>
      </c>
      <c r="B1748" s="223" t="inlineStr">
        <is>
          <t>L2 Detailed Design</t>
        </is>
      </c>
      <c r="C1748" s="208" t="n">
        <v>3</v>
      </c>
      <c r="D1748" s="208" t="inlineStr">
        <is>
          <t>T3 Contextual</t>
        </is>
      </c>
      <c r="E1748" s="208" t="inlineStr">
        <is>
          <t>Process &amp; Functional</t>
        </is>
      </c>
      <c r="F1748" s="208" t="n">
        <v>20</v>
      </c>
      <c r="G1748" s="208" t="n">
        <v>575</v>
      </c>
      <c r="H1748" s="208" t="inlineStr">
        <is>
          <t>No separate deliverable explicitly named</t>
        </is>
      </c>
    </row>
    <row r="1749">
      <c r="A1749" s="199" t="inlineStr">
        <is>
          <t>RTM-037</t>
        </is>
      </c>
      <c r="B1749" s="222" t="inlineStr">
        <is>
          <t>L1 Conceptual Design</t>
        </is>
      </c>
      <c r="C1749" s="199" t="n">
        <v>2</v>
      </c>
      <c r="D1749" s="199" t="inlineStr">
        <is>
          <t>T3 Contextual</t>
        </is>
      </c>
      <c r="E1749" s="199" t="inlineStr">
        <is>
          <t>Process &amp; Functional</t>
        </is>
      </c>
      <c r="F1749" s="199" t="n">
        <v>20</v>
      </c>
      <c r="G1749" s="199" t="n">
        <v>575</v>
      </c>
      <c r="H1749" s="199" t="inlineStr">
        <is>
          <t>No separate deliverable explicitly named</t>
        </is>
      </c>
    </row>
    <row r="1750">
      <c r="A1750" s="208" t="inlineStr">
        <is>
          <t>RTM-038</t>
        </is>
      </c>
      <c r="B1750" s="222" t="inlineStr">
        <is>
          <t>L1 Conceptual Design</t>
        </is>
      </c>
      <c r="C1750" s="208" t="n">
        <v>2</v>
      </c>
      <c r="D1750" s="208" t="inlineStr">
        <is>
          <t>T3 Contextual</t>
        </is>
      </c>
      <c r="E1750" s="208" t="inlineStr">
        <is>
          <t>Process &amp; Functional</t>
        </is>
      </c>
      <c r="F1750" s="208" t="n">
        <v>20</v>
      </c>
      <c r="G1750" s="208" t="n">
        <v>576</v>
      </c>
      <c r="H1750" s="208" t="inlineStr">
        <is>
          <t>No separate deliverable explicitly named</t>
        </is>
      </c>
    </row>
    <row r="1751">
      <c r="A1751" s="199" t="inlineStr">
        <is>
          <t>RTM-038</t>
        </is>
      </c>
      <c r="B1751" s="223" t="inlineStr">
        <is>
          <t>L2 Detailed Design</t>
        </is>
      </c>
      <c r="C1751" s="199" t="n">
        <v>3</v>
      </c>
      <c r="D1751" s="199" t="inlineStr">
        <is>
          <t>T3 Contextual</t>
        </is>
      </c>
      <c r="E1751" s="199" t="inlineStr">
        <is>
          <t>Process &amp; Functional</t>
        </is>
      </c>
      <c r="F1751" s="199" t="n">
        <v>20</v>
      </c>
      <c r="G1751" s="199" t="n">
        <v>576</v>
      </c>
      <c r="H1751" s="199" t="inlineStr">
        <is>
          <t>No separate deliverable explicitly named</t>
        </is>
      </c>
    </row>
    <row r="1752">
      <c r="A1752" s="208" t="inlineStr">
        <is>
          <t>RTM-045</t>
        </is>
      </c>
      <c r="B1752" s="222" t="inlineStr">
        <is>
          <t>L1 Conceptual Design</t>
        </is>
      </c>
      <c r="C1752" s="208" t="n">
        <v>2</v>
      </c>
      <c r="D1752" s="208" t="inlineStr">
        <is>
          <t>T3 Contextual</t>
        </is>
      </c>
      <c r="E1752" s="208" t="inlineStr">
        <is>
          <t>Process &amp; Functional</t>
        </is>
      </c>
      <c r="F1752" s="208" t="n">
        <v>20</v>
      </c>
      <c r="G1752" s="208" t="n">
        <v>577</v>
      </c>
      <c r="H1752" s="208" t="inlineStr">
        <is>
          <t>No separate deliverable explicitly named</t>
        </is>
      </c>
    </row>
    <row r="1753">
      <c r="A1753" s="199" t="inlineStr">
        <is>
          <t>RTM-045</t>
        </is>
      </c>
      <c r="B1753" s="223" t="inlineStr">
        <is>
          <t>L2 Detailed Design</t>
        </is>
      </c>
      <c r="C1753" s="199" t="n">
        <v>3</v>
      </c>
      <c r="D1753" s="199" t="inlineStr">
        <is>
          <t>T3 Contextual</t>
        </is>
      </c>
      <c r="E1753" s="199" t="inlineStr">
        <is>
          <t>Process &amp; Functional</t>
        </is>
      </c>
      <c r="F1753" s="199" t="n">
        <v>20</v>
      </c>
      <c r="G1753" s="199" t="n">
        <v>577</v>
      </c>
      <c r="H1753" s="199" t="inlineStr">
        <is>
          <t>No separate deliverable explicitly named</t>
        </is>
      </c>
    </row>
    <row r="1754">
      <c r="A1754" s="208" t="inlineStr">
        <is>
          <t>RTM-046</t>
        </is>
      </c>
      <c r="B1754" s="227" t="inlineStr">
        <is>
          <t>PAC / Handover</t>
        </is>
      </c>
      <c r="C1754" s="208" t="n">
        <v>9</v>
      </c>
      <c r="D1754" s="208" t="inlineStr">
        <is>
          <t>T3 Contextual</t>
        </is>
      </c>
      <c r="E1754" s="208" t="inlineStr">
        <is>
          <t>Process &amp; Functional</t>
        </is>
      </c>
      <c r="F1754" s="208" t="n">
        <v>20</v>
      </c>
      <c r="G1754" s="208" t="n">
        <v>578</v>
      </c>
      <c r="H1754" s="208" t="inlineStr">
        <is>
          <t>No separate deliverable explicitly named</t>
        </is>
      </c>
    </row>
    <row r="1755">
      <c r="A1755" s="199" t="inlineStr">
        <is>
          <t>RTM-046</t>
        </is>
      </c>
      <c r="B1755" s="222" t="inlineStr">
        <is>
          <t>L1 Conceptual Design</t>
        </is>
      </c>
      <c r="C1755" s="199" t="n">
        <v>2</v>
      </c>
      <c r="D1755" s="199" t="inlineStr">
        <is>
          <t>T3 Contextual</t>
        </is>
      </c>
      <c r="E1755" s="199" t="inlineStr">
        <is>
          <t>Process &amp; Functional</t>
        </is>
      </c>
      <c r="F1755" s="199" t="n">
        <v>20</v>
      </c>
      <c r="G1755" s="199" t="n">
        <v>578</v>
      </c>
      <c r="H1755" s="199" t="inlineStr">
        <is>
          <t>No separate deliverable explicitly named</t>
        </is>
      </c>
    </row>
    <row r="1756">
      <c r="A1756" s="208" t="inlineStr">
        <is>
          <t>RTM-046</t>
        </is>
      </c>
      <c r="B1756" s="223" t="inlineStr">
        <is>
          <t>L2 Detailed Design</t>
        </is>
      </c>
      <c r="C1756" s="208" t="n">
        <v>3</v>
      </c>
      <c r="D1756" s="208" t="inlineStr">
        <is>
          <t>T3 Contextual</t>
        </is>
      </c>
      <c r="E1756" s="208" t="inlineStr">
        <is>
          <t>Process &amp; Functional</t>
        </is>
      </c>
      <c r="F1756" s="208" t="n">
        <v>20</v>
      </c>
      <c r="G1756" s="208" t="n">
        <v>578</v>
      </c>
      <c r="H1756" s="208" t="inlineStr">
        <is>
          <t>No separate deliverable explicitly named</t>
        </is>
      </c>
    </row>
    <row r="1757">
      <c r="A1757" s="199" t="inlineStr">
        <is>
          <t>RTM-047</t>
        </is>
      </c>
      <c r="B1757" s="227" t="inlineStr">
        <is>
          <t>PAC / Handover</t>
        </is>
      </c>
      <c r="C1757" s="199" t="n">
        <v>9</v>
      </c>
      <c r="D1757" s="199" t="inlineStr">
        <is>
          <t>T3 Contextual</t>
        </is>
      </c>
      <c r="E1757" s="199" t="inlineStr">
        <is>
          <t>Process &amp; Functional</t>
        </is>
      </c>
      <c r="F1757" s="199" t="n">
        <v>20</v>
      </c>
      <c r="G1757" s="199" t="n">
        <v>579</v>
      </c>
      <c r="H1757" s="199" t="inlineStr">
        <is>
          <t>No separate deliverable explicitly named</t>
        </is>
      </c>
    </row>
    <row r="1758">
      <c r="A1758" s="208" t="inlineStr">
        <is>
          <t>RTM-047</t>
        </is>
      </c>
      <c r="B1758" s="222" t="inlineStr">
        <is>
          <t>L1 Conceptual Design</t>
        </is>
      </c>
      <c r="C1758" s="208" t="n">
        <v>2</v>
      </c>
      <c r="D1758" s="208" t="inlineStr">
        <is>
          <t>T3 Contextual</t>
        </is>
      </c>
      <c r="E1758" s="208" t="inlineStr">
        <is>
          <t>Process &amp; Functional</t>
        </is>
      </c>
      <c r="F1758" s="208" t="n">
        <v>20</v>
      </c>
      <c r="G1758" s="208" t="n">
        <v>579</v>
      </c>
      <c r="H1758" s="208" t="inlineStr">
        <is>
          <t>No separate deliverable explicitly named</t>
        </is>
      </c>
    </row>
    <row r="1759">
      <c r="A1759" s="199" t="inlineStr">
        <is>
          <t>RTM-047</t>
        </is>
      </c>
      <c r="B1759" s="223" t="inlineStr">
        <is>
          <t>L2 Detailed Design</t>
        </is>
      </c>
      <c r="C1759" s="199" t="n">
        <v>3</v>
      </c>
      <c r="D1759" s="199" t="inlineStr">
        <is>
          <t>T3 Contextual</t>
        </is>
      </c>
      <c r="E1759" s="199" t="inlineStr">
        <is>
          <t>Process &amp; Functional</t>
        </is>
      </c>
      <c r="F1759" s="199" t="n">
        <v>20</v>
      </c>
      <c r="G1759" s="199" t="n">
        <v>579</v>
      </c>
      <c r="H1759" s="199" t="inlineStr">
        <is>
          <t>No separate deliverable explicitly named</t>
        </is>
      </c>
    </row>
    <row r="1760">
      <c r="A1760" s="208" t="inlineStr">
        <is>
          <t>RTM-048</t>
        </is>
      </c>
      <c r="B1760" s="222" t="inlineStr">
        <is>
          <t>L1 Conceptual Design</t>
        </is>
      </c>
      <c r="C1760" s="208" t="n">
        <v>2</v>
      </c>
      <c r="D1760" s="208" t="inlineStr">
        <is>
          <t>T3 Contextual</t>
        </is>
      </c>
      <c r="E1760" s="208" t="inlineStr">
        <is>
          <t>Process &amp; Functional</t>
        </is>
      </c>
      <c r="F1760" s="208" t="n">
        <v>20</v>
      </c>
      <c r="G1760" s="208" t="n">
        <v>580</v>
      </c>
      <c r="H1760" s="208" t="inlineStr">
        <is>
          <t>No separate deliverable explicitly named</t>
        </is>
      </c>
    </row>
    <row r="1761">
      <c r="A1761" s="199" t="inlineStr">
        <is>
          <t>RTM-048</t>
        </is>
      </c>
      <c r="B1761" s="223" t="inlineStr">
        <is>
          <t>L2 Detailed Design</t>
        </is>
      </c>
      <c r="C1761" s="199" t="n">
        <v>3</v>
      </c>
      <c r="D1761" s="199" t="inlineStr">
        <is>
          <t>T3 Contextual</t>
        </is>
      </c>
      <c r="E1761" s="199" t="inlineStr">
        <is>
          <t>Process &amp; Functional</t>
        </is>
      </c>
      <c r="F1761" s="199" t="n">
        <v>20</v>
      </c>
      <c r="G1761" s="199" t="n">
        <v>580</v>
      </c>
      <c r="H1761" s="199" t="inlineStr">
        <is>
          <t>No separate deliverable explicitly named</t>
        </is>
      </c>
    </row>
    <row r="1762">
      <c r="A1762" s="208" t="inlineStr">
        <is>
          <t>RTM-049</t>
        </is>
      </c>
      <c r="B1762" s="222" t="inlineStr">
        <is>
          <t>L1 Conceptual Design</t>
        </is>
      </c>
      <c r="C1762" s="208" t="n">
        <v>2</v>
      </c>
      <c r="D1762" s="208" t="inlineStr">
        <is>
          <t>T3 Contextual</t>
        </is>
      </c>
      <c r="E1762" s="208" t="inlineStr">
        <is>
          <t>Process &amp; Functional</t>
        </is>
      </c>
      <c r="F1762" s="208" t="n">
        <v>20</v>
      </c>
      <c r="G1762" s="208" t="n">
        <v>581</v>
      </c>
      <c r="H1762" s="208" t="inlineStr">
        <is>
          <t>No separate deliverable explicitly named</t>
        </is>
      </c>
    </row>
    <row r="1763">
      <c r="A1763" s="199" t="inlineStr">
        <is>
          <t>RTM-049</t>
        </is>
      </c>
      <c r="B1763" s="223" t="inlineStr">
        <is>
          <t>L2 Detailed Design</t>
        </is>
      </c>
      <c r="C1763" s="199" t="n">
        <v>3</v>
      </c>
      <c r="D1763" s="199" t="inlineStr">
        <is>
          <t>T3 Contextual</t>
        </is>
      </c>
      <c r="E1763" s="199" t="inlineStr">
        <is>
          <t>Process &amp; Functional</t>
        </is>
      </c>
      <c r="F1763" s="199" t="n">
        <v>20</v>
      </c>
      <c r="G1763" s="199" t="n">
        <v>581</v>
      </c>
      <c r="H1763" s="199" t="inlineStr">
        <is>
          <t>No separate deliverable explicitly named</t>
        </is>
      </c>
    </row>
    <row r="1764">
      <c r="A1764" s="208" t="inlineStr">
        <is>
          <t>RTM-050</t>
        </is>
      </c>
      <c r="B1764" s="222" t="inlineStr">
        <is>
          <t>L1 Conceptual Design</t>
        </is>
      </c>
      <c r="C1764" s="208" t="n">
        <v>2</v>
      </c>
      <c r="D1764" s="208" t="inlineStr">
        <is>
          <t>T3 Contextual</t>
        </is>
      </c>
      <c r="E1764" s="208" t="inlineStr">
        <is>
          <t>Process &amp; Functional</t>
        </is>
      </c>
      <c r="F1764" s="208" t="n">
        <v>20</v>
      </c>
      <c r="G1764" s="208" t="n">
        <v>582</v>
      </c>
      <c r="H1764" s="208" t="inlineStr">
        <is>
          <t>Engineering File</t>
        </is>
      </c>
    </row>
    <row r="1765">
      <c r="A1765" s="199" t="inlineStr">
        <is>
          <t>RTM-050</t>
        </is>
      </c>
      <c r="B1765" s="223" t="inlineStr">
        <is>
          <t>L2 Detailed Design</t>
        </is>
      </c>
      <c r="C1765" s="199" t="n">
        <v>3</v>
      </c>
      <c r="D1765" s="199" t="inlineStr">
        <is>
          <t>T3 Contextual</t>
        </is>
      </c>
      <c r="E1765" s="199" t="inlineStr">
        <is>
          <t>Process &amp; Functional</t>
        </is>
      </c>
      <c r="F1765" s="199" t="n">
        <v>20</v>
      </c>
      <c r="G1765" s="199" t="n">
        <v>582</v>
      </c>
      <c r="H1765" s="199" t="inlineStr">
        <is>
          <t>Engineering File</t>
        </is>
      </c>
    </row>
    <row r="1766">
      <c r="A1766" s="208" t="inlineStr">
        <is>
          <t>RTM-053</t>
        </is>
      </c>
      <c r="B1766" s="222" t="inlineStr">
        <is>
          <t>L1 Conceptual Design</t>
        </is>
      </c>
      <c r="C1766" s="208" t="n">
        <v>2</v>
      </c>
      <c r="D1766" s="208" t="inlineStr">
        <is>
          <t>T3 Contextual</t>
        </is>
      </c>
      <c r="E1766" s="208" t="inlineStr">
        <is>
          <t>Process &amp; Functional</t>
        </is>
      </c>
      <c r="F1766" s="208" t="n">
        <v>20</v>
      </c>
      <c r="G1766" s="208" t="n">
        <v>583</v>
      </c>
      <c r="H1766" s="208" t="inlineStr">
        <is>
          <t>No separate deliverable explicitly named</t>
        </is>
      </c>
    </row>
    <row r="1767">
      <c r="A1767" s="199" t="inlineStr">
        <is>
          <t>RTM-053</t>
        </is>
      </c>
      <c r="B1767" s="223" t="inlineStr">
        <is>
          <t>L2 Detailed Design</t>
        </is>
      </c>
      <c r="C1767" s="199" t="n">
        <v>3</v>
      </c>
      <c r="D1767" s="199" t="inlineStr">
        <is>
          <t>T3 Contextual</t>
        </is>
      </c>
      <c r="E1767" s="199" t="inlineStr">
        <is>
          <t>Process &amp; Functional</t>
        </is>
      </c>
      <c r="F1767" s="199" t="n">
        <v>20</v>
      </c>
      <c r="G1767" s="199" t="n">
        <v>583</v>
      </c>
      <c r="H1767" s="199" t="inlineStr">
        <is>
          <t>No separate deliverable explicitly named</t>
        </is>
      </c>
    </row>
    <row r="1768">
      <c r="A1768" s="208" t="inlineStr">
        <is>
          <t>RTM-054</t>
        </is>
      </c>
      <c r="B1768" s="222" t="inlineStr">
        <is>
          <t>L1 Conceptual Design</t>
        </is>
      </c>
      <c r="C1768" s="208" t="n">
        <v>2</v>
      </c>
      <c r="D1768" s="208" t="inlineStr">
        <is>
          <t>T3 Contextual</t>
        </is>
      </c>
      <c r="E1768" s="208" t="inlineStr">
        <is>
          <t>Process &amp; Functional</t>
        </is>
      </c>
      <c r="F1768" s="208" t="n">
        <v>20</v>
      </c>
      <c r="G1768" s="208" t="n">
        <v>584</v>
      </c>
      <c r="H1768" s="208" t="inlineStr">
        <is>
          <t>No separate deliverable explicitly named</t>
        </is>
      </c>
    </row>
    <row r="1769">
      <c r="A1769" s="199" t="inlineStr">
        <is>
          <t>RTM-054</t>
        </is>
      </c>
      <c r="B1769" s="223" t="inlineStr">
        <is>
          <t>L2 Detailed Design</t>
        </is>
      </c>
      <c r="C1769" s="199" t="n">
        <v>3</v>
      </c>
      <c r="D1769" s="199" t="inlineStr">
        <is>
          <t>T3 Contextual</t>
        </is>
      </c>
      <c r="E1769" s="199" t="inlineStr">
        <is>
          <t>Process &amp; Functional</t>
        </is>
      </c>
      <c r="F1769" s="199" t="n">
        <v>20</v>
      </c>
      <c r="G1769" s="199" t="n">
        <v>584</v>
      </c>
      <c r="H1769" s="199" t="inlineStr">
        <is>
          <t>No separate deliverable explicitly named</t>
        </is>
      </c>
    </row>
    <row r="1770">
      <c r="A1770" s="208" t="inlineStr">
        <is>
          <t>RTM-074</t>
        </is>
      </c>
      <c r="B1770" s="222" t="inlineStr">
        <is>
          <t>L1 Conceptual Design</t>
        </is>
      </c>
      <c r="C1770" s="208" t="n">
        <v>2</v>
      </c>
      <c r="D1770" s="208" t="inlineStr">
        <is>
          <t>T3 Contextual</t>
        </is>
      </c>
      <c r="E1770" s="208" t="inlineStr">
        <is>
          <t>Global Design Criteria</t>
        </is>
      </c>
      <c r="F1770" s="208" t="n">
        <v>20</v>
      </c>
      <c r="G1770" s="208" t="n">
        <v>585</v>
      </c>
      <c r="H1770" s="208" t="inlineStr">
        <is>
          <t>No separate deliverable explicitly named</t>
        </is>
      </c>
    </row>
    <row r="1771">
      <c r="A1771" s="199" t="inlineStr">
        <is>
          <t>RTM-074</t>
        </is>
      </c>
      <c r="B1771" s="223" t="inlineStr">
        <is>
          <t>L2 Detailed Design</t>
        </is>
      </c>
      <c r="C1771" s="199" t="n">
        <v>3</v>
      </c>
      <c r="D1771" s="199" t="inlineStr">
        <is>
          <t>T3 Contextual</t>
        </is>
      </c>
      <c r="E1771" s="199" t="inlineStr">
        <is>
          <t>Global Design Criteria</t>
        </is>
      </c>
      <c r="F1771" s="199" t="n">
        <v>20</v>
      </c>
      <c r="G1771" s="199" t="n">
        <v>585</v>
      </c>
      <c r="H1771" s="199" t="inlineStr">
        <is>
          <t>No separate deliverable explicitly named</t>
        </is>
      </c>
    </row>
    <row r="1772">
      <c r="A1772" s="208" t="inlineStr">
        <is>
          <t>RTM-367</t>
        </is>
      </c>
      <c r="B1772" s="222" t="inlineStr">
        <is>
          <t>L1 Conceptual Design</t>
        </is>
      </c>
      <c r="C1772" s="208" t="n">
        <v>2</v>
      </c>
      <c r="D1772" s="208" t="inlineStr">
        <is>
          <t>T3 Contextual</t>
        </is>
      </c>
      <c r="E1772" s="208" t="inlineStr">
        <is>
          <t>Control &amp; Interlock</t>
        </is>
      </c>
      <c r="F1772" s="208" t="n">
        <v>20</v>
      </c>
      <c r="G1772" s="208" t="n">
        <v>586</v>
      </c>
      <c r="H1772" s="208" t="inlineStr">
        <is>
          <t>No separate deliverable explicitly named</t>
        </is>
      </c>
    </row>
    <row r="1773">
      <c r="A1773" s="199" t="inlineStr">
        <is>
          <t>RTM-367</t>
        </is>
      </c>
      <c r="B1773" s="223" t="inlineStr">
        <is>
          <t>L2 Detailed Design</t>
        </is>
      </c>
      <c r="C1773" s="199" t="n">
        <v>3</v>
      </c>
      <c r="D1773" s="199" t="inlineStr">
        <is>
          <t>T3 Contextual</t>
        </is>
      </c>
      <c r="E1773" s="199" t="inlineStr">
        <is>
          <t>Control &amp; Interlock</t>
        </is>
      </c>
      <c r="F1773" s="199" t="n">
        <v>20</v>
      </c>
      <c r="G1773" s="199" t="n">
        <v>586</v>
      </c>
      <c r="H1773" s="199" t="inlineStr">
        <is>
          <t>No separate deliverable explicitly named</t>
        </is>
      </c>
    </row>
    <row r="1774">
      <c r="A1774" s="208" t="inlineStr">
        <is>
          <t>RTM-629</t>
        </is>
      </c>
      <c r="B1774" s="221" t="inlineStr">
        <is>
          <t>L0 Tender / Offer</t>
        </is>
      </c>
      <c r="C1774" s="208" t="n">
        <v>1</v>
      </c>
      <c r="D1774" s="208" t="inlineStr">
        <is>
          <t>T3 Contextual</t>
        </is>
      </c>
      <c r="E1774" s="208" t="inlineStr">
        <is>
          <t>Contract Performance</t>
        </is>
      </c>
      <c r="F1774" s="208" t="n">
        <v>20</v>
      </c>
      <c r="G1774" s="208" t="n">
        <v>587</v>
      </c>
      <c r="H1774" s="208" t="inlineStr">
        <is>
          <t>No separate deliverable explicitly named</t>
        </is>
      </c>
    </row>
    <row r="1775">
      <c r="A1775" s="199" t="inlineStr">
        <is>
          <t>RTM-629</t>
        </is>
      </c>
      <c r="B1775" s="222" t="inlineStr">
        <is>
          <t>L1 Conceptual Design</t>
        </is>
      </c>
      <c r="C1775" s="199" t="n">
        <v>2</v>
      </c>
      <c r="D1775" s="199" t="inlineStr">
        <is>
          <t>T3 Contextual</t>
        </is>
      </c>
      <c r="E1775" s="199" t="inlineStr">
        <is>
          <t>Contract Performance</t>
        </is>
      </c>
      <c r="F1775" s="199" t="n">
        <v>20</v>
      </c>
      <c r="G1775" s="199" t="n">
        <v>587</v>
      </c>
      <c r="H1775" s="199" t="inlineStr">
        <is>
          <t>No separate deliverable explicitly named</t>
        </is>
      </c>
    </row>
    <row r="1776">
      <c r="A1776" s="208" t="inlineStr">
        <is>
          <t>RTM-629</t>
        </is>
      </c>
      <c r="B1776" s="223" t="inlineStr">
        <is>
          <t>L2 Detailed Design</t>
        </is>
      </c>
      <c r="C1776" s="208" t="n">
        <v>3</v>
      </c>
      <c r="D1776" s="208" t="inlineStr">
        <is>
          <t>T3 Contextual</t>
        </is>
      </c>
      <c r="E1776" s="208" t="inlineStr">
        <is>
          <t>Contract Performance</t>
        </is>
      </c>
      <c r="F1776" s="208" t="n">
        <v>20</v>
      </c>
      <c r="G1776" s="208" t="n">
        <v>587</v>
      </c>
      <c r="H1776" s="208" t="inlineStr">
        <is>
          <t>No separate deliverable explicitly named</t>
        </is>
      </c>
    </row>
    <row r="1777">
      <c r="A1777" s="199" t="inlineStr">
        <is>
          <t>RTM-629</t>
        </is>
      </c>
      <c r="B1777" s="224" t="inlineStr">
        <is>
          <t>L3 Procurement &amp; Manufacturing / FAT</t>
        </is>
      </c>
      <c r="C1777" s="199" t="n">
        <v>4</v>
      </c>
      <c r="D1777" s="199" t="inlineStr">
        <is>
          <t>T3 Contextual</t>
        </is>
      </c>
      <c r="E1777" s="199" t="inlineStr">
        <is>
          <t>Contract Performance</t>
        </is>
      </c>
      <c r="F1777" s="199" t="n">
        <v>20</v>
      </c>
      <c r="G1777" s="199" t="n">
        <v>587</v>
      </c>
      <c r="H1777" s="199" t="inlineStr">
        <is>
          <t>No separate deliverable explicitly named</t>
        </is>
      </c>
    </row>
    <row r="1778">
      <c r="A1778" s="208" t="inlineStr">
        <is>
          <t>RTM-629</t>
        </is>
      </c>
      <c r="B1778" s="220" t="inlineStr">
        <is>
          <t>L4 Installation</t>
        </is>
      </c>
      <c r="C1778" s="208" t="n">
        <v>6</v>
      </c>
      <c r="D1778" s="208" t="inlineStr">
        <is>
          <t>T3 Contextual</t>
        </is>
      </c>
      <c r="E1778" s="208" t="inlineStr">
        <is>
          <t>Contract Performance</t>
        </is>
      </c>
      <c r="F1778" s="208" t="n">
        <v>20</v>
      </c>
      <c r="G1778" s="208" t="n">
        <v>587</v>
      </c>
      <c r="H1778" s="208" t="inlineStr">
        <is>
          <t>No separate deliverable explicitly named</t>
        </is>
      </c>
    </row>
    <row r="1779">
      <c r="A1779" s="199" t="inlineStr">
        <is>
          <t>RTM-629</t>
        </is>
      </c>
      <c r="B1779" s="225" t="inlineStr">
        <is>
          <t>L5 Standalone Commissioning</t>
        </is>
      </c>
      <c r="C1779" s="199" t="n">
        <v>7</v>
      </c>
      <c r="D1779" s="199" t="inlineStr">
        <is>
          <t>T3 Contextual</t>
        </is>
      </c>
      <c r="E1779" s="199" t="inlineStr">
        <is>
          <t>Contract Performance</t>
        </is>
      </c>
      <c r="F1779" s="199" t="n">
        <v>20</v>
      </c>
      <c r="G1779" s="199" t="n">
        <v>587</v>
      </c>
      <c r="H1779" s="199" t="inlineStr">
        <is>
          <t>No separate deliverable explicitly named</t>
        </is>
      </c>
    </row>
    <row r="1780">
      <c r="A1780" s="208" t="inlineStr">
        <is>
          <t>RTM-629</t>
        </is>
      </c>
      <c r="B1780" s="226" t="inlineStr">
        <is>
          <t>L6 Site Acceptance Testing</t>
        </is>
      </c>
      <c r="C1780" s="208" t="n">
        <v>8</v>
      </c>
      <c r="D1780" s="208" t="inlineStr">
        <is>
          <t>T3 Contextual</t>
        </is>
      </c>
      <c r="E1780" s="208" t="inlineStr">
        <is>
          <t>Contract Performance</t>
        </is>
      </c>
      <c r="F1780" s="208" t="n">
        <v>20</v>
      </c>
      <c r="G1780" s="208" t="n">
        <v>587</v>
      </c>
      <c r="H1780" s="208" t="inlineStr">
        <is>
          <t>No separate deliverable explicitly named</t>
        </is>
      </c>
    </row>
    <row r="1781">
      <c r="A1781" s="199" t="inlineStr">
        <is>
          <t>RTM-630</t>
        </is>
      </c>
      <c r="B1781" s="221" t="inlineStr">
        <is>
          <t>L0 Tender / Offer</t>
        </is>
      </c>
      <c r="C1781" s="199" t="n">
        <v>1</v>
      </c>
      <c r="D1781" s="199" t="inlineStr">
        <is>
          <t>T3 Contextual</t>
        </is>
      </c>
      <c r="E1781" s="199" t="inlineStr">
        <is>
          <t>Contract Performance</t>
        </is>
      </c>
      <c r="F1781" s="199" t="n">
        <v>20</v>
      </c>
      <c r="G1781" s="199" t="n">
        <v>588</v>
      </c>
      <c r="H1781" s="199" t="inlineStr">
        <is>
          <t>No separate deliverable explicitly named</t>
        </is>
      </c>
    </row>
    <row r="1782">
      <c r="A1782" s="208" t="inlineStr">
        <is>
          <t>RTM-630</t>
        </is>
      </c>
      <c r="B1782" s="222" t="inlineStr">
        <is>
          <t>L1 Conceptual Design</t>
        </is>
      </c>
      <c r="C1782" s="208" t="n">
        <v>2</v>
      </c>
      <c r="D1782" s="208" t="inlineStr">
        <is>
          <t>T3 Contextual</t>
        </is>
      </c>
      <c r="E1782" s="208" t="inlineStr">
        <is>
          <t>Contract Performance</t>
        </is>
      </c>
      <c r="F1782" s="208" t="n">
        <v>20</v>
      </c>
      <c r="G1782" s="208" t="n">
        <v>588</v>
      </c>
      <c r="H1782" s="208" t="inlineStr">
        <is>
          <t>No separate deliverable explicitly named</t>
        </is>
      </c>
    </row>
    <row r="1783">
      <c r="A1783" s="199" t="inlineStr">
        <is>
          <t>RTM-630</t>
        </is>
      </c>
      <c r="B1783" s="223" t="inlineStr">
        <is>
          <t>L2 Detailed Design</t>
        </is>
      </c>
      <c r="C1783" s="199" t="n">
        <v>3</v>
      </c>
      <c r="D1783" s="199" t="inlineStr">
        <is>
          <t>T3 Contextual</t>
        </is>
      </c>
      <c r="E1783" s="199" t="inlineStr">
        <is>
          <t>Contract Performance</t>
        </is>
      </c>
      <c r="F1783" s="199" t="n">
        <v>20</v>
      </c>
      <c r="G1783" s="199" t="n">
        <v>588</v>
      </c>
      <c r="H1783" s="199" t="inlineStr">
        <is>
          <t>No separate deliverable explicitly named</t>
        </is>
      </c>
    </row>
    <row r="1784">
      <c r="A1784" s="208" t="inlineStr">
        <is>
          <t>RTM-630</t>
        </is>
      </c>
      <c r="B1784" s="224" t="inlineStr">
        <is>
          <t>L3 Procurement &amp; Manufacturing / FAT</t>
        </is>
      </c>
      <c r="C1784" s="208" t="n">
        <v>4</v>
      </c>
      <c r="D1784" s="208" t="inlineStr">
        <is>
          <t>T3 Contextual</t>
        </is>
      </c>
      <c r="E1784" s="208" t="inlineStr">
        <is>
          <t>Contract Performance</t>
        </is>
      </c>
      <c r="F1784" s="208" t="n">
        <v>20</v>
      </c>
      <c r="G1784" s="208" t="n">
        <v>588</v>
      </c>
      <c r="H1784" s="208" t="inlineStr">
        <is>
          <t>No separate deliverable explicitly named</t>
        </is>
      </c>
    </row>
    <row r="1785">
      <c r="A1785" s="199" t="inlineStr">
        <is>
          <t>RTM-630</t>
        </is>
      </c>
      <c r="B1785" s="220" t="inlineStr">
        <is>
          <t>L4 Installation</t>
        </is>
      </c>
      <c r="C1785" s="199" t="n">
        <v>6</v>
      </c>
      <c r="D1785" s="199" t="inlineStr">
        <is>
          <t>T3 Contextual</t>
        </is>
      </c>
      <c r="E1785" s="199" t="inlineStr">
        <is>
          <t>Contract Performance</t>
        </is>
      </c>
      <c r="F1785" s="199" t="n">
        <v>20</v>
      </c>
      <c r="G1785" s="199" t="n">
        <v>588</v>
      </c>
      <c r="H1785" s="199" t="inlineStr">
        <is>
          <t>No separate deliverable explicitly named</t>
        </is>
      </c>
    </row>
    <row r="1786">
      <c r="A1786" s="208" t="inlineStr">
        <is>
          <t>RTM-630</t>
        </is>
      </c>
      <c r="B1786" s="225" t="inlineStr">
        <is>
          <t>L5 Standalone Commissioning</t>
        </is>
      </c>
      <c r="C1786" s="208" t="n">
        <v>7</v>
      </c>
      <c r="D1786" s="208" t="inlineStr">
        <is>
          <t>T3 Contextual</t>
        </is>
      </c>
      <c r="E1786" s="208" t="inlineStr">
        <is>
          <t>Contract Performance</t>
        </is>
      </c>
      <c r="F1786" s="208" t="n">
        <v>20</v>
      </c>
      <c r="G1786" s="208" t="n">
        <v>588</v>
      </c>
      <c r="H1786" s="208" t="inlineStr">
        <is>
          <t>No separate deliverable explicitly named</t>
        </is>
      </c>
    </row>
    <row r="1787">
      <c r="A1787" s="199" t="inlineStr">
        <is>
          <t>RTM-630</t>
        </is>
      </c>
      <c r="B1787" s="226" t="inlineStr">
        <is>
          <t>L6 Site Acceptance Testing</t>
        </is>
      </c>
      <c r="C1787" s="199" t="n">
        <v>8</v>
      </c>
      <c r="D1787" s="199" t="inlineStr">
        <is>
          <t>T3 Contextual</t>
        </is>
      </c>
      <c r="E1787" s="199" t="inlineStr">
        <is>
          <t>Contract Performance</t>
        </is>
      </c>
      <c r="F1787" s="199" t="n">
        <v>20</v>
      </c>
      <c r="G1787" s="199" t="n">
        <v>588</v>
      </c>
      <c r="H1787" s="199" t="inlineStr">
        <is>
          <t>No separate deliverable explicitly named</t>
        </is>
      </c>
    </row>
    <row r="1788">
      <c r="A1788" s="208" t="inlineStr">
        <is>
          <t>RTM-631</t>
        </is>
      </c>
      <c r="B1788" s="221" t="inlineStr">
        <is>
          <t>L0 Tender / Offer</t>
        </is>
      </c>
      <c r="C1788" s="208" t="n">
        <v>1</v>
      </c>
      <c r="D1788" s="208" t="inlineStr">
        <is>
          <t>T3 Contextual</t>
        </is>
      </c>
      <c r="E1788" s="208" t="inlineStr">
        <is>
          <t>Contract Performance</t>
        </is>
      </c>
      <c r="F1788" s="208" t="n">
        <v>20</v>
      </c>
      <c r="G1788" s="208" t="n">
        <v>589</v>
      </c>
      <c r="H1788" s="208" t="inlineStr">
        <is>
          <t>No separate deliverable explicitly named</t>
        </is>
      </c>
    </row>
    <row r="1789">
      <c r="A1789" s="199" t="inlineStr">
        <is>
          <t>RTM-631</t>
        </is>
      </c>
      <c r="B1789" s="222" t="inlineStr">
        <is>
          <t>L1 Conceptual Design</t>
        </is>
      </c>
      <c r="C1789" s="199" t="n">
        <v>2</v>
      </c>
      <c r="D1789" s="199" t="inlineStr">
        <is>
          <t>T3 Contextual</t>
        </is>
      </c>
      <c r="E1789" s="199" t="inlineStr">
        <is>
          <t>Contract Performance</t>
        </is>
      </c>
      <c r="F1789" s="199" t="n">
        <v>20</v>
      </c>
      <c r="G1789" s="199" t="n">
        <v>589</v>
      </c>
      <c r="H1789" s="199" t="inlineStr">
        <is>
          <t>No separate deliverable explicitly named</t>
        </is>
      </c>
    </row>
    <row r="1790">
      <c r="A1790" s="208" t="inlineStr">
        <is>
          <t>RTM-631</t>
        </is>
      </c>
      <c r="B1790" s="223" t="inlineStr">
        <is>
          <t>L2 Detailed Design</t>
        </is>
      </c>
      <c r="C1790" s="208" t="n">
        <v>3</v>
      </c>
      <c r="D1790" s="208" t="inlineStr">
        <is>
          <t>T3 Contextual</t>
        </is>
      </c>
      <c r="E1790" s="208" t="inlineStr">
        <is>
          <t>Contract Performance</t>
        </is>
      </c>
      <c r="F1790" s="208" t="n">
        <v>20</v>
      </c>
      <c r="G1790" s="208" t="n">
        <v>589</v>
      </c>
      <c r="H1790" s="208" t="inlineStr">
        <is>
          <t>No separate deliverable explicitly named</t>
        </is>
      </c>
    </row>
    <row r="1791">
      <c r="A1791" s="199" t="inlineStr">
        <is>
          <t>RTM-631</t>
        </is>
      </c>
      <c r="B1791" s="224" t="inlineStr">
        <is>
          <t>L3 Procurement &amp; Manufacturing / FAT</t>
        </is>
      </c>
      <c r="C1791" s="199" t="n">
        <v>4</v>
      </c>
      <c r="D1791" s="199" t="inlineStr">
        <is>
          <t>T3 Contextual</t>
        </is>
      </c>
      <c r="E1791" s="199" t="inlineStr">
        <is>
          <t>Contract Performance</t>
        </is>
      </c>
      <c r="F1791" s="199" t="n">
        <v>20</v>
      </c>
      <c r="G1791" s="199" t="n">
        <v>589</v>
      </c>
      <c r="H1791" s="199" t="inlineStr">
        <is>
          <t>No separate deliverable explicitly named</t>
        </is>
      </c>
    </row>
    <row r="1792">
      <c r="A1792" s="208" t="inlineStr">
        <is>
          <t>RTM-631</t>
        </is>
      </c>
      <c r="B1792" s="220" t="inlineStr">
        <is>
          <t>L4 Installation</t>
        </is>
      </c>
      <c r="C1792" s="208" t="n">
        <v>6</v>
      </c>
      <c r="D1792" s="208" t="inlineStr">
        <is>
          <t>T3 Contextual</t>
        </is>
      </c>
      <c r="E1792" s="208" t="inlineStr">
        <is>
          <t>Contract Performance</t>
        </is>
      </c>
      <c r="F1792" s="208" t="n">
        <v>20</v>
      </c>
      <c r="G1792" s="208" t="n">
        <v>589</v>
      </c>
      <c r="H1792" s="208" t="inlineStr">
        <is>
          <t>No separate deliverable explicitly named</t>
        </is>
      </c>
    </row>
    <row r="1793">
      <c r="A1793" s="199" t="inlineStr">
        <is>
          <t>RTM-631</t>
        </is>
      </c>
      <c r="B1793" s="225" t="inlineStr">
        <is>
          <t>L5 Standalone Commissioning</t>
        </is>
      </c>
      <c r="C1793" s="199" t="n">
        <v>7</v>
      </c>
      <c r="D1793" s="199" t="inlineStr">
        <is>
          <t>T3 Contextual</t>
        </is>
      </c>
      <c r="E1793" s="199" t="inlineStr">
        <is>
          <t>Contract Performance</t>
        </is>
      </c>
      <c r="F1793" s="199" t="n">
        <v>20</v>
      </c>
      <c r="G1793" s="199" t="n">
        <v>589</v>
      </c>
      <c r="H1793" s="199" t="inlineStr">
        <is>
          <t>No separate deliverable explicitly named</t>
        </is>
      </c>
    </row>
    <row r="1794">
      <c r="A1794" s="208" t="inlineStr">
        <is>
          <t>RTM-631</t>
        </is>
      </c>
      <c r="B1794" s="226" t="inlineStr">
        <is>
          <t>L6 Site Acceptance Testing</t>
        </is>
      </c>
      <c r="C1794" s="208" t="n">
        <v>8</v>
      </c>
      <c r="D1794" s="208" t="inlineStr">
        <is>
          <t>T3 Contextual</t>
        </is>
      </c>
      <c r="E1794" s="208" t="inlineStr">
        <is>
          <t>Contract Performance</t>
        </is>
      </c>
      <c r="F1794" s="208" t="n">
        <v>20</v>
      </c>
      <c r="G1794" s="208" t="n">
        <v>589</v>
      </c>
      <c r="H1794" s="208" t="inlineStr">
        <is>
          <t>No separate deliverable explicitly named</t>
        </is>
      </c>
    </row>
    <row r="1795">
      <c r="A1795" s="199" t="inlineStr">
        <is>
          <t>RTM-632</t>
        </is>
      </c>
      <c r="B1795" s="221" t="inlineStr">
        <is>
          <t>L0 Tender / Offer</t>
        </is>
      </c>
      <c r="C1795" s="199" t="n">
        <v>1</v>
      </c>
      <c r="D1795" s="199" t="inlineStr">
        <is>
          <t>T3 Contextual</t>
        </is>
      </c>
      <c r="E1795" s="199" t="inlineStr">
        <is>
          <t>Contract Performance</t>
        </is>
      </c>
      <c r="F1795" s="199" t="n">
        <v>20</v>
      </c>
      <c r="G1795" s="199" t="n">
        <v>590</v>
      </c>
      <c r="H1795" s="199" t="inlineStr">
        <is>
          <t>No separate deliverable explicitly named</t>
        </is>
      </c>
    </row>
    <row r="1796">
      <c r="A1796" s="208" t="inlineStr">
        <is>
          <t>RTM-632</t>
        </is>
      </c>
      <c r="B1796" s="222" t="inlineStr">
        <is>
          <t>L1 Conceptual Design</t>
        </is>
      </c>
      <c r="C1796" s="208" t="n">
        <v>2</v>
      </c>
      <c r="D1796" s="208" t="inlineStr">
        <is>
          <t>T3 Contextual</t>
        </is>
      </c>
      <c r="E1796" s="208" t="inlineStr">
        <is>
          <t>Contract Performance</t>
        </is>
      </c>
      <c r="F1796" s="208" t="n">
        <v>20</v>
      </c>
      <c r="G1796" s="208" t="n">
        <v>590</v>
      </c>
      <c r="H1796" s="208" t="inlineStr">
        <is>
          <t>No separate deliverable explicitly named</t>
        </is>
      </c>
    </row>
    <row r="1797">
      <c r="A1797" s="199" t="inlineStr">
        <is>
          <t>RTM-632</t>
        </is>
      </c>
      <c r="B1797" s="223" t="inlineStr">
        <is>
          <t>L2 Detailed Design</t>
        </is>
      </c>
      <c r="C1797" s="199" t="n">
        <v>3</v>
      </c>
      <c r="D1797" s="199" t="inlineStr">
        <is>
          <t>T3 Contextual</t>
        </is>
      </c>
      <c r="E1797" s="199" t="inlineStr">
        <is>
          <t>Contract Performance</t>
        </is>
      </c>
      <c r="F1797" s="199" t="n">
        <v>20</v>
      </c>
      <c r="G1797" s="199" t="n">
        <v>590</v>
      </c>
      <c r="H1797" s="199" t="inlineStr">
        <is>
          <t>No separate deliverable explicitly named</t>
        </is>
      </c>
    </row>
    <row r="1798">
      <c r="A1798" s="208" t="inlineStr">
        <is>
          <t>RTM-632</t>
        </is>
      </c>
      <c r="B1798" s="224" t="inlineStr">
        <is>
          <t>L3 Procurement &amp; Manufacturing / FAT</t>
        </is>
      </c>
      <c r="C1798" s="208" t="n">
        <v>4</v>
      </c>
      <c r="D1798" s="208" t="inlineStr">
        <is>
          <t>T3 Contextual</t>
        </is>
      </c>
      <c r="E1798" s="208" t="inlineStr">
        <is>
          <t>Contract Performance</t>
        </is>
      </c>
      <c r="F1798" s="208" t="n">
        <v>20</v>
      </c>
      <c r="G1798" s="208" t="n">
        <v>590</v>
      </c>
      <c r="H1798" s="208" t="inlineStr">
        <is>
          <t>No separate deliverable explicitly named</t>
        </is>
      </c>
    </row>
    <row r="1799">
      <c r="A1799" s="199" t="inlineStr">
        <is>
          <t>RTM-632</t>
        </is>
      </c>
      <c r="B1799" s="220" t="inlineStr">
        <is>
          <t>L4 Installation</t>
        </is>
      </c>
      <c r="C1799" s="199" t="n">
        <v>6</v>
      </c>
      <c r="D1799" s="199" t="inlineStr">
        <is>
          <t>T3 Contextual</t>
        </is>
      </c>
      <c r="E1799" s="199" t="inlineStr">
        <is>
          <t>Contract Performance</t>
        </is>
      </c>
      <c r="F1799" s="199" t="n">
        <v>20</v>
      </c>
      <c r="G1799" s="199" t="n">
        <v>590</v>
      </c>
      <c r="H1799" s="199" t="inlineStr">
        <is>
          <t>No separate deliverable explicitly named</t>
        </is>
      </c>
    </row>
    <row r="1800">
      <c r="A1800" s="208" t="inlineStr">
        <is>
          <t>RTM-632</t>
        </is>
      </c>
      <c r="B1800" s="225" t="inlineStr">
        <is>
          <t>L5 Standalone Commissioning</t>
        </is>
      </c>
      <c r="C1800" s="208" t="n">
        <v>7</v>
      </c>
      <c r="D1800" s="208" t="inlineStr">
        <is>
          <t>T3 Contextual</t>
        </is>
      </c>
      <c r="E1800" s="208" t="inlineStr">
        <is>
          <t>Contract Performance</t>
        </is>
      </c>
      <c r="F1800" s="208" t="n">
        <v>20</v>
      </c>
      <c r="G1800" s="208" t="n">
        <v>590</v>
      </c>
      <c r="H1800" s="208" t="inlineStr">
        <is>
          <t>No separate deliverable explicitly named</t>
        </is>
      </c>
    </row>
    <row r="1801">
      <c r="A1801" s="199" t="inlineStr">
        <is>
          <t>RTM-632</t>
        </is>
      </c>
      <c r="B1801" s="226" t="inlineStr">
        <is>
          <t>L6 Site Acceptance Testing</t>
        </is>
      </c>
      <c r="C1801" s="199" t="n">
        <v>8</v>
      </c>
      <c r="D1801" s="199" t="inlineStr">
        <is>
          <t>T3 Contextual</t>
        </is>
      </c>
      <c r="E1801" s="199" t="inlineStr">
        <is>
          <t>Contract Performance</t>
        </is>
      </c>
      <c r="F1801" s="199" t="n">
        <v>20</v>
      </c>
      <c r="G1801" s="199" t="n">
        <v>590</v>
      </c>
      <c r="H1801" s="199" t="inlineStr">
        <is>
          <t>No separate deliverable explicitly named</t>
        </is>
      </c>
    </row>
    <row r="1802">
      <c r="A1802" s="208" t="inlineStr">
        <is>
          <t>RTM-616</t>
        </is>
      </c>
      <c r="B1802" s="223" t="inlineStr">
        <is>
          <t>L2 Detailed Design</t>
        </is>
      </c>
      <c r="C1802" s="208" t="n">
        <v>3</v>
      </c>
      <c r="D1802" s="208" t="inlineStr">
        <is>
          <t>T3 Contextual</t>
        </is>
      </c>
      <c r="E1802" s="208" t="inlineStr">
        <is>
          <t>Schedule</t>
        </is>
      </c>
      <c r="F1802" s="208" t="n">
        <v>19.6667</v>
      </c>
      <c r="G1802" s="208" t="n">
        <v>591</v>
      </c>
      <c r="H1802" s="208" t="inlineStr">
        <is>
          <t>Manufacturing and Inspection Plan (MIP); Procedure / work instruction; Drawing / diagram; Datasheet / technical specification; List / register / matrix</t>
        </is>
      </c>
    </row>
    <row r="1803">
      <c r="A1803" s="199" t="inlineStr">
        <is>
          <t>RTM-616</t>
        </is>
      </c>
      <c r="B1803" s="224" t="inlineStr">
        <is>
          <t>L3 Procurement &amp; Manufacturing / FAT</t>
        </is>
      </c>
      <c r="C1803" s="199" t="n">
        <v>4</v>
      </c>
      <c r="D1803" s="199" t="inlineStr">
        <is>
          <t>T3 Contextual</t>
        </is>
      </c>
      <c r="E1803" s="199" t="inlineStr">
        <is>
          <t>Schedule</t>
        </is>
      </c>
      <c r="F1803" s="199" t="n">
        <v>19.6667</v>
      </c>
      <c r="G1803" s="199" t="n">
        <v>591</v>
      </c>
      <c r="H1803" s="199" t="inlineStr">
        <is>
          <t>Manufacturing and Inspection Plan (MIP); Procedure / work instruction; Drawing / diagram; Datasheet / technical specification; List / register / matrix</t>
        </is>
      </c>
    </row>
    <row r="1804">
      <c r="A1804" s="208" t="inlineStr">
        <is>
          <t>RTM-616</t>
        </is>
      </c>
      <c r="B1804" s="220" t="inlineStr">
        <is>
          <t>L4 Installation</t>
        </is>
      </c>
      <c r="C1804" s="208" t="n">
        <v>6</v>
      </c>
      <c r="D1804" s="208" t="inlineStr">
        <is>
          <t>T3 Contextual</t>
        </is>
      </c>
      <c r="E1804" s="208" t="inlineStr">
        <is>
          <t>Schedule</t>
        </is>
      </c>
      <c r="F1804" s="208" t="n">
        <v>19.6667</v>
      </c>
      <c r="G1804" s="208" t="n">
        <v>591</v>
      </c>
      <c r="H1804" s="208" t="inlineStr">
        <is>
          <t>Manufacturing and Inspection Plan (MIP); Procedure / work instruction; Drawing / diagram; Datasheet / technical specification; List / register / matrix</t>
        </is>
      </c>
    </row>
    <row r="1805">
      <c r="A1805" s="199" t="inlineStr">
        <is>
          <t>RTM-616</t>
        </is>
      </c>
      <c r="B1805" s="221" t="inlineStr">
        <is>
          <t>L0 Tender / Offer</t>
        </is>
      </c>
      <c r="C1805" s="199" t="n">
        <v>1</v>
      </c>
      <c r="D1805" s="199" t="inlineStr">
        <is>
          <t>T3 Contextual</t>
        </is>
      </c>
      <c r="E1805" s="199" t="inlineStr">
        <is>
          <t>Schedule</t>
        </is>
      </c>
      <c r="F1805" s="199" t="n">
        <v>19.6667</v>
      </c>
      <c r="G1805" s="199" t="n">
        <v>591</v>
      </c>
      <c r="H1805" s="199" t="inlineStr">
        <is>
          <t>Manufacturing and Inspection Plan (MIP); Procedure / work instruction; Drawing / diagram; Datasheet / technical specification; List / register / matrix</t>
        </is>
      </c>
    </row>
    <row r="1806">
      <c r="A1806" s="208" t="inlineStr">
        <is>
          <t>RTM-616</t>
        </is>
      </c>
      <c r="B1806" s="222" t="inlineStr">
        <is>
          <t>L1 Conceptual Design</t>
        </is>
      </c>
      <c r="C1806" s="208" t="n">
        <v>2</v>
      </c>
      <c r="D1806" s="208" t="inlineStr">
        <is>
          <t>T3 Contextual</t>
        </is>
      </c>
      <c r="E1806" s="208" t="inlineStr">
        <is>
          <t>Schedule</t>
        </is>
      </c>
      <c r="F1806" s="208" t="n">
        <v>19.6667</v>
      </c>
      <c r="G1806" s="208" t="n">
        <v>591</v>
      </c>
      <c r="H1806" s="208" t="inlineStr">
        <is>
          <t>Manufacturing and Inspection Plan (MIP); Procedure / work instruction; Drawing / diagram; Datasheet / technical specification; List / register / matrix</t>
        </is>
      </c>
    </row>
    <row r="1807">
      <c r="A1807" s="199" t="inlineStr">
        <is>
          <t>RTM-616</t>
        </is>
      </c>
      <c r="B1807" s="225" t="inlineStr">
        <is>
          <t>L5 Standalone Commissioning</t>
        </is>
      </c>
      <c r="C1807" s="199" t="n">
        <v>7</v>
      </c>
      <c r="D1807" s="199" t="inlineStr">
        <is>
          <t>T3 Contextual</t>
        </is>
      </c>
      <c r="E1807" s="199" t="inlineStr">
        <is>
          <t>Schedule</t>
        </is>
      </c>
      <c r="F1807" s="199" t="n">
        <v>19.6667</v>
      </c>
      <c r="G1807" s="199" t="n">
        <v>591</v>
      </c>
      <c r="H1807" s="199" t="inlineStr">
        <is>
          <t>Manufacturing and Inspection Plan (MIP); Procedure / work instruction; Drawing / diagram; Datasheet / technical specification; List / register / matrix</t>
        </is>
      </c>
    </row>
    <row r="1808">
      <c r="A1808" s="208" t="inlineStr">
        <is>
          <t>RTM-616</t>
        </is>
      </c>
      <c r="B1808" s="226" t="inlineStr">
        <is>
          <t>L6 Site Acceptance Testing</t>
        </is>
      </c>
      <c r="C1808" s="208" t="n">
        <v>8</v>
      </c>
      <c r="D1808" s="208" t="inlineStr">
        <is>
          <t>T3 Contextual</t>
        </is>
      </c>
      <c r="E1808" s="208" t="inlineStr">
        <is>
          <t>Schedule</t>
        </is>
      </c>
      <c r="F1808" s="208" t="n">
        <v>19.6667</v>
      </c>
      <c r="G1808" s="208" t="n">
        <v>591</v>
      </c>
      <c r="H1808" s="208" t="inlineStr">
        <is>
          <t>Manufacturing and Inspection Plan (MIP); Procedure / work instruction; Drawing / diagram; Datasheet / technical specification; List / register / matrix</t>
        </is>
      </c>
    </row>
    <row r="1809">
      <c r="A1809" s="199" t="inlineStr">
        <is>
          <t>RTM-485</t>
        </is>
      </c>
      <c r="B1809" s="222" t="inlineStr">
        <is>
          <t>L1 Conceptual Design</t>
        </is>
      </c>
      <c r="C1809" s="199" t="n">
        <v>2</v>
      </c>
      <c r="D1809" s="199" t="inlineStr">
        <is>
          <t>T3 Contextual</t>
        </is>
      </c>
      <c r="E1809" s="199" t="inlineStr">
        <is>
          <t>Training</t>
        </is>
      </c>
      <c r="F1809" s="199" t="n">
        <v>19.3333</v>
      </c>
      <c r="G1809" s="199" t="n">
        <v>592</v>
      </c>
      <c r="H1809" s="199" t="inlineStr">
        <is>
          <t>No separate deliverable explicitly named</t>
        </is>
      </c>
    </row>
    <row r="1810">
      <c r="A1810" s="208" t="inlineStr">
        <is>
          <t>RTM-485</t>
        </is>
      </c>
      <c r="B1810" s="223" t="inlineStr">
        <is>
          <t>L2 Detailed Design</t>
        </is>
      </c>
      <c r="C1810" s="208" t="n">
        <v>3</v>
      </c>
      <c r="D1810" s="208" t="inlineStr">
        <is>
          <t>T3 Contextual</t>
        </is>
      </c>
      <c r="E1810" s="208" t="inlineStr">
        <is>
          <t>Training</t>
        </is>
      </c>
      <c r="F1810" s="208" t="n">
        <v>19.3333</v>
      </c>
      <c r="G1810" s="208" t="n">
        <v>592</v>
      </c>
      <c r="H1810" s="208" t="inlineStr">
        <is>
          <t>No separate deliverable explicitly named</t>
        </is>
      </c>
    </row>
    <row r="1811">
      <c r="A1811" s="199" t="inlineStr">
        <is>
          <t>RTM-567</t>
        </is>
      </c>
      <c r="B1811" s="222" t="inlineStr">
        <is>
          <t>L1 Conceptual Design</t>
        </is>
      </c>
      <c r="C1811" s="199" t="n">
        <v>2</v>
      </c>
      <c r="D1811" s="199" t="inlineStr">
        <is>
          <t>T3 Contextual</t>
        </is>
      </c>
      <c r="E1811" s="199" t="inlineStr">
        <is>
          <t>Technical Documentation</t>
        </is>
      </c>
      <c r="F1811" s="199" t="n">
        <v>19.3333</v>
      </c>
      <c r="G1811" s="199" t="n">
        <v>593</v>
      </c>
      <c r="H1811" s="199" t="inlineStr">
        <is>
          <t>No separate deliverable explicitly named</t>
        </is>
      </c>
    </row>
    <row r="1812">
      <c r="A1812" s="208" t="inlineStr">
        <is>
          <t>RTM-567</t>
        </is>
      </c>
      <c r="B1812" s="223" t="inlineStr">
        <is>
          <t>L2 Detailed Design</t>
        </is>
      </c>
      <c r="C1812" s="208" t="n">
        <v>3</v>
      </c>
      <c r="D1812" s="208" t="inlineStr">
        <is>
          <t>T3 Contextual</t>
        </is>
      </c>
      <c r="E1812" s="208" t="inlineStr">
        <is>
          <t>Technical Documentation</t>
        </is>
      </c>
      <c r="F1812" s="208" t="n">
        <v>19.3333</v>
      </c>
      <c r="G1812" s="208" t="n">
        <v>593</v>
      </c>
      <c r="H1812" s="208" t="inlineStr">
        <is>
          <t>No separate deliverable explicitly named</t>
        </is>
      </c>
    </row>
    <row r="1813">
      <c r="A1813" s="199" t="inlineStr">
        <is>
          <t>RTM-568</t>
        </is>
      </c>
      <c r="B1813" s="222" t="inlineStr">
        <is>
          <t>L1 Conceptual Design</t>
        </is>
      </c>
      <c r="C1813" s="199" t="n">
        <v>2</v>
      </c>
      <c r="D1813" s="199" t="inlineStr">
        <is>
          <t>T3 Contextual</t>
        </is>
      </c>
      <c r="E1813" s="199" t="inlineStr">
        <is>
          <t>Technical Documentation</t>
        </is>
      </c>
      <c r="F1813" s="199" t="n">
        <v>19.3333</v>
      </c>
      <c r="G1813" s="199" t="n">
        <v>594</v>
      </c>
      <c r="H1813" s="199" t="inlineStr">
        <is>
          <t>No separate deliverable explicitly named</t>
        </is>
      </c>
    </row>
    <row r="1814">
      <c r="A1814" s="208" t="inlineStr">
        <is>
          <t>RTM-568</t>
        </is>
      </c>
      <c r="B1814" s="223" t="inlineStr">
        <is>
          <t>L2 Detailed Design</t>
        </is>
      </c>
      <c r="C1814" s="208" t="n">
        <v>3</v>
      </c>
      <c r="D1814" s="208" t="inlineStr">
        <is>
          <t>T3 Contextual</t>
        </is>
      </c>
      <c r="E1814" s="208" t="inlineStr">
        <is>
          <t>Technical Documentation</t>
        </is>
      </c>
      <c r="F1814" s="208" t="n">
        <v>19.3333</v>
      </c>
      <c r="G1814" s="208" t="n">
        <v>594</v>
      </c>
      <c r="H1814" s="208" t="inlineStr">
        <is>
          <t>No separate deliverable explicitly named</t>
        </is>
      </c>
    </row>
    <row r="1815">
      <c r="A1815" s="199" t="inlineStr">
        <is>
          <t>RTM-569</t>
        </is>
      </c>
      <c r="B1815" s="222" t="inlineStr">
        <is>
          <t>L1 Conceptual Design</t>
        </is>
      </c>
      <c r="C1815" s="199" t="n">
        <v>2</v>
      </c>
      <c r="D1815" s="199" t="inlineStr">
        <is>
          <t>T3 Contextual</t>
        </is>
      </c>
      <c r="E1815" s="199" t="inlineStr">
        <is>
          <t>Technical Documentation</t>
        </is>
      </c>
      <c r="F1815" s="199" t="n">
        <v>19.3333</v>
      </c>
      <c r="G1815" s="199" t="n">
        <v>595</v>
      </c>
      <c r="H1815" s="199" t="inlineStr">
        <is>
          <t>No separate deliverable explicitly named</t>
        </is>
      </c>
    </row>
    <row r="1816">
      <c r="A1816" s="208" t="inlineStr">
        <is>
          <t>RTM-569</t>
        </is>
      </c>
      <c r="B1816" s="223" t="inlineStr">
        <is>
          <t>L2 Detailed Design</t>
        </is>
      </c>
      <c r="C1816" s="208" t="n">
        <v>3</v>
      </c>
      <c r="D1816" s="208" t="inlineStr">
        <is>
          <t>T3 Contextual</t>
        </is>
      </c>
      <c r="E1816" s="208" t="inlineStr">
        <is>
          <t>Technical Documentation</t>
        </is>
      </c>
      <c r="F1816" s="208" t="n">
        <v>19.3333</v>
      </c>
      <c r="G1816" s="208" t="n">
        <v>595</v>
      </c>
      <c r="H1816" s="208" t="inlineStr">
        <is>
          <t>No separate deliverable explicitly named</t>
        </is>
      </c>
    </row>
    <row r="1817">
      <c r="A1817" s="199" t="inlineStr">
        <is>
          <t>RTM-570</t>
        </is>
      </c>
      <c r="B1817" s="222" t="inlineStr">
        <is>
          <t>L1 Conceptual Design</t>
        </is>
      </c>
      <c r="C1817" s="199" t="n">
        <v>2</v>
      </c>
      <c r="D1817" s="199" t="inlineStr">
        <is>
          <t>T3 Contextual</t>
        </is>
      </c>
      <c r="E1817" s="199" t="inlineStr">
        <is>
          <t>Technical Documentation</t>
        </is>
      </c>
      <c r="F1817" s="199" t="n">
        <v>19.3333</v>
      </c>
      <c r="G1817" s="199" t="n">
        <v>596</v>
      </c>
      <c r="H1817" s="199" t="inlineStr">
        <is>
          <t>No separate deliverable explicitly named</t>
        </is>
      </c>
    </row>
    <row r="1818">
      <c r="A1818" s="208" t="inlineStr">
        <is>
          <t>RTM-570</t>
        </is>
      </c>
      <c r="B1818" s="223" t="inlineStr">
        <is>
          <t>L2 Detailed Design</t>
        </is>
      </c>
      <c r="C1818" s="208" t="n">
        <v>3</v>
      </c>
      <c r="D1818" s="208" t="inlineStr">
        <is>
          <t>T3 Contextual</t>
        </is>
      </c>
      <c r="E1818" s="208" t="inlineStr">
        <is>
          <t>Technical Documentation</t>
        </is>
      </c>
      <c r="F1818" s="208" t="n">
        <v>19.3333</v>
      </c>
      <c r="G1818" s="208" t="n">
        <v>596</v>
      </c>
      <c r="H1818" s="208" t="inlineStr">
        <is>
          <t>No separate deliverable explicitly named</t>
        </is>
      </c>
    </row>
    <row r="1819">
      <c r="A1819" s="199" t="inlineStr">
        <is>
          <t>RTM-571</t>
        </is>
      </c>
      <c r="B1819" s="222" t="inlineStr">
        <is>
          <t>L1 Conceptual Design</t>
        </is>
      </c>
      <c r="C1819" s="199" t="n">
        <v>2</v>
      </c>
      <c r="D1819" s="199" t="inlineStr">
        <is>
          <t>T3 Contextual</t>
        </is>
      </c>
      <c r="E1819" s="199" t="inlineStr">
        <is>
          <t>Technical Documentation</t>
        </is>
      </c>
      <c r="F1819" s="199" t="n">
        <v>19.3333</v>
      </c>
      <c r="G1819" s="199" t="n">
        <v>597</v>
      </c>
      <c r="H1819" s="199" t="inlineStr">
        <is>
          <t>No separate deliverable explicitly named</t>
        </is>
      </c>
    </row>
    <row r="1820">
      <c r="A1820" s="208" t="inlineStr">
        <is>
          <t>RTM-571</t>
        </is>
      </c>
      <c r="B1820" s="223" t="inlineStr">
        <is>
          <t>L2 Detailed Design</t>
        </is>
      </c>
      <c r="C1820" s="208" t="n">
        <v>3</v>
      </c>
      <c r="D1820" s="208" t="inlineStr">
        <is>
          <t>T3 Contextual</t>
        </is>
      </c>
      <c r="E1820" s="208" t="inlineStr">
        <is>
          <t>Technical Documentation</t>
        </is>
      </c>
      <c r="F1820" s="208" t="n">
        <v>19.3333</v>
      </c>
      <c r="G1820" s="208" t="n">
        <v>597</v>
      </c>
      <c r="H1820" s="208" t="inlineStr">
        <is>
          <t>No separate deliverable explicitly named</t>
        </is>
      </c>
    </row>
    <row r="1821">
      <c r="A1821" s="199" t="inlineStr">
        <is>
          <t>RTM-572</t>
        </is>
      </c>
      <c r="B1821" s="222" t="inlineStr">
        <is>
          <t>L1 Conceptual Design</t>
        </is>
      </c>
      <c r="C1821" s="199" t="n">
        <v>2</v>
      </c>
      <c r="D1821" s="199" t="inlineStr">
        <is>
          <t>T3 Contextual</t>
        </is>
      </c>
      <c r="E1821" s="199" t="inlineStr">
        <is>
          <t>Technical Documentation</t>
        </is>
      </c>
      <c r="F1821" s="199" t="n">
        <v>19.3333</v>
      </c>
      <c r="G1821" s="199" t="n">
        <v>598</v>
      </c>
      <c r="H1821" s="199" t="inlineStr">
        <is>
          <t>Engineering File</t>
        </is>
      </c>
    </row>
    <row r="1822">
      <c r="A1822" s="208" t="inlineStr">
        <is>
          <t>RTM-572</t>
        </is>
      </c>
      <c r="B1822" s="223" t="inlineStr">
        <is>
          <t>L2 Detailed Design</t>
        </is>
      </c>
      <c r="C1822" s="208" t="n">
        <v>3</v>
      </c>
      <c r="D1822" s="208" t="inlineStr">
        <is>
          <t>T3 Contextual</t>
        </is>
      </c>
      <c r="E1822" s="208" t="inlineStr">
        <is>
          <t>Technical Documentation</t>
        </is>
      </c>
      <c r="F1822" s="208" t="n">
        <v>19.3333</v>
      </c>
      <c r="G1822" s="208" t="n">
        <v>598</v>
      </c>
      <c r="H1822" s="208" t="inlineStr">
        <is>
          <t>Engineering File</t>
        </is>
      </c>
    </row>
    <row r="1823">
      <c r="A1823" s="199" t="inlineStr">
        <is>
          <t>RTM-574</t>
        </is>
      </c>
      <c r="B1823" s="222" t="inlineStr">
        <is>
          <t>L1 Conceptual Design</t>
        </is>
      </c>
      <c r="C1823" s="199" t="n">
        <v>2</v>
      </c>
      <c r="D1823" s="199" t="inlineStr">
        <is>
          <t>T3 Contextual</t>
        </is>
      </c>
      <c r="E1823" s="199" t="inlineStr">
        <is>
          <t>Technical Documentation</t>
        </is>
      </c>
      <c r="F1823" s="199" t="n">
        <v>19.3333</v>
      </c>
      <c r="G1823" s="199" t="n">
        <v>599</v>
      </c>
      <c r="H1823" s="199" t="inlineStr">
        <is>
          <t>Engineering File; Datasheet / technical specification</t>
        </is>
      </c>
    </row>
    <row r="1824">
      <c r="A1824" s="208" t="inlineStr">
        <is>
          <t>RTM-574</t>
        </is>
      </c>
      <c r="B1824" s="223" t="inlineStr">
        <is>
          <t>L2 Detailed Design</t>
        </is>
      </c>
      <c r="C1824" s="208" t="n">
        <v>3</v>
      </c>
      <c r="D1824" s="208" t="inlineStr">
        <is>
          <t>T3 Contextual</t>
        </is>
      </c>
      <c r="E1824" s="208" t="inlineStr">
        <is>
          <t>Technical Documentation</t>
        </is>
      </c>
      <c r="F1824" s="208" t="n">
        <v>19.3333</v>
      </c>
      <c r="G1824" s="208" t="n">
        <v>599</v>
      </c>
      <c r="H1824" s="208" t="inlineStr">
        <is>
          <t>Engineering File; Datasheet / technical specification</t>
        </is>
      </c>
    </row>
    <row r="1825">
      <c r="A1825" s="199" t="inlineStr">
        <is>
          <t>RTM-577</t>
        </is>
      </c>
      <c r="B1825" s="220" t="inlineStr">
        <is>
          <t>L4 Installation</t>
        </is>
      </c>
      <c r="C1825" s="199" t="n">
        <v>6</v>
      </c>
      <c r="D1825" s="199" t="inlineStr">
        <is>
          <t>T3 Contextual</t>
        </is>
      </c>
      <c r="E1825" s="199" t="inlineStr">
        <is>
          <t>Technical Documentation</t>
        </is>
      </c>
      <c r="F1825" s="199" t="n">
        <v>19.3333</v>
      </c>
      <c r="G1825" s="199" t="n">
        <v>600</v>
      </c>
      <c r="H1825" s="199" t="inlineStr">
        <is>
          <t>Installation File</t>
        </is>
      </c>
    </row>
    <row r="1826">
      <c r="A1826" s="208" t="inlineStr">
        <is>
          <t>RTM-577</t>
        </is>
      </c>
      <c r="B1826" s="222" t="inlineStr">
        <is>
          <t>L1 Conceptual Design</t>
        </is>
      </c>
      <c r="C1826" s="208" t="n">
        <v>2</v>
      </c>
      <c r="D1826" s="208" t="inlineStr">
        <is>
          <t>T3 Contextual</t>
        </is>
      </c>
      <c r="E1826" s="208" t="inlineStr">
        <is>
          <t>Technical Documentation</t>
        </is>
      </c>
      <c r="F1826" s="208" t="n">
        <v>19.3333</v>
      </c>
      <c r="G1826" s="208" t="n">
        <v>600</v>
      </c>
      <c r="H1826" s="208" t="inlineStr">
        <is>
          <t>Installation File</t>
        </is>
      </c>
    </row>
    <row r="1827">
      <c r="A1827" s="199" t="inlineStr">
        <is>
          <t>RTM-577</t>
        </is>
      </c>
      <c r="B1827" s="223" t="inlineStr">
        <is>
          <t>L2 Detailed Design</t>
        </is>
      </c>
      <c r="C1827" s="199" t="n">
        <v>3</v>
      </c>
      <c r="D1827" s="199" t="inlineStr">
        <is>
          <t>T3 Contextual</t>
        </is>
      </c>
      <c r="E1827" s="199" t="inlineStr">
        <is>
          <t>Technical Documentation</t>
        </is>
      </c>
      <c r="F1827" s="199" t="n">
        <v>19.3333</v>
      </c>
      <c r="G1827" s="199" t="n">
        <v>600</v>
      </c>
      <c r="H1827" s="199" t="inlineStr">
        <is>
          <t>Installation File</t>
        </is>
      </c>
    </row>
    <row r="1828">
      <c r="A1828" s="208" t="inlineStr">
        <is>
          <t>RTM-579</t>
        </is>
      </c>
      <c r="B1828" s="220" t="inlineStr">
        <is>
          <t>L4 Installation</t>
        </is>
      </c>
      <c r="C1828" s="208" t="n">
        <v>6</v>
      </c>
      <c r="D1828" s="208" t="inlineStr">
        <is>
          <t>T3 Contextual</t>
        </is>
      </c>
      <c r="E1828" s="208" t="inlineStr">
        <is>
          <t>Technical Documentation</t>
        </is>
      </c>
      <c r="F1828" s="208" t="n">
        <v>19.3333</v>
      </c>
      <c r="G1828" s="208" t="n">
        <v>601</v>
      </c>
      <c r="H1828" s="208" t="inlineStr">
        <is>
          <t>Installation File</t>
        </is>
      </c>
    </row>
    <row r="1829">
      <c r="A1829" s="199" t="inlineStr">
        <is>
          <t>RTM-579</t>
        </is>
      </c>
      <c r="B1829" s="222" t="inlineStr">
        <is>
          <t>L1 Conceptual Design</t>
        </is>
      </c>
      <c r="C1829" s="199" t="n">
        <v>2</v>
      </c>
      <c r="D1829" s="199" t="inlineStr">
        <is>
          <t>T3 Contextual</t>
        </is>
      </c>
      <c r="E1829" s="199" t="inlineStr">
        <is>
          <t>Technical Documentation</t>
        </is>
      </c>
      <c r="F1829" s="199" t="n">
        <v>19.3333</v>
      </c>
      <c r="G1829" s="199" t="n">
        <v>601</v>
      </c>
      <c r="H1829" s="199" t="inlineStr">
        <is>
          <t>Installation File</t>
        </is>
      </c>
    </row>
    <row r="1830">
      <c r="A1830" s="208" t="inlineStr">
        <is>
          <t>RTM-579</t>
        </is>
      </c>
      <c r="B1830" s="223" t="inlineStr">
        <is>
          <t>L2 Detailed Design</t>
        </is>
      </c>
      <c r="C1830" s="208" t="n">
        <v>3</v>
      </c>
      <c r="D1830" s="208" t="inlineStr">
        <is>
          <t>T3 Contextual</t>
        </is>
      </c>
      <c r="E1830" s="208" t="inlineStr">
        <is>
          <t>Technical Documentation</t>
        </is>
      </c>
      <c r="F1830" s="208" t="n">
        <v>19.3333</v>
      </c>
      <c r="G1830" s="208" t="n">
        <v>601</v>
      </c>
      <c r="H1830" s="208" t="inlineStr">
        <is>
          <t>Installation File</t>
        </is>
      </c>
    </row>
    <row r="1831">
      <c r="A1831" s="199" t="inlineStr">
        <is>
          <t>RTM-592</t>
        </is>
      </c>
      <c r="B1831" s="222" t="inlineStr">
        <is>
          <t>L1 Conceptual Design</t>
        </is>
      </c>
      <c r="C1831" s="199" t="n">
        <v>2</v>
      </c>
      <c r="D1831" s="199" t="inlineStr">
        <is>
          <t>T3 Contextual</t>
        </is>
      </c>
      <c r="E1831" s="199" t="inlineStr">
        <is>
          <t>Technical Documentation</t>
        </is>
      </c>
      <c r="F1831" s="199" t="n">
        <v>19.3333</v>
      </c>
      <c r="G1831" s="199" t="n">
        <v>602</v>
      </c>
      <c r="H1831" s="199" t="inlineStr">
        <is>
          <t>Technical File</t>
        </is>
      </c>
    </row>
    <row r="1832">
      <c r="A1832" s="208" t="inlineStr">
        <is>
          <t>RTM-592</t>
        </is>
      </c>
      <c r="B1832" s="223" t="inlineStr">
        <is>
          <t>L2 Detailed Design</t>
        </is>
      </c>
      <c r="C1832" s="208" t="n">
        <v>3</v>
      </c>
      <c r="D1832" s="208" t="inlineStr">
        <is>
          <t>T3 Contextual</t>
        </is>
      </c>
      <c r="E1832" s="208" t="inlineStr">
        <is>
          <t>Technical Documentation</t>
        </is>
      </c>
      <c r="F1832" s="208" t="n">
        <v>19.3333</v>
      </c>
      <c r="G1832" s="208" t="n">
        <v>602</v>
      </c>
      <c r="H1832" s="208" t="inlineStr">
        <is>
          <t>Technical File</t>
        </is>
      </c>
    </row>
    <row r="1833">
      <c r="A1833" s="199" t="inlineStr">
        <is>
          <t>RTM-593</t>
        </is>
      </c>
      <c r="B1833" s="222" t="inlineStr">
        <is>
          <t>L1 Conceptual Design</t>
        </is>
      </c>
      <c r="C1833" s="199" t="n">
        <v>2</v>
      </c>
      <c r="D1833" s="199" t="inlineStr">
        <is>
          <t>T3 Contextual</t>
        </is>
      </c>
      <c r="E1833" s="199" t="inlineStr">
        <is>
          <t>Technical Documentation</t>
        </is>
      </c>
      <c r="F1833" s="199" t="n">
        <v>19.3333</v>
      </c>
      <c r="G1833" s="199" t="n">
        <v>603</v>
      </c>
      <c r="H1833" s="199" t="inlineStr">
        <is>
          <t>Technical File; VLAREM Technical File</t>
        </is>
      </c>
    </row>
    <row r="1834">
      <c r="A1834" s="208" t="inlineStr">
        <is>
          <t>RTM-593</t>
        </is>
      </c>
      <c r="B1834" s="223" t="inlineStr">
        <is>
          <t>L2 Detailed Design</t>
        </is>
      </c>
      <c r="C1834" s="208" t="n">
        <v>3</v>
      </c>
      <c r="D1834" s="208" t="inlineStr">
        <is>
          <t>T3 Contextual</t>
        </is>
      </c>
      <c r="E1834" s="208" t="inlineStr">
        <is>
          <t>Technical Documentation</t>
        </is>
      </c>
      <c r="F1834" s="208" t="n">
        <v>19.3333</v>
      </c>
      <c r="G1834" s="208" t="n">
        <v>603</v>
      </c>
      <c r="H1834" s="208" t="inlineStr">
        <is>
          <t>Technical File; VLAREM Technical File</t>
        </is>
      </c>
    </row>
    <row r="1835">
      <c r="A1835" s="199" t="inlineStr">
        <is>
          <t>RTM-621</t>
        </is>
      </c>
      <c r="B1835" s="221" t="inlineStr">
        <is>
          <t>L0 Tender / Offer</t>
        </is>
      </c>
      <c r="C1835" s="199" t="n">
        <v>1</v>
      </c>
      <c r="D1835" s="199" t="inlineStr">
        <is>
          <t>T3 Contextual</t>
        </is>
      </c>
      <c r="E1835" s="199" t="inlineStr">
        <is>
          <t>Contract Performance</t>
        </is>
      </c>
      <c r="F1835" s="199" t="n">
        <v>19.3333</v>
      </c>
      <c r="G1835" s="199" t="n">
        <v>604</v>
      </c>
      <c r="H1835" s="199" t="inlineStr">
        <is>
          <t>No separate deliverable explicitly named</t>
        </is>
      </c>
    </row>
    <row r="1836">
      <c r="A1836" s="208" t="inlineStr">
        <is>
          <t>RTM-621</t>
        </is>
      </c>
      <c r="B1836" s="222" t="inlineStr">
        <is>
          <t>L1 Conceptual Design</t>
        </is>
      </c>
      <c r="C1836" s="208" t="n">
        <v>2</v>
      </c>
      <c r="D1836" s="208" t="inlineStr">
        <is>
          <t>T3 Contextual</t>
        </is>
      </c>
      <c r="E1836" s="208" t="inlineStr">
        <is>
          <t>Contract Performance</t>
        </is>
      </c>
      <c r="F1836" s="208" t="n">
        <v>19.3333</v>
      </c>
      <c r="G1836" s="208" t="n">
        <v>604</v>
      </c>
      <c r="H1836" s="208" t="inlineStr">
        <is>
          <t>No separate deliverable explicitly named</t>
        </is>
      </c>
    </row>
    <row r="1837">
      <c r="A1837" s="199" t="inlineStr">
        <is>
          <t>RTM-621</t>
        </is>
      </c>
      <c r="B1837" s="223" t="inlineStr">
        <is>
          <t>L2 Detailed Design</t>
        </is>
      </c>
      <c r="C1837" s="199" t="n">
        <v>3</v>
      </c>
      <c r="D1837" s="199" t="inlineStr">
        <is>
          <t>T3 Contextual</t>
        </is>
      </c>
      <c r="E1837" s="199" t="inlineStr">
        <is>
          <t>Contract Performance</t>
        </is>
      </c>
      <c r="F1837" s="199" t="n">
        <v>19.3333</v>
      </c>
      <c r="G1837" s="199" t="n">
        <v>604</v>
      </c>
      <c r="H1837" s="199" t="inlineStr">
        <is>
          <t>No separate deliverable explicitly named</t>
        </is>
      </c>
    </row>
    <row r="1838">
      <c r="A1838" s="208" t="inlineStr">
        <is>
          <t>RTM-621</t>
        </is>
      </c>
      <c r="B1838" s="224" t="inlineStr">
        <is>
          <t>L3 Procurement &amp; Manufacturing / FAT</t>
        </is>
      </c>
      <c r="C1838" s="208" t="n">
        <v>4</v>
      </c>
      <c r="D1838" s="208" t="inlineStr">
        <is>
          <t>T3 Contextual</t>
        </is>
      </c>
      <c r="E1838" s="208" t="inlineStr">
        <is>
          <t>Contract Performance</t>
        </is>
      </c>
      <c r="F1838" s="208" t="n">
        <v>19.3333</v>
      </c>
      <c r="G1838" s="208" t="n">
        <v>604</v>
      </c>
      <c r="H1838" s="208" t="inlineStr">
        <is>
          <t>No separate deliverable explicitly named</t>
        </is>
      </c>
    </row>
    <row r="1839">
      <c r="A1839" s="199" t="inlineStr">
        <is>
          <t>RTM-621</t>
        </is>
      </c>
      <c r="B1839" s="220" t="inlineStr">
        <is>
          <t>L4 Installation</t>
        </is>
      </c>
      <c r="C1839" s="199" t="n">
        <v>6</v>
      </c>
      <c r="D1839" s="199" t="inlineStr">
        <is>
          <t>T3 Contextual</t>
        </is>
      </c>
      <c r="E1839" s="199" t="inlineStr">
        <is>
          <t>Contract Performance</t>
        </is>
      </c>
      <c r="F1839" s="199" t="n">
        <v>19.3333</v>
      </c>
      <c r="G1839" s="199" t="n">
        <v>604</v>
      </c>
      <c r="H1839" s="199" t="inlineStr">
        <is>
          <t>No separate deliverable explicitly named</t>
        </is>
      </c>
    </row>
    <row r="1840">
      <c r="A1840" s="208" t="inlineStr">
        <is>
          <t>RTM-621</t>
        </is>
      </c>
      <c r="B1840" s="225" t="inlineStr">
        <is>
          <t>L5 Standalone Commissioning</t>
        </is>
      </c>
      <c r="C1840" s="208" t="n">
        <v>7</v>
      </c>
      <c r="D1840" s="208" t="inlineStr">
        <is>
          <t>T3 Contextual</t>
        </is>
      </c>
      <c r="E1840" s="208" t="inlineStr">
        <is>
          <t>Contract Performance</t>
        </is>
      </c>
      <c r="F1840" s="208" t="n">
        <v>19.3333</v>
      </c>
      <c r="G1840" s="208" t="n">
        <v>604</v>
      </c>
      <c r="H1840" s="208" t="inlineStr">
        <is>
          <t>No separate deliverable explicitly named</t>
        </is>
      </c>
    </row>
    <row r="1841">
      <c r="A1841" s="199" t="inlineStr">
        <is>
          <t>RTM-621</t>
        </is>
      </c>
      <c r="B1841" s="226" t="inlineStr">
        <is>
          <t>L6 Site Acceptance Testing</t>
        </is>
      </c>
      <c r="C1841" s="199" t="n">
        <v>8</v>
      </c>
      <c r="D1841" s="199" t="inlineStr">
        <is>
          <t>T3 Contextual</t>
        </is>
      </c>
      <c r="E1841" s="199" t="inlineStr">
        <is>
          <t>Contract Performance</t>
        </is>
      </c>
      <c r="F1841" s="199" t="n">
        <v>19.3333</v>
      </c>
      <c r="G1841" s="199" t="n">
        <v>604</v>
      </c>
      <c r="H1841" s="199" t="inlineStr">
        <is>
          <t>No separate deliverable explicitly named</t>
        </is>
      </c>
    </row>
    <row r="1842">
      <c r="A1842" s="208" t="inlineStr">
        <is>
          <t>RTM-438</t>
        </is>
      </c>
      <c r="B1842" s="222" t="inlineStr">
        <is>
          <t>L1 Conceptual Design</t>
        </is>
      </c>
      <c r="C1842" s="208" t="n">
        <v>2</v>
      </c>
      <c r="D1842" s="208" t="inlineStr">
        <is>
          <t>T3 Contextual</t>
        </is>
      </c>
      <c r="E1842" s="208" t="inlineStr">
        <is>
          <t>Design &amp; Fabrication</t>
        </is>
      </c>
      <c r="F1842" s="208" t="n">
        <v>18.6667</v>
      </c>
      <c r="G1842" s="208" t="n">
        <v>605</v>
      </c>
      <c r="H1842" s="208" t="inlineStr">
        <is>
          <t>3D / CAD Model</t>
        </is>
      </c>
    </row>
    <row r="1843">
      <c r="A1843" s="199" t="inlineStr">
        <is>
          <t>RTM-438</t>
        </is>
      </c>
      <c r="B1843" s="223" t="inlineStr">
        <is>
          <t>L2 Detailed Design</t>
        </is>
      </c>
      <c r="C1843" s="199" t="n">
        <v>3</v>
      </c>
      <c r="D1843" s="199" t="inlineStr">
        <is>
          <t>T3 Contextual</t>
        </is>
      </c>
      <c r="E1843" s="199" t="inlineStr">
        <is>
          <t>Design &amp; Fabrication</t>
        </is>
      </c>
      <c r="F1843" s="199" t="n">
        <v>18.6667</v>
      </c>
      <c r="G1843" s="199" t="n">
        <v>605</v>
      </c>
      <c r="H1843" s="199" t="inlineStr">
        <is>
          <t>3D / CAD Model</t>
        </is>
      </c>
    </row>
    <row r="1844">
      <c r="A1844" s="208" t="inlineStr">
        <is>
          <t>RTM-439</t>
        </is>
      </c>
      <c r="B1844" s="222" t="inlineStr">
        <is>
          <t>L1 Conceptual Design</t>
        </is>
      </c>
      <c r="C1844" s="208" t="n">
        <v>2</v>
      </c>
      <c r="D1844" s="208" t="inlineStr">
        <is>
          <t>T3 Contextual</t>
        </is>
      </c>
      <c r="E1844" s="208" t="inlineStr">
        <is>
          <t>Design &amp; Fabrication</t>
        </is>
      </c>
      <c r="F1844" s="208" t="n">
        <v>18.6667</v>
      </c>
      <c r="G1844" s="208" t="n">
        <v>606</v>
      </c>
      <c r="H1844" s="208" t="inlineStr">
        <is>
          <t>No separate deliverable explicitly named</t>
        </is>
      </c>
    </row>
    <row r="1845">
      <c r="A1845" s="199" t="inlineStr">
        <is>
          <t>RTM-439</t>
        </is>
      </c>
      <c r="B1845" s="223" t="inlineStr">
        <is>
          <t>L2 Detailed Design</t>
        </is>
      </c>
      <c r="C1845" s="199" t="n">
        <v>3</v>
      </c>
      <c r="D1845" s="199" t="inlineStr">
        <is>
          <t>T3 Contextual</t>
        </is>
      </c>
      <c r="E1845" s="199" t="inlineStr">
        <is>
          <t>Design &amp; Fabrication</t>
        </is>
      </c>
      <c r="F1845" s="199" t="n">
        <v>18.6667</v>
      </c>
      <c r="G1845" s="199" t="n">
        <v>606</v>
      </c>
      <c r="H1845" s="199" t="inlineStr">
        <is>
          <t>No separate deliverable explicitly named</t>
        </is>
      </c>
    </row>
    <row r="1846">
      <c r="A1846" s="208" t="inlineStr">
        <is>
          <t>RTM-444</t>
        </is>
      </c>
      <c r="B1846" s="222" t="inlineStr">
        <is>
          <t>L1 Conceptual Design</t>
        </is>
      </c>
      <c r="C1846" s="208" t="n">
        <v>2</v>
      </c>
      <c r="D1846" s="208" t="inlineStr">
        <is>
          <t>T3 Contextual</t>
        </is>
      </c>
      <c r="E1846" s="208" t="inlineStr">
        <is>
          <t>Design &amp; Fabrication</t>
        </is>
      </c>
      <c r="F1846" s="208" t="n">
        <v>18.6667</v>
      </c>
      <c r="G1846" s="208" t="n">
        <v>607</v>
      </c>
      <c r="H1846" s="208" t="inlineStr">
        <is>
          <t>No separate deliverable explicitly named</t>
        </is>
      </c>
    </row>
    <row r="1847">
      <c r="A1847" s="199" t="inlineStr">
        <is>
          <t>RTM-444</t>
        </is>
      </c>
      <c r="B1847" s="223" t="inlineStr">
        <is>
          <t>L2 Detailed Design</t>
        </is>
      </c>
      <c r="C1847" s="199" t="n">
        <v>3</v>
      </c>
      <c r="D1847" s="199" t="inlineStr">
        <is>
          <t>T3 Contextual</t>
        </is>
      </c>
      <c r="E1847" s="199" t="inlineStr">
        <is>
          <t>Design &amp; Fabrication</t>
        </is>
      </c>
      <c r="F1847" s="199" t="n">
        <v>18.6667</v>
      </c>
      <c r="G1847" s="199" t="n">
        <v>607</v>
      </c>
      <c r="H1847" s="199" t="inlineStr">
        <is>
          <t>No separate deliverable explicitly named</t>
        </is>
      </c>
    </row>
    <row r="1848">
      <c r="A1848" s="208" t="inlineStr">
        <is>
          <t>RTM-445</t>
        </is>
      </c>
      <c r="B1848" s="222" t="inlineStr">
        <is>
          <t>L1 Conceptual Design</t>
        </is>
      </c>
      <c r="C1848" s="208" t="n">
        <v>2</v>
      </c>
      <c r="D1848" s="208" t="inlineStr">
        <is>
          <t>T3 Contextual</t>
        </is>
      </c>
      <c r="E1848" s="208" t="inlineStr">
        <is>
          <t>Design &amp; Fabrication</t>
        </is>
      </c>
      <c r="F1848" s="208" t="n">
        <v>18.6667</v>
      </c>
      <c r="G1848" s="208" t="n">
        <v>608</v>
      </c>
      <c r="H1848" s="208" t="inlineStr">
        <is>
          <t>3D / CAD Model</t>
        </is>
      </c>
    </row>
    <row r="1849">
      <c r="A1849" s="199" t="inlineStr">
        <is>
          <t>RTM-445</t>
        </is>
      </c>
      <c r="B1849" s="223" t="inlineStr">
        <is>
          <t>L2 Detailed Design</t>
        </is>
      </c>
      <c r="C1849" s="199" t="n">
        <v>3</v>
      </c>
      <c r="D1849" s="199" t="inlineStr">
        <is>
          <t>T3 Contextual</t>
        </is>
      </c>
      <c r="E1849" s="199" t="inlineStr">
        <is>
          <t>Design &amp; Fabrication</t>
        </is>
      </c>
      <c r="F1849" s="199" t="n">
        <v>18.6667</v>
      </c>
      <c r="G1849" s="199" t="n">
        <v>608</v>
      </c>
      <c r="H1849" s="199" t="inlineStr">
        <is>
          <t>3D / CAD Model</t>
        </is>
      </c>
    </row>
    <row r="1850">
      <c r="A1850" s="208" t="inlineStr">
        <is>
          <t>RTM-446</t>
        </is>
      </c>
      <c r="B1850" s="222" t="inlineStr">
        <is>
          <t>L1 Conceptual Design</t>
        </is>
      </c>
      <c r="C1850" s="208" t="n">
        <v>2</v>
      </c>
      <c r="D1850" s="208" t="inlineStr">
        <is>
          <t>T3 Contextual</t>
        </is>
      </c>
      <c r="E1850" s="208" t="inlineStr">
        <is>
          <t>Design &amp; Fabrication</t>
        </is>
      </c>
      <c r="F1850" s="208" t="n">
        <v>18.6667</v>
      </c>
      <c r="G1850" s="208" t="n">
        <v>609</v>
      </c>
      <c r="H1850" s="208" t="inlineStr">
        <is>
          <t>No separate deliverable explicitly named</t>
        </is>
      </c>
    </row>
    <row r="1851">
      <c r="A1851" s="199" t="inlineStr">
        <is>
          <t>RTM-446</t>
        </is>
      </c>
      <c r="B1851" s="223" t="inlineStr">
        <is>
          <t>L2 Detailed Design</t>
        </is>
      </c>
      <c r="C1851" s="199" t="n">
        <v>3</v>
      </c>
      <c r="D1851" s="199" t="inlineStr">
        <is>
          <t>T3 Contextual</t>
        </is>
      </c>
      <c r="E1851" s="199" t="inlineStr">
        <is>
          <t>Design &amp; Fabrication</t>
        </is>
      </c>
      <c r="F1851" s="199" t="n">
        <v>18.6667</v>
      </c>
      <c r="G1851" s="199" t="n">
        <v>609</v>
      </c>
      <c r="H1851" s="199" t="inlineStr">
        <is>
          <t>No separate deliverable explicitly named</t>
        </is>
      </c>
    </row>
    <row r="1852">
      <c r="A1852" s="208" t="inlineStr">
        <is>
          <t>RTM-447</t>
        </is>
      </c>
      <c r="B1852" s="222" t="inlineStr">
        <is>
          <t>L1 Conceptual Design</t>
        </is>
      </c>
      <c r="C1852" s="208" t="n">
        <v>2</v>
      </c>
      <c r="D1852" s="208" t="inlineStr">
        <is>
          <t>T3 Contextual</t>
        </is>
      </c>
      <c r="E1852" s="208" t="inlineStr">
        <is>
          <t>Design &amp; Fabrication</t>
        </is>
      </c>
      <c r="F1852" s="208" t="n">
        <v>18.6667</v>
      </c>
      <c r="G1852" s="208" t="n">
        <v>610</v>
      </c>
      <c r="H1852" s="208" t="inlineStr">
        <is>
          <t>3D / CAD Model; Drawing / diagram</t>
        </is>
      </c>
    </row>
    <row r="1853">
      <c r="A1853" s="199" t="inlineStr">
        <is>
          <t>RTM-447</t>
        </is>
      </c>
      <c r="B1853" s="223" t="inlineStr">
        <is>
          <t>L2 Detailed Design</t>
        </is>
      </c>
      <c r="C1853" s="199" t="n">
        <v>3</v>
      </c>
      <c r="D1853" s="199" t="inlineStr">
        <is>
          <t>T3 Contextual</t>
        </is>
      </c>
      <c r="E1853" s="199" t="inlineStr">
        <is>
          <t>Design &amp; Fabrication</t>
        </is>
      </c>
      <c r="F1853" s="199" t="n">
        <v>18.6667</v>
      </c>
      <c r="G1853" s="199" t="n">
        <v>610</v>
      </c>
      <c r="H1853" s="199" t="inlineStr">
        <is>
          <t>3D / CAD Model; Drawing / diagram</t>
        </is>
      </c>
    </row>
    <row r="1854">
      <c r="A1854" s="208" t="inlineStr">
        <is>
          <t>RTM-448</t>
        </is>
      </c>
      <c r="B1854" s="222" t="inlineStr">
        <is>
          <t>L1 Conceptual Design</t>
        </is>
      </c>
      <c r="C1854" s="208" t="n">
        <v>2</v>
      </c>
      <c r="D1854" s="208" t="inlineStr">
        <is>
          <t>T3 Contextual</t>
        </is>
      </c>
      <c r="E1854" s="208" t="inlineStr">
        <is>
          <t>Design &amp; Fabrication</t>
        </is>
      </c>
      <c r="F1854" s="208" t="n">
        <v>18.6667</v>
      </c>
      <c r="G1854" s="208" t="n">
        <v>611</v>
      </c>
      <c r="H1854" s="208" t="inlineStr">
        <is>
          <t>No separate deliverable explicitly named</t>
        </is>
      </c>
    </row>
    <row r="1855">
      <c r="A1855" s="199" t="inlineStr">
        <is>
          <t>RTM-448</t>
        </is>
      </c>
      <c r="B1855" s="223" t="inlineStr">
        <is>
          <t>L2 Detailed Design</t>
        </is>
      </c>
      <c r="C1855" s="199" t="n">
        <v>3</v>
      </c>
      <c r="D1855" s="199" t="inlineStr">
        <is>
          <t>T3 Contextual</t>
        </is>
      </c>
      <c r="E1855" s="199" t="inlineStr">
        <is>
          <t>Design &amp; Fabrication</t>
        </is>
      </c>
      <c r="F1855" s="199" t="n">
        <v>18.6667</v>
      </c>
      <c r="G1855" s="199" t="n">
        <v>611</v>
      </c>
      <c r="H1855" s="199" t="inlineStr">
        <is>
          <t>No separate deliverable explicitly named</t>
        </is>
      </c>
    </row>
    <row r="1856">
      <c r="A1856" s="208" t="inlineStr">
        <is>
          <t>RTM-449</t>
        </is>
      </c>
      <c r="B1856" s="222" t="inlineStr">
        <is>
          <t>L1 Conceptual Design</t>
        </is>
      </c>
      <c r="C1856" s="208" t="n">
        <v>2</v>
      </c>
      <c r="D1856" s="208" t="inlineStr">
        <is>
          <t>T3 Contextual</t>
        </is>
      </c>
      <c r="E1856" s="208" t="inlineStr">
        <is>
          <t>Design &amp; Fabrication</t>
        </is>
      </c>
      <c r="F1856" s="208" t="n">
        <v>18.6667</v>
      </c>
      <c r="G1856" s="208" t="n">
        <v>612</v>
      </c>
      <c r="H1856" s="208" t="inlineStr">
        <is>
          <t>3D / CAD Model</t>
        </is>
      </c>
    </row>
    <row r="1857">
      <c r="A1857" s="199" t="inlineStr">
        <is>
          <t>RTM-449</t>
        </is>
      </c>
      <c r="B1857" s="223" t="inlineStr">
        <is>
          <t>L2 Detailed Design</t>
        </is>
      </c>
      <c r="C1857" s="199" t="n">
        <v>3</v>
      </c>
      <c r="D1857" s="199" t="inlineStr">
        <is>
          <t>T3 Contextual</t>
        </is>
      </c>
      <c r="E1857" s="199" t="inlineStr">
        <is>
          <t>Design &amp; Fabrication</t>
        </is>
      </c>
      <c r="F1857" s="199" t="n">
        <v>18.6667</v>
      </c>
      <c r="G1857" s="199" t="n">
        <v>612</v>
      </c>
      <c r="H1857" s="199" t="inlineStr">
        <is>
          <t>3D / CAD Model</t>
        </is>
      </c>
    </row>
    <row r="1858">
      <c r="A1858" s="208" t="inlineStr">
        <is>
          <t>RTM-450</t>
        </is>
      </c>
      <c r="B1858" s="222" t="inlineStr">
        <is>
          <t>L1 Conceptual Design</t>
        </is>
      </c>
      <c r="C1858" s="208" t="n">
        <v>2</v>
      </c>
      <c r="D1858" s="208" t="inlineStr">
        <is>
          <t>T3 Contextual</t>
        </is>
      </c>
      <c r="E1858" s="208" t="inlineStr">
        <is>
          <t>Design &amp; Fabrication</t>
        </is>
      </c>
      <c r="F1858" s="208" t="n">
        <v>18.6667</v>
      </c>
      <c r="G1858" s="208" t="n">
        <v>613</v>
      </c>
      <c r="H1858" s="208" t="inlineStr">
        <is>
          <t>No separate deliverable explicitly named</t>
        </is>
      </c>
    </row>
    <row r="1859">
      <c r="A1859" s="199" t="inlineStr">
        <is>
          <t>RTM-450</t>
        </is>
      </c>
      <c r="B1859" s="223" t="inlineStr">
        <is>
          <t>L2 Detailed Design</t>
        </is>
      </c>
      <c r="C1859" s="199" t="n">
        <v>3</v>
      </c>
      <c r="D1859" s="199" t="inlineStr">
        <is>
          <t>T3 Contextual</t>
        </is>
      </c>
      <c r="E1859" s="199" t="inlineStr">
        <is>
          <t>Design &amp; Fabrication</t>
        </is>
      </c>
      <c r="F1859" s="199" t="n">
        <v>18.6667</v>
      </c>
      <c r="G1859" s="199" t="n">
        <v>613</v>
      </c>
      <c r="H1859" s="199" t="inlineStr">
        <is>
          <t>No separate deliverable explicitly named</t>
        </is>
      </c>
    </row>
    <row r="1860">
      <c r="A1860" s="208" t="inlineStr">
        <is>
          <t>RTM-452</t>
        </is>
      </c>
      <c r="B1860" s="222" t="inlineStr">
        <is>
          <t>L1 Conceptual Design</t>
        </is>
      </c>
      <c r="C1860" s="208" t="n">
        <v>2</v>
      </c>
      <c r="D1860" s="208" t="inlineStr">
        <is>
          <t>T3 Contextual</t>
        </is>
      </c>
      <c r="E1860" s="208" t="inlineStr">
        <is>
          <t>Design &amp; Fabrication</t>
        </is>
      </c>
      <c r="F1860" s="208" t="n">
        <v>18.6667</v>
      </c>
      <c r="G1860" s="208" t="n">
        <v>614</v>
      </c>
      <c r="H1860" s="208" t="inlineStr">
        <is>
          <t>Certificate / calibration evidence</t>
        </is>
      </c>
    </row>
    <row r="1861">
      <c r="A1861" s="199" t="inlineStr">
        <is>
          <t>RTM-452</t>
        </is>
      </c>
      <c r="B1861" s="223" t="inlineStr">
        <is>
          <t>L2 Detailed Design</t>
        </is>
      </c>
      <c r="C1861" s="199" t="n">
        <v>3</v>
      </c>
      <c r="D1861" s="199" t="inlineStr">
        <is>
          <t>T3 Contextual</t>
        </is>
      </c>
      <c r="E1861" s="199" t="inlineStr">
        <is>
          <t>Design &amp; Fabrication</t>
        </is>
      </c>
      <c r="F1861" s="199" t="n">
        <v>18.6667</v>
      </c>
      <c r="G1861" s="199" t="n">
        <v>614</v>
      </c>
      <c r="H1861" s="199" t="inlineStr">
        <is>
          <t>Certificate / calibration evidence</t>
        </is>
      </c>
    </row>
    <row r="1862">
      <c r="A1862" s="208" t="inlineStr">
        <is>
          <t>RTM-454</t>
        </is>
      </c>
      <c r="B1862" s="222" t="inlineStr">
        <is>
          <t>L1 Conceptual Design</t>
        </is>
      </c>
      <c r="C1862" s="208" t="n">
        <v>2</v>
      </c>
      <c r="D1862" s="208" t="inlineStr">
        <is>
          <t>T3 Contextual</t>
        </is>
      </c>
      <c r="E1862" s="208" t="inlineStr">
        <is>
          <t>Design &amp; Fabrication</t>
        </is>
      </c>
      <c r="F1862" s="208" t="n">
        <v>18.6667</v>
      </c>
      <c r="G1862" s="208" t="n">
        <v>615</v>
      </c>
      <c r="H1862" s="208" t="inlineStr">
        <is>
          <t>No separate deliverable explicitly named</t>
        </is>
      </c>
    </row>
    <row r="1863">
      <c r="A1863" s="199" t="inlineStr">
        <is>
          <t>RTM-454</t>
        </is>
      </c>
      <c r="B1863" s="223" t="inlineStr">
        <is>
          <t>L2 Detailed Design</t>
        </is>
      </c>
      <c r="C1863" s="199" t="n">
        <v>3</v>
      </c>
      <c r="D1863" s="199" t="inlineStr">
        <is>
          <t>T3 Contextual</t>
        </is>
      </c>
      <c r="E1863" s="199" t="inlineStr">
        <is>
          <t>Design &amp; Fabrication</t>
        </is>
      </c>
      <c r="F1863" s="199" t="n">
        <v>18.6667</v>
      </c>
      <c r="G1863" s="199" t="n">
        <v>615</v>
      </c>
      <c r="H1863" s="199" t="inlineStr">
        <is>
          <t>No separate deliverable explicitly named</t>
        </is>
      </c>
    </row>
    <row r="1864">
      <c r="A1864" s="208" t="inlineStr">
        <is>
          <t>RTM-455</t>
        </is>
      </c>
      <c r="B1864" s="222" t="inlineStr">
        <is>
          <t>L1 Conceptual Design</t>
        </is>
      </c>
      <c r="C1864" s="208" t="n">
        <v>2</v>
      </c>
      <c r="D1864" s="208" t="inlineStr">
        <is>
          <t>T3 Contextual</t>
        </is>
      </c>
      <c r="E1864" s="208" t="inlineStr">
        <is>
          <t>Design &amp; Fabrication</t>
        </is>
      </c>
      <c r="F1864" s="208" t="n">
        <v>18.6667</v>
      </c>
      <c r="G1864" s="208" t="n">
        <v>616</v>
      </c>
      <c r="H1864" s="208" t="inlineStr">
        <is>
          <t>No separate deliverable explicitly named</t>
        </is>
      </c>
    </row>
    <row r="1865">
      <c r="A1865" s="199" t="inlineStr">
        <is>
          <t>RTM-455</t>
        </is>
      </c>
      <c r="B1865" s="223" t="inlineStr">
        <is>
          <t>L2 Detailed Design</t>
        </is>
      </c>
      <c r="C1865" s="199" t="n">
        <v>3</v>
      </c>
      <c r="D1865" s="199" t="inlineStr">
        <is>
          <t>T3 Contextual</t>
        </is>
      </c>
      <c r="E1865" s="199" t="inlineStr">
        <is>
          <t>Design &amp; Fabrication</t>
        </is>
      </c>
      <c r="F1865" s="199" t="n">
        <v>18.6667</v>
      </c>
      <c r="G1865" s="199" t="n">
        <v>616</v>
      </c>
      <c r="H1865" s="199" t="inlineStr">
        <is>
          <t>No separate deliverable explicitly named</t>
        </is>
      </c>
    </row>
    <row r="1866">
      <c r="A1866" s="208" t="inlineStr">
        <is>
          <t>RTM-456</t>
        </is>
      </c>
      <c r="B1866" s="222" t="inlineStr">
        <is>
          <t>L1 Conceptual Design</t>
        </is>
      </c>
      <c r="C1866" s="208" t="n">
        <v>2</v>
      </c>
      <c r="D1866" s="208" t="inlineStr">
        <is>
          <t>T3 Contextual</t>
        </is>
      </c>
      <c r="E1866" s="208" t="inlineStr">
        <is>
          <t>Design &amp; Fabrication</t>
        </is>
      </c>
      <c r="F1866" s="208" t="n">
        <v>18.6667</v>
      </c>
      <c r="G1866" s="208" t="n">
        <v>617</v>
      </c>
      <c r="H1866" s="208" t="inlineStr">
        <is>
          <t>No separate deliverable explicitly named</t>
        </is>
      </c>
    </row>
    <row r="1867">
      <c r="A1867" s="199" t="inlineStr">
        <is>
          <t>RTM-456</t>
        </is>
      </c>
      <c r="B1867" s="223" t="inlineStr">
        <is>
          <t>L2 Detailed Design</t>
        </is>
      </c>
      <c r="C1867" s="199" t="n">
        <v>3</v>
      </c>
      <c r="D1867" s="199" t="inlineStr">
        <is>
          <t>T3 Contextual</t>
        </is>
      </c>
      <c r="E1867" s="199" t="inlineStr">
        <is>
          <t>Design &amp; Fabrication</t>
        </is>
      </c>
      <c r="F1867" s="199" t="n">
        <v>18.6667</v>
      </c>
      <c r="G1867" s="199" t="n">
        <v>617</v>
      </c>
      <c r="H1867" s="199" t="inlineStr">
        <is>
          <t>No separate deliverable explicitly named</t>
        </is>
      </c>
    </row>
    <row r="1868">
      <c r="A1868" s="208" t="inlineStr">
        <is>
          <t>RTM-457</t>
        </is>
      </c>
      <c r="B1868" s="224" t="inlineStr">
        <is>
          <t>L3 Procurement &amp; Manufacturing / FAT</t>
        </is>
      </c>
      <c r="C1868" s="208" t="n">
        <v>4</v>
      </c>
      <c r="D1868" s="208" t="inlineStr">
        <is>
          <t>T3 Contextual</t>
        </is>
      </c>
      <c r="E1868" s="208" t="inlineStr">
        <is>
          <t>Design &amp; Fabrication</t>
        </is>
      </c>
      <c r="F1868" s="208" t="n">
        <v>18.6667</v>
      </c>
      <c r="G1868" s="208" t="n">
        <v>618</v>
      </c>
      <c r="H1868" s="208" t="inlineStr">
        <is>
          <t>Manufacturing File</t>
        </is>
      </c>
    </row>
    <row r="1869">
      <c r="A1869" s="199" t="inlineStr">
        <is>
          <t>RTM-457</t>
        </is>
      </c>
      <c r="B1869" s="222" t="inlineStr">
        <is>
          <t>L1 Conceptual Design</t>
        </is>
      </c>
      <c r="C1869" s="199" t="n">
        <v>2</v>
      </c>
      <c r="D1869" s="199" t="inlineStr">
        <is>
          <t>T3 Contextual</t>
        </is>
      </c>
      <c r="E1869" s="199" t="inlineStr">
        <is>
          <t>Design &amp; Fabrication</t>
        </is>
      </c>
      <c r="F1869" s="199" t="n">
        <v>18.6667</v>
      </c>
      <c r="G1869" s="199" t="n">
        <v>618</v>
      </c>
      <c r="H1869" s="199" t="inlineStr">
        <is>
          <t>Manufacturing File</t>
        </is>
      </c>
    </row>
    <row r="1870">
      <c r="A1870" s="208" t="inlineStr">
        <is>
          <t>RTM-457</t>
        </is>
      </c>
      <c r="B1870" s="223" t="inlineStr">
        <is>
          <t>L2 Detailed Design</t>
        </is>
      </c>
      <c r="C1870" s="208" t="n">
        <v>3</v>
      </c>
      <c r="D1870" s="208" t="inlineStr">
        <is>
          <t>T3 Contextual</t>
        </is>
      </c>
      <c r="E1870" s="208" t="inlineStr">
        <is>
          <t>Design &amp; Fabrication</t>
        </is>
      </c>
      <c r="F1870" s="208" t="n">
        <v>18.6667</v>
      </c>
      <c r="G1870" s="208" t="n">
        <v>618</v>
      </c>
      <c r="H1870" s="208" t="inlineStr">
        <is>
          <t>Manufacturing File</t>
        </is>
      </c>
    </row>
    <row r="1871">
      <c r="A1871" s="199" t="inlineStr">
        <is>
          <t>RTM-459</t>
        </is>
      </c>
      <c r="B1871" s="222" t="inlineStr">
        <is>
          <t>L1 Conceptual Design</t>
        </is>
      </c>
      <c r="C1871" s="199" t="n">
        <v>2</v>
      </c>
      <c r="D1871" s="199" t="inlineStr">
        <is>
          <t>T3 Contextual</t>
        </is>
      </c>
      <c r="E1871" s="199" t="inlineStr">
        <is>
          <t>Design &amp; Fabrication</t>
        </is>
      </c>
      <c r="F1871" s="199" t="n">
        <v>18.6667</v>
      </c>
      <c r="G1871" s="199" t="n">
        <v>619</v>
      </c>
      <c r="H1871" s="199" t="inlineStr">
        <is>
          <t>No separate deliverable explicitly named</t>
        </is>
      </c>
    </row>
    <row r="1872">
      <c r="A1872" s="208" t="inlineStr">
        <is>
          <t>RTM-459</t>
        </is>
      </c>
      <c r="B1872" s="223" t="inlineStr">
        <is>
          <t>L2 Detailed Design</t>
        </is>
      </c>
      <c r="C1872" s="208" t="n">
        <v>3</v>
      </c>
      <c r="D1872" s="208" t="inlineStr">
        <is>
          <t>T3 Contextual</t>
        </is>
      </c>
      <c r="E1872" s="208" t="inlineStr">
        <is>
          <t>Design &amp; Fabrication</t>
        </is>
      </c>
      <c r="F1872" s="208" t="n">
        <v>18.6667</v>
      </c>
      <c r="G1872" s="208" t="n">
        <v>619</v>
      </c>
      <c r="H1872" s="208" t="inlineStr">
        <is>
          <t>No separate deliverable explicitly named</t>
        </is>
      </c>
    </row>
    <row r="1873">
      <c r="A1873" s="199" t="inlineStr">
        <is>
          <t>RTM-461</t>
        </is>
      </c>
      <c r="B1873" s="222" t="inlineStr">
        <is>
          <t>L1 Conceptual Design</t>
        </is>
      </c>
      <c r="C1873" s="199" t="n">
        <v>2</v>
      </c>
      <c r="D1873" s="199" t="inlineStr">
        <is>
          <t>T3 Contextual</t>
        </is>
      </c>
      <c r="E1873" s="199" t="inlineStr">
        <is>
          <t>Design &amp; Fabrication</t>
        </is>
      </c>
      <c r="F1873" s="199" t="n">
        <v>18.6667</v>
      </c>
      <c r="G1873" s="199" t="n">
        <v>620</v>
      </c>
      <c r="H1873" s="199" t="inlineStr">
        <is>
          <t>Procedure / work instruction</t>
        </is>
      </c>
    </row>
    <row r="1874">
      <c r="A1874" s="208" t="inlineStr">
        <is>
          <t>RTM-461</t>
        </is>
      </c>
      <c r="B1874" s="223" t="inlineStr">
        <is>
          <t>L2 Detailed Design</t>
        </is>
      </c>
      <c r="C1874" s="208" t="n">
        <v>3</v>
      </c>
      <c r="D1874" s="208" t="inlineStr">
        <is>
          <t>T3 Contextual</t>
        </is>
      </c>
      <c r="E1874" s="208" t="inlineStr">
        <is>
          <t>Design &amp; Fabrication</t>
        </is>
      </c>
      <c r="F1874" s="208" t="n">
        <v>18.6667</v>
      </c>
      <c r="G1874" s="208" t="n">
        <v>620</v>
      </c>
      <c r="H1874" s="208" t="inlineStr">
        <is>
          <t>Procedure / work instruction</t>
        </is>
      </c>
    </row>
    <row r="1875">
      <c r="A1875" s="199" t="inlineStr">
        <is>
          <t>RTM-466</t>
        </is>
      </c>
      <c r="B1875" s="222" t="inlineStr">
        <is>
          <t>L1 Conceptual Design</t>
        </is>
      </c>
      <c r="C1875" s="199" t="n">
        <v>2</v>
      </c>
      <c r="D1875" s="199" t="inlineStr">
        <is>
          <t>T3 Contextual</t>
        </is>
      </c>
      <c r="E1875" s="199" t="inlineStr">
        <is>
          <t>Design &amp; Fabrication</t>
        </is>
      </c>
      <c r="F1875" s="199" t="n">
        <v>18.6667</v>
      </c>
      <c r="G1875" s="199" t="n">
        <v>621</v>
      </c>
      <c r="H1875" s="199" t="inlineStr">
        <is>
          <t>No separate deliverable explicitly named</t>
        </is>
      </c>
    </row>
    <row r="1876">
      <c r="A1876" s="208" t="inlineStr">
        <is>
          <t>RTM-466</t>
        </is>
      </c>
      <c r="B1876" s="223" t="inlineStr">
        <is>
          <t>L2 Detailed Design</t>
        </is>
      </c>
      <c r="C1876" s="208" t="n">
        <v>3</v>
      </c>
      <c r="D1876" s="208" t="inlineStr">
        <is>
          <t>T3 Contextual</t>
        </is>
      </c>
      <c r="E1876" s="208" t="inlineStr">
        <is>
          <t>Design &amp; Fabrication</t>
        </is>
      </c>
      <c r="F1876" s="208" t="n">
        <v>18.6667</v>
      </c>
      <c r="G1876" s="208" t="n">
        <v>621</v>
      </c>
      <c r="H1876" s="208" t="inlineStr">
        <is>
          <t>No separate deliverable explicitly named</t>
        </is>
      </c>
    </row>
    <row r="1877">
      <c r="A1877" s="199" t="inlineStr">
        <is>
          <t>RTM-467</t>
        </is>
      </c>
      <c r="B1877" s="220" t="inlineStr">
        <is>
          <t>L4 Installation</t>
        </is>
      </c>
      <c r="C1877" s="199" t="n">
        <v>6</v>
      </c>
      <c r="D1877" s="199" t="inlineStr">
        <is>
          <t>T3 Contextual</t>
        </is>
      </c>
      <c r="E1877" s="199" t="inlineStr">
        <is>
          <t>Design &amp; Fabrication</t>
        </is>
      </c>
      <c r="F1877" s="199" t="n">
        <v>18.6667</v>
      </c>
      <c r="G1877" s="199" t="n">
        <v>622</v>
      </c>
      <c r="H1877" s="199" t="inlineStr">
        <is>
          <t>No separate deliverable explicitly named</t>
        </is>
      </c>
    </row>
    <row r="1878">
      <c r="A1878" s="208" t="inlineStr">
        <is>
          <t>RTM-467</t>
        </is>
      </c>
      <c r="B1878" s="222" t="inlineStr">
        <is>
          <t>L1 Conceptual Design</t>
        </is>
      </c>
      <c r="C1878" s="208" t="n">
        <v>2</v>
      </c>
      <c r="D1878" s="208" t="inlineStr">
        <is>
          <t>T3 Contextual</t>
        </is>
      </c>
      <c r="E1878" s="208" t="inlineStr">
        <is>
          <t>Design &amp; Fabrication</t>
        </is>
      </c>
      <c r="F1878" s="208" t="n">
        <v>18.6667</v>
      </c>
      <c r="G1878" s="208" t="n">
        <v>622</v>
      </c>
      <c r="H1878" s="208" t="inlineStr">
        <is>
          <t>No separate deliverable explicitly named</t>
        </is>
      </c>
    </row>
    <row r="1879">
      <c r="A1879" s="199" t="inlineStr">
        <is>
          <t>RTM-467</t>
        </is>
      </c>
      <c r="B1879" s="223" t="inlineStr">
        <is>
          <t>L2 Detailed Design</t>
        </is>
      </c>
      <c r="C1879" s="199" t="n">
        <v>3</v>
      </c>
      <c r="D1879" s="199" t="inlineStr">
        <is>
          <t>T3 Contextual</t>
        </is>
      </c>
      <c r="E1879" s="199" t="inlineStr">
        <is>
          <t>Design &amp; Fabrication</t>
        </is>
      </c>
      <c r="F1879" s="199" t="n">
        <v>18.6667</v>
      </c>
      <c r="G1879" s="199" t="n">
        <v>622</v>
      </c>
      <c r="H1879" s="199" t="inlineStr">
        <is>
          <t>No separate deliverable explicitly named</t>
        </is>
      </c>
    </row>
    <row r="1880">
      <c r="A1880" s="208" t="inlineStr">
        <is>
          <t>RTM-468</t>
        </is>
      </c>
      <c r="B1880" s="222" t="inlineStr">
        <is>
          <t>L1 Conceptual Design</t>
        </is>
      </c>
      <c r="C1880" s="208" t="n">
        <v>2</v>
      </c>
      <c r="D1880" s="208" t="inlineStr">
        <is>
          <t>T3 Contextual</t>
        </is>
      </c>
      <c r="E1880" s="208" t="inlineStr">
        <is>
          <t>Design &amp; Fabrication</t>
        </is>
      </c>
      <c r="F1880" s="208" t="n">
        <v>18.6667</v>
      </c>
      <c r="G1880" s="208" t="n">
        <v>623</v>
      </c>
      <c r="H1880" s="208" t="inlineStr">
        <is>
          <t>No separate deliverable explicitly named</t>
        </is>
      </c>
    </row>
    <row r="1881">
      <c r="A1881" s="199" t="inlineStr">
        <is>
          <t>RTM-468</t>
        </is>
      </c>
      <c r="B1881" s="223" t="inlineStr">
        <is>
          <t>L2 Detailed Design</t>
        </is>
      </c>
      <c r="C1881" s="199" t="n">
        <v>3</v>
      </c>
      <c r="D1881" s="199" t="inlineStr">
        <is>
          <t>T3 Contextual</t>
        </is>
      </c>
      <c r="E1881" s="199" t="inlineStr">
        <is>
          <t>Design &amp; Fabrication</t>
        </is>
      </c>
      <c r="F1881" s="199" t="n">
        <v>18.6667</v>
      </c>
      <c r="G1881" s="199" t="n">
        <v>623</v>
      </c>
      <c r="H1881" s="199" t="inlineStr">
        <is>
          <t>No separate deliverable explicitly named</t>
        </is>
      </c>
    </row>
    <row r="1882">
      <c r="A1882" s="208" t="inlineStr">
        <is>
          <t>RTM-469</t>
        </is>
      </c>
      <c r="B1882" s="222" t="inlineStr">
        <is>
          <t>L1 Conceptual Design</t>
        </is>
      </c>
      <c r="C1882" s="208" t="n">
        <v>2</v>
      </c>
      <c r="D1882" s="208" t="inlineStr">
        <is>
          <t>T3 Contextual</t>
        </is>
      </c>
      <c r="E1882" s="208" t="inlineStr">
        <is>
          <t>Design &amp; Fabrication</t>
        </is>
      </c>
      <c r="F1882" s="208" t="n">
        <v>18.6667</v>
      </c>
      <c r="G1882" s="208" t="n">
        <v>624</v>
      </c>
      <c r="H1882" s="208" t="inlineStr">
        <is>
          <t>No separate deliverable explicitly named</t>
        </is>
      </c>
    </row>
    <row r="1883">
      <c r="A1883" s="199" t="inlineStr">
        <is>
          <t>RTM-469</t>
        </is>
      </c>
      <c r="B1883" s="223" t="inlineStr">
        <is>
          <t>L2 Detailed Design</t>
        </is>
      </c>
      <c r="C1883" s="199" t="n">
        <v>3</v>
      </c>
      <c r="D1883" s="199" t="inlineStr">
        <is>
          <t>T3 Contextual</t>
        </is>
      </c>
      <c r="E1883" s="199" t="inlineStr">
        <is>
          <t>Design &amp; Fabrication</t>
        </is>
      </c>
      <c r="F1883" s="199" t="n">
        <v>18.6667</v>
      </c>
      <c r="G1883" s="199" t="n">
        <v>624</v>
      </c>
      <c r="H1883" s="199" t="inlineStr">
        <is>
          <t>No separate deliverable explicitly named</t>
        </is>
      </c>
    </row>
    <row r="1884">
      <c r="A1884" s="208" t="inlineStr">
        <is>
          <t>RTM-471</t>
        </is>
      </c>
      <c r="B1884" s="222" t="inlineStr">
        <is>
          <t>L1 Conceptual Design</t>
        </is>
      </c>
      <c r="C1884" s="208" t="n">
        <v>2</v>
      </c>
      <c r="D1884" s="208" t="inlineStr">
        <is>
          <t>T3 Contextual</t>
        </is>
      </c>
      <c r="E1884" s="208" t="inlineStr">
        <is>
          <t>Design &amp; Fabrication</t>
        </is>
      </c>
      <c r="F1884" s="208" t="n">
        <v>18.6667</v>
      </c>
      <c r="G1884" s="208" t="n">
        <v>625</v>
      </c>
      <c r="H1884" s="208" t="inlineStr">
        <is>
          <t>No separate deliverable explicitly named</t>
        </is>
      </c>
    </row>
    <row r="1885">
      <c r="A1885" s="199" t="inlineStr">
        <is>
          <t>RTM-471</t>
        </is>
      </c>
      <c r="B1885" s="223" t="inlineStr">
        <is>
          <t>L2 Detailed Design</t>
        </is>
      </c>
      <c r="C1885" s="199" t="n">
        <v>3</v>
      </c>
      <c r="D1885" s="199" t="inlineStr">
        <is>
          <t>T3 Contextual</t>
        </is>
      </c>
      <c r="E1885" s="199" t="inlineStr">
        <is>
          <t>Design &amp; Fabrication</t>
        </is>
      </c>
      <c r="F1885" s="199" t="n">
        <v>18.6667</v>
      </c>
      <c r="G1885" s="199" t="n">
        <v>625</v>
      </c>
      <c r="H1885" s="199" t="inlineStr">
        <is>
          <t>No separate deliverable explicitly named</t>
        </is>
      </c>
    </row>
    <row r="1886">
      <c r="A1886" s="208" t="inlineStr">
        <is>
          <t>RTM-530</t>
        </is>
      </c>
      <c r="B1886" s="226" t="inlineStr">
        <is>
          <t>L6 Site Acceptance Testing</t>
        </is>
      </c>
      <c r="C1886" s="208" t="n">
        <v>8</v>
      </c>
      <c r="D1886" s="208" t="inlineStr">
        <is>
          <t>T3 Contextual</t>
        </is>
      </c>
      <c r="E1886" s="208" t="inlineStr">
        <is>
          <t>Acceptance Testing</t>
        </is>
      </c>
      <c r="F1886" s="208" t="n">
        <v>18.6667</v>
      </c>
      <c r="G1886" s="208" t="n">
        <v>626</v>
      </c>
      <c r="H1886" s="208" t="inlineStr">
        <is>
          <t>No separate deliverable explicitly named</t>
        </is>
      </c>
    </row>
    <row r="1887">
      <c r="A1887" s="199" t="inlineStr">
        <is>
          <t>RTM-530</t>
        </is>
      </c>
      <c r="B1887" s="222" t="inlineStr">
        <is>
          <t>L1 Conceptual Design</t>
        </is>
      </c>
      <c r="C1887" s="199" t="n">
        <v>2</v>
      </c>
      <c r="D1887" s="199" t="inlineStr">
        <is>
          <t>T3 Contextual</t>
        </is>
      </c>
      <c r="E1887" s="199" t="inlineStr">
        <is>
          <t>Acceptance Testing</t>
        </is>
      </c>
      <c r="F1887" s="199" t="n">
        <v>18.6667</v>
      </c>
      <c r="G1887" s="199" t="n">
        <v>626</v>
      </c>
      <c r="H1887" s="199" t="inlineStr">
        <is>
          <t>No separate deliverable explicitly named</t>
        </is>
      </c>
    </row>
    <row r="1888">
      <c r="A1888" s="208" t="inlineStr">
        <is>
          <t>RTM-530</t>
        </is>
      </c>
      <c r="B1888" s="223" t="inlineStr">
        <is>
          <t>L2 Detailed Design</t>
        </is>
      </c>
      <c r="C1888" s="208" t="n">
        <v>3</v>
      </c>
      <c r="D1888" s="208" t="inlineStr">
        <is>
          <t>T3 Contextual</t>
        </is>
      </c>
      <c r="E1888" s="208" t="inlineStr">
        <is>
          <t>Acceptance Testing</t>
        </is>
      </c>
      <c r="F1888" s="208" t="n">
        <v>18.6667</v>
      </c>
      <c r="G1888" s="208" t="n">
        <v>626</v>
      </c>
      <c r="H1888" s="208" t="inlineStr">
        <is>
          <t>No separate deliverable explicitly named</t>
        </is>
      </c>
    </row>
    <row r="1889">
      <c r="A1889" s="199" t="inlineStr">
        <is>
          <t>RTM-531</t>
        </is>
      </c>
      <c r="B1889" s="226" t="inlineStr">
        <is>
          <t>L6 Site Acceptance Testing</t>
        </is>
      </c>
      <c r="C1889" s="199" t="n">
        <v>8</v>
      </c>
      <c r="D1889" s="199" t="inlineStr">
        <is>
          <t>T3 Contextual</t>
        </is>
      </c>
      <c r="E1889" s="199" t="inlineStr">
        <is>
          <t>Acceptance Testing</t>
        </is>
      </c>
      <c r="F1889" s="199" t="n">
        <v>18.6667</v>
      </c>
      <c r="G1889" s="199" t="n">
        <v>627</v>
      </c>
      <c r="H1889" s="199" t="inlineStr">
        <is>
          <t>No separate deliverable explicitly named</t>
        </is>
      </c>
    </row>
    <row r="1890">
      <c r="A1890" s="208" t="inlineStr">
        <is>
          <t>RTM-531</t>
        </is>
      </c>
      <c r="B1890" s="222" t="inlineStr">
        <is>
          <t>L1 Conceptual Design</t>
        </is>
      </c>
      <c r="C1890" s="208" t="n">
        <v>2</v>
      </c>
      <c r="D1890" s="208" t="inlineStr">
        <is>
          <t>T3 Contextual</t>
        </is>
      </c>
      <c r="E1890" s="208" t="inlineStr">
        <is>
          <t>Acceptance Testing</t>
        </is>
      </c>
      <c r="F1890" s="208" t="n">
        <v>18.6667</v>
      </c>
      <c r="G1890" s="208" t="n">
        <v>627</v>
      </c>
      <c r="H1890" s="208" t="inlineStr">
        <is>
          <t>No separate deliverable explicitly named</t>
        </is>
      </c>
    </row>
    <row r="1891">
      <c r="A1891" s="199" t="inlineStr">
        <is>
          <t>RTM-531</t>
        </is>
      </c>
      <c r="B1891" s="223" t="inlineStr">
        <is>
          <t>L2 Detailed Design</t>
        </is>
      </c>
      <c r="C1891" s="199" t="n">
        <v>3</v>
      </c>
      <c r="D1891" s="199" t="inlineStr">
        <is>
          <t>T3 Contextual</t>
        </is>
      </c>
      <c r="E1891" s="199" t="inlineStr">
        <is>
          <t>Acceptance Testing</t>
        </is>
      </c>
      <c r="F1891" s="199" t="n">
        <v>18.6667</v>
      </c>
      <c r="G1891" s="199" t="n">
        <v>627</v>
      </c>
      <c r="H1891" s="199" t="inlineStr">
        <is>
          <t>No separate deliverable explicitly named</t>
        </is>
      </c>
    </row>
    <row r="1892">
      <c r="A1892" s="208" t="inlineStr">
        <is>
          <t>RTM-533</t>
        </is>
      </c>
      <c r="B1892" s="226" t="inlineStr">
        <is>
          <t>L6 Site Acceptance Testing</t>
        </is>
      </c>
      <c r="C1892" s="208" t="n">
        <v>8</v>
      </c>
      <c r="D1892" s="208" t="inlineStr">
        <is>
          <t>T3 Contextual</t>
        </is>
      </c>
      <c r="E1892" s="208" t="inlineStr">
        <is>
          <t>Acceptance Testing</t>
        </is>
      </c>
      <c r="F1892" s="208" t="n">
        <v>18.6667</v>
      </c>
      <c r="G1892" s="208" t="n">
        <v>628</v>
      </c>
      <c r="H1892" s="208" t="inlineStr">
        <is>
          <t>No separate deliverable explicitly named</t>
        </is>
      </c>
    </row>
    <row r="1893">
      <c r="A1893" s="199" t="inlineStr">
        <is>
          <t>RTM-533</t>
        </is>
      </c>
      <c r="B1893" s="222" t="inlineStr">
        <is>
          <t>L1 Conceptual Design</t>
        </is>
      </c>
      <c r="C1893" s="199" t="n">
        <v>2</v>
      </c>
      <c r="D1893" s="199" t="inlineStr">
        <is>
          <t>T3 Contextual</t>
        </is>
      </c>
      <c r="E1893" s="199" t="inlineStr">
        <is>
          <t>Acceptance Testing</t>
        </is>
      </c>
      <c r="F1893" s="199" t="n">
        <v>18.6667</v>
      </c>
      <c r="G1893" s="199" t="n">
        <v>628</v>
      </c>
      <c r="H1893" s="199" t="inlineStr">
        <is>
          <t>No separate deliverable explicitly named</t>
        </is>
      </c>
    </row>
    <row r="1894">
      <c r="A1894" s="208" t="inlineStr">
        <is>
          <t>RTM-533</t>
        </is>
      </c>
      <c r="B1894" s="223" t="inlineStr">
        <is>
          <t>L2 Detailed Design</t>
        </is>
      </c>
      <c r="C1894" s="208" t="n">
        <v>3</v>
      </c>
      <c r="D1894" s="208" t="inlineStr">
        <is>
          <t>T3 Contextual</t>
        </is>
      </c>
      <c r="E1894" s="208" t="inlineStr">
        <is>
          <t>Acceptance Testing</t>
        </is>
      </c>
      <c r="F1894" s="208" t="n">
        <v>18.6667</v>
      </c>
      <c r="G1894" s="208" t="n">
        <v>628</v>
      </c>
      <c r="H1894" s="208" t="inlineStr">
        <is>
          <t>No separate deliverable explicitly named</t>
        </is>
      </c>
    </row>
    <row r="1895">
      <c r="A1895" s="199" t="inlineStr">
        <is>
          <t>RTM-538</t>
        </is>
      </c>
      <c r="B1895" s="226" t="inlineStr">
        <is>
          <t>L6 Site Acceptance Testing</t>
        </is>
      </c>
      <c r="C1895" s="199" t="n">
        <v>8</v>
      </c>
      <c r="D1895" s="199" t="inlineStr">
        <is>
          <t>T3 Contextual</t>
        </is>
      </c>
      <c r="E1895" s="199" t="inlineStr">
        <is>
          <t>Acceptance Testing</t>
        </is>
      </c>
      <c r="F1895" s="199" t="n">
        <v>18.6667</v>
      </c>
      <c r="G1895" s="199" t="n">
        <v>629</v>
      </c>
      <c r="H1895" s="199" t="inlineStr">
        <is>
          <t>No separate deliverable explicitly named</t>
        </is>
      </c>
    </row>
    <row r="1896">
      <c r="A1896" s="208" t="inlineStr">
        <is>
          <t>RTM-538</t>
        </is>
      </c>
      <c r="B1896" s="222" t="inlineStr">
        <is>
          <t>L1 Conceptual Design</t>
        </is>
      </c>
      <c r="C1896" s="208" t="n">
        <v>2</v>
      </c>
      <c r="D1896" s="208" t="inlineStr">
        <is>
          <t>T3 Contextual</t>
        </is>
      </c>
      <c r="E1896" s="208" t="inlineStr">
        <is>
          <t>Acceptance Testing</t>
        </is>
      </c>
      <c r="F1896" s="208" t="n">
        <v>18.6667</v>
      </c>
      <c r="G1896" s="208" t="n">
        <v>629</v>
      </c>
      <c r="H1896" s="208" t="inlineStr">
        <is>
          <t>No separate deliverable explicitly named</t>
        </is>
      </c>
    </row>
    <row r="1897">
      <c r="A1897" s="199" t="inlineStr">
        <is>
          <t>RTM-538</t>
        </is>
      </c>
      <c r="B1897" s="223" t="inlineStr">
        <is>
          <t>L2 Detailed Design</t>
        </is>
      </c>
      <c r="C1897" s="199" t="n">
        <v>3</v>
      </c>
      <c r="D1897" s="199" t="inlineStr">
        <is>
          <t>T3 Contextual</t>
        </is>
      </c>
      <c r="E1897" s="199" t="inlineStr">
        <is>
          <t>Acceptance Testing</t>
        </is>
      </c>
      <c r="F1897" s="199" t="n">
        <v>18.6667</v>
      </c>
      <c r="G1897" s="199" t="n">
        <v>629</v>
      </c>
      <c r="H1897" s="199" t="inlineStr">
        <is>
          <t>No separate deliverable explicitly named</t>
        </is>
      </c>
    </row>
    <row r="1898">
      <c r="A1898" s="208" t="inlineStr">
        <is>
          <t>RTM-544</t>
        </is>
      </c>
      <c r="B1898" s="222" t="inlineStr">
        <is>
          <t>L1 Conceptual Design</t>
        </is>
      </c>
      <c r="C1898" s="208" t="n">
        <v>2</v>
      </c>
      <c r="D1898" s="208" t="inlineStr">
        <is>
          <t>T3 Contextual</t>
        </is>
      </c>
      <c r="E1898" s="208" t="inlineStr">
        <is>
          <t>Acceptance Testing</t>
        </is>
      </c>
      <c r="F1898" s="208" t="n">
        <v>18.6667</v>
      </c>
      <c r="G1898" s="208" t="n">
        <v>630</v>
      </c>
      <c r="H1898" s="208" t="inlineStr">
        <is>
          <t>No separate deliverable explicitly named</t>
        </is>
      </c>
    </row>
    <row r="1899">
      <c r="A1899" s="199" t="inlineStr">
        <is>
          <t>RTM-544</t>
        </is>
      </c>
      <c r="B1899" s="223" t="inlineStr">
        <is>
          <t>L2 Detailed Design</t>
        </is>
      </c>
      <c r="C1899" s="199" t="n">
        <v>3</v>
      </c>
      <c r="D1899" s="199" t="inlineStr">
        <is>
          <t>T3 Contextual</t>
        </is>
      </c>
      <c r="E1899" s="199" t="inlineStr">
        <is>
          <t>Acceptance Testing</t>
        </is>
      </c>
      <c r="F1899" s="199" t="n">
        <v>18.6667</v>
      </c>
      <c r="G1899" s="199" t="n">
        <v>630</v>
      </c>
      <c r="H1899" s="199" t="inlineStr">
        <is>
          <t>No separate deliverable explicitly named</t>
        </is>
      </c>
    </row>
    <row r="1900">
      <c r="A1900" s="208" t="inlineStr">
        <is>
          <t>RTM-548</t>
        </is>
      </c>
      <c r="B1900" s="226" t="inlineStr">
        <is>
          <t>L6 Site Acceptance Testing</t>
        </is>
      </c>
      <c r="C1900" s="208" t="n">
        <v>8</v>
      </c>
      <c r="D1900" s="208" t="inlineStr">
        <is>
          <t>T3 Contextual</t>
        </is>
      </c>
      <c r="E1900" s="208" t="inlineStr">
        <is>
          <t>Acceptance Testing</t>
        </is>
      </c>
      <c r="F1900" s="208" t="n">
        <v>18.6667</v>
      </c>
      <c r="G1900" s="208" t="n">
        <v>631</v>
      </c>
      <c r="H1900" s="208" t="inlineStr">
        <is>
          <t>No separate deliverable explicitly named</t>
        </is>
      </c>
    </row>
    <row r="1901">
      <c r="A1901" s="199" t="inlineStr">
        <is>
          <t>RTM-548</t>
        </is>
      </c>
      <c r="B1901" s="222" t="inlineStr">
        <is>
          <t>L1 Conceptual Design</t>
        </is>
      </c>
      <c r="C1901" s="199" t="n">
        <v>2</v>
      </c>
      <c r="D1901" s="199" t="inlineStr">
        <is>
          <t>T3 Contextual</t>
        </is>
      </c>
      <c r="E1901" s="199" t="inlineStr">
        <is>
          <t>Acceptance Testing</t>
        </is>
      </c>
      <c r="F1901" s="199" t="n">
        <v>18.6667</v>
      </c>
      <c r="G1901" s="199" t="n">
        <v>631</v>
      </c>
      <c r="H1901" s="199" t="inlineStr">
        <is>
          <t>No separate deliverable explicitly named</t>
        </is>
      </c>
    </row>
    <row r="1902">
      <c r="A1902" s="208" t="inlineStr">
        <is>
          <t>RTM-548</t>
        </is>
      </c>
      <c r="B1902" s="223" t="inlineStr">
        <is>
          <t>L2 Detailed Design</t>
        </is>
      </c>
      <c r="C1902" s="208" t="n">
        <v>3</v>
      </c>
      <c r="D1902" s="208" t="inlineStr">
        <is>
          <t>T3 Contextual</t>
        </is>
      </c>
      <c r="E1902" s="208" t="inlineStr">
        <is>
          <t>Acceptance Testing</t>
        </is>
      </c>
      <c r="F1902" s="208" t="n">
        <v>18.6667</v>
      </c>
      <c r="G1902" s="208" t="n">
        <v>631</v>
      </c>
      <c r="H1902" s="208" t="inlineStr">
        <is>
          <t>No separate deliverable explicitly named</t>
        </is>
      </c>
    </row>
    <row r="1903">
      <c r="A1903" s="199" t="inlineStr">
        <is>
          <t>RTM-553</t>
        </is>
      </c>
      <c r="B1903" s="226" t="inlineStr">
        <is>
          <t>L6 Site Acceptance Testing</t>
        </is>
      </c>
      <c r="C1903" s="199" t="n">
        <v>8</v>
      </c>
      <c r="D1903" s="199" t="inlineStr">
        <is>
          <t>T3 Contextual</t>
        </is>
      </c>
      <c r="E1903" s="199" t="inlineStr">
        <is>
          <t>Acceptance Testing</t>
        </is>
      </c>
      <c r="F1903" s="199" t="n">
        <v>18.6667</v>
      </c>
      <c r="G1903" s="199" t="n">
        <v>632</v>
      </c>
      <c r="H1903" s="199" t="inlineStr">
        <is>
          <t>No separate deliverable explicitly named</t>
        </is>
      </c>
    </row>
    <row r="1904">
      <c r="A1904" s="208" t="inlineStr">
        <is>
          <t>RTM-553</t>
        </is>
      </c>
      <c r="B1904" s="222" t="inlineStr">
        <is>
          <t>L1 Conceptual Design</t>
        </is>
      </c>
      <c r="C1904" s="208" t="n">
        <v>2</v>
      </c>
      <c r="D1904" s="208" t="inlineStr">
        <is>
          <t>T3 Contextual</t>
        </is>
      </c>
      <c r="E1904" s="208" t="inlineStr">
        <is>
          <t>Acceptance Testing</t>
        </is>
      </c>
      <c r="F1904" s="208" t="n">
        <v>18.6667</v>
      </c>
      <c r="G1904" s="208" t="n">
        <v>632</v>
      </c>
      <c r="H1904" s="208" t="inlineStr">
        <is>
          <t>No separate deliverable explicitly named</t>
        </is>
      </c>
    </row>
    <row r="1905">
      <c r="A1905" s="199" t="inlineStr">
        <is>
          <t>RTM-553</t>
        </is>
      </c>
      <c r="B1905" s="223" t="inlineStr">
        <is>
          <t>L2 Detailed Design</t>
        </is>
      </c>
      <c r="C1905" s="199" t="n">
        <v>3</v>
      </c>
      <c r="D1905" s="199" t="inlineStr">
        <is>
          <t>T3 Contextual</t>
        </is>
      </c>
      <c r="E1905" s="199" t="inlineStr">
        <is>
          <t>Acceptance Testing</t>
        </is>
      </c>
      <c r="F1905" s="199" t="n">
        <v>18.6667</v>
      </c>
      <c r="G1905" s="199" t="n">
        <v>632</v>
      </c>
      <c r="H1905" s="199" t="inlineStr">
        <is>
          <t>No separate deliverable explicitly named</t>
        </is>
      </c>
    </row>
    <row r="1906">
      <c r="A1906" s="208" t="inlineStr">
        <is>
          <t>RTM-624</t>
        </is>
      </c>
      <c r="B1906" s="221" t="inlineStr">
        <is>
          <t>L0 Tender / Offer</t>
        </is>
      </c>
      <c r="C1906" s="208" t="n">
        <v>1</v>
      </c>
      <c r="D1906" s="208" t="inlineStr">
        <is>
          <t>T3 Contextual</t>
        </is>
      </c>
      <c r="E1906" s="208" t="inlineStr">
        <is>
          <t>Contract Performance</t>
        </is>
      </c>
      <c r="F1906" s="208" t="n">
        <v>18.6667</v>
      </c>
      <c r="G1906" s="208" t="n">
        <v>633</v>
      </c>
      <c r="H1906" s="208" t="inlineStr">
        <is>
          <t>No separate deliverable explicitly named</t>
        </is>
      </c>
    </row>
    <row r="1907">
      <c r="A1907" s="199" t="inlineStr">
        <is>
          <t>RTM-624</t>
        </is>
      </c>
      <c r="B1907" s="222" t="inlineStr">
        <is>
          <t>L1 Conceptual Design</t>
        </is>
      </c>
      <c r="C1907" s="199" t="n">
        <v>2</v>
      </c>
      <c r="D1907" s="199" t="inlineStr">
        <is>
          <t>T3 Contextual</t>
        </is>
      </c>
      <c r="E1907" s="199" t="inlineStr">
        <is>
          <t>Contract Performance</t>
        </is>
      </c>
      <c r="F1907" s="199" t="n">
        <v>18.6667</v>
      </c>
      <c r="G1907" s="199" t="n">
        <v>633</v>
      </c>
      <c r="H1907" s="199" t="inlineStr">
        <is>
          <t>No separate deliverable explicitly named</t>
        </is>
      </c>
    </row>
    <row r="1908">
      <c r="A1908" s="208" t="inlineStr">
        <is>
          <t>RTM-624</t>
        </is>
      </c>
      <c r="B1908" s="223" t="inlineStr">
        <is>
          <t>L2 Detailed Design</t>
        </is>
      </c>
      <c r="C1908" s="208" t="n">
        <v>3</v>
      </c>
      <c r="D1908" s="208" t="inlineStr">
        <is>
          <t>T3 Contextual</t>
        </is>
      </c>
      <c r="E1908" s="208" t="inlineStr">
        <is>
          <t>Contract Performance</t>
        </is>
      </c>
      <c r="F1908" s="208" t="n">
        <v>18.6667</v>
      </c>
      <c r="G1908" s="208" t="n">
        <v>633</v>
      </c>
      <c r="H1908" s="208" t="inlineStr">
        <is>
          <t>No separate deliverable explicitly named</t>
        </is>
      </c>
    </row>
    <row r="1909">
      <c r="A1909" s="199" t="inlineStr">
        <is>
          <t>RTM-624</t>
        </is>
      </c>
      <c r="B1909" s="224" t="inlineStr">
        <is>
          <t>L3 Procurement &amp; Manufacturing / FAT</t>
        </is>
      </c>
      <c r="C1909" s="199" t="n">
        <v>4</v>
      </c>
      <c r="D1909" s="199" t="inlineStr">
        <is>
          <t>T3 Contextual</t>
        </is>
      </c>
      <c r="E1909" s="199" t="inlineStr">
        <is>
          <t>Contract Performance</t>
        </is>
      </c>
      <c r="F1909" s="199" t="n">
        <v>18.6667</v>
      </c>
      <c r="G1909" s="199" t="n">
        <v>633</v>
      </c>
      <c r="H1909" s="199" t="inlineStr">
        <is>
          <t>No separate deliverable explicitly named</t>
        </is>
      </c>
    </row>
    <row r="1910">
      <c r="A1910" s="208" t="inlineStr">
        <is>
          <t>RTM-624</t>
        </is>
      </c>
      <c r="B1910" s="220" t="inlineStr">
        <is>
          <t>L4 Installation</t>
        </is>
      </c>
      <c r="C1910" s="208" t="n">
        <v>6</v>
      </c>
      <c r="D1910" s="208" t="inlineStr">
        <is>
          <t>T3 Contextual</t>
        </is>
      </c>
      <c r="E1910" s="208" t="inlineStr">
        <is>
          <t>Contract Performance</t>
        </is>
      </c>
      <c r="F1910" s="208" t="n">
        <v>18.6667</v>
      </c>
      <c r="G1910" s="208" t="n">
        <v>633</v>
      </c>
      <c r="H1910" s="208" t="inlineStr">
        <is>
          <t>No separate deliverable explicitly named</t>
        </is>
      </c>
    </row>
    <row r="1911">
      <c r="A1911" s="199" t="inlineStr">
        <is>
          <t>RTM-624</t>
        </is>
      </c>
      <c r="B1911" s="225" t="inlineStr">
        <is>
          <t>L5 Standalone Commissioning</t>
        </is>
      </c>
      <c r="C1911" s="199" t="n">
        <v>7</v>
      </c>
      <c r="D1911" s="199" t="inlineStr">
        <is>
          <t>T3 Contextual</t>
        </is>
      </c>
      <c r="E1911" s="199" t="inlineStr">
        <is>
          <t>Contract Performance</t>
        </is>
      </c>
      <c r="F1911" s="199" t="n">
        <v>18.6667</v>
      </c>
      <c r="G1911" s="199" t="n">
        <v>633</v>
      </c>
      <c r="H1911" s="199" t="inlineStr">
        <is>
          <t>No separate deliverable explicitly named</t>
        </is>
      </c>
    </row>
    <row r="1912">
      <c r="A1912" s="208" t="inlineStr">
        <is>
          <t>RTM-624</t>
        </is>
      </c>
      <c r="B1912" s="226" t="inlineStr">
        <is>
          <t>L6 Site Acceptance Testing</t>
        </is>
      </c>
      <c r="C1912" s="208" t="n">
        <v>8</v>
      </c>
      <c r="D1912" s="208" t="inlineStr">
        <is>
          <t>T3 Contextual</t>
        </is>
      </c>
      <c r="E1912" s="208" t="inlineStr">
        <is>
          <t>Contract Performance</t>
        </is>
      </c>
      <c r="F1912" s="208" t="n">
        <v>18.6667</v>
      </c>
      <c r="G1912" s="208" t="n">
        <v>633</v>
      </c>
      <c r="H1912" s="208" t="inlineStr">
        <is>
          <t>No separate deliverable explicitly named</t>
        </is>
      </c>
    </row>
    <row r="1913">
      <c r="A1913" s="199" t="inlineStr">
        <is>
          <t>RTM-615</t>
        </is>
      </c>
      <c r="B1913" s="222" t="inlineStr">
        <is>
          <t>L1 Conceptual Design</t>
        </is>
      </c>
      <c r="C1913" s="199" t="n">
        <v>2</v>
      </c>
      <c r="D1913" s="199" t="inlineStr">
        <is>
          <t>T3 Contextual</t>
        </is>
      </c>
      <c r="E1913" s="199" t="inlineStr">
        <is>
          <t>Schedule</t>
        </is>
      </c>
      <c r="F1913" s="199" t="n">
        <v>18.3333</v>
      </c>
      <c r="G1913" s="199" t="n">
        <v>634</v>
      </c>
      <c r="H1913" s="199" t="inlineStr">
        <is>
          <t>Datasheet / technical specification</t>
        </is>
      </c>
    </row>
    <row r="1914">
      <c r="A1914" s="208" t="inlineStr">
        <is>
          <t>RTM-615</t>
        </is>
      </c>
      <c r="B1914" s="221" t="inlineStr">
        <is>
          <t>L0 Tender / Offer</t>
        </is>
      </c>
      <c r="C1914" s="208" t="n">
        <v>1</v>
      </c>
      <c r="D1914" s="208" t="inlineStr">
        <is>
          <t>T3 Contextual</t>
        </is>
      </c>
      <c r="E1914" s="208" t="inlineStr">
        <is>
          <t>Schedule</t>
        </is>
      </c>
      <c r="F1914" s="208" t="n">
        <v>18.3333</v>
      </c>
      <c r="G1914" s="208" t="n">
        <v>634</v>
      </c>
      <c r="H1914" s="208" t="inlineStr">
        <is>
          <t>Datasheet / technical specification</t>
        </is>
      </c>
    </row>
    <row r="1915">
      <c r="A1915" s="199" t="inlineStr">
        <is>
          <t>RTM-615</t>
        </is>
      </c>
      <c r="B1915" s="223" t="inlineStr">
        <is>
          <t>L2 Detailed Design</t>
        </is>
      </c>
      <c r="C1915" s="199" t="n">
        <v>3</v>
      </c>
      <c r="D1915" s="199" t="inlineStr">
        <is>
          <t>T3 Contextual</t>
        </is>
      </c>
      <c r="E1915" s="199" t="inlineStr">
        <is>
          <t>Schedule</t>
        </is>
      </c>
      <c r="F1915" s="199" t="n">
        <v>18.3333</v>
      </c>
      <c r="G1915" s="199" t="n">
        <v>634</v>
      </c>
      <c r="H1915" s="199" t="inlineStr">
        <is>
          <t>Datasheet / technical specification</t>
        </is>
      </c>
    </row>
    <row r="1916">
      <c r="A1916" s="208" t="inlineStr">
        <is>
          <t>RTM-615</t>
        </is>
      </c>
      <c r="B1916" s="224" t="inlineStr">
        <is>
          <t>L3 Procurement &amp; Manufacturing / FAT</t>
        </is>
      </c>
      <c r="C1916" s="208" t="n">
        <v>4</v>
      </c>
      <c r="D1916" s="208" t="inlineStr">
        <is>
          <t>T3 Contextual</t>
        </is>
      </c>
      <c r="E1916" s="208" t="inlineStr">
        <is>
          <t>Schedule</t>
        </is>
      </c>
      <c r="F1916" s="208" t="n">
        <v>18.3333</v>
      </c>
      <c r="G1916" s="208" t="n">
        <v>634</v>
      </c>
      <c r="H1916" s="208" t="inlineStr">
        <is>
          <t>Datasheet / technical specification</t>
        </is>
      </c>
    </row>
    <row r="1917">
      <c r="A1917" s="199" t="inlineStr">
        <is>
          <t>RTM-615</t>
        </is>
      </c>
      <c r="B1917" s="220" t="inlineStr">
        <is>
          <t>L4 Installation</t>
        </is>
      </c>
      <c r="C1917" s="199" t="n">
        <v>6</v>
      </c>
      <c r="D1917" s="199" t="inlineStr">
        <is>
          <t>T3 Contextual</t>
        </is>
      </c>
      <c r="E1917" s="199" t="inlineStr">
        <is>
          <t>Schedule</t>
        </is>
      </c>
      <c r="F1917" s="199" t="n">
        <v>18.3333</v>
      </c>
      <c r="G1917" s="199" t="n">
        <v>634</v>
      </c>
      <c r="H1917" s="199" t="inlineStr">
        <is>
          <t>Datasheet / technical specification</t>
        </is>
      </c>
    </row>
    <row r="1918">
      <c r="A1918" s="208" t="inlineStr">
        <is>
          <t>RTM-615</t>
        </is>
      </c>
      <c r="B1918" s="225" t="inlineStr">
        <is>
          <t>L5 Standalone Commissioning</t>
        </is>
      </c>
      <c r="C1918" s="208" t="n">
        <v>7</v>
      </c>
      <c r="D1918" s="208" t="inlineStr">
        <is>
          <t>T3 Contextual</t>
        </is>
      </c>
      <c r="E1918" s="208" t="inlineStr">
        <is>
          <t>Schedule</t>
        </is>
      </c>
      <c r="F1918" s="208" t="n">
        <v>18.3333</v>
      </c>
      <c r="G1918" s="208" t="n">
        <v>634</v>
      </c>
      <c r="H1918" s="208" t="inlineStr">
        <is>
          <t>Datasheet / technical specification</t>
        </is>
      </c>
    </row>
    <row r="1919">
      <c r="A1919" s="199" t="inlineStr">
        <is>
          <t>RTM-615</t>
        </is>
      </c>
      <c r="B1919" s="226" t="inlineStr">
        <is>
          <t>L6 Site Acceptance Testing</t>
        </is>
      </c>
      <c r="C1919" s="199" t="n">
        <v>8</v>
      </c>
      <c r="D1919" s="199" t="inlineStr">
        <is>
          <t>T3 Contextual</t>
        </is>
      </c>
      <c r="E1919" s="199" t="inlineStr">
        <is>
          <t>Schedule</t>
        </is>
      </c>
      <c r="F1919" s="199" t="n">
        <v>18.3333</v>
      </c>
      <c r="G1919" s="199" t="n">
        <v>634</v>
      </c>
      <c r="H1919" s="199" t="inlineStr">
        <is>
          <t>Datasheet / technical specification</t>
        </is>
      </c>
    </row>
    <row r="1920">
      <c r="A1920" s="208" t="inlineStr">
        <is>
          <t>RTM-618</t>
        </is>
      </c>
      <c r="B1920" s="220" t="inlineStr">
        <is>
          <t>L4 Installation</t>
        </is>
      </c>
      <c r="C1920" s="208" t="n">
        <v>6</v>
      </c>
      <c r="D1920" s="208" t="inlineStr">
        <is>
          <t>T3 Contextual</t>
        </is>
      </c>
      <c r="E1920" s="208" t="inlineStr">
        <is>
          <t>Schedule</t>
        </is>
      </c>
      <c r="F1920" s="208" t="n">
        <v>18.3333</v>
      </c>
      <c r="G1920" s="208" t="n">
        <v>635</v>
      </c>
      <c r="H1920" s="208" t="inlineStr">
        <is>
          <t>No separate deliverable explicitly named</t>
        </is>
      </c>
    </row>
    <row r="1921">
      <c r="A1921" s="199" t="inlineStr">
        <is>
          <t>RTM-618</t>
        </is>
      </c>
      <c r="B1921" s="221" t="inlineStr">
        <is>
          <t>L0 Tender / Offer</t>
        </is>
      </c>
      <c r="C1921" s="199" t="n">
        <v>1</v>
      </c>
      <c r="D1921" s="199" t="inlineStr">
        <is>
          <t>T3 Contextual</t>
        </is>
      </c>
      <c r="E1921" s="199" t="inlineStr">
        <is>
          <t>Schedule</t>
        </is>
      </c>
      <c r="F1921" s="199" t="n">
        <v>18.3333</v>
      </c>
      <c r="G1921" s="199" t="n">
        <v>635</v>
      </c>
      <c r="H1921" s="199" t="inlineStr">
        <is>
          <t>No separate deliverable explicitly named</t>
        </is>
      </c>
    </row>
    <row r="1922">
      <c r="A1922" s="208" t="inlineStr">
        <is>
          <t>RTM-618</t>
        </is>
      </c>
      <c r="B1922" s="222" t="inlineStr">
        <is>
          <t>L1 Conceptual Design</t>
        </is>
      </c>
      <c r="C1922" s="208" t="n">
        <v>2</v>
      </c>
      <c r="D1922" s="208" t="inlineStr">
        <is>
          <t>T3 Contextual</t>
        </is>
      </c>
      <c r="E1922" s="208" t="inlineStr">
        <is>
          <t>Schedule</t>
        </is>
      </c>
      <c r="F1922" s="208" t="n">
        <v>18.3333</v>
      </c>
      <c r="G1922" s="208" t="n">
        <v>635</v>
      </c>
      <c r="H1922" s="208" t="inlineStr">
        <is>
          <t>No separate deliverable explicitly named</t>
        </is>
      </c>
    </row>
    <row r="1923">
      <c r="A1923" s="199" t="inlineStr">
        <is>
          <t>RTM-618</t>
        </is>
      </c>
      <c r="B1923" s="223" t="inlineStr">
        <is>
          <t>L2 Detailed Design</t>
        </is>
      </c>
      <c r="C1923" s="199" t="n">
        <v>3</v>
      </c>
      <c r="D1923" s="199" t="inlineStr">
        <is>
          <t>T3 Contextual</t>
        </is>
      </c>
      <c r="E1923" s="199" t="inlineStr">
        <is>
          <t>Schedule</t>
        </is>
      </c>
      <c r="F1923" s="199" t="n">
        <v>18.3333</v>
      </c>
      <c r="G1923" s="199" t="n">
        <v>635</v>
      </c>
      <c r="H1923" s="199" t="inlineStr">
        <is>
          <t>No separate deliverable explicitly named</t>
        </is>
      </c>
    </row>
    <row r="1924">
      <c r="A1924" s="208" t="inlineStr">
        <is>
          <t>RTM-618</t>
        </is>
      </c>
      <c r="B1924" s="224" t="inlineStr">
        <is>
          <t>L3 Procurement &amp; Manufacturing / FAT</t>
        </is>
      </c>
      <c r="C1924" s="208" t="n">
        <v>4</v>
      </c>
      <c r="D1924" s="208" t="inlineStr">
        <is>
          <t>T3 Contextual</t>
        </is>
      </c>
      <c r="E1924" s="208" t="inlineStr">
        <is>
          <t>Schedule</t>
        </is>
      </c>
      <c r="F1924" s="208" t="n">
        <v>18.3333</v>
      </c>
      <c r="G1924" s="208" t="n">
        <v>635</v>
      </c>
      <c r="H1924" s="208" t="inlineStr">
        <is>
          <t>No separate deliverable explicitly named</t>
        </is>
      </c>
    </row>
    <row r="1925">
      <c r="A1925" s="199" t="inlineStr">
        <is>
          <t>RTM-618</t>
        </is>
      </c>
      <c r="B1925" s="225" t="inlineStr">
        <is>
          <t>L5 Standalone Commissioning</t>
        </is>
      </c>
      <c r="C1925" s="199" t="n">
        <v>7</v>
      </c>
      <c r="D1925" s="199" t="inlineStr">
        <is>
          <t>T3 Contextual</t>
        </is>
      </c>
      <c r="E1925" s="199" t="inlineStr">
        <is>
          <t>Schedule</t>
        </is>
      </c>
      <c r="F1925" s="199" t="n">
        <v>18.3333</v>
      </c>
      <c r="G1925" s="199" t="n">
        <v>635</v>
      </c>
      <c r="H1925" s="199" t="inlineStr">
        <is>
          <t>No separate deliverable explicitly named</t>
        </is>
      </c>
    </row>
    <row r="1926">
      <c r="A1926" s="208" t="inlineStr">
        <is>
          <t>RTM-618</t>
        </is>
      </c>
      <c r="B1926" s="226" t="inlineStr">
        <is>
          <t>L6 Site Acceptance Testing</t>
        </is>
      </c>
      <c r="C1926" s="208" t="n">
        <v>8</v>
      </c>
      <c r="D1926" s="208" t="inlineStr">
        <is>
          <t>T3 Contextual</t>
        </is>
      </c>
      <c r="E1926" s="208" t="inlineStr">
        <is>
          <t>Schedule</t>
        </is>
      </c>
      <c r="F1926" s="208" t="n">
        <v>18.3333</v>
      </c>
      <c r="G1926" s="208" t="n">
        <v>635</v>
      </c>
      <c r="H1926" s="208" t="inlineStr">
        <is>
          <t>No separate deliverable explicitly named</t>
        </is>
      </c>
    </row>
    <row r="1927">
      <c r="A1927" s="199" t="inlineStr">
        <is>
          <t>RTM-083</t>
        </is>
      </c>
      <c r="B1927" s="222" t="inlineStr">
        <is>
          <t>L1 Conceptual Design</t>
        </is>
      </c>
      <c r="C1927" s="199" t="n">
        <v>2</v>
      </c>
      <c r="D1927" s="199" t="inlineStr">
        <is>
          <t>T3 Contextual</t>
        </is>
      </c>
      <c r="E1927" s="199" t="inlineStr">
        <is>
          <t>Subsystems</t>
        </is>
      </c>
      <c r="F1927" s="199" t="n">
        <v>18</v>
      </c>
      <c r="G1927" s="199" t="n">
        <v>636</v>
      </c>
      <c r="H1927" s="199" t="inlineStr">
        <is>
          <t>No separate deliverable explicitly named</t>
        </is>
      </c>
    </row>
    <row r="1928">
      <c r="A1928" s="208" t="inlineStr">
        <is>
          <t>RTM-083</t>
        </is>
      </c>
      <c r="B1928" s="223" t="inlineStr">
        <is>
          <t>L2 Detailed Design</t>
        </is>
      </c>
      <c r="C1928" s="208" t="n">
        <v>3</v>
      </c>
      <c r="D1928" s="208" t="inlineStr">
        <is>
          <t>T3 Contextual</t>
        </is>
      </c>
      <c r="E1928" s="208" t="inlineStr">
        <is>
          <t>Subsystems</t>
        </is>
      </c>
      <c r="F1928" s="208" t="n">
        <v>18</v>
      </c>
      <c r="G1928" s="208" t="n">
        <v>636</v>
      </c>
      <c r="H1928" s="208" t="inlineStr">
        <is>
          <t>No separate deliverable explicitly named</t>
        </is>
      </c>
    </row>
    <row r="1929">
      <c r="A1929" s="199" t="inlineStr">
        <is>
          <t>RTM-281</t>
        </is>
      </c>
      <c r="B1929" s="222" t="inlineStr">
        <is>
          <t>L1 Conceptual Design</t>
        </is>
      </c>
      <c r="C1929" s="199" t="n">
        <v>2</v>
      </c>
      <c r="D1929" s="199" t="inlineStr">
        <is>
          <t>T3 Contextual</t>
        </is>
      </c>
      <c r="E1929" s="199" t="inlineStr">
        <is>
          <t>Cryogenic Interfaces</t>
        </is>
      </c>
      <c r="F1929" s="199" t="n">
        <v>17.3333</v>
      </c>
      <c r="G1929" s="199" t="n">
        <v>637</v>
      </c>
      <c r="H1929" s="199" t="inlineStr">
        <is>
          <t>No separate deliverable explicitly named</t>
        </is>
      </c>
    </row>
    <row r="1930">
      <c r="A1930" s="208" t="inlineStr">
        <is>
          <t>RTM-281</t>
        </is>
      </c>
      <c r="B1930" s="223" t="inlineStr">
        <is>
          <t>L2 Detailed Design</t>
        </is>
      </c>
      <c r="C1930" s="208" t="n">
        <v>3</v>
      </c>
      <c r="D1930" s="208" t="inlineStr">
        <is>
          <t>T3 Contextual</t>
        </is>
      </c>
      <c r="E1930" s="208" t="inlineStr">
        <is>
          <t>Cryogenic Interfaces</t>
        </is>
      </c>
      <c r="F1930" s="208" t="n">
        <v>17.3333</v>
      </c>
      <c r="G1930" s="208" t="n">
        <v>637</v>
      </c>
      <c r="H1930" s="208" t="inlineStr">
        <is>
          <t>No separate deliverable explicitly named</t>
        </is>
      </c>
    </row>
    <row r="1931">
      <c r="A1931" s="199" t="inlineStr">
        <is>
          <t>RTM-282</t>
        </is>
      </c>
      <c r="B1931" s="222" t="inlineStr">
        <is>
          <t>L1 Conceptual Design</t>
        </is>
      </c>
      <c r="C1931" s="199" t="n">
        <v>2</v>
      </c>
      <c r="D1931" s="199" t="inlineStr">
        <is>
          <t>T3 Contextual</t>
        </is>
      </c>
      <c r="E1931" s="199" t="inlineStr">
        <is>
          <t>Cryogenic Interfaces</t>
        </is>
      </c>
      <c r="F1931" s="199" t="n">
        <v>17.3333</v>
      </c>
      <c r="G1931" s="199" t="n">
        <v>638</v>
      </c>
      <c r="H1931" s="199" t="inlineStr">
        <is>
          <t>No separate deliverable explicitly named</t>
        </is>
      </c>
    </row>
    <row r="1932">
      <c r="A1932" s="208" t="inlineStr">
        <is>
          <t>RTM-282</t>
        </is>
      </c>
      <c r="B1932" s="223" t="inlineStr">
        <is>
          <t>L2 Detailed Design</t>
        </is>
      </c>
      <c r="C1932" s="208" t="n">
        <v>3</v>
      </c>
      <c r="D1932" s="208" t="inlineStr">
        <is>
          <t>T3 Contextual</t>
        </is>
      </c>
      <c r="E1932" s="208" t="inlineStr">
        <is>
          <t>Cryogenic Interfaces</t>
        </is>
      </c>
      <c r="F1932" s="208" t="n">
        <v>17.3333</v>
      </c>
      <c r="G1932" s="208" t="n">
        <v>638</v>
      </c>
      <c r="H1932" s="208" t="inlineStr">
        <is>
          <t>No separate deliverable explicitly named</t>
        </is>
      </c>
    </row>
    <row r="1933">
      <c r="A1933" s="199" t="inlineStr">
        <is>
          <t>RTM-284</t>
        </is>
      </c>
      <c r="B1933" s="222" t="inlineStr">
        <is>
          <t>L1 Conceptual Design</t>
        </is>
      </c>
      <c r="C1933" s="199" t="n">
        <v>2</v>
      </c>
      <c r="D1933" s="199" t="inlineStr">
        <is>
          <t>T3 Contextual</t>
        </is>
      </c>
      <c r="E1933" s="199" t="inlineStr">
        <is>
          <t>Cryogenic Interfaces</t>
        </is>
      </c>
      <c r="F1933" s="199" t="n">
        <v>17.3333</v>
      </c>
      <c r="G1933" s="199" t="n">
        <v>639</v>
      </c>
      <c r="H1933" s="199" t="inlineStr">
        <is>
          <t>No separate deliverable explicitly named</t>
        </is>
      </c>
    </row>
    <row r="1934">
      <c r="A1934" s="208" t="inlineStr">
        <is>
          <t>RTM-284</t>
        </is>
      </c>
      <c r="B1934" s="223" t="inlineStr">
        <is>
          <t>L2 Detailed Design</t>
        </is>
      </c>
      <c r="C1934" s="208" t="n">
        <v>3</v>
      </c>
      <c r="D1934" s="208" t="inlineStr">
        <is>
          <t>T3 Contextual</t>
        </is>
      </c>
      <c r="E1934" s="208" t="inlineStr">
        <is>
          <t>Cryogenic Interfaces</t>
        </is>
      </c>
      <c r="F1934" s="208" t="n">
        <v>17.3333</v>
      </c>
      <c r="G1934" s="208" t="n">
        <v>639</v>
      </c>
      <c r="H1934" s="208" t="inlineStr">
        <is>
          <t>No separate deliverable explicitly named</t>
        </is>
      </c>
    </row>
    <row r="1935">
      <c r="A1935" s="199" t="inlineStr">
        <is>
          <t>RTM-286</t>
        </is>
      </c>
      <c r="B1935" s="222" t="inlineStr">
        <is>
          <t>L1 Conceptual Design</t>
        </is>
      </c>
      <c r="C1935" s="199" t="n">
        <v>2</v>
      </c>
      <c r="D1935" s="199" t="inlineStr">
        <is>
          <t>T3 Contextual</t>
        </is>
      </c>
      <c r="E1935" s="199" t="inlineStr">
        <is>
          <t>Cryogenic Interfaces</t>
        </is>
      </c>
      <c r="F1935" s="199" t="n">
        <v>17.3333</v>
      </c>
      <c r="G1935" s="199" t="n">
        <v>640</v>
      </c>
      <c r="H1935" s="199" t="inlineStr">
        <is>
          <t>No separate deliverable explicitly named</t>
        </is>
      </c>
    </row>
    <row r="1936">
      <c r="A1936" s="208" t="inlineStr">
        <is>
          <t>RTM-286</t>
        </is>
      </c>
      <c r="B1936" s="223" t="inlineStr">
        <is>
          <t>L2 Detailed Design</t>
        </is>
      </c>
      <c r="C1936" s="208" t="n">
        <v>3</v>
      </c>
      <c r="D1936" s="208" t="inlineStr">
        <is>
          <t>T3 Contextual</t>
        </is>
      </c>
      <c r="E1936" s="208" t="inlineStr">
        <is>
          <t>Cryogenic Interfaces</t>
        </is>
      </c>
      <c r="F1936" s="208" t="n">
        <v>17.3333</v>
      </c>
      <c r="G1936" s="208" t="n">
        <v>640</v>
      </c>
      <c r="H1936" s="208" t="inlineStr">
        <is>
          <t>No separate deliverable explicitly named</t>
        </is>
      </c>
    </row>
    <row r="1937">
      <c r="A1937" s="199" t="inlineStr">
        <is>
          <t>RTM-287</t>
        </is>
      </c>
      <c r="B1937" s="222" t="inlineStr">
        <is>
          <t>L1 Conceptual Design</t>
        </is>
      </c>
      <c r="C1937" s="199" t="n">
        <v>2</v>
      </c>
      <c r="D1937" s="199" t="inlineStr">
        <is>
          <t>T3 Contextual</t>
        </is>
      </c>
      <c r="E1937" s="199" t="inlineStr">
        <is>
          <t>Cryogenic Interfaces</t>
        </is>
      </c>
      <c r="F1937" s="199" t="n">
        <v>17.3333</v>
      </c>
      <c r="G1937" s="199" t="n">
        <v>641</v>
      </c>
      <c r="H1937" s="199" t="inlineStr">
        <is>
          <t>No separate deliverable explicitly named</t>
        </is>
      </c>
    </row>
    <row r="1938">
      <c r="A1938" s="208" t="inlineStr">
        <is>
          <t>RTM-287</t>
        </is>
      </c>
      <c r="B1938" s="223" t="inlineStr">
        <is>
          <t>L2 Detailed Design</t>
        </is>
      </c>
      <c r="C1938" s="208" t="n">
        <v>3</v>
      </c>
      <c r="D1938" s="208" t="inlineStr">
        <is>
          <t>T3 Contextual</t>
        </is>
      </c>
      <c r="E1938" s="208" t="inlineStr">
        <is>
          <t>Cryogenic Interfaces</t>
        </is>
      </c>
      <c r="F1938" s="208" t="n">
        <v>17.3333</v>
      </c>
      <c r="G1938" s="208" t="n">
        <v>641</v>
      </c>
      <c r="H1938" s="208" t="inlineStr">
        <is>
          <t>No separate deliverable explicitly named</t>
        </is>
      </c>
    </row>
    <row r="1939">
      <c r="A1939" s="199" t="inlineStr">
        <is>
          <t>RTM-288</t>
        </is>
      </c>
      <c r="B1939" s="222" t="inlineStr">
        <is>
          <t>L1 Conceptual Design</t>
        </is>
      </c>
      <c r="C1939" s="199" t="n">
        <v>2</v>
      </c>
      <c r="D1939" s="199" t="inlineStr">
        <is>
          <t>T3 Contextual</t>
        </is>
      </c>
      <c r="E1939" s="199" t="inlineStr">
        <is>
          <t>Cryogenic Interfaces</t>
        </is>
      </c>
      <c r="F1939" s="199" t="n">
        <v>17.3333</v>
      </c>
      <c r="G1939" s="199" t="n">
        <v>642</v>
      </c>
      <c r="H1939" s="199" t="inlineStr">
        <is>
          <t>No separate deliverable explicitly named</t>
        </is>
      </c>
    </row>
    <row r="1940">
      <c r="A1940" s="208" t="inlineStr">
        <is>
          <t>RTM-288</t>
        </is>
      </c>
      <c r="B1940" s="223" t="inlineStr">
        <is>
          <t>L2 Detailed Design</t>
        </is>
      </c>
      <c r="C1940" s="208" t="n">
        <v>3</v>
      </c>
      <c r="D1940" s="208" t="inlineStr">
        <is>
          <t>T3 Contextual</t>
        </is>
      </c>
      <c r="E1940" s="208" t="inlineStr">
        <is>
          <t>Cryogenic Interfaces</t>
        </is>
      </c>
      <c r="F1940" s="208" t="n">
        <v>17.3333</v>
      </c>
      <c r="G1940" s="208" t="n">
        <v>642</v>
      </c>
      <c r="H1940" s="208" t="inlineStr">
        <is>
          <t>No separate deliverable explicitly named</t>
        </is>
      </c>
    </row>
    <row r="1941">
      <c r="A1941" s="199" t="inlineStr">
        <is>
          <t>RTM-291</t>
        </is>
      </c>
      <c r="B1941" s="222" t="inlineStr">
        <is>
          <t>L1 Conceptual Design</t>
        </is>
      </c>
      <c r="C1941" s="199" t="n">
        <v>2</v>
      </c>
      <c r="D1941" s="199" t="inlineStr">
        <is>
          <t>T3 Contextual</t>
        </is>
      </c>
      <c r="E1941" s="199" t="inlineStr">
        <is>
          <t>Cryogenic Interfaces</t>
        </is>
      </c>
      <c r="F1941" s="199" t="n">
        <v>17.3333</v>
      </c>
      <c r="G1941" s="199" t="n">
        <v>643</v>
      </c>
      <c r="H1941" s="199" t="inlineStr">
        <is>
          <t>No separate deliverable explicitly named</t>
        </is>
      </c>
    </row>
    <row r="1942">
      <c r="A1942" s="208" t="inlineStr">
        <is>
          <t>RTM-291</t>
        </is>
      </c>
      <c r="B1942" s="223" t="inlineStr">
        <is>
          <t>L2 Detailed Design</t>
        </is>
      </c>
      <c r="C1942" s="208" t="n">
        <v>3</v>
      </c>
      <c r="D1942" s="208" t="inlineStr">
        <is>
          <t>T3 Contextual</t>
        </is>
      </c>
      <c r="E1942" s="208" t="inlineStr">
        <is>
          <t>Cryogenic Interfaces</t>
        </is>
      </c>
      <c r="F1942" s="208" t="n">
        <v>17.3333</v>
      </c>
      <c r="G1942" s="208" t="n">
        <v>643</v>
      </c>
      <c r="H1942" s="208" t="inlineStr">
        <is>
          <t>No separate deliverable explicitly named</t>
        </is>
      </c>
    </row>
    <row r="1943">
      <c r="A1943" s="199" t="inlineStr">
        <is>
          <t>RTM-293</t>
        </is>
      </c>
      <c r="B1943" s="222" t="inlineStr">
        <is>
          <t>L1 Conceptual Design</t>
        </is>
      </c>
      <c r="C1943" s="199" t="n">
        <v>2</v>
      </c>
      <c r="D1943" s="199" t="inlineStr">
        <is>
          <t>T3 Contextual</t>
        </is>
      </c>
      <c r="E1943" s="199" t="inlineStr">
        <is>
          <t>Cryogenic Interfaces</t>
        </is>
      </c>
      <c r="F1943" s="199" t="n">
        <v>17.3333</v>
      </c>
      <c r="G1943" s="199" t="n">
        <v>644</v>
      </c>
      <c r="H1943" s="199" t="inlineStr">
        <is>
          <t>No separate deliverable explicitly named</t>
        </is>
      </c>
    </row>
    <row r="1944">
      <c r="A1944" s="208" t="inlineStr">
        <is>
          <t>RTM-293</t>
        </is>
      </c>
      <c r="B1944" s="223" t="inlineStr">
        <is>
          <t>L2 Detailed Design</t>
        </is>
      </c>
      <c r="C1944" s="208" t="n">
        <v>3</v>
      </c>
      <c r="D1944" s="208" t="inlineStr">
        <is>
          <t>T3 Contextual</t>
        </is>
      </c>
      <c r="E1944" s="208" t="inlineStr">
        <is>
          <t>Cryogenic Interfaces</t>
        </is>
      </c>
      <c r="F1944" s="208" t="n">
        <v>17.3333</v>
      </c>
      <c r="G1944" s="208" t="n">
        <v>644</v>
      </c>
      <c r="H1944" s="208" t="inlineStr">
        <is>
          <t>No separate deliverable explicitly named</t>
        </is>
      </c>
    </row>
    <row r="1945">
      <c r="A1945" s="199" t="inlineStr">
        <is>
          <t>RTM-295</t>
        </is>
      </c>
      <c r="B1945" s="222" t="inlineStr">
        <is>
          <t>L1 Conceptual Design</t>
        </is>
      </c>
      <c r="C1945" s="199" t="n">
        <v>2</v>
      </c>
      <c r="D1945" s="199" t="inlineStr">
        <is>
          <t>T3 Contextual</t>
        </is>
      </c>
      <c r="E1945" s="199" t="inlineStr">
        <is>
          <t>Cryogenic Interfaces</t>
        </is>
      </c>
      <c r="F1945" s="199" t="n">
        <v>17.3333</v>
      </c>
      <c r="G1945" s="199" t="n">
        <v>645</v>
      </c>
      <c r="H1945" s="199" t="inlineStr">
        <is>
          <t>No separate deliverable explicitly named</t>
        </is>
      </c>
    </row>
    <row r="1946">
      <c r="A1946" s="208" t="inlineStr">
        <is>
          <t>RTM-295</t>
        </is>
      </c>
      <c r="B1946" s="223" t="inlineStr">
        <is>
          <t>L2 Detailed Design</t>
        </is>
      </c>
      <c r="C1946" s="208" t="n">
        <v>3</v>
      </c>
      <c r="D1946" s="208" t="inlineStr">
        <is>
          <t>T3 Contextual</t>
        </is>
      </c>
      <c r="E1946" s="208" t="inlineStr">
        <is>
          <t>Cryogenic Interfaces</t>
        </is>
      </c>
      <c r="F1946" s="208" t="n">
        <v>17.3333</v>
      </c>
      <c r="G1946" s="208" t="n">
        <v>645</v>
      </c>
      <c r="H1946" s="208" t="inlineStr">
        <is>
          <t>No separate deliverable explicitly named</t>
        </is>
      </c>
    </row>
    <row r="1947">
      <c r="A1947" s="199" t="inlineStr">
        <is>
          <t>RTM-384</t>
        </is>
      </c>
      <c r="B1947" s="222" t="inlineStr">
        <is>
          <t>L1 Conceptual Design</t>
        </is>
      </c>
      <c r="C1947" s="199" t="n">
        <v>2</v>
      </c>
      <c r="D1947" s="199" t="inlineStr">
        <is>
          <t>T3 Contextual</t>
        </is>
      </c>
      <c r="E1947" s="199" t="inlineStr">
        <is>
          <t>Buildings &amp; Utilities</t>
        </is>
      </c>
      <c r="F1947" s="199" t="n">
        <v>17.3333</v>
      </c>
      <c r="G1947" s="199" t="n">
        <v>646</v>
      </c>
      <c r="H1947" s="199" t="inlineStr">
        <is>
          <t>No separate deliverable explicitly named</t>
        </is>
      </c>
    </row>
    <row r="1948">
      <c r="A1948" s="208" t="inlineStr">
        <is>
          <t>RTM-384</t>
        </is>
      </c>
      <c r="B1948" s="223" t="inlineStr">
        <is>
          <t>L2 Detailed Design</t>
        </is>
      </c>
      <c r="C1948" s="208" t="n">
        <v>3</v>
      </c>
      <c r="D1948" s="208" t="inlineStr">
        <is>
          <t>T3 Contextual</t>
        </is>
      </c>
      <c r="E1948" s="208" t="inlineStr">
        <is>
          <t>Buildings &amp; Utilities</t>
        </is>
      </c>
      <c r="F1948" s="208" t="n">
        <v>17.3333</v>
      </c>
      <c r="G1948" s="208" t="n">
        <v>646</v>
      </c>
      <c r="H1948" s="208" t="inlineStr">
        <is>
          <t>No separate deliverable explicitly named</t>
        </is>
      </c>
    </row>
    <row r="1949">
      <c r="A1949" s="199" t="inlineStr">
        <is>
          <t>RTM-386</t>
        </is>
      </c>
      <c r="B1949" s="222" t="inlineStr">
        <is>
          <t>L1 Conceptual Design</t>
        </is>
      </c>
      <c r="C1949" s="199" t="n">
        <v>2</v>
      </c>
      <c r="D1949" s="199" t="inlineStr">
        <is>
          <t>T3 Contextual</t>
        </is>
      </c>
      <c r="E1949" s="199" t="inlineStr">
        <is>
          <t>Buildings &amp; Utilities</t>
        </is>
      </c>
      <c r="F1949" s="199" t="n">
        <v>17.3333</v>
      </c>
      <c r="G1949" s="199" t="n">
        <v>647</v>
      </c>
      <c r="H1949" s="199" t="inlineStr">
        <is>
          <t>No separate deliverable explicitly named</t>
        </is>
      </c>
    </row>
    <row r="1950">
      <c r="A1950" s="208" t="inlineStr">
        <is>
          <t>RTM-386</t>
        </is>
      </c>
      <c r="B1950" s="223" t="inlineStr">
        <is>
          <t>L2 Detailed Design</t>
        </is>
      </c>
      <c r="C1950" s="208" t="n">
        <v>3</v>
      </c>
      <c r="D1950" s="208" t="inlineStr">
        <is>
          <t>T3 Contextual</t>
        </is>
      </c>
      <c r="E1950" s="208" t="inlineStr">
        <is>
          <t>Buildings &amp; Utilities</t>
        </is>
      </c>
      <c r="F1950" s="208" t="n">
        <v>17.3333</v>
      </c>
      <c r="G1950" s="208" t="n">
        <v>647</v>
      </c>
      <c r="H1950" s="208" t="inlineStr">
        <is>
          <t>No separate deliverable explicitly named</t>
        </is>
      </c>
    </row>
    <row r="1951">
      <c r="A1951" s="199" t="inlineStr">
        <is>
          <t>RTM-387</t>
        </is>
      </c>
      <c r="B1951" s="222" t="inlineStr">
        <is>
          <t>L1 Conceptual Design</t>
        </is>
      </c>
      <c r="C1951" s="199" t="n">
        <v>2</v>
      </c>
      <c r="D1951" s="199" t="inlineStr">
        <is>
          <t>T3 Contextual</t>
        </is>
      </c>
      <c r="E1951" s="199" t="inlineStr">
        <is>
          <t>Buildings &amp; Utilities</t>
        </is>
      </c>
      <c r="F1951" s="199" t="n">
        <v>17.3333</v>
      </c>
      <c r="G1951" s="199" t="n">
        <v>648</v>
      </c>
      <c r="H1951" s="199" t="inlineStr">
        <is>
          <t>No separate deliverable explicitly named</t>
        </is>
      </c>
    </row>
    <row r="1952">
      <c r="A1952" s="208" t="inlineStr">
        <is>
          <t>RTM-387</t>
        </is>
      </c>
      <c r="B1952" s="223" t="inlineStr">
        <is>
          <t>L2 Detailed Design</t>
        </is>
      </c>
      <c r="C1952" s="208" t="n">
        <v>3</v>
      </c>
      <c r="D1952" s="208" t="inlineStr">
        <is>
          <t>T3 Contextual</t>
        </is>
      </c>
      <c r="E1952" s="208" t="inlineStr">
        <is>
          <t>Buildings &amp; Utilities</t>
        </is>
      </c>
      <c r="F1952" s="208" t="n">
        <v>17.3333</v>
      </c>
      <c r="G1952" s="208" t="n">
        <v>648</v>
      </c>
      <c r="H1952" s="208" t="inlineStr">
        <is>
          <t>No separate deliverable explicitly named</t>
        </is>
      </c>
    </row>
    <row r="1953">
      <c r="A1953" s="199" t="inlineStr">
        <is>
          <t>RTM-388</t>
        </is>
      </c>
      <c r="B1953" s="222" t="inlineStr">
        <is>
          <t>L1 Conceptual Design</t>
        </is>
      </c>
      <c r="C1953" s="199" t="n">
        <v>2</v>
      </c>
      <c r="D1953" s="199" t="inlineStr">
        <is>
          <t>T3 Contextual</t>
        </is>
      </c>
      <c r="E1953" s="199" t="inlineStr">
        <is>
          <t>Buildings &amp; Utilities</t>
        </is>
      </c>
      <c r="F1953" s="199" t="n">
        <v>17.3333</v>
      </c>
      <c r="G1953" s="199" t="n">
        <v>649</v>
      </c>
      <c r="H1953" s="199" t="inlineStr">
        <is>
          <t>No separate deliverable explicitly named</t>
        </is>
      </c>
    </row>
    <row r="1954">
      <c r="A1954" s="208" t="inlineStr">
        <is>
          <t>RTM-388</t>
        </is>
      </c>
      <c r="B1954" s="223" t="inlineStr">
        <is>
          <t>L2 Detailed Design</t>
        </is>
      </c>
      <c r="C1954" s="208" t="n">
        <v>3</v>
      </c>
      <c r="D1954" s="208" t="inlineStr">
        <is>
          <t>T3 Contextual</t>
        </is>
      </c>
      <c r="E1954" s="208" t="inlineStr">
        <is>
          <t>Buildings &amp; Utilities</t>
        </is>
      </c>
      <c r="F1954" s="208" t="n">
        <v>17.3333</v>
      </c>
      <c r="G1954" s="208" t="n">
        <v>649</v>
      </c>
      <c r="H1954" s="208" t="inlineStr">
        <is>
          <t>No separate deliverable explicitly named</t>
        </is>
      </c>
    </row>
    <row r="1955">
      <c r="A1955" s="199" t="inlineStr">
        <is>
          <t>RTM-390</t>
        </is>
      </c>
      <c r="B1955" s="222" t="inlineStr">
        <is>
          <t>L1 Conceptual Design</t>
        </is>
      </c>
      <c r="C1955" s="199" t="n">
        <v>2</v>
      </c>
      <c r="D1955" s="199" t="inlineStr">
        <is>
          <t>T3 Contextual</t>
        </is>
      </c>
      <c r="E1955" s="199" t="inlineStr">
        <is>
          <t>Buildings &amp; Utilities</t>
        </is>
      </c>
      <c r="F1955" s="199" t="n">
        <v>17.3333</v>
      </c>
      <c r="G1955" s="199" t="n">
        <v>650</v>
      </c>
      <c r="H1955" s="199" t="inlineStr">
        <is>
          <t>No separate deliverable explicitly named</t>
        </is>
      </c>
    </row>
    <row r="1956">
      <c r="A1956" s="208" t="inlineStr">
        <is>
          <t>RTM-390</t>
        </is>
      </c>
      <c r="B1956" s="223" t="inlineStr">
        <is>
          <t>L2 Detailed Design</t>
        </is>
      </c>
      <c r="C1956" s="208" t="n">
        <v>3</v>
      </c>
      <c r="D1956" s="208" t="inlineStr">
        <is>
          <t>T3 Contextual</t>
        </is>
      </c>
      <c r="E1956" s="208" t="inlineStr">
        <is>
          <t>Buildings &amp; Utilities</t>
        </is>
      </c>
      <c r="F1956" s="208" t="n">
        <v>17.3333</v>
      </c>
      <c r="G1956" s="208" t="n">
        <v>650</v>
      </c>
      <c r="H1956" s="208" t="inlineStr">
        <is>
          <t>No separate deliverable explicitly named</t>
        </is>
      </c>
    </row>
    <row r="1957">
      <c r="A1957" s="199" t="inlineStr">
        <is>
          <t>RTM-392</t>
        </is>
      </c>
      <c r="B1957" s="222" t="inlineStr">
        <is>
          <t>L1 Conceptual Design</t>
        </is>
      </c>
      <c r="C1957" s="199" t="n">
        <v>2</v>
      </c>
      <c r="D1957" s="199" t="inlineStr">
        <is>
          <t>T3 Contextual</t>
        </is>
      </c>
      <c r="E1957" s="199" t="inlineStr">
        <is>
          <t>Buildings &amp; Utilities</t>
        </is>
      </c>
      <c r="F1957" s="199" t="n">
        <v>17.3333</v>
      </c>
      <c r="G1957" s="199" t="n">
        <v>651</v>
      </c>
      <c r="H1957" s="199" t="inlineStr">
        <is>
          <t>No separate deliverable explicitly named</t>
        </is>
      </c>
    </row>
    <row r="1958">
      <c r="A1958" s="208" t="inlineStr">
        <is>
          <t>RTM-392</t>
        </is>
      </c>
      <c r="B1958" s="223" t="inlineStr">
        <is>
          <t>L2 Detailed Design</t>
        </is>
      </c>
      <c r="C1958" s="208" t="n">
        <v>3</v>
      </c>
      <c r="D1958" s="208" t="inlineStr">
        <is>
          <t>T3 Contextual</t>
        </is>
      </c>
      <c r="E1958" s="208" t="inlineStr">
        <is>
          <t>Buildings &amp; Utilities</t>
        </is>
      </c>
      <c r="F1958" s="208" t="n">
        <v>17.3333</v>
      </c>
      <c r="G1958" s="208" t="n">
        <v>651</v>
      </c>
      <c r="H1958" s="208" t="inlineStr">
        <is>
          <t>No separate deliverable explicitly named</t>
        </is>
      </c>
    </row>
    <row r="1959">
      <c r="A1959" s="199" t="inlineStr">
        <is>
          <t>RTM-393</t>
        </is>
      </c>
      <c r="B1959" s="220" t="inlineStr">
        <is>
          <t>L4 Installation</t>
        </is>
      </c>
      <c r="C1959" s="199" t="n">
        <v>6</v>
      </c>
      <c r="D1959" s="199" t="inlineStr">
        <is>
          <t>T3 Contextual</t>
        </is>
      </c>
      <c r="E1959" s="199" t="inlineStr">
        <is>
          <t>Buildings &amp; Utilities</t>
        </is>
      </c>
      <c r="F1959" s="199" t="n">
        <v>17.3333</v>
      </c>
      <c r="G1959" s="199" t="n">
        <v>652</v>
      </c>
      <c r="H1959" s="199" t="inlineStr">
        <is>
          <t>No separate deliverable explicitly named</t>
        </is>
      </c>
    </row>
    <row r="1960">
      <c r="A1960" s="208" t="inlineStr">
        <is>
          <t>RTM-393</t>
        </is>
      </c>
      <c r="B1960" s="222" t="inlineStr">
        <is>
          <t>L1 Conceptual Design</t>
        </is>
      </c>
      <c r="C1960" s="208" t="n">
        <v>2</v>
      </c>
      <c r="D1960" s="208" t="inlineStr">
        <is>
          <t>T3 Contextual</t>
        </is>
      </c>
      <c r="E1960" s="208" t="inlineStr">
        <is>
          <t>Buildings &amp; Utilities</t>
        </is>
      </c>
      <c r="F1960" s="208" t="n">
        <v>17.3333</v>
      </c>
      <c r="G1960" s="208" t="n">
        <v>652</v>
      </c>
      <c r="H1960" s="208" t="inlineStr">
        <is>
          <t>No separate deliverable explicitly named</t>
        </is>
      </c>
    </row>
    <row r="1961">
      <c r="A1961" s="199" t="inlineStr">
        <is>
          <t>RTM-393</t>
        </is>
      </c>
      <c r="B1961" s="223" t="inlineStr">
        <is>
          <t>L2 Detailed Design</t>
        </is>
      </c>
      <c r="C1961" s="199" t="n">
        <v>3</v>
      </c>
      <c r="D1961" s="199" t="inlineStr">
        <is>
          <t>T3 Contextual</t>
        </is>
      </c>
      <c r="E1961" s="199" t="inlineStr">
        <is>
          <t>Buildings &amp; Utilities</t>
        </is>
      </c>
      <c r="F1961" s="199" t="n">
        <v>17.3333</v>
      </c>
      <c r="G1961" s="199" t="n">
        <v>652</v>
      </c>
      <c r="H1961" s="199" t="inlineStr">
        <is>
          <t>No separate deliverable explicitly named</t>
        </is>
      </c>
    </row>
    <row r="1962">
      <c r="A1962" s="208" t="inlineStr">
        <is>
          <t>RTM-394</t>
        </is>
      </c>
      <c r="B1962" s="222" t="inlineStr">
        <is>
          <t>L1 Conceptual Design</t>
        </is>
      </c>
      <c r="C1962" s="208" t="n">
        <v>2</v>
      </c>
      <c r="D1962" s="208" t="inlineStr">
        <is>
          <t>T3 Contextual</t>
        </is>
      </c>
      <c r="E1962" s="208" t="inlineStr">
        <is>
          <t>Buildings &amp; Utilities</t>
        </is>
      </c>
      <c r="F1962" s="208" t="n">
        <v>17.3333</v>
      </c>
      <c r="G1962" s="208" t="n">
        <v>653</v>
      </c>
      <c r="H1962" s="208" t="inlineStr">
        <is>
          <t>No separate deliverable explicitly named</t>
        </is>
      </c>
    </row>
    <row r="1963">
      <c r="A1963" s="199" t="inlineStr">
        <is>
          <t>RTM-394</t>
        </is>
      </c>
      <c r="B1963" s="223" t="inlineStr">
        <is>
          <t>L2 Detailed Design</t>
        </is>
      </c>
      <c r="C1963" s="199" t="n">
        <v>3</v>
      </c>
      <c r="D1963" s="199" t="inlineStr">
        <is>
          <t>T3 Contextual</t>
        </is>
      </c>
      <c r="E1963" s="199" t="inlineStr">
        <is>
          <t>Buildings &amp; Utilities</t>
        </is>
      </c>
      <c r="F1963" s="199" t="n">
        <v>17.3333</v>
      </c>
      <c r="G1963" s="199" t="n">
        <v>653</v>
      </c>
      <c r="H1963" s="199" t="inlineStr">
        <is>
          <t>No separate deliverable explicitly named</t>
        </is>
      </c>
    </row>
    <row r="1964">
      <c r="A1964" s="208" t="inlineStr">
        <is>
          <t>RTM-429</t>
        </is>
      </c>
      <c r="B1964" s="222" t="inlineStr">
        <is>
          <t>L1 Conceptual Design</t>
        </is>
      </c>
      <c r="C1964" s="208" t="n">
        <v>2</v>
      </c>
      <c r="D1964" s="208" t="inlineStr">
        <is>
          <t>T3 Contextual</t>
        </is>
      </c>
      <c r="E1964" s="208" t="inlineStr">
        <is>
          <t>Buildings &amp; Utilities</t>
        </is>
      </c>
      <c r="F1964" s="208" t="n">
        <v>17.3333</v>
      </c>
      <c r="G1964" s="208" t="n">
        <v>654</v>
      </c>
      <c r="H1964" s="208" t="inlineStr">
        <is>
          <t>No separate deliverable explicitly named</t>
        </is>
      </c>
    </row>
    <row r="1965">
      <c r="A1965" s="199" t="inlineStr">
        <is>
          <t>RTM-429</t>
        </is>
      </c>
      <c r="B1965" s="223" t="inlineStr">
        <is>
          <t>L2 Detailed Design</t>
        </is>
      </c>
      <c r="C1965" s="199" t="n">
        <v>3</v>
      </c>
      <c r="D1965" s="199" t="inlineStr">
        <is>
          <t>T3 Contextual</t>
        </is>
      </c>
      <c r="E1965" s="199" t="inlineStr">
        <is>
          <t>Buildings &amp; Utilities</t>
        </is>
      </c>
      <c r="F1965" s="199" t="n">
        <v>17.3333</v>
      </c>
      <c r="G1965" s="199" t="n">
        <v>654</v>
      </c>
      <c r="H1965" s="199" t="inlineStr">
        <is>
          <t>No separate deliverable explicitly named</t>
        </is>
      </c>
    </row>
    <row r="1966">
      <c r="A1966" s="208" t="inlineStr">
        <is>
          <t>RTM-431</t>
        </is>
      </c>
      <c r="B1966" s="222" t="inlineStr">
        <is>
          <t>L1 Conceptual Design</t>
        </is>
      </c>
      <c r="C1966" s="208" t="n">
        <v>2</v>
      </c>
      <c r="D1966" s="208" t="inlineStr">
        <is>
          <t>T3 Contextual</t>
        </is>
      </c>
      <c r="E1966" s="208" t="inlineStr">
        <is>
          <t>Buildings &amp; Utilities</t>
        </is>
      </c>
      <c r="F1966" s="208" t="n">
        <v>17.3333</v>
      </c>
      <c r="G1966" s="208" t="n">
        <v>655</v>
      </c>
      <c r="H1966" s="208" t="inlineStr">
        <is>
          <t>No separate deliverable explicitly named</t>
        </is>
      </c>
    </row>
    <row r="1967">
      <c r="A1967" s="199" t="inlineStr">
        <is>
          <t>RTM-431</t>
        </is>
      </c>
      <c r="B1967" s="223" t="inlineStr">
        <is>
          <t>L2 Detailed Design</t>
        </is>
      </c>
      <c r="C1967" s="199" t="n">
        <v>3</v>
      </c>
      <c r="D1967" s="199" t="inlineStr">
        <is>
          <t>T3 Contextual</t>
        </is>
      </c>
      <c r="E1967" s="199" t="inlineStr">
        <is>
          <t>Buildings &amp; Utilities</t>
        </is>
      </c>
      <c r="F1967" s="199" t="n">
        <v>17.3333</v>
      </c>
      <c r="G1967" s="199" t="n">
        <v>655</v>
      </c>
      <c r="H1967" s="199" t="inlineStr">
        <is>
          <t>No separate deliverable explicitly named</t>
        </is>
      </c>
    </row>
    <row r="1968">
      <c r="A1968" s="208" t="inlineStr">
        <is>
          <t>RTM-090</t>
        </is>
      </c>
      <c r="B1968" s="220" t="inlineStr">
        <is>
          <t>L4 Installation</t>
        </is>
      </c>
      <c r="C1968" s="208" t="n">
        <v>6</v>
      </c>
      <c r="D1968" s="208" t="inlineStr">
        <is>
          <t>T3 Contextual</t>
        </is>
      </c>
      <c r="E1968" s="208" t="inlineStr">
        <is>
          <t>Subsystems</t>
        </is>
      </c>
      <c r="F1968" s="208" t="n">
        <v>16</v>
      </c>
      <c r="G1968" s="208" t="n">
        <v>656</v>
      </c>
      <c r="H1968" s="208" t="inlineStr">
        <is>
          <t>No separate deliverable explicitly named</t>
        </is>
      </c>
    </row>
    <row r="1969">
      <c r="A1969" s="199" t="inlineStr">
        <is>
          <t>RTM-090</t>
        </is>
      </c>
      <c r="B1969" s="222" t="inlineStr">
        <is>
          <t>L1 Conceptual Design</t>
        </is>
      </c>
      <c r="C1969" s="199" t="n">
        <v>2</v>
      </c>
      <c r="D1969" s="199" t="inlineStr">
        <is>
          <t>T3 Contextual</t>
        </is>
      </c>
      <c r="E1969" s="199" t="inlineStr">
        <is>
          <t>Subsystems</t>
        </is>
      </c>
      <c r="F1969" s="199" t="n">
        <v>16</v>
      </c>
      <c r="G1969" s="199" t="n">
        <v>656</v>
      </c>
      <c r="H1969" s="199" t="inlineStr">
        <is>
          <t>No separate deliverable explicitly named</t>
        </is>
      </c>
    </row>
    <row r="1970">
      <c r="A1970" s="208" t="inlineStr">
        <is>
          <t>RTM-090</t>
        </is>
      </c>
      <c r="B1970" s="223" t="inlineStr">
        <is>
          <t>L2 Detailed Design</t>
        </is>
      </c>
      <c r="C1970" s="208" t="n">
        <v>3</v>
      </c>
      <c r="D1970" s="208" t="inlineStr">
        <is>
          <t>T3 Contextual</t>
        </is>
      </c>
      <c r="E1970" s="208" t="inlineStr">
        <is>
          <t>Subsystems</t>
        </is>
      </c>
      <c r="F1970" s="208" t="n">
        <v>16</v>
      </c>
      <c r="G1970" s="208" t="n">
        <v>656</v>
      </c>
      <c r="H1970" s="208" t="inlineStr">
        <is>
          <t>No separate deliverable explicitly named</t>
        </is>
      </c>
    </row>
    <row r="1971">
      <c r="A1971" s="199" t="inlineStr">
        <is>
          <t>RTM-091</t>
        </is>
      </c>
      <c r="B1971" s="222" t="inlineStr">
        <is>
          <t>L1 Conceptual Design</t>
        </is>
      </c>
      <c r="C1971" s="199" t="n">
        <v>2</v>
      </c>
      <c r="D1971" s="199" t="inlineStr">
        <is>
          <t>T3 Contextual</t>
        </is>
      </c>
      <c r="E1971" s="199" t="inlineStr">
        <is>
          <t>Subsystems</t>
        </is>
      </c>
      <c r="F1971" s="199" t="n">
        <v>16</v>
      </c>
      <c r="G1971" s="199" t="n">
        <v>657</v>
      </c>
      <c r="H1971" s="199" t="inlineStr">
        <is>
          <t>No separate deliverable explicitly named</t>
        </is>
      </c>
    </row>
    <row r="1972">
      <c r="A1972" s="208" t="inlineStr">
        <is>
          <t>RTM-091</t>
        </is>
      </c>
      <c r="B1972" s="223" t="inlineStr">
        <is>
          <t>L2 Detailed Design</t>
        </is>
      </c>
      <c r="C1972" s="208" t="n">
        <v>3</v>
      </c>
      <c r="D1972" s="208" t="inlineStr">
        <is>
          <t>T3 Contextual</t>
        </is>
      </c>
      <c r="E1972" s="208" t="inlineStr">
        <is>
          <t>Subsystems</t>
        </is>
      </c>
      <c r="F1972" s="208" t="n">
        <v>16</v>
      </c>
      <c r="G1972" s="208" t="n">
        <v>657</v>
      </c>
      <c r="H1972" s="208" t="inlineStr">
        <is>
          <t>No separate deliverable explicitly named</t>
        </is>
      </c>
    </row>
    <row r="1973">
      <c r="A1973" s="199" t="inlineStr">
        <is>
          <t>RTM-298</t>
        </is>
      </c>
      <c r="B1973" s="222" t="inlineStr">
        <is>
          <t>L1 Conceptual Design</t>
        </is>
      </c>
      <c r="C1973" s="199" t="n">
        <v>2</v>
      </c>
      <c r="D1973" s="199" t="inlineStr">
        <is>
          <t>T3 Contextual</t>
        </is>
      </c>
      <c r="E1973" s="199" t="inlineStr">
        <is>
          <t>Control &amp; Interlock</t>
        </is>
      </c>
      <c r="F1973" s="199" t="n">
        <v>16</v>
      </c>
      <c r="G1973" s="199" t="n">
        <v>658</v>
      </c>
      <c r="H1973" s="199" t="inlineStr">
        <is>
          <t>No separate deliverable explicitly named</t>
        </is>
      </c>
    </row>
    <row r="1974">
      <c r="A1974" s="208" t="inlineStr">
        <is>
          <t>RTM-298</t>
        </is>
      </c>
      <c r="B1974" s="223" t="inlineStr">
        <is>
          <t>L2 Detailed Design</t>
        </is>
      </c>
      <c r="C1974" s="208" t="n">
        <v>3</v>
      </c>
      <c r="D1974" s="208" t="inlineStr">
        <is>
          <t>T3 Contextual</t>
        </is>
      </c>
      <c r="E1974" s="208" t="inlineStr">
        <is>
          <t>Control &amp; Interlock</t>
        </is>
      </c>
      <c r="F1974" s="208" t="n">
        <v>16</v>
      </c>
      <c r="G1974" s="208" t="n">
        <v>658</v>
      </c>
      <c r="H1974" s="208" t="inlineStr">
        <is>
          <t>No separate deliverable explicitly named</t>
        </is>
      </c>
    </row>
    <row r="1975">
      <c r="A1975" s="199" t="inlineStr">
        <is>
          <t>RTM-299</t>
        </is>
      </c>
      <c r="B1975" s="222" t="inlineStr">
        <is>
          <t>L1 Conceptual Design</t>
        </is>
      </c>
      <c r="C1975" s="199" t="n">
        <v>2</v>
      </c>
      <c r="D1975" s="199" t="inlineStr">
        <is>
          <t>T3 Contextual</t>
        </is>
      </c>
      <c r="E1975" s="199" t="inlineStr">
        <is>
          <t>Control &amp; Interlock</t>
        </is>
      </c>
      <c r="F1975" s="199" t="n">
        <v>16</v>
      </c>
      <c r="G1975" s="199" t="n">
        <v>659</v>
      </c>
      <c r="H1975" s="199" t="inlineStr">
        <is>
          <t>No separate deliverable explicitly named</t>
        </is>
      </c>
    </row>
    <row r="1976">
      <c r="A1976" s="208" t="inlineStr">
        <is>
          <t>RTM-299</t>
        </is>
      </c>
      <c r="B1976" s="223" t="inlineStr">
        <is>
          <t>L2 Detailed Design</t>
        </is>
      </c>
      <c r="C1976" s="208" t="n">
        <v>3</v>
      </c>
      <c r="D1976" s="208" t="inlineStr">
        <is>
          <t>T3 Contextual</t>
        </is>
      </c>
      <c r="E1976" s="208" t="inlineStr">
        <is>
          <t>Control &amp; Interlock</t>
        </is>
      </c>
      <c r="F1976" s="208" t="n">
        <v>16</v>
      </c>
      <c r="G1976" s="208" t="n">
        <v>659</v>
      </c>
      <c r="H1976" s="208" t="inlineStr">
        <is>
          <t>No separate deliverable explicitly named</t>
        </is>
      </c>
    </row>
    <row r="1977">
      <c r="A1977" s="199" t="inlineStr">
        <is>
          <t>RTM-301</t>
        </is>
      </c>
      <c r="B1977" s="222" t="inlineStr">
        <is>
          <t>L1 Conceptual Design</t>
        </is>
      </c>
      <c r="C1977" s="199" t="n">
        <v>2</v>
      </c>
      <c r="D1977" s="199" t="inlineStr">
        <is>
          <t>T3 Contextual</t>
        </is>
      </c>
      <c r="E1977" s="199" t="inlineStr">
        <is>
          <t>Control &amp; Interlock</t>
        </is>
      </c>
      <c r="F1977" s="199" t="n">
        <v>16</v>
      </c>
      <c r="G1977" s="199" t="n">
        <v>660</v>
      </c>
      <c r="H1977" s="199" t="inlineStr">
        <is>
          <t>No separate deliverable explicitly named</t>
        </is>
      </c>
    </row>
    <row r="1978">
      <c r="A1978" s="208" t="inlineStr">
        <is>
          <t>RTM-301</t>
        </is>
      </c>
      <c r="B1978" s="223" t="inlineStr">
        <is>
          <t>L2 Detailed Design</t>
        </is>
      </c>
      <c r="C1978" s="208" t="n">
        <v>3</v>
      </c>
      <c r="D1978" s="208" t="inlineStr">
        <is>
          <t>T3 Contextual</t>
        </is>
      </c>
      <c r="E1978" s="208" t="inlineStr">
        <is>
          <t>Control &amp; Interlock</t>
        </is>
      </c>
      <c r="F1978" s="208" t="n">
        <v>16</v>
      </c>
      <c r="G1978" s="208" t="n">
        <v>660</v>
      </c>
      <c r="H1978" s="208" t="inlineStr">
        <is>
          <t>No separate deliverable explicitly named</t>
        </is>
      </c>
    </row>
    <row r="1979">
      <c r="A1979" s="199" t="inlineStr">
        <is>
          <t>RTM-303</t>
        </is>
      </c>
      <c r="B1979" s="222" t="inlineStr">
        <is>
          <t>L1 Conceptual Design</t>
        </is>
      </c>
      <c r="C1979" s="199" t="n">
        <v>2</v>
      </c>
      <c r="D1979" s="199" t="inlineStr">
        <is>
          <t>T3 Contextual</t>
        </is>
      </c>
      <c r="E1979" s="199" t="inlineStr">
        <is>
          <t>Control &amp; Interlock</t>
        </is>
      </c>
      <c r="F1979" s="199" t="n">
        <v>16</v>
      </c>
      <c r="G1979" s="199" t="n">
        <v>661</v>
      </c>
      <c r="H1979" s="199" t="inlineStr">
        <is>
          <t>Procedure / work instruction; List / register / matrix</t>
        </is>
      </c>
    </row>
    <row r="1980">
      <c r="A1980" s="208" t="inlineStr">
        <is>
          <t>RTM-303</t>
        </is>
      </c>
      <c r="B1980" s="223" t="inlineStr">
        <is>
          <t>L2 Detailed Design</t>
        </is>
      </c>
      <c r="C1980" s="208" t="n">
        <v>3</v>
      </c>
      <c r="D1980" s="208" t="inlineStr">
        <is>
          <t>T3 Contextual</t>
        </is>
      </c>
      <c r="E1980" s="208" t="inlineStr">
        <is>
          <t>Control &amp; Interlock</t>
        </is>
      </c>
      <c r="F1980" s="208" t="n">
        <v>16</v>
      </c>
      <c r="G1980" s="208" t="n">
        <v>661</v>
      </c>
      <c r="H1980" s="208" t="inlineStr">
        <is>
          <t>Procedure / work instruction; List / register / matrix</t>
        </is>
      </c>
    </row>
    <row r="1981">
      <c r="A1981" s="199" t="inlineStr">
        <is>
          <t>RTM-304</t>
        </is>
      </c>
      <c r="B1981" s="222" t="inlineStr">
        <is>
          <t>L1 Conceptual Design</t>
        </is>
      </c>
      <c r="C1981" s="199" t="n">
        <v>2</v>
      </c>
      <c r="D1981" s="199" t="inlineStr">
        <is>
          <t>T3 Contextual</t>
        </is>
      </c>
      <c r="E1981" s="199" t="inlineStr">
        <is>
          <t>Control &amp; Interlock</t>
        </is>
      </c>
      <c r="F1981" s="199" t="n">
        <v>16</v>
      </c>
      <c r="G1981" s="199" t="n">
        <v>662</v>
      </c>
      <c r="H1981" s="199" t="inlineStr">
        <is>
          <t>No separate deliverable explicitly named</t>
        </is>
      </c>
    </row>
    <row r="1982">
      <c r="A1982" s="208" t="inlineStr">
        <is>
          <t>RTM-304</t>
        </is>
      </c>
      <c r="B1982" s="223" t="inlineStr">
        <is>
          <t>L2 Detailed Design</t>
        </is>
      </c>
      <c r="C1982" s="208" t="n">
        <v>3</v>
      </c>
      <c r="D1982" s="208" t="inlineStr">
        <is>
          <t>T3 Contextual</t>
        </is>
      </c>
      <c r="E1982" s="208" t="inlineStr">
        <is>
          <t>Control &amp; Interlock</t>
        </is>
      </c>
      <c r="F1982" s="208" t="n">
        <v>16</v>
      </c>
      <c r="G1982" s="208" t="n">
        <v>662</v>
      </c>
      <c r="H1982" s="208" t="inlineStr">
        <is>
          <t>No separate deliverable explicitly named</t>
        </is>
      </c>
    </row>
    <row r="1983">
      <c r="A1983" s="199" t="inlineStr">
        <is>
          <t>RTM-305</t>
        </is>
      </c>
      <c r="B1983" s="222" t="inlineStr">
        <is>
          <t>L1 Conceptual Design</t>
        </is>
      </c>
      <c r="C1983" s="199" t="n">
        <v>2</v>
      </c>
      <c r="D1983" s="199" t="inlineStr">
        <is>
          <t>T3 Contextual</t>
        </is>
      </c>
      <c r="E1983" s="199" t="inlineStr">
        <is>
          <t>Control &amp; Interlock</t>
        </is>
      </c>
      <c r="F1983" s="199" t="n">
        <v>16</v>
      </c>
      <c r="G1983" s="199" t="n">
        <v>663</v>
      </c>
      <c r="H1983" s="199" t="inlineStr">
        <is>
          <t>No separate deliverable explicitly named</t>
        </is>
      </c>
    </row>
    <row r="1984">
      <c r="A1984" s="208" t="inlineStr">
        <is>
          <t>RTM-305</t>
        </is>
      </c>
      <c r="B1984" s="223" t="inlineStr">
        <is>
          <t>L2 Detailed Design</t>
        </is>
      </c>
      <c r="C1984" s="208" t="n">
        <v>3</v>
      </c>
      <c r="D1984" s="208" t="inlineStr">
        <is>
          <t>T3 Contextual</t>
        </is>
      </c>
      <c r="E1984" s="208" t="inlineStr">
        <is>
          <t>Control &amp; Interlock</t>
        </is>
      </c>
      <c r="F1984" s="208" t="n">
        <v>16</v>
      </c>
      <c r="G1984" s="208" t="n">
        <v>663</v>
      </c>
      <c r="H1984" s="208" t="inlineStr">
        <is>
          <t>No separate deliverable explicitly named</t>
        </is>
      </c>
    </row>
    <row r="1985">
      <c r="A1985" s="199" t="inlineStr">
        <is>
          <t>RTM-310</t>
        </is>
      </c>
      <c r="B1985" s="222" t="inlineStr">
        <is>
          <t>L1 Conceptual Design</t>
        </is>
      </c>
      <c r="C1985" s="199" t="n">
        <v>2</v>
      </c>
      <c r="D1985" s="199" t="inlineStr">
        <is>
          <t>T3 Contextual</t>
        </is>
      </c>
      <c r="E1985" s="199" t="inlineStr">
        <is>
          <t>Control &amp; Interlock</t>
        </is>
      </c>
      <c r="F1985" s="199" t="n">
        <v>16</v>
      </c>
      <c r="G1985" s="199" t="n">
        <v>664</v>
      </c>
      <c r="H1985" s="199" t="inlineStr">
        <is>
          <t>List / register / matrix</t>
        </is>
      </c>
    </row>
    <row r="1986">
      <c r="A1986" s="208" t="inlineStr">
        <is>
          <t>RTM-310</t>
        </is>
      </c>
      <c r="B1986" s="223" t="inlineStr">
        <is>
          <t>L2 Detailed Design</t>
        </is>
      </c>
      <c r="C1986" s="208" t="n">
        <v>3</v>
      </c>
      <c r="D1986" s="208" t="inlineStr">
        <is>
          <t>T3 Contextual</t>
        </is>
      </c>
      <c r="E1986" s="208" t="inlineStr">
        <is>
          <t>Control &amp; Interlock</t>
        </is>
      </c>
      <c r="F1986" s="208" t="n">
        <v>16</v>
      </c>
      <c r="G1986" s="208" t="n">
        <v>664</v>
      </c>
      <c r="H1986" s="208" t="inlineStr">
        <is>
          <t>List / register / matrix</t>
        </is>
      </c>
    </row>
    <row r="1987">
      <c r="A1987" s="199" t="inlineStr">
        <is>
          <t>RTM-311</t>
        </is>
      </c>
      <c r="B1987" s="222" t="inlineStr">
        <is>
          <t>L1 Conceptual Design</t>
        </is>
      </c>
      <c r="C1987" s="199" t="n">
        <v>2</v>
      </c>
      <c r="D1987" s="199" t="inlineStr">
        <is>
          <t>T3 Contextual</t>
        </is>
      </c>
      <c r="E1987" s="199" t="inlineStr">
        <is>
          <t>Control &amp; Interlock</t>
        </is>
      </c>
      <c r="F1987" s="199" t="n">
        <v>16</v>
      </c>
      <c r="G1987" s="199" t="n">
        <v>665</v>
      </c>
      <c r="H1987" s="199" t="inlineStr">
        <is>
          <t>No separate deliverable explicitly named</t>
        </is>
      </c>
    </row>
    <row r="1988">
      <c r="A1988" s="208" t="inlineStr">
        <is>
          <t>RTM-311</t>
        </is>
      </c>
      <c r="B1988" s="223" t="inlineStr">
        <is>
          <t>L2 Detailed Design</t>
        </is>
      </c>
      <c r="C1988" s="208" t="n">
        <v>3</v>
      </c>
      <c r="D1988" s="208" t="inlineStr">
        <is>
          <t>T3 Contextual</t>
        </is>
      </c>
      <c r="E1988" s="208" t="inlineStr">
        <is>
          <t>Control &amp; Interlock</t>
        </is>
      </c>
      <c r="F1988" s="208" t="n">
        <v>16</v>
      </c>
      <c r="G1988" s="208" t="n">
        <v>665</v>
      </c>
      <c r="H1988" s="208" t="inlineStr">
        <is>
          <t>No separate deliverable explicitly named</t>
        </is>
      </c>
    </row>
    <row r="1989">
      <c r="A1989" s="199" t="inlineStr">
        <is>
          <t>RTM-315</t>
        </is>
      </c>
      <c r="B1989" s="222" t="inlineStr">
        <is>
          <t>L1 Conceptual Design</t>
        </is>
      </c>
      <c r="C1989" s="199" t="n">
        <v>2</v>
      </c>
      <c r="D1989" s="199" t="inlineStr">
        <is>
          <t>T3 Contextual</t>
        </is>
      </c>
      <c r="E1989" s="199" t="inlineStr">
        <is>
          <t>Control &amp; Interlock</t>
        </is>
      </c>
      <c r="F1989" s="199" t="n">
        <v>16</v>
      </c>
      <c r="G1989" s="199" t="n">
        <v>666</v>
      </c>
      <c r="H1989" s="199" t="inlineStr">
        <is>
          <t>No separate deliverable explicitly named</t>
        </is>
      </c>
    </row>
    <row r="1990">
      <c r="A1990" s="208" t="inlineStr">
        <is>
          <t>RTM-315</t>
        </is>
      </c>
      <c r="B1990" s="223" t="inlineStr">
        <is>
          <t>L2 Detailed Design</t>
        </is>
      </c>
      <c r="C1990" s="208" t="n">
        <v>3</v>
      </c>
      <c r="D1990" s="208" t="inlineStr">
        <is>
          <t>T3 Contextual</t>
        </is>
      </c>
      <c r="E1990" s="208" t="inlineStr">
        <is>
          <t>Control &amp; Interlock</t>
        </is>
      </c>
      <c r="F1990" s="208" t="n">
        <v>16</v>
      </c>
      <c r="G1990" s="208" t="n">
        <v>666</v>
      </c>
      <c r="H1990" s="208" t="inlineStr">
        <is>
          <t>No separate deliverable explicitly named</t>
        </is>
      </c>
    </row>
    <row r="1991">
      <c r="A1991" s="199" t="inlineStr">
        <is>
          <t>RTM-316</t>
        </is>
      </c>
      <c r="B1991" s="222" t="inlineStr">
        <is>
          <t>L1 Conceptual Design</t>
        </is>
      </c>
      <c r="C1991" s="199" t="n">
        <v>2</v>
      </c>
      <c r="D1991" s="199" t="inlineStr">
        <is>
          <t>T3 Contextual</t>
        </is>
      </c>
      <c r="E1991" s="199" t="inlineStr">
        <is>
          <t>Control &amp; Interlock</t>
        </is>
      </c>
      <c r="F1991" s="199" t="n">
        <v>16</v>
      </c>
      <c r="G1991" s="199" t="n">
        <v>667</v>
      </c>
      <c r="H1991" s="199" t="inlineStr">
        <is>
          <t>No separate deliverable explicitly named</t>
        </is>
      </c>
    </row>
    <row r="1992">
      <c r="A1992" s="208" t="inlineStr">
        <is>
          <t>RTM-316</t>
        </is>
      </c>
      <c r="B1992" s="223" t="inlineStr">
        <is>
          <t>L2 Detailed Design</t>
        </is>
      </c>
      <c r="C1992" s="208" t="n">
        <v>3</v>
      </c>
      <c r="D1992" s="208" t="inlineStr">
        <is>
          <t>T3 Contextual</t>
        </is>
      </c>
      <c r="E1992" s="208" t="inlineStr">
        <is>
          <t>Control &amp; Interlock</t>
        </is>
      </c>
      <c r="F1992" s="208" t="n">
        <v>16</v>
      </c>
      <c r="G1992" s="208" t="n">
        <v>667</v>
      </c>
      <c r="H1992" s="208" t="inlineStr">
        <is>
          <t>No separate deliverable explicitly named</t>
        </is>
      </c>
    </row>
    <row r="1993">
      <c r="A1993" s="199" t="inlineStr">
        <is>
          <t>RTM-318</t>
        </is>
      </c>
      <c r="B1993" s="222" t="inlineStr">
        <is>
          <t>L1 Conceptual Design</t>
        </is>
      </c>
      <c r="C1993" s="199" t="n">
        <v>2</v>
      </c>
      <c r="D1993" s="199" t="inlineStr">
        <is>
          <t>T3 Contextual</t>
        </is>
      </c>
      <c r="E1993" s="199" t="inlineStr">
        <is>
          <t>Control &amp; Interlock</t>
        </is>
      </c>
      <c r="F1993" s="199" t="n">
        <v>16</v>
      </c>
      <c r="G1993" s="199" t="n">
        <v>668</v>
      </c>
      <c r="H1993" s="199" t="inlineStr">
        <is>
          <t>List / register / matrix</t>
        </is>
      </c>
    </row>
    <row r="1994">
      <c r="A1994" s="208" t="inlineStr">
        <is>
          <t>RTM-318</t>
        </is>
      </c>
      <c r="B1994" s="223" t="inlineStr">
        <is>
          <t>L2 Detailed Design</t>
        </is>
      </c>
      <c r="C1994" s="208" t="n">
        <v>3</v>
      </c>
      <c r="D1994" s="208" t="inlineStr">
        <is>
          <t>T3 Contextual</t>
        </is>
      </c>
      <c r="E1994" s="208" t="inlineStr">
        <is>
          <t>Control &amp; Interlock</t>
        </is>
      </c>
      <c r="F1994" s="208" t="n">
        <v>16</v>
      </c>
      <c r="G1994" s="208" t="n">
        <v>668</v>
      </c>
      <c r="H1994" s="208" t="inlineStr">
        <is>
          <t>List / register / matrix</t>
        </is>
      </c>
    </row>
    <row r="1995">
      <c r="A1995" s="199" t="inlineStr">
        <is>
          <t>RTM-321</t>
        </is>
      </c>
      <c r="B1995" s="221" t="inlineStr">
        <is>
          <t>L0 Tender / Offer</t>
        </is>
      </c>
      <c r="C1995" s="199" t="n">
        <v>1</v>
      </c>
      <c r="D1995" s="199" t="inlineStr">
        <is>
          <t>T3 Contextual</t>
        </is>
      </c>
      <c r="E1995" s="199" t="inlineStr">
        <is>
          <t>Control &amp; Interlock</t>
        </is>
      </c>
      <c r="F1995" s="199" t="n">
        <v>16</v>
      </c>
      <c r="G1995" s="199" t="n">
        <v>669</v>
      </c>
      <c r="H1995" s="199" t="inlineStr">
        <is>
          <t>No separate deliverable explicitly named</t>
        </is>
      </c>
    </row>
    <row r="1996">
      <c r="A1996" s="208" t="inlineStr">
        <is>
          <t>RTM-321</t>
        </is>
      </c>
      <c r="B1996" s="222" t="inlineStr">
        <is>
          <t>L1 Conceptual Design</t>
        </is>
      </c>
      <c r="C1996" s="208" t="n">
        <v>2</v>
      </c>
      <c r="D1996" s="208" t="inlineStr">
        <is>
          <t>T3 Contextual</t>
        </is>
      </c>
      <c r="E1996" s="208" t="inlineStr">
        <is>
          <t>Control &amp; Interlock</t>
        </is>
      </c>
      <c r="F1996" s="208" t="n">
        <v>16</v>
      </c>
      <c r="G1996" s="208" t="n">
        <v>669</v>
      </c>
      <c r="H1996" s="208" t="inlineStr">
        <is>
          <t>No separate deliverable explicitly named</t>
        </is>
      </c>
    </row>
    <row r="1997">
      <c r="A1997" s="199" t="inlineStr">
        <is>
          <t>RTM-321</t>
        </is>
      </c>
      <c r="B1997" s="223" t="inlineStr">
        <is>
          <t>L2 Detailed Design</t>
        </is>
      </c>
      <c r="C1997" s="199" t="n">
        <v>3</v>
      </c>
      <c r="D1997" s="199" t="inlineStr">
        <is>
          <t>T3 Contextual</t>
        </is>
      </c>
      <c r="E1997" s="199" t="inlineStr">
        <is>
          <t>Control &amp; Interlock</t>
        </is>
      </c>
      <c r="F1997" s="199" t="n">
        <v>16</v>
      </c>
      <c r="G1997" s="199" t="n">
        <v>669</v>
      </c>
      <c r="H1997" s="199" t="inlineStr">
        <is>
          <t>No separate deliverable explicitly named</t>
        </is>
      </c>
    </row>
    <row r="1998">
      <c r="A1998" s="208" t="inlineStr">
        <is>
          <t>RTM-329</t>
        </is>
      </c>
      <c r="B1998" s="222" t="inlineStr">
        <is>
          <t>L1 Conceptual Design</t>
        </is>
      </c>
      <c r="C1998" s="208" t="n">
        <v>2</v>
      </c>
      <c r="D1998" s="208" t="inlineStr">
        <is>
          <t>T3 Contextual</t>
        </is>
      </c>
      <c r="E1998" s="208" t="inlineStr">
        <is>
          <t>Control &amp; Interlock</t>
        </is>
      </c>
      <c r="F1998" s="208" t="n">
        <v>16</v>
      </c>
      <c r="G1998" s="208" t="n">
        <v>670</v>
      </c>
      <c r="H1998" s="208" t="inlineStr">
        <is>
          <t>No separate deliverable explicitly named</t>
        </is>
      </c>
    </row>
    <row r="1999">
      <c r="A1999" s="199" t="inlineStr">
        <is>
          <t>RTM-329</t>
        </is>
      </c>
      <c r="B1999" s="223" t="inlineStr">
        <is>
          <t>L2 Detailed Design</t>
        </is>
      </c>
      <c r="C1999" s="199" t="n">
        <v>3</v>
      </c>
      <c r="D1999" s="199" t="inlineStr">
        <is>
          <t>T3 Contextual</t>
        </is>
      </c>
      <c r="E1999" s="199" t="inlineStr">
        <is>
          <t>Control &amp; Interlock</t>
        </is>
      </c>
      <c r="F1999" s="199" t="n">
        <v>16</v>
      </c>
      <c r="G1999" s="199" t="n">
        <v>670</v>
      </c>
      <c r="H1999" s="199" t="inlineStr">
        <is>
          <t>No separate deliverable explicitly named</t>
        </is>
      </c>
    </row>
    <row r="2000">
      <c r="A2000" s="208" t="inlineStr">
        <is>
          <t>RTM-331</t>
        </is>
      </c>
      <c r="B2000" s="222" t="inlineStr">
        <is>
          <t>L1 Conceptual Design</t>
        </is>
      </c>
      <c r="C2000" s="208" t="n">
        <v>2</v>
      </c>
      <c r="D2000" s="208" t="inlineStr">
        <is>
          <t>T3 Contextual</t>
        </is>
      </c>
      <c r="E2000" s="208" t="inlineStr">
        <is>
          <t>Control &amp; Interlock</t>
        </is>
      </c>
      <c r="F2000" s="208" t="n">
        <v>16</v>
      </c>
      <c r="G2000" s="208" t="n">
        <v>671</v>
      </c>
      <c r="H2000" s="208" t="inlineStr">
        <is>
          <t>No separate deliverable explicitly named</t>
        </is>
      </c>
    </row>
    <row r="2001">
      <c r="A2001" s="199" t="inlineStr">
        <is>
          <t>RTM-331</t>
        </is>
      </c>
      <c r="B2001" s="223" t="inlineStr">
        <is>
          <t>L2 Detailed Design</t>
        </is>
      </c>
      <c r="C2001" s="199" t="n">
        <v>3</v>
      </c>
      <c r="D2001" s="199" t="inlineStr">
        <is>
          <t>T3 Contextual</t>
        </is>
      </c>
      <c r="E2001" s="199" t="inlineStr">
        <is>
          <t>Control &amp; Interlock</t>
        </is>
      </c>
      <c r="F2001" s="199" t="n">
        <v>16</v>
      </c>
      <c r="G2001" s="199" t="n">
        <v>671</v>
      </c>
      <c r="H2001" s="199" t="inlineStr">
        <is>
          <t>No separate deliverable explicitly named</t>
        </is>
      </c>
    </row>
    <row r="2002">
      <c r="A2002" s="208" t="inlineStr">
        <is>
          <t>RTM-335</t>
        </is>
      </c>
      <c r="B2002" s="222" t="inlineStr">
        <is>
          <t>L1 Conceptual Design</t>
        </is>
      </c>
      <c r="C2002" s="208" t="n">
        <v>2</v>
      </c>
      <c r="D2002" s="208" t="inlineStr">
        <is>
          <t>T3 Contextual</t>
        </is>
      </c>
      <c r="E2002" s="208" t="inlineStr">
        <is>
          <t>Control &amp; Interlock</t>
        </is>
      </c>
      <c r="F2002" s="208" t="n">
        <v>16</v>
      </c>
      <c r="G2002" s="208" t="n">
        <v>672</v>
      </c>
      <c r="H2002" s="208" t="inlineStr">
        <is>
          <t>No separate deliverable explicitly named</t>
        </is>
      </c>
    </row>
    <row r="2003">
      <c r="A2003" s="199" t="inlineStr">
        <is>
          <t>RTM-335</t>
        </is>
      </c>
      <c r="B2003" s="223" t="inlineStr">
        <is>
          <t>L2 Detailed Design</t>
        </is>
      </c>
      <c r="C2003" s="199" t="n">
        <v>3</v>
      </c>
      <c r="D2003" s="199" t="inlineStr">
        <is>
          <t>T3 Contextual</t>
        </is>
      </c>
      <c r="E2003" s="199" t="inlineStr">
        <is>
          <t>Control &amp; Interlock</t>
        </is>
      </c>
      <c r="F2003" s="199" t="n">
        <v>16</v>
      </c>
      <c r="G2003" s="199" t="n">
        <v>672</v>
      </c>
      <c r="H2003" s="199" t="inlineStr">
        <is>
          <t>No separate deliverable explicitly named</t>
        </is>
      </c>
    </row>
    <row r="2004">
      <c r="A2004" s="208" t="inlineStr">
        <is>
          <t>RTM-337</t>
        </is>
      </c>
      <c r="B2004" s="227" t="inlineStr">
        <is>
          <t>PAC / Handover</t>
        </is>
      </c>
      <c r="C2004" s="208" t="n">
        <v>9</v>
      </c>
      <c r="D2004" s="208" t="inlineStr">
        <is>
          <t>T3 Contextual</t>
        </is>
      </c>
      <c r="E2004" s="208" t="inlineStr">
        <is>
          <t>Control &amp; Interlock</t>
        </is>
      </c>
      <c r="F2004" s="208" t="n">
        <v>16</v>
      </c>
      <c r="G2004" s="208" t="n">
        <v>673</v>
      </c>
      <c r="H2004" s="208" t="inlineStr">
        <is>
          <t>No separate deliverable explicitly named</t>
        </is>
      </c>
    </row>
    <row r="2005">
      <c r="A2005" s="199" t="inlineStr">
        <is>
          <t>RTM-337</t>
        </is>
      </c>
      <c r="B2005" s="222" t="inlineStr">
        <is>
          <t>L1 Conceptual Design</t>
        </is>
      </c>
      <c r="C2005" s="199" t="n">
        <v>2</v>
      </c>
      <c r="D2005" s="199" t="inlineStr">
        <is>
          <t>T3 Contextual</t>
        </is>
      </c>
      <c r="E2005" s="199" t="inlineStr">
        <is>
          <t>Control &amp; Interlock</t>
        </is>
      </c>
      <c r="F2005" s="199" t="n">
        <v>16</v>
      </c>
      <c r="G2005" s="199" t="n">
        <v>673</v>
      </c>
      <c r="H2005" s="199" t="inlineStr">
        <is>
          <t>No separate deliverable explicitly named</t>
        </is>
      </c>
    </row>
    <row r="2006">
      <c r="A2006" s="208" t="inlineStr">
        <is>
          <t>RTM-337</t>
        </is>
      </c>
      <c r="B2006" s="223" t="inlineStr">
        <is>
          <t>L2 Detailed Design</t>
        </is>
      </c>
      <c r="C2006" s="208" t="n">
        <v>3</v>
      </c>
      <c r="D2006" s="208" t="inlineStr">
        <is>
          <t>T3 Contextual</t>
        </is>
      </c>
      <c r="E2006" s="208" t="inlineStr">
        <is>
          <t>Control &amp; Interlock</t>
        </is>
      </c>
      <c r="F2006" s="208" t="n">
        <v>16</v>
      </c>
      <c r="G2006" s="208" t="n">
        <v>673</v>
      </c>
      <c r="H2006" s="208" t="inlineStr">
        <is>
          <t>No separate deliverable explicitly named</t>
        </is>
      </c>
    </row>
    <row r="2007">
      <c r="A2007" s="199" t="inlineStr">
        <is>
          <t>RTM-340</t>
        </is>
      </c>
      <c r="B2007" s="222" t="inlineStr">
        <is>
          <t>L1 Conceptual Design</t>
        </is>
      </c>
      <c r="C2007" s="199" t="n">
        <v>2</v>
      </c>
      <c r="D2007" s="199" t="inlineStr">
        <is>
          <t>T3 Contextual</t>
        </is>
      </c>
      <c r="E2007" s="199" t="inlineStr">
        <is>
          <t>Control &amp; Interlock</t>
        </is>
      </c>
      <c r="F2007" s="199" t="n">
        <v>16</v>
      </c>
      <c r="G2007" s="199" t="n">
        <v>674</v>
      </c>
      <c r="H2007" s="199" t="inlineStr">
        <is>
          <t>List / register / matrix</t>
        </is>
      </c>
    </row>
    <row r="2008">
      <c r="A2008" s="208" t="inlineStr">
        <is>
          <t>RTM-340</t>
        </is>
      </c>
      <c r="B2008" s="223" t="inlineStr">
        <is>
          <t>L2 Detailed Design</t>
        </is>
      </c>
      <c r="C2008" s="208" t="n">
        <v>3</v>
      </c>
      <c r="D2008" s="208" t="inlineStr">
        <is>
          <t>T3 Contextual</t>
        </is>
      </c>
      <c r="E2008" s="208" t="inlineStr">
        <is>
          <t>Control &amp; Interlock</t>
        </is>
      </c>
      <c r="F2008" s="208" t="n">
        <v>16</v>
      </c>
      <c r="G2008" s="208" t="n">
        <v>674</v>
      </c>
      <c r="H2008" s="208" t="inlineStr">
        <is>
          <t>List / register / matrix</t>
        </is>
      </c>
    </row>
    <row r="2009">
      <c r="A2009" s="199" t="inlineStr">
        <is>
          <t>RTM-341</t>
        </is>
      </c>
      <c r="B2009" s="222" t="inlineStr">
        <is>
          <t>L1 Conceptual Design</t>
        </is>
      </c>
      <c r="C2009" s="199" t="n">
        <v>2</v>
      </c>
      <c r="D2009" s="199" t="inlineStr">
        <is>
          <t>T3 Contextual</t>
        </is>
      </c>
      <c r="E2009" s="199" t="inlineStr">
        <is>
          <t>Control &amp; Interlock</t>
        </is>
      </c>
      <c r="F2009" s="199" t="n">
        <v>16</v>
      </c>
      <c r="G2009" s="199" t="n">
        <v>675</v>
      </c>
      <c r="H2009" s="199" t="inlineStr">
        <is>
          <t>No separate deliverable explicitly named</t>
        </is>
      </c>
    </row>
    <row r="2010">
      <c r="A2010" s="208" t="inlineStr">
        <is>
          <t>RTM-341</t>
        </is>
      </c>
      <c r="B2010" s="223" t="inlineStr">
        <is>
          <t>L2 Detailed Design</t>
        </is>
      </c>
      <c r="C2010" s="208" t="n">
        <v>3</v>
      </c>
      <c r="D2010" s="208" t="inlineStr">
        <is>
          <t>T3 Contextual</t>
        </is>
      </c>
      <c r="E2010" s="208" t="inlineStr">
        <is>
          <t>Control &amp; Interlock</t>
        </is>
      </c>
      <c r="F2010" s="208" t="n">
        <v>16</v>
      </c>
      <c r="G2010" s="208" t="n">
        <v>675</v>
      </c>
      <c r="H2010" s="208" t="inlineStr">
        <is>
          <t>No separate deliverable explicitly named</t>
        </is>
      </c>
    </row>
    <row r="2011">
      <c r="A2011" s="199" t="inlineStr">
        <is>
          <t>RTM-342</t>
        </is>
      </c>
      <c r="B2011" s="222" t="inlineStr">
        <is>
          <t>L1 Conceptual Design</t>
        </is>
      </c>
      <c r="C2011" s="199" t="n">
        <v>2</v>
      </c>
      <c r="D2011" s="199" t="inlineStr">
        <is>
          <t>T3 Contextual</t>
        </is>
      </c>
      <c r="E2011" s="199" t="inlineStr">
        <is>
          <t>Control &amp; Interlock</t>
        </is>
      </c>
      <c r="F2011" s="199" t="n">
        <v>16</v>
      </c>
      <c r="G2011" s="199" t="n">
        <v>676</v>
      </c>
      <c r="H2011" s="199" t="inlineStr">
        <is>
          <t>Procedure / work instruction</t>
        </is>
      </c>
    </row>
    <row r="2012">
      <c r="A2012" s="208" t="inlineStr">
        <is>
          <t>RTM-342</t>
        </is>
      </c>
      <c r="B2012" s="223" t="inlineStr">
        <is>
          <t>L2 Detailed Design</t>
        </is>
      </c>
      <c r="C2012" s="208" t="n">
        <v>3</v>
      </c>
      <c r="D2012" s="208" t="inlineStr">
        <is>
          <t>T3 Contextual</t>
        </is>
      </c>
      <c r="E2012" s="208" t="inlineStr">
        <is>
          <t>Control &amp; Interlock</t>
        </is>
      </c>
      <c r="F2012" s="208" t="n">
        <v>16</v>
      </c>
      <c r="G2012" s="208" t="n">
        <v>676</v>
      </c>
      <c r="H2012" s="208" t="inlineStr">
        <is>
          <t>Procedure / work instruction</t>
        </is>
      </c>
    </row>
    <row r="2013">
      <c r="A2013" s="199" t="inlineStr">
        <is>
          <t>RTM-345</t>
        </is>
      </c>
      <c r="B2013" s="222" t="inlineStr">
        <is>
          <t>L1 Conceptual Design</t>
        </is>
      </c>
      <c r="C2013" s="199" t="n">
        <v>2</v>
      </c>
      <c r="D2013" s="199" t="inlineStr">
        <is>
          <t>T3 Contextual</t>
        </is>
      </c>
      <c r="E2013" s="199" t="inlineStr">
        <is>
          <t>Control &amp; Interlock</t>
        </is>
      </c>
      <c r="F2013" s="199" t="n">
        <v>16</v>
      </c>
      <c r="G2013" s="199" t="n">
        <v>677</v>
      </c>
      <c r="H2013" s="199" t="inlineStr">
        <is>
          <t>No separate deliverable explicitly named</t>
        </is>
      </c>
    </row>
    <row r="2014">
      <c r="A2014" s="208" t="inlineStr">
        <is>
          <t>RTM-345</t>
        </is>
      </c>
      <c r="B2014" s="223" t="inlineStr">
        <is>
          <t>L2 Detailed Design</t>
        </is>
      </c>
      <c r="C2014" s="208" t="n">
        <v>3</v>
      </c>
      <c r="D2014" s="208" t="inlineStr">
        <is>
          <t>T3 Contextual</t>
        </is>
      </c>
      <c r="E2014" s="208" t="inlineStr">
        <is>
          <t>Control &amp; Interlock</t>
        </is>
      </c>
      <c r="F2014" s="208" t="n">
        <v>16</v>
      </c>
      <c r="G2014" s="208" t="n">
        <v>677</v>
      </c>
      <c r="H2014" s="208" t="inlineStr">
        <is>
          <t>No separate deliverable explicitly named</t>
        </is>
      </c>
    </row>
    <row r="2015">
      <c r="A2015" s="199" t="inlineStr">
        <is>
          <t>RTM-349</t>
        </is>
      </c>
      <c r="B2015" s="222" t="inlineStr">
        <is>
          <t>L1 Conceptual Design</t>
        </is>
      </c>
      <c r="C2015" s="199" t="n">
        <v>2</v>
      </c>
      <c r="D2015" s="199" t="inlineStr">
        <is>
          <t>T3 Contextual</t>
        </is>
      </c>
      <c r="E2015" s="199" t="inlineStr">
        <is>
          <t>Control &amp; Interlock</t>
        </is>
      </c>
      <c r="F2015" s="199" t="n">
        <v>16</v>
      </c>
      <c r="G2015" s="199" t="n">
        <v>678</v>
      </c>
      <c r="H2015" s="199" t="inlineStr">
        <is>
          <t>No separate deliverable explicitly named</t>
        </is>
      </c>
    </row>
    <row r="2016">
      <c r="A2016" s="208" t="inlineStr">
        <is>
          <t>RTM-349</t>
        </is>
      </c>
      <c r="B2016" s="223" t="inlineStr">
        <is>
          <t>L2 Detailed Design</t>
        </is>
      </c>
      <c r="C2016" s="208" t="n">
        <v>3</v>
      </c>
      <c r="D2016" s="208" t="inlineStr">
        <is>
          <t>T3 Contextual</t>
        </is>
      </c>
      <c r="E2016" s="208" t="inlineStr">
        <is>
          <t>Control &amp; Interlock</t>
        </is>
      </c>
      <c r="F2016" s="208" t="n">
        <v>16</v>
      </c>
      <c r="G2016" s="208" t="n">
        <v>678</v>
      </c>
      <c r="H2016" s="208" t="inlineStr">
        <is>
          <t>No separate deliverable explicitly named</t>
        </is>
      </c>
    </row>
    <row r="2017">
      <c r="A2017" s="199" t="inlineStr">
        <is>
          <t>RTM-353</t>
        </is>
      </c>
      <c r="B2017" s="222" t="inlineStr">
        <is>
          <t>L1 Conceptual Design</t>
        </is>
      </c>
      <c r="C2017" s="199" t="n">
        <v>2</v>
      </c>
      <c r="D2017" s="199" t="inlineStr">
        <is>
          <t>T3 Contextual</t>
        </is>
      </c>
      <c r="E2017" s="199" t="inlineStr">
        <is>
          <t>Control &amp; Interlock</t>
        </is>
      </c>
      <c r="F2017" s="199" t="n">
        <v>16</v>
      </c>
      <c r="G2017" s="199" t="n">
        <v>679</v>
      </c>
      <c r="H2017" s="199" t="inlineStr">
        <is>
          <t>Procedure / work instruction</t>
        </is>
      </c>
    </row>
    <row r="2018">
      <c r="A2018" s="208" t="inlineStr">
        <is>
          <t>RTM-353</t>
        </is>
      </c>
      <c r="B2018" s="223" t="inlineStr">
        <is>
          <t>L2 Detailed Design</t>
        </is>
      </c>
      <c r="C2018" s="208" t="n">
        <v>3</v>
      </c>
      <c r="D2018" s="208" t="inlineStr">
        <is>
          <t>T3 Contextual</t>
        </is>
      </c>
      <c r="E2018" s="208" t="inlineStr">
        <is>
          <t>Control &amp; Interlock</t>
        </is>
      </c>
      <c r="F2018" s="208" t="n">
        <v>16</v>
      </c>
      <c r="G2018" s="208" t="n">
        <v>679</v>
      </c>
      <c r="H2018" s="208" t="inlineStr">
        <is>
          <t>Procedure / work instruction</t>
        </is>
      </c>
    </row>
    <row r="2019">
      <c r="A2019" s="199" t="inlineStr">
        <is>
          <t>RTM-354</t>
        </is>
      </c>
      <c r="B2019" s="222" t="inlineStr">
        <is>
          <t>L1 Conceptual Design</t>
        </is>
      </c>
      <c r="C2019" s="199" t="n">
        <v>2</v>
      </c>
      <c r="D2019" s="199" t="inlineStr">
        <is>
          <t>T3 Contextual</t>
        </is>
      </c>
      <c r="E2019" s="199" t="inlineStr">
        <is>
          <t>Control &amp; Interlock</t>
        </is>
      </c>
      <c r="F2019" s="199" t="n">
        <v>16</v>
      </c>
      <c r="G2019" s="199" t="n">
        <v>680</v>
      </c>
      <c r="H2019" s="199" t="inlineStr">
        <is>
          <t>No separate deliverable explicitly named</t>
        </is>
      </c>
    </row>
    <row r="2020">
      <c r="A2020" s="208" t="inlineStr">
        <is>
          <t>RTM-354</t>
        </is>
      </c>
      <c r="B2020" s="223" t="inlineStr">
        <is>
          <t>L2 Detailed Design</t>
        </is>
      </c>
      <c r="C2020" s="208" t="n">
        <v>3</v>
      </c>
      <c r="D2020" s="208" t="inlineStr">
        <is>
          <t>T3 Contextual</t>
        </is>
      </c>
      <c r="E2020" s="208" t="inlineStr">
        <is>
          <t>Control &amp; Interlock</t>
        </is>
      </c>
      <c r="F2020" s="208" t="n">
        <v>16</v>
      </c>
      <c r="G2020" s="208" t="n">
        <v>680</v>
      </c>
      <c r="H2020" s="208" t="inlineStr">
        <is>
          <t>No separate deliverable explicitly named</t>
        </is>
      </c>
    </row>
    <row r="2021">
      <c r="A2021" s="199" t="inlineStr">
        <is>
          <t>RTM-355</t>
        </is>
      </c>
      <c r="B2021" s="222" t="inlineStr">
        <is>
          <t>L1 Conceptual Design</t>
        </is>
      </c>
      <c r="C2021" s="199" t="n">
        <v>2</v>
      </c>
      <c r="D2021" s="199" t="inlineStr">
        <is>
          <t>T3 Contextual</t>
        </is>
      </c>
      <c r="E2021" s="199" t="inlineStr">
        <is>
          <t>Control &amp; Interlock</t>
        </is>
      </c>
      <c r="F2021" s="199" t="n">
        <v>16</v>
      </c>
      <c r="G2021" s="199" t="n">
        <v>681</v>
      </c>
      <c r="H2021" s="199" t="inlineStr">
        <is>
          <t>No separate deliverable explicitly named</t>
        </is>
      </c>
    </row>
    <row r="2022">
      <c r="A2022" s="208" t="inlineStr">
        <is>
          <t>RTM-355</t>
        </is>
      </c>
      <c r="B2022" s="223" t="inlineStr">
        <is>
          <t>L2 Detailed Design</t>
        </is>
      </c>
      <c r="C2022" s="208" t="n">
        <v>3</v>
      </c>
      <c r="D2022" s="208" t="inlineStr">
        <is>
          <t>T3 Contextual</t>
        </is>
      </c>
      <c r="E2022" s="208" t="inlineStr">
        <is>
          <t>Control &amp; Interlock</t>
        </is>
      </c>
      <c r="F2022" s="208" t="n">
        <v>16</v>
      </c>
      <c r="G2022" s="208" t="n">
        <v>681</v>
      </c>
      <c r="H2022" s="208" t="inlineStr">
        <is>
          <t>No separate deliverable explicitly named</t>
        </is>
      </c>
    </row>
    <row r="2023">
      <c r="A2023" s="199" t="inlineStr">
        <is>
          <t>RTM-358</t>
        </is>
      </c>
      <c r="B2023" s="222" t="inlineStr">
        <is>
          <t>L1 Conceptual Design</t>
        </is>
      </c>
      <c r="C2023" s="199" t="n">
        <v>2</v>
      </c>
      <c r="D2023" s="199" t="inlineStr">
        <is>
          <t>T3 Contextual</t>
        </is>
      </c>
      <c r="E2023" s="199" t="inlineStr">
        <is>
          <t>Control &amp; Interlock</t>
        </is>
      </c>
      <c r="F2023" s="199" t="n">
        <v>16</v>
      </c>
      <c r="G2023" s="199" t="n">
        <v>682</v>
      </c>
      <c r="H2023" s="199" t="inlineStr">
        <is>
          <t>No separate deliverable explicitly named</t>
        </is>
      </c>
    </row>
    <row r="2024">
      <c r="A2024" s="208" t="inlineStr">
        <is>
          <t>RTM-358</t>
        </is>
      </c>
      <c r="B2024" s="223" t="inlineStr">
        <is>
          <t>L2 Detailed Design</t>
        </is>
      </c>
      <c r="C2024" s="208" t="n">
        <v>3</v>
      </c>
      <c r="D2024" s="208" t="inlineStr">
        <is>
          <t>T3 Contextual</t>
        </is>
      </c>
      <c r="E2024" s="208" t="inlineStr">
        <is>
          <t>Control &amp; Interlock</t>
        </is>
      </c>
      <c r="F2024" s="208" t="n">
        <v>16</v>
      </c>
      <c r="G2024" s="208" t="n">
        <v>682</v>
      </c>
      <c r="H2024" s="208" t="inlineStr">
        <is>
          <t>No separate deliverable explicitly named</t>
        </is>
      </c>
    </row>
    <row r="2025">
      <c r="A2025" s="199" t="inlineStr">
        <is>
          <t>RTM-362</t>
        </is>
      </c>
      <c r="B2025" s="222" t="inlineStr">
        <is>
          <t>L1 Conceptual Design</t>
        </is>
      </c>
      <c r="C2025" s="199" t="n">
        <v>2</v>
      </c>
      <c r="D2025" s="199" t="inlineStr">
        <is>
          <t>T3 Contextual</t>
        </is>
      </c>
      <c r="E2025" s="199" t="inlineStr">
        <is>
          <t>Control &amp; Interlock</t>
        </is>
      </c>
      <c r="F2025" s="199" t="n">
        <v>16</v>
      </c>
      <c r="G2025" s="199" t="n">
        <v>683</v>
      </c>
      <c r="H2025" s="199" t="inlineStr">
        <is>
          <t>No separate deliverable explicitly named</t>
        </is>
      </c>
    </row>
    <row r="2026">
      <c r="A2026" s="208" t="inlineStr">
        <is>
          <t>RTM-362</t>
        </is>
      </c>
      <c r="B2026" s="223" t="inlineStr">
        <is>
          <t>L2 Detailed Design</t>
        </is>
      </c>
      <c r="C2026" s="208" t="n">
        <v>3</v>
      </c>
      <c r="D2026" s="208" t="inlineStr">
        <is>
          <t>T3 Contextual</t>
        </is>
      </c>
      <c r="E2026" s="208" t="inlineStr">
        <is>
          <t>Control &amp; Interlock</t>
        </is>
      </c>
      <c r="F2026" s="208" t="n">
        <v>16</v>
      </c>
      <c r="G2026" s="208" t="n">
        <v>683</v>
      </c>
      <c r="H2026" s="208" t="inlineStr">
        <is>
          <t>No separate deliverable explicitly named</t>
        </is>
      </c>
    </row>
    <row r="2027">
      <c r="A2027" s="199" t="inlineStr">
        <is>
          <t>RTM-364</t>
        </is>
      </c>
      <c r="B2027" s="222" t="inlineStr">
        <is>
          <t>L1 Conceptual Design</t>
        </is>
      </c>
      <c r="C2027" s="199" t="n">
        <v>2</v>
      </c>
      <c r="D2027" s="199" t="inlineStr">
        <is>
          <t>T3 Contextual</t>
        </is>
      </c>
      <c r="E2027" s="199" t="inlineStr">
        <is>
          <t>Control &amp; Interlock</t>
        </is>
      </c>
      <c r="F2027" s="199" t="n">
        <v>16</v>
      </c>
      <c r="G2027" s="199" t="n">
        <v>684</v>
      </c>
      <c r="H2027" s="199" t="inlineStr">
        <is>
          <t>No separate deliverable explicitly named</t>
        </is>
      </c>
    </row>
    <row r="2028">
      <c r="A2028" s="208" t="inlineStr">
        <is>
          <t>RTM-364</t>
        </is>
      </c>
      <c r="B2028" s="223" t="inlineStr">
        <is>
          <t>L2 Detailed Design</t>
        </is>
      </c>
      <c r="C2028" s="208" t="n">
        <v>3</v>
      </c>
      <c r="D2028" s="208" t="inlineStr">
        <is>
          <t>T3 Contextual</t>
        </is>
      </c>
      <c r="E2028" s="208" t="inlineStr">
        <is>
          <t>Control &amp; Interlock</t>
        </is>
      </c>
      <c r="F2028" s="208" t="n">
        <v>16</v>
      </c>
      <c r="G2028" s="208" t="n">
        <v>684</v>
      </c>
      <c r="H2028" s="208" t="inlineStr">
        <is>
          <t>No separate deliverable explicitly named</t>
        </is>
      </c>
    </row>
    <row r="2029">
      <c r="A2029" s="199" t="inlineStr">
        <is>
          <t>RTM-365</t>
        </is>
      </c>
      <c r="B2029" s="222" t="inlineStr">
        <is>
          <t>L1 Conceptual Design</t>
        </is>
      </c>
      <c r="C2029" s="199" t="n">
        <v>2</v>
      </c>
      <c r="D2029" s="199" t="inlineStr">
        <is>
          <t>T3 Contextual</t>
        </is>
      </c>
      <c r="E2029" s="199" t="inlineStr">
        <is>
          <t>Control &amp; Interlock</t>
        </is>
      </c>
      <c r="F2029" s="199" t="n">
        <v>16</v>
      </c>
      <c r="G2029" s="199" t="n">
        <v>685</v>
      </c>
      <c r="H2029" s="199" t="inlineStr">
        <is>
          <t>No separate deliverable explicitly named</t>
        </is>
      </c>
    </row>
    <row r="2030">
      <c r="A2030" s="208" t="inlineStr">
        <is>
          <t>RTM-365</t>
        </is>
      </c>
      <c r="B2030" s="223" t="inlineStr">
        <is>
          <t>L2 Detailed Design</t>
        </is>
      </c>
      <c r="C2030" s="208" t="n">
        <v>3</v>
      </c>
      <c r="D2030" s="208" t="inlineStr">
        <is>
          <t>T3 Contextual</t>
        </is>
      </c>
      <c r="E2030" s="208" t="inlineStr">
        <is>
          <t>Control &amp; Interlock</t>
        </is>
      </c>
      <c r="F2030" s="208" t="n">
        <v>16</v>
      </c>
      <c r="G2030" s="208" t="n">
        <v>685</v>
      </c>
      <c r="H2030" s="208" t="inlineStr">
        <is>
          <t>No separate deliverable explicitly named</t>
        </is>
      </c>
    </row>
    <row r="2031">
      <c r="A2031" s="199" t="inlineStr">
        <is>
          <t>RTM-366</t>
        </is>
      </c>
      <c r="B2031" s="222" t="inlineStr">
        <is>
          <t>L1 Conceptual Design</t>
        </is>
      </c>
      <c r="C2031" s="199" t="n">
        <v>2</v>
      </c>
      <c r="D2031" s="199" t="inlineStr">
        <is>
          <t>T3 Contextual</t>
        </is>
      </c>
      <c r="E2031" s="199" t="inlineStr">
        <is>
          <t>Control &amp; Interlock</t>
        </is>
      </c>
      <c r="F2031" s="199" t="n">
        <v>16</v>
      </c>
      <c r="G2031" s="199" t="n">
        <v>686</v>
      </c>
      <c r="H2031" s="199" t="inlineStr">
        <is>
          <t>Drawing / diagram</t>
        </is>
      </c>
    </row>
    <row r="2032">
      <c r="A2032" s="208" t="inlineStr">
        <is>
          <t>RTM-366</t>
        </is>
      </c>
      <c r="B2032" s="223" t="inlineStr">
        <is>
          <t>L2 Detailed Design</t>
        </is>
      </c>
      <c r="C2032" s="208" t="n">
        <v>3</v>
      </c>
      <c r="D2032" s="208" t="inlineStr">
        <is>
          <t>T3 Contextual</t>
        </is>
      </c>
      <c r="E2032" s="208" t="inlineStr">
        <is>
          <t>Control &amp; Interlock</t>
        </is>
      </c>
      <c r="F2032" s="208" t="n">
        <v>16</v>
      </c>
      <c r="G2032" s="208" t="n">
        <v>686</v>
      </c>
      <c r="H2032" s="208" t="inlineStr">
        <is>
          <t>Drawing / diagram</t>
        </is>
      </c>
    </row>
    <row r="2033">
      <c r="A2033" s="199" t="inlineStr">
        <is>
          <t>RTM-372</t>
        </is>
      </c>
      <c r="B2033" s="222" t="inlineStr">
        <is>
          <t>L1 Conceptual Design</t>
        </is>
      </c>
      <c r="C2033" s="199" t="n">
        <v>2</v>
      </c>
      <c r="D2033" s="199" t="inlineStr">
        <is>
          <t>T3 Contextual</t>
        </is>
      </c>
      <c r="E2033" s="199" t="inlineStr">
        <is>
          <t>Control &amp; Interlock</t>
        </is>
      </c>
      <c r="F2033" s="199" t="n">
        <v>16</v>
      </c>
      <c r="G2033" s="199" t="n">
        <v>687</v>
      </c>
      <c r="H2033" s="199" t="inlineStr">
        <is>
          <t>No separate deliverable explicitly named</t>
        </is>
      </c>
    </row>
    <row r="2034">
      <c r="A2034" s="208" t="inlineStr">
        <is>
          <t>RTM-372</t>
        </is>
      </c>
      <c r="B2034" s="223" t="inlineStr">
        <is>
          <t>L2 Detailed Design</t>
        </is>
      </c>
      <c r="C2034" s="208" t="n">
        <v>3</v>
      </c>
      <c r="D2034" s="208" t="inlineStr">
        <is>
          <t>T3 Contextual</t>
        </is>
      </c>
      <c r="E2034" s="208" t="inlineStr">
        <is>
          <t>Control &amp; Interlock</t>
        </is>
      </c>
      <c r="F2034" s="208" t="n">
        <v>16</v>
      </c>
      <c r="G2034" s="208" t="n">
        <v>687</v>
      </c>
      <c r="H2034" s="208" t="inlineStr">
        <is>
          <t>No separate deliverable explicitly named</t>
        </is>
      </c>
    </row>
    <row r="2035">
      <c r="A2035" s="199" t="inlineStr">
        <is>
          <t>RTM-373</t>
        </is>
      </c>
      <c r="B2035" s="222" t="inlineStr">
        <is>
          <t>L1 Conceptual Design</t>
        </is>
      </c>
      <c r="C2035" s="199" t="n">
        <v>2</v>
      </c>
      <c r="D2035" s="199" t="inlineStr">
        <is>
          <t>T3 Contextual</t>
        </is>
      </c>
      <c r="E2035" s="199" t="inlineStr">
        <is>
          <t>Control &amp; Interlock</t>
        </is>
      </c>
      <c r="F2035" s="199" t="n">
        <v>16</v>
      </c>
      <c r="G2035" s="199" t="n">
        <v>688</v>
      </c>
      <c r="H2035" s="199" t="inlineStr">
        <is>
          <t>No separate deliverable explicitly named</t>
        </is>
      </c>
    </row>
    <row r="2036">
      <c r="A2036" s="208" t="inlineStr">
        <is>
          <t>RTM-373</t>
        </is>
      </c>
      <c r="B2036" s="223" t="inlineStr">
        <is>
          <t>L2 Detailed Design</t>
        </is>
      </c>
      <c r="C2036" s="208" t="n">
        <v>3</v>
      </c>
      <c r="D2036" s="208" t="inlineStr">
        <is>
          <t>T3 Contextual</t>
        </is>
      </c>
      <c r="E2036" s="208" t="inlineStr">
        <is>
          <t>Control &amp; Interlock</t>
        </is>
      </c>
      <c r="F2036" s="208" t="n">
        <v>16</v>
      </c>
      <c r="G2036" s="208" t="n">
        <v>688</v>
      </c>
      <c r="H2036" s="208" t="inlineStr">
        <is>
          <t>No separate deliverable explicitly named</t>
        </is>
      </c>
    </row>
    <row r="2037">
      <c r="A2037" s="199" t="inlineStr">
        <is>
          <t>RTM-374</t>
        </is>
      </c>
      <c r="B2037" s="222" t="inlineStr">
        <is>
          <t>L1 Conceptual Design</t>
        </is>
      </c>
      <c r="C2037" s="199" t="n">
        <v>2</v>
      </c>
      <c r="D2037" s="199" t="inlineStr">
        <is>
          <t>T3 Contextual</t>
        </is>
      </c>
      <c r="E2037" s="199" t="inlineStr">
        <is>
          <t>Control &amp; Interlock</t>
        </is>
      </c>
      <c r="F2037" s="199" t="n">
        <v>16</v>
      </c>
      <c r="G2037" s="199" t="n">
        <v>689</v>
      </c>
      <c r="H2037" s="199" t="inlineStr">
        <is>
          <t>No separate deliverable explicitly named</t>
        </is>
      </c>
    </row>
    <row r="2038">
      <c r="A2038" s="208" t="inlineStr">
        <is>
          <t>RTM-374</t>
        </is>
      </c>
      <c r="B2038" s="223" t="inlineStr">
        <is>
          <t>L2 Detailed Design</t>
        </is>
      </c>
      <c r="C2038" s="208" t="n">
        <v>3</v>
      </c>
      <c r="D2038" s="208" t="inlineStr">
        <is>
          <t>T3 Contextual</t>
        </is>
      </c>
      <c r="E2038" s="208" t="inlineStr">
        <is>
          <t>Control &amp; Interlock</t>
        </is>
      </c>
      <c r="F2038" s="208" t="n">
        <v>16</v>
      </c>
      <c r="G2038" s="208" t="n">
        <v>689</v>
      </c>
      <c r="H2038" s="208" t="inlineStr">
        <is>
          <t>No separate deliverable explicitly named</t>
        </is>
      </c>
    </row>
    <row r="2039">
      <c r="A2039" s="199" t="inlineStr">
        <is>
          <t>RTM-376</t>
        </is>
      </c>
      <c r="B2039" s="222" t="inlineStr">
        <is>
          <t>L1 Conceptual Design</t>
        </is>
      </c>
      <c r="C2039" s="199" t="n">
        <v>2</v>
      </c>
      <c r="D2039" s="199" t="inlineStr">
        <is>
          <t>T3 Contextual</t>
        </is>
      </c>
      <c r="E2039" s="199" t="inlineStr">
        <is>
          <t>Control &amp; Interlock</t>
        </is>
      </c>
      <c r="F2039" s="199" t="n">
        <v>16</v>
      </c>
      <c r="G2039" s="199" t="n">
        <v>690</v>
      </c>
      <c r="H2039" s="199" t="inlineStr">
        <is>
          <t>No separate deliverable explicitly named</t>
        </is>
      </c>
    </row>
    <row r="2040">
      <c r="A2040" s="208" t="inlineStr">
        <is>
          <t>RTM-376</t>
        </is>
      </c>
      <c r="B2040" s="223" t="inlineStr">
        <is>
          <t>L2 Detailed Design</t>
        </is>
      </c>
      <c r="C2040" s="208" t="n">
        <v>3</v>
      </c>
      <c r="D2040" s="208" t="inlineStr">
        <is>
          <t>T3 Contextual</t>
        </is>
      </c>
      <c r="E2040" s="208" t="inlineStr">
        <is>
          <t>Control &amp; Interlock</t>
        </is>
      </c>
      <c r="F2040" s="208" t="n">
        <v>16</v>
      </c>
      <c r="G2040" s="208" t="n">
        <v>690</v>
      </c>
      <c r="H2040" s="208" t="inlineStr">
        <is>
          <t>No separate deliverable explicitly named</t>
        </is>
      </c>
    </row>
    <row r="2041">
      <c r="A2041" s="199" t="inlineStr">
        <is>
          <t>RTM-377</t>
        </is>
      </c>
      <c r="B2041" s="222" t="inlineStr">
        <is>
          <t>L1 Conceptual Design</t>
        </is>
      </c>
      <c r="C2041" s="199" t="n">
        <v>2</v>
      </c>
      <c r="D2041" s="199" t="inlineStr">
        <is>
          <t>T3 Contextual</t>
        </is>
      </c>
      <c r="E2041" s="199" t="inlineStr">
        <is>
          <t>Control &amp; Interlock</t>
        </is>
      </c>
      <c r="F2041" s="199" t="n">
        <v>16</v>
      </c>
      <c r="G2041" s="199" t="n">
        <v>691</v>
      </c>
      <c r="H2041" s="199" t="inlineStr">
        <is>
          <t>No separate deliverable explicitly named</t>
        </is>
      </c>
    </row>
    <row r="2042">
      <c r="A2042" s="208" t="inlineStr">
        <is>
          <t>RTM-377</t>
        </is>
      </c>
      <c r="B2042" s="223" t="inlineStr">
        <is>
          <t>L2 Detailed Design</t>
        </is>
      </c>
      <c r="C2042" s="208" t="n">
        <v>3</v>
      </c>
      <c r="D2042" s="208" t="inlineStr">
        <is>
          <t>T3 Contextual</t>
        </is>
      </c>
      <c r="E2042" s="208" t="inlineStr">
        <is>
          <t>Control &amp; Interlock</t>
        </is>
      </c>
      <c r="F2042" s="208" t="n">
        <v>16</v>
      </c>
      <c r="G2042" s="208" t="n">
        <v>691</v>
      </c>
      <c r="H2042" s="208" t="inlineStr">
        <is>
          <t>No separate deliverable explicitly named</t>
        </is>
      </c>
    </row>
    <row r="2043">
      <c r="A2043" s="199" t="inlineStr">
        <is>
          <t>RTM-378</t>
        </is>
      </c>
      <c r="B2043" s="222" t="inlineStr">
        <is>
          <t>L1 Conceptual Design</t>
        </is>
      </c>
      <c r="C2043" s="199" t="n">
        <v>2</v>
      </c>
      <c r="D2043" s="199" t="inlineStr">
        <is>
          <t>T3 Contextual</t>
        </is>
      </c>
      <c r="E2043" s="199" t="inlineStr">
        <is>
          <t>Control &amp; Interlock</t>
        </is>
      </c>
      <c r="F2043" s="199" t="n">
        <v>16</v>
      </c>
      <c r="G2043" s="199" t="n">
        <v>692</v>
      </c>
      <c r="H2043" s="199" t="inlineStr">
        <is>
          <t>Procedure / work instruction</t>
        </is>
      </c>
    </row>
    <row r="2044">
      <c r="A2044" s="208" t="inlineStr">
        <is>
          <t>RTM-378</t>
        </is>
      </c>
      <c r="B2044" s="223" t="inlineStr">
        <is>
          <t>L2 Detailed Design</t>
        </is>
      </c>
      <c r="C2044" s="208" t="n">
        <v>3</v>
      </c>
      <c r="D2044" s="208" t="inlineStr">
        <is>
          <t>T3 Contextual</t>
        </is>
      </c>
      <c r="E2044" s="208" t="inlineStr">
        <is>
          <t>Control &amp; Interlock</t>
        </is>
      </c>
      <c r="F2044" s="208" t="n">
        <v>16</v>
      </c>
      <c r="G2044" s="208" t="n">
        <v>692</v>
      </c>
      <c r="H2044" s="208" t="inlineStr">
        <is>
          <t>Procedure / work instruction</t>
        </is>
      </c>
    </row>
    <row r="2045">
      <c r="A2045" s="199" t="inlineStr">
        <is>
          <t>RTM-379</t>
        </is>
      </c>
      <c r="B2045" s="222" t="inlineStr">
        <is>
          <t>L1 Conceptual Design</t>
        </is>
      </c>
      <c r="C2045" s="199" t="n">
        <v>2</v>
      </c>
      <c r="D2045" s="199" t="inlineStr">
        <is>
          <t>T3 Contextual</t>
        </is>
      </c>
      <c r="E2045" s="199" t="inlineStr">
        <is>
          <t>Control &amp; Interlock</t>
        </is>
      </c>
      <c r="F2045" s="199" t="n">
        <v>16</v>
      </c>
      <c r="G2045" s="199" t="n">
        <v>693</v>
      </c>
      <c r="H2045" s="199" t="inlineStr">
        <is>
          <t>No separate deliverable explicitly named</t>
        </is>
      </c>
    </row>
    <row r="2046">
      <c r="A2046" s="208" t="inlineStr">
        <is>
          <t>RTM-379</t>
        </is>
      </c>
      <c r="B2046" s="223" t="inlineStr">
        <is>
          <t>L2 Detailed Design</t>
        </is>
      </c>
      <c r="C2046" s="208" t="n">
        <v>3</v>
      </c>
      <c r="D2046" s="208" t="inlineStr">
        <is>
          <t>T3 Contextual</t>
        </is>
      </c>
      <c r="E2046" s="208" t="inlineStr">
        <is>
          <t>Control &amp; Interlock</t>
        </is>
      </c>
      <c r="F2046" s="208" t="n">
        <v>16</v>
      </c>
      <c r="G2046" s="208" t="n">
        <v>693</v>
      </c>
      <c r="H2046" s="208" t="inlineStr">
        <is>
          <t>No separate deliverable explicitly named</t>
        </is>
      </c>
    </row>
    <row r="2047">
      <c r="A2047" s="199" t="inlineStr">
        <is>
          <t>RTM-380</t>
        </is>
      </c>
      <c r="B2047" s="222" t="inlineStr">
        <is>
          <t>L1 Conceptual Design</t>
        </is>
      </c>
      <c r="C2047" s="199" t="n">
        <v>2</v>
      </c>
      <c r="D2047" s="199" t="inlineStr">
        <is>
          <t>T3 Contextual</t>
        </is>
      </c>
      <c r="E2047" s="199" t="inlineStr">
        <is>
          <t>Control &amp; Interlock</t>
        </is>
      </c>
      <c r="F2047" s="199" t="n">
        <v>16</v>
      </c>
      <c r="G2047" s="199" t="n">
        <v>694</v>
      </c>
      <c r="H2047" s="199" t="inlineStr">
        <is>
          <t>No separate deliverable explicitly named</t>
        </is>
      </c>
    </row>
    <row r="2048">
      <c r="A2048" s="208" t="inlineStr">
        <is>
          <t>RTM-380</t>
        </is>
      </c>
      <c r="B2048" s="223" t="inlineStr">
        <is>
          <t>L2 Detailed Design</t>
        </is>
      </c>
      <c r="C2048" s="208" t="n">
        <v>3</v>
      </c>
      <c r="D2048" s="208" t="inlineStr">
        <is>
          <t>T3 Contextual</t>
        </is>
      </c>
      <c r="E2048" s="208" t="inlineStr">
        <is>
          <t>Control &amp; Interlock</t>
        </is>
      </c>
      <c r="F2048" s="208" t="n">
        <v>16</v>
      </c>
      <c r="G2048" s="208" t="n">
        <v>694</v>
      </c>
      <c r="H2048" s="208" t="inlineStr">
        <is>
          <t>No separate deliverable explicitly named</t>
        </is>
      </c>
    </row>
    <row r="2049">
      <c r="A2049" s="199" t="inlineStr">
        <is>
          <t>RTM-381</t>
        </is>
      </c>
      <c r="B2049" s="222" t="inlineStr">
        <is>
          <t>L1 Conceptual Design</t>
        </is>
      </c>
      <c r="C2049" s="199" t="n">
        <v>2</v>
      </c>
      <c r="D2049" s="199" t="inlineStr">
        <is>
          <t>T3 Contextual</t>
        </is>
      </c>
      <c r="E2049" s="199" t="inlineStr">
        <is>
          <t>Control &amp; Interlock</t>
        </is>
      </c>
      <c r="F2049" s="199" t="n">
        <v>16</v>
      </c>
      <c r="G2049" s="199" t="n">
        <v>695</v>
      </c>
      <c r="H2049" s="199" t="inlineStr">
        <is>
          <t>No separate deliverable explicitly named</t>
        </is>
      </c>
    </row>
    <row r="2050">
      <c r="A2050" s="208" t="inlineStr">
        <is>
          <t>RTM-381</t>
        </is>
      </c>
      <c r="B2050" s="223" t="inlineStr">
        <is>
          <t>L2 Detailed Design</t>
        </is>
      </c>
      <c r="C2050" s="208" t="n">
        <v>3</v>
      </c>
      <c r="D2050" s="208" t="inlineStr">
        <is>
          <t>T3 Contextual</t>
        </is>
      </c>
      <c r="E2050" s="208" t="inlineStr">
        <is>
          <t>Control &amp; Interlock</t>
        </is>
      </c>
      <c r="F2050" s="208" t="n">
        <v>16</v>
      </c>
      <c r="G2050" s="208" t="n">
        <v>695</v>
      </c>
      <c r="H2050" s="208" t="inlineStr">
        <is>
          <t>No separate deliverable explicitly named</t>
        </is>
      </c>
    </row>
    <row r="2051">
      <c r="A2051" s="199" t="inlineStr">
        <is>
          <t>RTM-382</t>
        </is>
      </c>
      <c r="B2051" s="222" t="inlineStr">
        <is>
          <t>L1 Conceptual Design</t>
        </is>
      </c>
      <c r="C2051" s="199" t="n">
        <v>2</v>
      </c>
      <c r="D2051" s="199" t="inlineStr">
        <is>
          <t>T3 Contextual</t>
        </is>
      </c>
      <c r="E2051" s="199" t="inlineStr">
        <is>
          <t>Control &amp; Interlock</t>
        </is>
      </c>
      <c r="F2051" s="199" t="n">
        <v>16</v>
      </c>
      <c r="G2051" s="199" t="n">
        <v>696</v>
      </c>
      <c r="H2051" s="199" t="inlineStr">
        <is>
          <t>No separate deliverable explicitly named</t>
        </is>
      </c>
    </row>
    <row r="2052">
      <c r="A2052" s="208" t="inlineStr">
        <is>
          <t>RTM-382</t>
        </is>
      </c>
      <c r="B2052" s="223" t="inlineStr">
        <is>
          <t>L2 Detailed Design</t>
        </is>
      </c>
      <c r="C2052" s="208" t="n">
        <v>3</v>
      </c>
      <c r="D2052" s="208" t="inlineStr">
        <is>
          <t>T3 Contextual</t>
        </is>
      </c>
      <c r="E2052" s="208" t="inlineStr">
        <is>
          <t>Control &amp; Interlock</t>
        </is>
      </c>
      <c r="F2052" s="208" t="n">
        <v>16</v>
      </c>
      <c r="G2052" s="208" t="n">
        <v>696</v>
      </c>
      <c r="H2052" s="208" t="inlineStr">
        <is>
          <t>No separate deliverable explicitly named</t>
        </is>
      </c>
    </row>
    <row r="2053">
      <c r="A2053" s="199" t="inlineStr">
        <is>
          <t>RTM-698</t>
        </is>
      </c>
      <c r="B2053" s="221" t="inlineStr">
        <is>
          <t>L0 Tender / Offer</t>
        </is>
      </c>
      <c r="C2053" s="199" t="n">
        <v>1</v>
      </c>
      <c r="D2053" s="199" t="inlineStr">
        <is>
          <t>T3 Contextual</t>
        </is>
      </c>
      <c r="E2053" s="199" t="inlineStr">
        <is>
          <t>Codes &amp; Standards</t>
        </is>
      </c>
      <c r="F2053" s="199" t="n">
        <v>13.3333</v>
      </c>
      <c r="G2053" s="199" t="n">
        <v>697</v>
      </c>
      <c r="H2053" s="199" t="inlineStr">
        <is>
          <t>No separate deliverable explicitly named</t>
        </is>
      </c>
    </row>
    <row r="2054">
      <c r="A2054" s="208" t="inlineStr">
        <is>
          <t>RTM-698</t>
        </is>
      </c>
      <c r="B2054" s="222" t="inlineStr">
        <is>
          <t>L1 Conceptual Design</t>
        </is>
      </c>
      <c r="C2054" s="208" t="n">
        <v>2</v>
      </c>
      <c r="D2054" s="208" t="inlineStr">
        <is>
          <t>T3 Contextual</t>
        </is>
      </c>
      <c r="E2054" s="208" t="inlineStr">
        <is>
          <t>Codes &amp; Standards</t>
        </is>
      </c>
      <c r="F2054" s="208" t="n">
        <v>13.3333</v>
      </c>
      <c r="G2054" s="208" t="n">
        <v>697</v>
      </c>
      <c r="H2054" s="208" t="inlineStr">
        <is>
          <t>No separate deliverable explicitly named</t>
        </is>
      </c>
    </row>
    <row r="2055">
      <c r="A2055" s="199" t="inlineStr">
        <is>
          <t>RTM-698</t>
        </is>
      </c>
      <c r="B2055" s="223" t="inlineStr">
        <is>
          <t>L2 Detailed Design</t>
        </is>
      </c>
      <c r="C2055" s="199" t="n">
        <v>3</v>
      </c>
      <c r="D2055" s="199" t="inlineStr">
        <is>
          <t>T3 Contextual</t>
        </is>
      </c>
      <c r="E2055" s="199" t="inlineStr">
        <is>
          <t>Codes &amp; Standards</t>
        </is>
      </c>
      <c r="F2055" s="199" t="n">
        <v>13.3333</v>
      </c>
      <c r="G2055" s="199" t="n">
        <v>697</v>
      </c>
      <c r="H2055" s="199" t="inlineStr">
        <is>
          <t>No separate deliverable explicitly named</t>
        </is>
      </c>
    </row>
    <row r="2056">
      <c r="A2056" s="208" t="inlineStr">
        <is>
          <t>RTM-698</t>
        </is>
      </c>
      <c r="B2056" s="224" t="inlineStr">
        <is>
          <t>L3 Procurement &amp; Manufacturing / FAT</t>
        </is>
      </c>
      <c r="C2056" s="208" t="n">
        <v>4</v>
      </c>
      <c r="D2056" s="208" t="inlineStr">
        <is>
          <t>T3 Contextual</t>
        </is>
      </c>
      <c r="E2056" s="208" t="inlineStr">
        <is>
          <t>Codes &amp; Standards</t>
        </is>
      </c>
      <c r="F2056" s="208" t="n">
        <v>13.3333</v>
      </c>
      <c r="G2056" s="208" t="n">
        <v>697</v>
      </c>
      <c r="H2056" s="208" t="inlineStr">
        <is>
          <t>No separate deliverable explicitly named</t>
        </is>
      </c>
    </row>
    <row r="2057">
      <c r="A2057" s="199" t="inlineStr">
        <is>
          <t>RTM-698</t>
        </is>
      </c>
      <c r="B2057" s="220" t="inlineStr">
        <is>
          <t>L4 Installation</t>
        </is>
      </c>
      <c r="C2057" s="199" t="n">
        <v>6</v>
      </c>
      <c r="D2057" s="199" t="inlineStr">
        <is>
          <t>T3 Contextual</t>
        </is>
      </c>
      <c r="E2057" s="199" t="inlineStr">
        <is>
          <t>Codes &amp; Standards</t>
        </is>
      </c>
      <c r="F2057" s="199" t="n">
        <v>13.3333</v>
      </c>
      <c r="G2057" s="199" t="n">
        <v>697</v>
      </c>
      <c r="H2057" s="199" t="inlineStr">
        <is>
          <t>No separate deliverable explicitly named</t>
        </is>
      </c>
    </row>
    <row r="2058">
      <c r="A2058" s="208" t="inlineStr">
        <is>
          <t>RTM-698</t>
        </is>
      </c>
      <c r="B2058" s="225" t="inlineStr">
        <is>
          <t>L5 Standalone Commissioning</t>
        </is>
      </c>
      <c r="C2058" s="208" t="n">
        <v>7</v>
      </c>
      <c r="D2058" s="208" t="inlineStr">
        <is>
          <t>T3 Contextual</t>
        </is>
      </c>
      <c r="E2058" s="208" t="inlineStr">
        <is>
          <t>Codes &amp; Standards</t>
        </is>
      </c>
      <c r="F2058" s="208" t="n">
        <v>13.3333</v>
      </c>
      <c r="G2058" s="208" t="n">
        <v>697</v>
      </c>
      <c r="H2058" s="208" t="inlineStr">
        <is>
          <t>No separate deliverable explicitly named</t>
        </is>
      </c>
    </row>
    <row r="2059">
      <c r="A2059" s="199" t="inlineStr">
        <is>
          <t>RTM-698</t>
        </is>
      </c>
      <c r="B2059" s="226" t="inlineStr">
        <is>
          <t>L6 Site Acceptance Testing</t>
        </is>
      </c>
      <c r="C2059" s="199" t="n">
        <v>8</v>
      </c>
      <c r="D2059" s="199" t="inlineStr">
        <is>
          <t>T3 Contextual</t>
        </is>
      </c>
      <c r="E2059" s="199" t="inlineStr">
        <is>
          <t>Codes &amp; Standards</t>
        </is>
      </c>
      <c r="F2059" s="199" t="n">
        <v>13.3333</v>
      </c>
      <c r="G2059" s="199" t="n">
        <v>697</v>
      </c>
      <c r="H2059" s="199" t="inlineStr">
        <is>
          <t>No separate deliverable explicitly named</t>
        </is>
      </c>
    </row>
    <row r="2060">
      <c r="A2060" s="208" t="inlineStr">
        <is>
          <t>RTM-634</t>
        </is>
      </c>
      <c r="B2060" s="221" t="inlineStr">
        <is>
          <t>L0 Tender / Offer</t>
        </is>
      </c>
      <c r="C2060" s="208" t="n">
        <v>1</v>
      </c>
      <c r="D2060" s="208" t="inlineStr">
        <is>
          <t>T3 Contextual</t>
        </is>
      </c>
      <c r="E2060" s="208" t="inlineStr">
        <is>
          <t>Contract Performance</t>
        </is>
      </c>
      <c r="F2060" s="208" t="n">
        <v>13</v>
      </c>
      <c r="G2060" s="208" t="n">
        <v>698</v>
      </c>
      <c r="H2060" s="208" t="inlineStr">
        <is>
          <t>No separate deliverable explicitly named</t>
        </is>
      </c>
    </row>
    <row r="2061">
      <c r="A2061" s="199" t="inlineStr">
        <is>
          <t>RTM-634</t>
        </is>
      </c>
      <c r="B2061" s="222" t="inlineStr">
        <is>
          <t>L1 Conceptual Design</t>
        </is>
      </c>
      <c r="C2061" s="199" t="n">
        <v>2</v>
      </c>
      <c r="D2061" s="199" t="inlineStr">
        <is>
          <t>T3 Contextual</t>
        </is>
      </c>
      <c r="E2061" s="199" t="inlineStr">
        <is>
          <t>Contract Performance</t>
        </is>
      </c>
      <c r="F2061" s="199" t="n">
        <v>13</v>
      </c>
      <c r="G2061" s="199" t="n">
        <v>698</v>
      </c>
      <c r="H2061" s="199" t="inlineStr">
        <is>
          <t>No separate deliverable explicitly named</t>
        </is>
      </c>
    </row>
    <row r="2062">
      <c r="A2062" s="208" t="inlineStr">
        <is>
          <t>RTM-634</t>
        </is>
      </c>
      <c r="B2062" s="223" t="inlineStr">
        <is>
          <t>L2 Detailed Design</t>
        </is>
      </c>
      <c r="C2062" s="208" t="n">
        <v>3</v>
      </c>
      <c r="D2062" s="208" t="inlineStr">
        <is>
          <t>T3 Contextual</t>
        </is>
      </c>
      <c r="E2062" s="208" t="inlineStr">
        <is>
          <t>Contract Performance</t>
        </is>
      </c>
      <c r="F2062" s="208" t="n">
        <v>13</v>
      </c>
      <c r="G2062" s="208" t="n">
        <v>698</v>
      </c>
      <c r="H2062" s="208" t="inlineStr">
        <is>
          <t>No separate deliverable explicitly named</t>
        </is>
      </c>
    </row>
    <row r="2063">
      <c r="A2063" s="199" t="inlineStr">
        <is>
          <t>RTM-634</t>
        </is>
      </c>
      <c r="B2063" s="224" t="inlineStr">
        <is>
          <t>L3 Procurement &amp; Manufacturing / FAT</t>
        </is>
      </c>
      <c r="C2063" s="199" t="n">
        <v>4</v>
      </c>
      <c r="D2063" s="199" t="inlineStr">
        <is>
          <t>T3 Contextual</t>
        </is>
      </c>
      <c r="E2063" s="199" t="inlineStr">
        <is>
          <t>Contract Performance</t>
        </is>
      </c>
      <c r="F2063" s="199" t="n">
        <v>13</v>
      </c>
      <c r="G2063" s="199" t="n">
        <v>698</v>
      </c>
      <c r="H2063" s="199" t="inlineStr">
        <is>
          <t>No separate deliverable explicitly named</t>
        </is>
      </c>
    </row>
    <row r="2064">
      <c r="A2064" s="208" t="inlineStr">
        <is>
          <t>RTM-634</t>
        </is>
      </c>
      <c r="B2064" s="220" t="inlineStr">
        <is>
          <t>L4 Installation</t>
        </is>
      </c>
      <c r="C2064" s="208" t="n">
        <v>6</v>
      </c>
      <c r="D2064" s="208" t="inlineStr">
        <is>
          <t>T3 Contextual</t>
        </is>
      </c>
      <c r="E2064" s="208" t="inlineStr">
        <is>
          <t>Contract Performance</t>
        </is>
      </c>
      <c r="F2064" s="208" t="n">
        <v>13</v>
      </c>
      <c r="G2064" s="208" t="n">
        <v>698</v>
      </c>
      <c r="H2064" s="208" t="inlineStr">
        <is>
          <t>No separate deliverable explicitly named</t>
        </is>
      </c>
    </row>
    <row r="2065">
      <c r="A2065" s="199" t="inlineStr">
        <is>
          <t>RTM-634</t>
        </is>
      </c>
      <c r="B2065" s="225" t="inlineStr">
        <is>
          <t>L5 Standalone Commissioning</t>
        </is>
      </c>
      <c r="C2065" s="199" t="n">
        <v>7</v>
      </c>
      <c r="D2065" s="199" t="inlineStr">
        <is>
          <t>T3 Contextual</t>
        </is>
      </c>
      <c r="E2065" s="199" t="inlineStr">
        <is>
          <t>Contract Performance</t>
        </is>
      </c>
      <c r="F2065" s="199" t="n">
        <v>13</v>
      </c>
      <c r="G2065" s="199" t="n">
        <v>698</v>
      </c>
      <c r="H2065" s="199" t="inlineStr">
        <is>
          <t>No separate deliverable explicitly named</t>
        </is>
      </c>
    </row>
    <row r="2066">
      <c r="A2066" s="208" t="inlineStr">
        <is>
          <t>RTM-634</t>
        </is>
      </c>
      <c r="B2066" s="226" t="inlineStr">
        <is>
          <t>L6 Site Acceptance Testing</t>
        </is>
      </c>
      <c r="C2066" s="208" t="n">
        <v>8</v>
      </c>
      <c r="D2066" s="208" t="inlineStr">
        <is>
          <t>T3 Contextual</t>
        </is>
      </c>
      <c r="E2066" s="208" t="inlineStr">
        <is>
          <t>Contract Performance</t>
        </is>
      </c>
      <c r="F2066" s="208" t="n">
        <v>13</v>
      </c>
      <c r="G2066" s="208" t="n">
        <v>698</v>
      </c>
      <c r="H2066" s="208" t="inlineStr">
        <is>
          <t>No separate deliverable explicitly named</t>
        </is>
      </c>
    </row>
    <row r="2067">
      <c r="A2067" s="199" t="inlineStr">
        <is>
          <t>RTM-636</t>
        </is>
      </c>
      <c r="B2067" s="221" t="inlineStr">
        <is>
          <t>L0 Tender / Offer</t>
        </is>
      </c>
      <c r="C2067" s="199" t="n">
        <v>1</v>
      </c>
      <c r="D2067" s="199" t="inlineStr">
        <is>
          <t>T3 Contextual</t>
        </is>
      </c>
      <c r="E2067" s="199" t="inlineStr">
        <is>
          <t>Contract Performance</t>
        </is>
      </c>
      <c r="F2067" s="199" t="n">
        <v>13</v>
      </c>
      <c r="G2067" s="199" t="n">
        <v>699</v>
      </c>
      <c r="H2067" s="199" t="inlineStr">
        <is>
          <t>No separate deliverable explicitly named</t>
        </is>
      </c>
    </row>
    <row r="2068">
      <c r="A2068" s="208" t="inlineStr">
        <is>
          <t>RTM-636</t>
        </is>
      </c>
      <c r="B2068" s="222" t="inlineStr">
        <is>
          <t>L1 Conceptual Design</t>
        </is>
      </c>
      <c r="C2068" s="208" t="n">
        <v>2</v>
      </c>
      <c r="D2068" s="208" t="inlineStr">
        <is>
          <t>T3 Contextual</t>
        </is>
      </c>
      <c r="E2068" s="208" t="inlineStr">
        <is>
          <t>Contract Performance</t>
        </is>
      </c>
      <c r="F2068" s="208" t="n">
        <v>13</v>
      </c>
      <c r="G2068" s="208" t="n">
        <v>699</v>
      </c>
      <c r="H2068" s="208" t="inlineStr">
        <is>
          <t>No separate deliverable explicitly named</t>
        </is>
      </c>
    </row>
    <row r="2069">
      <c r="A2069" s="199" t="inlineStr">
        <is>
          <t>RTM-636</t>
        </is>
      </c>
      <c r="B2069" s="223" t="inlineStr">
        <is>
          <t>L2 Detailed Design</t>
        </is>
      </c>
      <c r="C2069" s="199" t="n">
        <v>3</v>
      </c>
      <c r="D2069" s="199" t="inlineStr">
        <is>
          <t>T3 Contextual</t>
        </is>
      </c>
      <c r="E2069" s="199" t="inlineStr">
        <is>
          <t>Contract Performance</t>
        </is>
      </c>
      <c r="F2069" s="199" t="n">
        <v>13</v>
      </c>
      <c r="G2069" s="199" t="n">
        <v>699</v>
      </c>
      <c r="H2069" s="199" t="inlineStr">
        <is>
          <t>No separate deliverable explicitly named</t>
        </is>
      </c>
    </row>
    <row r="2070">
      <c r="A2070" s="208" t="inlineStr">
        <is>
          <t>RTM-636</t>
        </is>
      </c>
      <c r="B2070" s="224" t="inlineStr">
        <is>
          <t>L3 Procurement &amp; Manufacturing / FAT</t>
        </is>
      </c>
      <c r="C2070" s="208" t="n">
        <v>4</v>
      </c>
      <c r="D2070" s="208" t="inlineStr">
        <is>
          <t>T3 Contextual</t>
        </is>
      </c>
      <c r="E2070" s="208" t="inlineStr">
        <is>
          <t>Contract Performance</t>
        </is>
      </c>
      <c r="F2070" s="208" t="n">
        <v>13</v>
      </c>
      <c r="G2070" s="208" t="n">
        <v>699</v>
      </c>
      <c r="H2070" s="208" t="inlineStr">
        <is>
          <t>No separate deliverable explicitly named</t>
        </is>
      </c>
    </row>
    <row r="2071">
      <c r="A2071" s="199" t="inlineStr">
        <is>
          <t>RTM-636</t>
        </is>
      </c>
      <c r="B2071" s="220" t="inlineStr">
        <is>
          <t>L4 Installation</t>
        </is>
      </c>
      <c r="C2071" s="199" t="n">
        <v>6</v>
      </c>
      <c r="D2071" s="199" t="inlineStr">
        <is>
          <t>T3 Contextual</t>
        </is>
      </c>
      <c r="E2071" s="199" t="inlineStr">
        <is>
          <t>Contract Performance</t>
        </is>
      </c>
      <c r="F2071" s="199" t="n">
        <v>13</v>
      </c>
      <c r="G2071" s="199" t="n">
        <v>699</v>
      </c>
      <c r="H2071" s="199" t="inlineStr">
        <is>
          <t>No separate deliverable explicitly named</t>
        </is>
      </c>
    </row>
    <row r="2072">
      <c r="A2072" s="208" t="inlineStr">
        <is>
          <t>RTM-636</t>
        </is>
      </c>
      <c r="B2072" s="225" t="inlineStr">
        <is>
          <t>L5 Standalone Commissioning</t>
        </is>
      </c>
      <c r="C2072" s="208" t="n">
        <v>7</v>
      </c>
      <c r="D2072" s="208" t="inlineStr">
        <is>
          <t>T3 Contextual</t>
        </is>
      </c>
      <c r="E2072" s="208" t="inlineStr">
        <is>
          <t>Contract Performance</t>
        </is>
      </c>
      <c r="F2072" s="208" t="n">
        <v>13</v>
      </c>
      <c r="G2072" s="208" t="n">
        <v>699</v>
      </c>
      <c r="H2072" s="208" t="inlineStr">
        <is>
          <t>No separate deliverable explicitly named</t>
        </is>
      </c>
    </row>
    <row r="2073">
      <c r="A2073" s="199" t="inlineStr">
        <is>
          <t>RTM-636</t>
        </is>
      </c>
      <c r="B2073" s="226" t="inlineStr">
        <is>
          <t>L6 Site Acceptance Testing</t>
        </is>
      </c>
      <c r="C2073" s="199" t="n">
        <v>8</v>
      </c>
      <c r="D2073" s="199" t="inlineStr">
        <is>
          <t>T3 Contextual</t>
        </is>
      </c>
      <c r="E2073" s="199" t="inlineStr">
        <is>
          <t>Contract Performance</t>
        </is>
      </c>
      <c r="F2073" s="199" t="n">
        <v>13</v>
      </c>
      <c r="G2073" s="199" t="n">
        <v>699</v>
      </c>
      <c r="H2073" s="199" t="inlineStr">
        <is>
          <t>No separate deliverable explicitly named</t>
        </is>
      </c>
    </row>
    <row r="2074">
      <c r="A2074" s="208" t="inlineStr">
        <is>
          <t>RTM-637</t>
        </is>
      </c>
      <c r="B2074" s="221" t="inlineStr">
        <is>
          <t>L0 Tender / Offer</t>
        </is>
      </c>
      <c r="C2074" s="208" t="n">
        <v>1</v>
      </c>
      <c r="D2074" s="208" t="inlineStr">
        <is>
          <t>T3 Contextual</t>
        </is>
      </c>
      <c r="E2074" s="208" t="inlineStr">
        <is>
          <t>Contract Performance</t>
        </is>
      </c>
      <c r="F2074" s="208" t="n">
        <v>13</v>
      </c>
      <c r="G2074" s="208" t="n">
        <v>700</v>
      </c>
      <c r="H2074" s="208" t="inlineStr">
        <is>
          <t>No separate deliverable explicitly named</t>
        </is>
      </c>
    </row>
    <row r="2075">
      <c r="A2075" s="199" t="inlineStr">
        <is>
          <t>RTM-637</t>
        </is>
      </c>
      <c r="B2075" s="222" t="inlineStr">
        <is>
          <t>L1 Conceptual Design</t>
        </is>
      </c>
      <c r="C2075" s="199" t="n">
        <v>2</v>
      </c>
      <c r="D2075" s="199" t="inlineStr">
        <is>
          <t>T3 Contextual</t>
        </is>
      </c>
      <c r="E2075" s="199" t="inlineStr">
        <is>
          <t>Contract Performance</t>
        </is>
      </c>
      <c r="F2075" s="199" t="n">
        <v>13</v>
      </c>
      <c r="G2075" s="199" t="n">
        <v>700</v>
      </c>
      <c r="H2075" s="199" t="inlineStr">
        <is>
          <t>No separate deliverable explicitly named</t>
        </is>
      </c>
    </row>
    <row r="2076">
      <c r="A2076" s="208" t="inlineStr">
        <is>
          <t>RTM-637</t>
        </is>
      </c>
      <c r="B2076" s="223" t="inlineStr">
        <is>
          <t>L2 Detailed Design</t>
        </is>
      </c>
      <c r="C2076" s="208" t="n">
        <v>3</v>
      </c>
      <c r="D2076" s="208" t="inlineStr">
        <is>
          <t>T3 Contextual</t>
        </is>
      </c>
      <c r="E2076" s="208" t="inlineStr">
        <is>
          <t>Contract Performance</t>
        </is>
      </c>
      <c r="F2076" s="208" t="n">
        <v>13</v>
      </c>
      <c r="G2076" s="208" t="n">
        <v>700</v>
      </c>
      <c r="H2076" s="208" t="inlineStr">
        <is>
          <t>No separate deliverable explicitly named</t>
        </is>
      </c>
    </row>
    <row r="2077">
      <c r="A2077" s="199" t="inlineStr">
        <is>
          <t>RTM-637</t>
        </is>
      </c>
      <c r="B2077" s="224" t="inlineStr">
        <is>
          <t>L3 Procurement &amp; Manufacturing / FAT</t>
        </is>
      </c>
      <c r="C2077" s="199" t="n">
        <v>4</v>
      </c>
      <c r="D2077" s="199" t="inlineStr">
        <is>
          <t>T3 Contextual</t>
        </is>
      </c>
      <c r="E2077" s="199" t="inlineStr">
        <is>
          <t>Contract Performance</t>
        </is>
      </c>
      <c r="F2077" s="199" t="n">
        <v>13</v>
      </c>
      <c r="G2077" s="199" t="n">
        <v>700</v>
      </c>
      <c r="H2077" s="199" t="inlineStr">
        <is>
          <t>No separate deliverable explicitly named</t>
        </is>
      </c>
    </row>
    <row r="2078">
      <c r="A2078" s="208" t="inlineStr">
        <is>
          <t>RTM-637</t>
        </is>
      </c>
      <c r="B2078" s="220" t="inlineStr">
        <is>
          <t>L4 Installation</t>
        </is>
      </c>
      <c r="C2078" s="208" t="n">
        <v>6</v>
      </c>
      <c r="D2078" s="208" t="inlineStr">
        <is>
          <t>T3 Contextual</t>
        </is>
      </c>
      <c r="E2078" s="208" t="inlineStr">
        <is>
          <t>Contract Performance</t>
        </is>
      </c>
      <c r="F2078" s="208" t="n">
        <v>13</v>
      </c>
      <c r="G2078" s="208" t="n">
        <v>700</v>
      </c>
      <c r="H2078" s="208" t="inlineStr">
        <is>
          <t>No separate deliverable explicitly named</t>
        </is>
      </c>
    </row>
    <row r="2079">
      <c r="A2079" s="199" t="inlineStr">
        <is>
          <t>RTM-637</t>
        </is>
      </c>
      <c r="B2079" s="225" t="inlineStr">
        <is>
          <t>L5 Standalone Commissioning</t>
        </is>
      </c>
      <c r="C2079" s="199" t="n">
        <v>7</v>
      </c>
      <c r="D2079" s="199" t="inlineStr">
        <is>
          <t>T3 Contextual</t>
        </is>
      </c>
      <c r="E2079" s="199" t="inlineStr">
        <is>
          <t>Contract Performance</t>
        </is>
      </c>
      <c r="F2079" s="199" t="n">
        <v>13</v>
      </c>
      <c r="G2079" s="199" t="n">
        <v>700</v>
      </c>
      <c r="H2079" s="199" t="inlineStr">
        <is>
          <t>No separate deliverable explicitly named</t>
        </is>
      </c>
    </row>
    <row r="2080">
      <c r="A2080" s="208" t="inlineStr">
        <is>
          <t>RTM-637</t>
        </is>
      </c>
      <c r="B2080" s="226" t="inlineStr">
        <is>
          <t>L6 Site Acceptance Testing</t>
        </is>
      </c>
      <c r="C2080" s="208" t="n">
        <v>8</v>
      </c>
      <c r="D2080" s="208" t="inlineStr">
        <is>
          <t>T3 Contextual</t>
        </is>
      </c>
      <c r="E2080" s="208" t="inlineStr">
        <is>
          <t>Contract Performance</t>
        </is>
      </c>
      <c r="F2080" s="208" t="n">
        <v>13</v>
      </c>
      <c r="G2080" s="208" t="n">
        <v>700</v>
      </c>
      <c r="H2080" s="208" t="inlineStr">
        <is>
          <t>No separate deliverable explicitly named</t>
        </is>
      </c>
    </row>
    <row r="2081">
      <c r="A2081" s="199" t="inlineStr">
        <is>
          <t>RTM-639</t>
        </is>
      </c>
      <c r="B2081" s="221" t="inlineStr">
        <is>
          <t>L0 Tender / Offer</t>
        </is>
      </c>
      <c r="C2081" s="199" t="n">
        <v>1</v>
      </c>
      <c r="D2081" s="199" t="inlineStr">
        <is>
          <t>T3 Contextual</t>
        </is>
      </c>
      <c r="E2081" s="199" t="inlineStr">
        <is>
          <t>Contract Performance</t>
        </is>
      </c>
      <c r="F2081" s="199" t="n">
        <v>13</v>
      </c>
      <c r="G2081" s="199" t="n">
        <v>701</v>
      </c>
      <c r="H2081" s="199" t="inlineStr">
        <is>
          <t>No separate deliverable explicitly named</t>
        </is>
      </c>
    </row>
    <row r="2082">
      <c r="A2082" s="208" t="inlineStr">
        <is>
          <t>RTM-639</t>
        </is>
      </c>
      <c r="B2082" s="222" t="inlineStr">
        <is>
          <t>L1 Conceptual Design</t>
        </is>
      </c>
      <c r="C2082" s="208" t="n">
        <v>2</v>
      </c>
      <c r="D2082" s="208" t="inlineStr">
        <is>
          <t>T3 Contextual</t>
        </is>
      </c>
      <c r="E2082" s="208" t="inlineStr">
        <is>
          <t>Contract Performance</t>
        </is>
      </c>
      <c r="F2082" s="208" t="n">
        <v>13</v>
      </c>
      <c r="G2082" s="208" t="n">
        <v>701</v>
      </c>
      <c r="H2082" s="208" t="inlineStr">
        <is>
          <t>No separate deliverable explicitly named</t>
        </is>
      </c>
    </row>
    <row r="2083">
      <c r="A2083" s="199" t="inlineStr">
        <is>
          <t>RTM-639</t>
        </is>
      </c>
      <c r="B2083" s="223" t="inlineStr">
        <is>
          <t>L2 Detailed Design</t>
        </is>
      </c>
      <c r="C2083" s="199" t="n">
        <v>3</v>
      </c>
      <c r="D2083" s="199" t="inlineStr">
        <is>
          <t>T3 Contextual</t>
        </is>
      </c>
      <c r="E2083" s="199" t="inlineStr">
        <is>
          <t>Contract Performance</t>
        </is>
      </c>
      <c r="F2083" s="199" t="n">
        <v>13</v>
      </c>
      <c r="G2083" s="199" t="n">
        <v>701</v>
      </c>
      <c r="H2083" s="199" t="inlineStr">
        <is>
          <t>No separate deliverable explicitly named</t>
        </is>
      </c>
    </row>
    <row r="2084">
      <c r="A2084" s="208" t="inlineStr">
        <is>
          <t>RTM-639</t>
        </is>
      </c>
      <c r="B2084" s="224" t="inlineStr">
        <is>
          <t>L3 Procurement &amp; Manufacturing / FAT</t>
        </is>
      </c>
      <c r="C2084" s="208" t="n">
        <v>4</v>
      </c>
      <c r="D2084" s="208" t="inlineStr">
        <is>
          <t>T3 Contextual</t>
        </is>
      </c>
      <c r="E2084" s="208" t="inlineStr">
        <is>
          <t>Contract Performance</t>
        </is>
      </c>
      <c r="F2084" s="208" t="n">
        <v>13</v>
      </c>
      <c r="G2084" s="208" t="n">
        <v>701</v>
      </c>
      <c r="H2084" s="208" t="inlineStr">
        <is>
          <t>No separate deliverable explicitly named</t>
        </is>
      </c>
    </row>
    <row r="2085">
      <c r="A2085" s="199" t="inlineStr">
        <is>
          <t>RTM-639</t>
        </is>
      </c>
      <c r="B2085" s="220" t="inlineStr">
        <is>
          <t>L4 Installation</t>
        </is>
      </c>
      <c r="C2085" s="199" t="n">
        <v>6</v>
      </c>
      <c r="D2085" s="199" t="inlineStr">
        <is>
          <t>T3 Contextual</t>
        </is>
      </c>
      <c r="E2085" s="199" t="inlineStr">
        <is>
          <t>Contract Performance</t>
        </is>
      </c>
      <c r="F2085" s="199" t="n">
        <v>13</v>
      </c>
      <c r="G2085" s="199" t="n">
        <v>701</v>
      </c>
      <c r="H2085" s="199" t="inlineStr">
        <is>
          <t>No separate deliverable explicitly named</t>
        </is>
      </c>
    </row>
    <row r="2086">
      <c r="A2086" s="208" t="inlineStr">
        <is>
          <t>RTM-639</t>
        </is>
      </c>
      <c r="B2086" s="225" t="inlineStr">
        <is>
          <t>L5 Standalone Commissioning</t>
        </is>
      </c>
      <c r="C2086" s="208" t="n">
        <v>7</v>
      </c>
      <c r="D2086" s="208" t="inlineStr">
        <is>
          <t>T3 Contextual</t>
        </is>
      </c>
      <c r="E2086" s="208" t="inlineStr">
        <is>
          <t>Contract Performance</t>
        </is>
      </c>
      <c r="F2086" s="208" t="n">
        <v>13</v>
      </c>
      <c r="G2086" s="208" t="n">
        <v>701</v>
      </c>
      <c r="H2086" s="208" t="inlineStr">
        <is>
          <t>No separate deliverable explicitly named</t>
        </is>
      </c>
    </row>
    <row r="2087">
      <c r="A2087" s="199" t="inlineStr">
        <is>
          <t>RTM-639</t>
        </is>
      </c>
      <c r="B2087" s="226" t="inlineStr">
        <is>
          <t>L6 Site Acceptance Testing</t>
        </is>
      </c>
      <c r="C2087" s="199" t="n">
        <v>8</v>
      </c>
      <c r="D2087" s="199" t="inlineStr">
        <is>
          <t>T3 Contextual</t>
        </is>
      </c>
      <c r="E2087" s="199" t="inlineStr">
        <is>
          <t>Contract Performance</t>
        </is>
      </c>
      <c r="F2087" s="199" t="n">
        <v>13</v>
      </c>
      <c r="G2087" s="199" t="n">
        <v>701</v>
      </c>
      <c r="H2087" s="199" t="inlineStr">
        <is>
          <t>No separate deliverable explicitly named</t>
        </is>
      </c>
    </row>
    <row r="2088">
      <c r="A2088" s="208" t="inlineStr">
        <is>
          <t>RTM-472</t>
        </is>
      </c>
      <c r="B2088" s="220" t="inlineStr">
        <is>
          <t>L4 Installation</t>
        </is>
      </c>
      <c r="C2088" s="208" t="n">
        <v>6</v>
      </c>
      <c r="D2088" s="208" t="inlineStr">
        <is>
          <t>T3 Contextual</t>
        </is>
      </c>
      <c r="E2088" s="208" t="inlineStr">
        <is>
          <t>Transport &amp; Logistics</t>
        </is>
      </c>
      <c r="F2088" s="208" t="n">
        <v>12</v>
      </c>
      <c r="G2088" s="208" t="n">
        <v>702</v>
      </c>
      <c r="H2088" s="208" t="inlineStr">
        <is>
          <t>No separate deliverable explicitly named</t>
        </is>
      </c>
    </row>
    <row r="2089">
      <c r="A2089" s="199" t="inlineStr">
        <is>
          <t>RTM-472</t>
        </is>
      </c>
      <c r="B2089" s="224" t="inlineStr">
        <is>
          <t>L3 Procurement &amp; Manufacturing / FAT</t>
        </is>
      </c>
      <c r="C2089" s="199" t="n">
        <v>4</v>
      </c>
      <c r="D2089" s="199" t="inlineStr">
        <is>
          <t>T3 Contextual</t>
        </is>
      </c>
      <c r="E2089" s="199" t="inlineStr">
        <is>
          <t>Transport &amp; Logistics</t>
        </is>
      </c>
      <c r="F2089" s="199" t="n">
        <v>12</v>
      </c>
      <c r="G2089" s="199" t="n">
        <v>702</v>
      </c>
      <c r="H2089" s="199" t="inlineStr">
        <is>
          <t>No separate deliverable explicitly named</t>
        </is>
      </c>
    </row>
    <row r="2090">
      <c r="A2090" s="208" t="inlineStr">
        <is>
          <t>RTM-474</t>
        </is>
      </c>
      <c r="B2090" s="224" t="inlineStr">
        <is>
          <t>L3 Procurement &amp; Manufacturing / FAT</t>
        </is>
      </c>
      <c r="C2090" s="208" t="n">
        <v>4</v>
      </c>
      <c r="D2090" s="208" t="inlineStr">
        <is>
          <t>T3 Contextual</t>
        </is>
      </c>
      <c r="E2090" s="208" t="inlineStr">
        <is>
          <t>Transport &amp; Logistics</t>
        </is>
      </c>
      <c r="F2090" s="208" t="n">
        <v>12</v>
      </c>
      <c r="G2090" s="208" t="n">
        <v>703</v>
      </c>
      <c r="H2090" s="208" t="inlineStr">
        <is>
          <t>No separate deliverable explicitly named</t>
        </is>
      </c>
    </row>
    <row r="2091">
      <c r="A2091" s="199" t="inlineStr">
        <is>
          <t>RTM-474</t>
        </is>
      </c>
      <c r="B2091" s="220" t="inlineStr">
        <is>
          <t>L4 Installation</t>
        </is>
      </c>
      <c r="C2091" s="199" t="n">
        <v>6</v>
      </c>
      <c r="D2091" s="199" t="inlineStr">
        <is>
          <t>T3 Contextual</t>
        </is>
      </c>
      <c r="E2091" s="199" t="inlineStr">
        <is>
          <t>Transport &amp; Logistics</t>
        </is>
      </c>
      <c r="F2091" s="199" t="n">
        <v>12</v>
      </c>
      <c r="G2091" s="199" t="n">
        <v>703</v>
      </c>
      <c r="H2091" s="199" t="inlineStr">
        <is>
          <t>No separate deliverable explicitly named</t>
        </is>
      </c>
    </row>
    <row r="2092">
      <c r="A2092" s="208" t="inlineStr">
        <is>
          <t>RTM-622</t>
        </is>
      </c>
      <c r="B2092" s="221" t="inlineStr">
        <is>
          <t>L0 Tender / Offer</t>
        </is>
      </c>
      <c r="C2092" s="208" t="n">
        <v>1</v>
      </c>
      <c r="D2092" s="208" t="inlineStr">
        <is>
          <t>T3 Contextual</t>
        </is>
      </c>
      <c r="E2092" s="208" t="inlineStr">
        <is>
          <t>Contract Performance</t>
        </is>
      </c>
      <c r="F2092" s="208" t="n">
        <v>12</v>
      </c>
      <c r="G2092" s="208" t="n">
        <v>704</v>
      </c>
      <c r="H2092" s="208" t="inlineStr">
        <is>
          <t>No separate deliverable explicitly named</t>
        </is>
      </c>
    </row>
    <row r="2093">
      <c r="A2093" s="199" t="inlineStr">
        <is>
          <t>RTM-622</t>
        </is>
      </c>
      <c r="B2093" s="222" t="inlineStr">
        <is>
          <t>L1 Conceptual Design</t>
        </is>
      </c>
      <c r="C2093" s="199" t="n">
        <v>2</v>
      </c>
      <c r="D2093" s="199" t="inlineStr">
        <is>
          <t>T3 Contextual</t>
        </is>
      </c>
      <c r="E2093" s="199" t="inlineStr">
        <is>
          <t>Contract Performance</t>
        </is>
      </c>
      <c r="F2093" s="199" t="n">
        <v>12</v>
      </c>
      <c r="G2093" s="199" t="n">
        <v>704</v>
      </c>
      <c r="H2093" s="199" t="inlineStr">
        <is>
          <t>No separate deliverable explicitly named</t>
        </is>
      </c>
    </row>
    <row r="2094">
      <c r="A2094" s="208" t="inlineStr">
        <is>
          <t>RTM-622</t>
        </is>
      </c>
      <c r="B2094" s="223" t="inlineStr">
        <is>
          <t>L2 Detailed Design</t>
        </is>
      </c>
      <c r="C2094" s="208" t="n">
        <v>3</v>
      </c>
      <c r="D2094" s="208" t="inlineStr">
        <is>
          <t>T3 Contextual</t>
        </is>
      </c>
      <c r="E2094" s="208" t="inlineStr">
        <is>
          <t>Contract Performance</t>
        </is>
      </c>
      <c r="F2094" s="208" t="n">
        <v>12</v>
      </c>
      <c r="G2094" s="208" t="n">
        <v>704</v>
      </c>
      <c r="H2094" s="208" t="inlineStr">
        <is>
          <t>No separate deliverable explicitly named</t>
        </is>
      </c>
    </row>
    <row r="2095">
      <c r="A2095" s="199" t="inlineStr">
        <is>
          <t>RTM-622</t>
        </is>
      </c>
      <c r="B2095" s="224" t="inlineStr">
        <is>
          <t>L3 Procurement &amp; Manufacturing / FAT</t>
        </is>
      </c>
      <c r="C2095" s="199" t="n">
        <v>4</v>
      </c>
      <c r="D2095" s="199" t="inlineStr">
        <is>
          <t>T3 Contextual</t>
        </is>
      </c>
      <c r="E2095" s="199" t="inlineStr">
        <is>
          <t>Contract Performance</t>
        </is>
      </c>
      <c r="F2095" s="199" t="n">
        <v>12</v>
      </c>
      <c r="G2095" s="199" t="n">
        <v>704</v>
      </c>
      <c r="H2095" s="199" t="inlineStr">
        <is>
          <t>No separate deliverable explicitly named</t>
        </is>
      </c>
    </row>
    <row r="2096">
      <c r="A2096" s="208" t="inlineStr">
        <is>
          <t>RTM-622</t>
        </is>
      </c>
      <c r="B2096" s="220" t="inlineStr">
        <is>
          <t>L4 Installation</t>
        </is>
      </c>
      <c r="C2096" s="208" t="n">
        <v>6</v>
      </c>
      <c r="D2096" s="208" t="inlineStr">
        <is>
          <t>T3 Contextual</t>
        </is>
      </c>
      <c r="E2096" s="208" t="inlineStr">
        <is>
          <t>Contract Performance</t>
        </is>
      </c>
      <c r="F2096" s="208" t="n">
        <v>12</v>
      </c>
      <c r="G2096" s="208" t="n">
        <v>704</v>
      </c>
      <c r="H2096" s="208" t="inlineStr">
        <is>
          <t>No separate deliverable explicitly named</t>
        </is>
      </c>
    </row>
    <row r="2097">
      <c r="A2097" s="199" t="inlineStr">
        <is>
          <t>RTM-622</t>
        </is>
      </c>
      <c r="B2097" s="225" t="inlineStr">
        <is>
          <t>L5 Standalone Commissioning</t>
        </is>
      </c>
      <c r="C2097" s="199" t="n">
        <v>7</v>
      </c>
      <c r="D2097" s="199" t="inlineStr">
        <is>
          <t>T3 Contextual</t>
        </is>
      </c>
      <c r="E2097" s="199" t="inlineStr">
        <is>
          <t>Contract Performance</t>
        </is>
      </c>
      <c r="F2097" s="199" t="n">
        <v>12</v>
      </c>
      <c r="G2097" s="199" t="n">
        <v>704</v>
      </c>
      <c r="H2097" s="199" t="inlineStr">
        <is>
          <t>No separate deliverable explicitly named</t>
        </is>
      </c>
    </row>
    <row r="2098">
      <c r="A2098" s="208" t="inlineStr">
        <is>
          <t>RTM-622</t>
        </is>
      </c>
      <c r="B2098" s="226" t="inlineStr">
        <is>
          <t>L6 Site Acceptance Testing</t>
        </is>
      </c>
      <c r="C2098" s="208" t="n">
        <v>8</v>
      </c>
      <c r="D2098" s="208" t="inlineStr">
        <is>
          <t>T3 Contextual</t>
        </is>
      </c>
      <c r="E2098" s="208" t="inlineStr">
        <is>
          <t>Contract Performance</t>
        </is>
      </c>
      <c r="F2098" s="208" t="n">
        <v>12</v>
      </c>
      <c r="G2098" s="208" t="n">
        <v>704</v>
      </c>
      <c r="H2098" s="208" t="inlineStr">
        <is>
          <t>No separate deliverable explicitly named</t>
        </is>
      </c>
    </row>
    <row r="2099">
      <c r="A2099" s="199" t="inlineStr">
        <is>
          <t>RTM-623</t>
        </is>
      </c>
      <c r="B2099" s="221" t="inlineStr">
        <is>
          <t>L0 Tender / Offer</t>
        </is>
      </c>
      <c r="C2099" s="199" t="n">
        <v>1</v>
      </c>
      <c r="D2099" s="199" t="inlineStr">
        <is>
          <t>T3 Contextual</t>
        </is>
      </c>
      <c r="E2099" s="199" t="inlineStr">
        <is>
          <t>Contract Performance</t>
        </is>
      </c>
      <c r="F2099" s="199" t="n">
        <v>12</v>
      </c>
      <c r="G2099" s="199" t="n">
        <v>705</v>
      </c>
      <c r="H2099" s="199" t="inlineStr">
        <is>
          <t>No separate deliverable explicitly named</t>
        </is>
      </c>
    </row>
    <row r="2100">
      <c r="A2100" s="208" t="inlineStr">
        <is>
          <t>RTM-623</t>
        </is>
      </c>
      <c r="B2100" s="222" t="inlineStr">
        <is>
          <t>L1 Conceptual Design</t>
        </is>
      </c>
      <c r="C2100" s="208" t="n">
        <v>2</v>
      </c>
      <c r="D2100" s="208" t="inlineStr">
        <is>
          <t>T3 Contextual</t>
        </is>
      </c>
      <c r="E2100" s="208" t="inlineStr">
        <is>
          <t>Contract Performance</t>
        </is>
      </c>
      <c r="F2100" s="208" t="n">
        <v>12</v>
      </c>
      <c r="G2100" s="208" t="n">
        <v>705</v>
      </c>
      <c r="H2100" s="208" t="inlineStr">
        <is>
          <t>No separate deliverable explicitly named</t>
        </is>
      </c>
    </row>
    <row r="2101">
      <c r="A2101" s="199" t="inlineStr">
        <is>
          <t>RTM-623</t>
        </is>
      </c>
      <c r="B2101" s="223" t="inlineStr">
        <is>
          <t>L2 Detailed Design</t>
        </is>
      </c>
      <c r="C2101" s="199" t="n">
        <v>3</v>
      </c>
      <c r="D2101" s="199" t="inlineStr">
        <is>
          <t>T3 Contextual</t>
        </is>
      </c>
      <c r="E2101" s="199" t="inlineStr">
        <is>
          <t>Contract Performance</t>
        </is>
      </c>
      <c r="F2101" s="199" t="n">
        <v>12</v>
      </c>
      <c r="G2101" s="199" t="n">
        <v>705</v>
      </c>
      <c r="H2101" s="199" t="inlineStr">
        <is>
          <t>No separate deliverable explicitly named</t>
        </is>
      </c>
    </row>
    <row r="2102">
      <c r="A2102" s="208" t="inlineStr">
        <is>
          <t>RTM-623</t>
        </is>
      </c>
      <c r="B2102" s="224" t="inlineStr">
        <is>
          <t>L3 Procurement &amp; Manufacturing / FAT</t>
        </is>
      </c>
      <c r="C2102" s="208" t="n">
        <v>4</v>
      </c>
      <c r="D2102" s="208" t="inlineStr">
        <is>
          <t>T3 Contextual</t>
        </is>
      </c>
      <c r="E2102" s="208" t="inlineStr">
        <is>
          <t>Contract Performance</t>
        </is>
      </c>
      <c r="F2102" s="208" t="n">
        <v>12</v>
      </c>
      <c r="G2102" s="208" t="n">
        <v>705</v>
      </c>
      <c r="H2102" s="208" t="inlineStr">
        <is>
          <t>No separate deliverable explicitly named</t>
        </is>
      </c>
    </row>
    <row r="2103">
      <c r="A2103" s="199" t="inlineStr">
        <is>
          <t>RTM-623</t>
        </is>
      </c>
      <c r="B2103" s="220" t="inlineStr">
        <is>
          <t>L4 Installation</t>
        </is>
      </c>
      <c r="C2103" s="199" t="n">
        <v>6</v>
      </c>
      <c r="D2103" s="199" t="inlineStr">
        <is>
          <t>T3 Contextual</t>
        </is>
      </c>
      <c r="E2103" s="199" t="inlineStr">
        <is>
          <t>Contract Performance</t>
        </is>
      </c>
      <c r="F2103" s="199" t="n">
        <v>12</v>
      </c>
      <c r="G2103" s="199" t="n">
        <v>705</v>
      </c>
      <c r="H2103" s="199" t="inlineStr">
        <is>
          <t>No separate deliverable explicitly named</t>
        </is>
      </c>
    </row>
    <row r="2104">
      <c r="A2104" s="208" t="inlineStr">
        <is>
          <t>RTM-623</t>
        </is>
      </c>
      <c r="B2104" s="225" t="inlineStr">
        <is>
          <t>L5 Standalone Commissioning</t>
        </is>
      </c>
      <c r="C2104" s="208" t="n">
        <v>7</v>
      </c>
      <c r="D2104" s="208" t="inlineStr">
        <is>
          <t>T3 Contextual</t>
        </is>
      </c>
      <c r="E2104" s="208" t="inlineStr">
        <is>
          <t>Contract Performance</t>
        </is>
      </c>
      <c r="F2104" s="208" t="n">
        <v>12</v>
      </c>
      <c r="G2104" s="208" t="n">
        <v>705</v>
      </c>
      <c r="H2104" s="208" t="inlineStr">
        <is>
          <t>No separate deliverable explicitly named</t>
        </is>
      </c>
    </row>
    <row r="2105">
      <c r="A2105" s="199" t="inlineStr">
        <is>
          <t>RTM-623</t>
        </is>
      </c>
      <c r="B2105" s="226" t="inlineStr">
        <is>
          <t>L6 Site Acceptance Testing</t>
        </is>
      </c>
      <c r="C2105" s="199" t="n">
        <v>8</v>
      </c>
      <c r="D2105" s="199" t="inlineStr">
        <is>
          <t>T3 Contextual</t>
        </is>
      </c>
      <c r="E2105" s="199" t="inlineStr">
        <is>
          <t>Contract Performance</t>
        </is>
      </c>
      <c r="F2105" s="199" t="n">
        <v>12</v>
      </c>
      <c r="G2105" s="199" t="n">
        <v>705</v>
      </c>
      <c r="H2105" s="199" t="inlineStr">
        <is>
          <t>No separate deliverable explicitly named</t>
        </is>
      </c>
    </row>
    <row r="2106">
      <c r="A2106" s="208" t="inlineStr">
        <is>
          <t>RTM-625</t>
        </is>
      </c>
      <c r="B2106" s="221" t="inlineStr">
        <is>
          <t>L0 Tender / Offer</t>
        </is>
      </c>
      <c r="C2106" s="208" t="n">
        <v>1</v>
      </c>
      <c r="D2106" s="208" t="inlineStr">
        <is>
          <t>T3 Contextual</t>
        </is>
      </c>
      <c r="E2106" s="208" t="inlineStr">
        <is>
          <t>Contract Performance</t>
        </is>
      </c>
      <c r="F2106" s="208" t="n">
        <v>12</v>
      </c>
      <c r="G2106" s="208" t="n">
        <v>706</v>
      </c>
      <c r="H2106" s="208" t="inlineStr">
        <is>
          <t>No separate deliverable explicitly named</t>
        </is>
      </c>
    </row>
    <row r="2107">
      <c r="A2107" s="199" t="inlineStr">
        <is>
          <t>RTM-625</t>
        </is>
      </c>
      <c r="B2107" s="222" t="inlineStr">
        <is>
          <t>L1 Conceptual Design</t>
        </is>
      </c>
      <c r="C2107" s="199" t="n">
        <v>2</v>
      </c>
      <c r="D2107" s="199" t="inlineStr">
        <is>
          <t>T3 Contextual</t>
        </is>
      </c>
      <c r="E2107" s="199" t="inlineStr">
        <is>
          <t>Contract Performance</t>
        </is>
      </c>
      <c r="F2107" s="199" t="n">
        <v>12</v>
      </c>
      <c r="G2107" s="199" t="n">
        <v>706</v>
      </c>
      <c r="H2107" s="199" t="inlineStr">
        <is>
          <t>No separate deliverable explicitly named</t>
        </is>
      </c>
    </row>
    <row r="2108">
      <c r="A2108" s="208" t="inlineStr">
        <is>
          <t>RTM-625</t>
        </is>
      </c>
      <c r="B2108" s="223" t="inlineStr">
        <is>
          <t>L2 Detailed Design</t>
        </is>
      </c>
      <c r="C2108" s="208" t="n">
        <v>3</v>
      </c>
      <c r="D2108" s="208" t="inlineStr">
        <is>
          <t>T3 Contextual</t>
        </is>
      </c>
      <c r="E2108" s="208" t="inlineStr">
        <is>
          <t>Contract Performance</t>
        </is>
      </c>
      <c r="F2108" s="208" t="n">
        <v>12</v>
      </c>
      <c r="G2108" s="208" t="n">
        <v>706</v>
      </c>
      <c r="H2108" s="208" t="inlineStr">
        <is>
          <t>No separate deliverable explicitly named</t>
        </is>
      </c>
    </row>
    <row r="2109">
      <c r="A2109" s="199" t="inlineStr">
        <is>
          <t>RTM-625</t>
        </is>
      </c>
      <c r="B2109" s="224" t="inlineStr">
        <is>
          <t>L3 Procurement &amp; Manufacturing / FAT</t>
        </is>
      </c>
      <c r="C2109" s="199" t="n">
        <v>4</v>
      </c>
      <c r="D2109" s="199" t="inlineStr">
        <is>
          <t>T3 Contextual</t>
        </is>
      </c>
      <c r="E2109" s="199" t="inlineStr">
        <is>
          <t>Contract Performance</t>
        </is>
      </c>
      <c r="F2109" s="199" t="n">
        <v>12</v>
      </c>
      <c r="G2109" s="199" t="n">
        <v>706</v>
      </c>
      <c r="H2109" s="199" t="inlineStr">
        <is>
          <t>No separate deliverable explicitly named</t>
        </is>
      </c>
    </row>
    <row r="2110">
      <c r="A2110" s="208" t="inlineStr">
        <is>
          <t>RTM-625</t>
        </is>
      </c>
      <c r="B2110" s="220" t="inlineStr">
        <is>
          <t>L4 Installation</t>
        </is>
      </c>
      <c r="C2110" s="208" t="n">
        <v>6</v>
      </c>
      <c r="D2110" s="208" t="inlineStr">
        <is>
          <t>T3 Contextual</t>
        </is>
      </c>
      <c r="E2110" s="208" t="inlineStr">
        <is>
          <t>Contract Performance</t>
        </is>
      </c>
      <c r="F2110" s="208" t="n">
        <v>12</v>
      </c>
      <c r="G2110" s="208" t="n">
        <v>706</v>
      </c>
      <c r="H2110" s="208" t="inlineStr">
        <is>
          <t>No separate deliverable explicitly named</t>
        </is>
      </c>
    </row>
    <row r="2111">
      <c r="A2111" s="199" t="inlineStr">
        <is>
          <t>RTM-625</t>
        </is>
      </c>
      <c r="B2111" s="225" t="inlineStr">
        <is>
          <t>L5 Standalone Commissioning</t>
        </is>
      </c>
      <c r="C2111" s="199" t="n">
        <v>7</v>
      </c>
      <c r="D2111" s="199" t="inlineStr">
        <is>
          <t>T3 Contextual</t>
        </is>
      </c>
      <c r="E2111" s="199" t="inlineStr">
        <is>
          <t>Contract Performance</t>
        </is>
      </c>
      <c r="F2111" s="199" t="n">
        <v>12</v>
      </c>
      <c r="G2111" s="199" t="n">
        <v>706</v>
      </c>
      <c r="H2111" s="199" t="inlineStr">
        <is>
          <t>No separate deliverable explicitly named</t>
        </is>
      </c>
    </row>
    <row r="2112">
      <c r="A2112" s="208" t="inlineStr">
        <is>
          <t>RTM-625</t>
        </is>
      </c>
      <c r="B2112" s="226" t="inlineStr">
        <is>
          <t>L6 Site Acceptance Testing</t>
        </is>
      </c>
      <c r="C2112" s="208" t="n">
        <v>8</v>
      </c>
      <c r="D2112" s="208" t="inlineStr">
        <is>
          <t>T3 Contextual</t>
        </is>
      </c>
      <c r="E2112" s="208" t="inlineStr">
        <is>
          <t>Contract Performance</t>
        </is>
      </c>
      <c r="F2112" s="208" t="n">
        <v>12</v>
      </c>
      <c r="G2112" s="208" t="n">
        <v>706</v>
      </c>
      <c r="H2112" s="208" t="inlineStr">
        <is>
          <t>No separate deliverable explicitly named</t>
        </is>
      </c>
    </row>
    <row r="2113">
      <c r="A2113" s="199" t="inlineStr">
        <is>
          <t>RTM-626</t>
        </is>
      </c>
      <c r="B2113" s="221" t="inlineStr">
        <is>
          <t>L0 Tender / Offer</t>
        </is>
      </c>
      <c r="C2113" s="199" t="n">
        <v>1</v>
      </c>
      <c r="D2113" s="199" t="inlineStr">
        <is>
          <t>T3 Contextual</t>
        </is>
      </c>
      <c r="E2113" s="199" t="inlineStr">
        <is>
          <t>Contract Performance</t>
        </is>
      </c>
      <c r="F2113" s="199" t="n">
        <v>12</v>
      </c>
      <c r="G2113" s="199" t="n">
        <v>707</v>
      </c>
      <c r="H2113" s="199" t="inlineStr">
        <is>
          <t>No separate deliverable explicitly named</t>
        </is>
      </c>
    </row>
    <row r="2114">
      <c r="A2114" s="208" t="inlineStr">
        <is>
          <t>RTM-626</t>
        </is>
      </c>
      <c r="B2114" s="222" t="inlineStr">
        <is>
          <t>L1 Conceptual Design</t>
        </is>
      </c>
      <c r="C2114" s="208" t="n">
        <v>2</v>
      </c>
      <c r="D2114" s="208" t="inlineStr">
        <is>
          <t>T3 Contextual</t>
        </is>
      </c>
      <c r="E2114" s="208" t="inlineStr">
        <is>
          <t>Contract Performance</t>
        </is>
      </c>
      <c r="F2114" s="208" t="n">
        <v>12</v>
      </c>
      <c r="G2114" s="208" t="n">
        <v>707</v>
      </c>
      <c r="H2114" s="208" t="inlineStr">
        <is>
          <t>No separate deliverable explicitly named</t>
        </is>
      </c>
    </row>
    <row r="2115">
      <c r="A2115" s="199" t="inlineStr">
        <is>
          <t>RTM-626</t>
        </is>
      </c>
      <c r="B2115" s="223" t="inlineStr">
        <is>
          <t>L2 Detailed Design</t>
        </is>
      </c>
      <c r="C2115" s="199" t="n">
        <v>3</v>
      </c>
      <c r="D2115" s="199" t="inlineStr">
        <is>
          <t>T3 Contextual</t>
        </is>
      </c>
      <c r="E2115" s="199" t="inlineStr">
        <is>
          <t>Contract Performance</t>
        </is>
      </c>
      <c r="F2115" s="199" t="n">
        <v>12</v>
      </c>
      <c r="G2115" s="199" t="n">
        <v>707</v>
      </c>
      <c r="H2115" s="199" t="inlineStr">
        <is>
          <t>No separate deliverable explicitly named</t>
        </is>
      </c>
    </row>
    <row r="2116">
      <c r="A2116" s="208" t="inlineStr">
        <is>
          <t>RTM-626</t>
        </is>
      </c>
      <c r="B2116" s="224" t="inlineStr">
        <is>
          <t>L3 Procurement &amp; Manufacturing / FAT</t>
        </is>
      </c>
      <c r="C2116" s="208" t="n">
        <v>4</v>
      </c>
      <c r="D2116" s="208" t="inlineStr">
        <is>
          <t>T3 Contextual</t>
        </is>
      </c>
      <c r="E2116" s="208" t="inlineStr">
        <is>
          <t>Contract Performance</t>
        </is>
      </c>
      <c r="F2116" s="208" t="n">
        <v>12</v>
      </c>
      <c r="G2116" s="208" t="n">
        <v>707</v>
      </c>
      <c r="H2116" s="208" t="inlineStr">
        <is>
          <t>No separate deliverable explicitly named</t>
        </is>
      </c>
    </row>
    <row r="2117">
      <c r="A2117" s="199" t="inlineStr">
        <is>
          <t>RTM-626</t>
        </is>
      </c>
      <c r="B2117" s="220" t="inlineStr">
        <is>
          <t>L4 Installation</t>
        </is>
      </c>
      <c r="C2117" s="199" t="n">
        <v>6</v>
      </c>
      <c r="D2117" s="199" t="inlineStr">
        <is>
          <t>T3 Contextual</t>
        </is>
      </c>
      <c r="E2117" s="199" t="inlineStr">
        <is>
          <t>Contract Performance</t>
        </is>
      </c>
      <c r="F2117" s="199" t="n">
        <v>12</v>
      </c>
      <c r="G2117" s="199" t="n">
        <v>707</v>
      </c>
      <c r="H2117" s="199" t="inlineStr">
        <is>
          <t>No separate deliverable explicitly named</t>
        </is>
      </c>
    </row>
    <row r="2118">
      <c r="A2118" s="208" t="inlineStr">
        <is>
          <t>RTM-626</t>
        </is>
      </c>
      <c r="B2118" s="225" t="inlineStr">
        <is>
          <t>L5 Standalone Commissioning</t>
        </is>
      </c>
      <c r="C2118" s="208" t="n">
        <v>7</v>
      </c>
      <c r="D2118" s="208" t="inlineStr">
        <is>
          <t>T3 Contextual</t>
        </is>
      </c>
      <c r="E2118" s="208" t="inlineStr">
        <is>
          <t>Contract Performance</t>
        </is>
      </c>
      <c r="F2118" s="208" t="n">
        <v>12</v>
      </c>
      <c r="G2118" s="208" t="n">
        <v>707</v>
      </c>
      <c r="H2118" s="208" t="inlineStr">
        <is>
          <t>No separate deliverable explicitly named</t>
        </is>
      </c>
    </row>
    <row r="2119">
      <c r="A2119" s="199" t="inlineStr">
        <is>
          <t>RTM-626</t>
        </is>
      </c>
      <c r="B2119" s="226" t="inlineStr">
        <is>
          <t>L6 Site Acceptance Testing</t>
        </is>
      </c>
      <c r="C2119" s="199" t="n">
        <v>8</v>
      </c>
      <c r="D2119" s="199" t="inlineStr">
        <is>
          <t>T3 Contextual</t>
        </is>
      </c>
      <c r="E2119" s="199" t="inlineStr">
        <is>
          <t>Contract Performance</t>
        </is>
      </c>
      <c r="F2119" s="199" t="n">
        <v>12</v>
      </c>
      <c r="G2119" s="199" t="n">
        <v>707</v>
      </c>
      <c r="H2119" s="199" t="inlineStr">
        <is>
          <t>No separate deliverable explicitly named</t>
        </is>
      </c>
    </row>
    <row r="2120">
      <c r="A2120" s="208" t="inlineStr">
        <is>
          <t>RTM-627</t>
        </is>
      </c>
      <c r="B2120" s="221" t="inlineStr">
        <is>
          <t>L0 Tender / Offer</t>
        </is>
      </c>
      <c r="C2120" s="208" t="n">
        <v>1</v>
      </c>
      <c r="D2120" s="208" t="inlineStr">
        <is>
          <t>T3 Contextual</t>
        </is>
      </c>
      <c r="E2120" s="208" t="inlineStr">
        <is>
          <t>Contract Performance</t>
        </is>
      </c>
      <c r="F2120" s="208" t="n">
        <v>12</v>
      </c>
      <c r="G2120" s="208" t="n">
        <v>708</v>
      </c>
      <c r="H2120" s="208" t="inlineStr">
        <is>
          <t>No separate deliverable explicitly named</t>
        </is>
      </c>
    </row>
    <row r="2121">
      <c r="A2121" s="199" t="inlineStr">
        <is>
          <t>RTM-627</t>
        </is>
      </c>
      <c r="B2121" s="222" t="inlineStr">
        <is>
          <t>L1 Conceptual Design</t>
        </is>
      </c>
      <c r="C2121" s="199" t="n">
        <v>2</v>
      </c>
      <c r="D2121" s="199" t="inlineStr">
        <is>
          <t>T3 Contextual</t>
        </is>
      </c>
      <c r="E2121" s="199" t="inlineStr">
        <is>
          <t>Contract Performance</t>
        </is>
      </c>
      <c r="F2121" s="199" t="n">
        <v>12</v>
      </c>
      <c r="G2121" s="199" t="n">
        <v>708</v>
      </c>
      <c r="H2121" s="199" t="inlineStr">
        <is>
          <t>No separate deliverable explicitly named</t>
        </is>
      </c>
    </row>
    <row r="2122">
      <c r="A2122" s="208" t="inlineStr">
        <is>
          <t>RTM-627</t>
        </is>
      </c>
      <c r="B2122" s="223" t="inlineStr">
        <is>
          <t>L2 Detailed Design</t>
        </is>
      </c>
      <c r="C2122" s="208" t="n">
        <v>3</v>
      </c>
      <c r="D2122" s="208" t="inlineStr">
        <is>
          <t>T3 Contextual</t>
        </is>
      </c>
      <c r="E2122" s="208" t="inlineStr">
        <is>
          <t>Contract Performance</t>
        </is>
      </c>
      <c r="F2122" s="208" t="n">
        <v>12</v>
      </c>
      <c r="G2122" s="208" t="n">
        <v>708</v>
      </c>
      <c r="H2122" s="208" t="inlineStr">
        <is>
          <t>No separate deliverable explicitly named</t>
        </is>
      </c>
    </row>
    <row r="2123">
      <c r="A2123" s="199" t="inlineStr">
        <is>
          <t>RTM-627</t>
        </is>
      </c>
      <c r="B2123" s="224" t="inlineStr">
        <is>
          <t>L3 Procurement &amp; Manufacturing / FAT</t>
        </is>
      </c>
      <c r="C2123" s="199" t="n">
        <v>4</v>
      </c>
      <c r="D2123" s="199" t="inlineStr">
        <is>
          <t>T3 Contextual</t>
        </is>
      </c>
      <c r="E2123" s="199" t="inlineStr">
        <is>
          <t>Contract Performance</t>
        </is>
      </c>
      <c r="F2123" s="199" t="n">
        <v>12</v>
      </c>
      <c r="G2123" s="199" t="n">
        <v>708</v>
      </c>
      <c r="H2123" s="199" t="inlineStr">
        <is>
          <t>No separate deliverable explicitly named</t>
        </is>
      </c>
    </row>
    <row r="2124">
      <c r="A2124" s="208" t="inlineStr">
        <is>
          <t>RTM-627</t>
        </is>
      </c>
      <c r="B2124" s="220" t="inlineStr">
        <is>
          <t>L4 Installation</t>
        </is>
      </c>
      <c r="C2124" s="208" t="n">
        <v>6</v>
      </c>
      <c r="D2124" s="208" t="inlineStr">
        <is>
          <t>T3 Contextual</t>
        </is>
      </c>
      <c r="E2124" s="208" t="inlineStr">
        <is>
          <t>Contract Performance</t>
        </is>
      </c>
      <c r="F2124" s="208" t="n">
        <v>12</v>
      </c>
      <c r="G2124" s="208" t="n">
        <v>708</v>
      </c>
      <c r="H2124" s="208" t="inlineStr">
        <is>
          <t>No separate deliverable explicitly named</t>
        </is>
      </c>
    </row>
    <row r="2125">
      <c r="A2125" s="199" t="inlineStr">
        <is>
          <t>RTM-627</t>
        </is>
      </c>
      <c r="B2125" s="225" t="inlineStr">
        <is>
          <t>L5 Standalone Commissioning</t>
        </is>
      </c>
      <c r="C2125" s="199" t="n">
        <v>7</v>
      </c>
      <c r="D2125" s="199" t="inlineStr">
        <is>
          <t>T3 Contextual</t>
        </is>
      </c>
      <c r="E2125" s="199" t="inlineStr">
        <is>
          <t>Contract Performance</t>
        </is>
      </c>
      <c r="F2125" s="199" t="n">
        <v>12</v>
      </c>
      <c r="G2125" s="199" t="n">
        <v>708</v>
      </c>
      <c r="H2125" s="199" t="inlineStr">
        <is>
          <t>No separate deliverable explicitly named</t>
        </is>
      </c>
    </row>
    <row r="2126">
      <c r="A2126" s="208" t="inlineStr">
        <is>
          <t>RTM-627</t>
        </is>
      </c>
      <c r="B2126" s="226" t="inlineStr">
        <is>
          <t>L6 Site Acceptance Testing</t>
        </is>
      </c>
      <c r="C2126" s="208" t="n">
        <v>8</v>
      </c>
      <c r="D2126" s="208" t="inlineStr">
        <is>
          <t>T3 Contextual</t>
        </is>
      </c>
      <c r="E2126" s="208" t="inlineStr">
        <is>
          <t>Contract Performance</t>
        </is>
      </c>
      <c r="F2126" s="208" t="n">
        <v>12</v>
      </c>
      <c r="G2126" s="208" t="n">
        <v>708</v>
      </c>
      <c r="H2126" s="208" t="inlineStr">
        <is>
          <t>No separate deliverable explicitly named</t>
        </is>
      </c>
    </row>
    <row r="2127">
      <c r="A2127" s="199" t="inlineStr">
        <is>
          <t>RTM-628</t>
        </is>
      </c>
      <c r="B2127" s="221" t="inlineStr">
        <is>
          <t>L0 Tender / Offer</t>
        </is>
      </c>
      <c r="C2127" s="199" t="n">
        <v>1</v>
      </c>
      <c r="D2127" s="199" t="inlineStr">
        <is>
          <t>T3 Contextual</t>
        </is>
      </c>
      <c r="E2127" s="199" t="inlineStr">
        <is>
          <t>Contract Performance</t>
        </is>
      </c>
      <c r="F2127" s="199" t="n">
        <v>12</v>
      </c>
      <c r="G2127" s="199" t="n">
        <v>709</v>
      </c>
      <c r="H2127" s="199" t="inlineStr">
        <is>
          <t>Schedule / milestone plan</t>
        </is>
      </c>
    </row>
    <row r="2128">
      <c r="A2128" s="208" t="inlineStr">
        <is>
          <t>RTM-628</t>
        </is>
      </c>
      <c r="B2128" s="222" t="inlineStr">
        <is>
          <t>L1 Conceptual Design</t>
        </is>
      </c>
      <c r="C2128" s="208" t="n">
        <v>2</v>
      </c>
      <c r="D2128" s="208" t="inlineStr">
        <is>
          <t>T3 Contextual</t>
        </is>
      </c>
      <c r="E2128" s="208" t="inlineStr">
        <is>
          <t>Contract Performance</t>
        </is>
      </c>
      <c r="F2128" s="208" t="n">
        <v>12</v>
      </c>
      <c r="G2128" s="208" t="n">
        <v>709</v>
      </c>
      <c r="H2128" s="208" t="inlineStr">
        <is>
          <t>Schedule / milestone plan</t>
        </is>
      </c>
    </row>
    <row r="2129">
      <c r="A2129" s="199" t="inlineStr">
        <is>
          <t>RTM-628</t>
        </is>
      </c>
      <c r="B2129" s="223" t="inlineStr">
        <is>
          <t>L2 Detailed Design</t>
        </is>
      </c>
      <c r="C2129" s="199" t="n">
        <v>3</v>
      </c>
      <c r="D2129" s="199" t="inlineStr">
        <is>
          <t>T3 Contextual</t>
        </is>
      </c>
      <c r="E2129" s="199" t="inlineStr">
        <is>
          <t>Contract Performance</t>
        </is>
      </c>
      <c r="F2129" s="199" t="n">
        <v>12</v>
      </c>
      <c r="G2129" s="199" t="n">
        <v>709</v>
      </c>
      <c r="H2129" s="199" t="inlineStr">
        <is>
          <t>Schedule / milestone plan</t>
        </is>
      </c>
    </row>
    <row r="2130">
      <c r="A2130" s="208" t="inlineStr">
        <is>
          <t>RTM-628</t>
        </is>
      </c>
      <c r="B2130" s="224" t="inlineStr">
        <is>
          <t>L3 Procurement &amp; Manufacturing / FAT</t>
        </is>
      </c>
      <c r="C2130" s="208" t="n">
        <v>4</v>
      </c>
      <c r="D2130" s="208" t="inlineStr">
        <is>
          <t>T3 Contextual</t>
        </is>
      </c>
      <c r="E2130" s="208" t="inlineStr">
        <is>
          <t>Contract Performance</t>
        </is>
      </c>
      <c r="F2130" s="208" t="n">
        <v>12</v>
      </c>
      <c r="G2130" s="208" t="n">
        <v>709</v>
      </c>
      <c r="H2130" s="208" t="inlineStr">
        <is>
          <t>Schedule / milestone plan</t>
        </is>
      </c>
    </row>
    <row r="2131">
      <c r="A2131" s="199" t="inlineStr">
        <is>
          <t>RTM-628</t>
        </is>
      </c>
      <c r="B2131" s="220" t="inlineStr">
        <is>
          <t>L4 Installation</t>
        </is>
      </c>
      <c r="C2131" s="199" t="n">
        <v>6</v>
      </c>
      <c r="D2131" s="199" t="inlineStr">
        <is>
          <t>T3 Contextual</t>
        </is>
      </c>
      <c r="E2131" s="199" t="inlineStr">
        <is>
          <t>Contract Performance</t>
        </is>
      </c>
      <c r="F2131" s="199" t="n">
        <v>12</v>
      </c>
      <c r="G2131" s="199" t="n">
        <v>709</v>
      </c>
      <c r="H2131" s="199" t="inlineStr">
        <is>
          <t>Schedule / milestone plan</t>
        </is>
      </c>
    </row>
    <row r="2132">
      <c r="A2132" s="208" t="inlineStr">
        <is>
          <t>RTM-628</t>
        </is>
      </c>
      <c r="B2132" s="225" t="inlineStr">
        <is>
          <t>L5 Standalone Commissioning</t>
        </is>
      </c>
      <c r="C2132" s="208" t="n">
        <v>7</v>
      </c>
      <c r="D2132" s="208" t="inlineStr">
        <is>
          <t>T3 Contextual</t>
        </is>
      </c>
      <c r="E2132" s="208" t="inlineStr">
        <is>
          <t>Contract Performance</t>
        </is>
      </c>
      <c r="F2132" s="208" t="n">
        <v>12</v>
      </c>
      <c r="G2132" s="208" t="n">
        <v>709</v>
      </c>
      <c r="H2132" s="208" t="inlineStr">
        <is>
          <t>Schedule / milestone plan</t>
        </is>
      </c>
    </row>
    <row r="2133">
      <c r="A2133" s="199" t="inlineStr">
        <is>
          <t>RTM-628</t>
        </is>
      </c>
      <c r="B2133" s="226" t="inlineStr">
        <is>
          <t>L6 Site Acceptance Testing</t>
        </is>
      </c>
      <c r="C2133" s="199" t="n">
        <v>8</v>
      </c>
      <c r="D2133" s="199" t="inlineStr">
        <is>
          <t>T3 Contextual</t>
        </is>
      </c>
      <c r="E2133" s="199" t="inlineStr">
        <is>
          <t>Contract Performance</t>
        </is>
      </c>
      <c r="F2133" s="199" t="n">
        <v>12</v>
      </c>
      <c r="G2133" s="199" t="n">
        <v>709</v>
      </c>
      <c r="H2133" s="199" t="inlineStr">
        <is>
          <t>Schedule / milestone plan</t>
        </is>
      </c>
    </row>
    <row r="2134">
      <c r="A2134" s="208" t="inlineStr">
        <is>
          <t>RTM-640</t>
        </is>
      </c>
      <c r="B2134" s="221" t="inlineStr">
        <is>
          <t>L0 Tender / Offer</t>
        </is>
      </c>
      <c r="C2134" s="208" t="n">
        <v>1</v>
      </c>
      <c r="D2134" s="208" t="inlineStr">
        <is>
          <t>T3 Contextual</t>
        </is>
      </c>
      <c r="E2134" s="208" t="inlineStr">
        <is>
          <t>Contract Performance</t>
        </is>
      </c>
      <c r="F2134" s="208" t="n">
        <v>12</v>
      </c>
      <c r="G2134" s="208" t="n">
        <v>710</v>
      </c>
      <c r="H2134" s="208" t="inlineStr">
        <is>
          <t>Risk Assessment / HAZOP / FMECA</t>
        </is>
      </c>
    </row>
    <row r="2135">
      <c r="A2135" s="199" t="inlineStr">
        <is>
          <t>RTM-640</t>
        </is>
      </c>
      <c r="B2135" s="222" t="inlineStr">
        <is>
          <t>L1 Conceptual Design</t>
        </is>
      </c>
      <c r="C2135" s="199" t="n">
        <v>2</v>
      </c>
      <c r="D2135" s="199" t="inlineStr">
        <is>
          <t>T3 Contextual</t>
        </is>
      </c>
      <c r="E2135" s="199" t="inlineStr">
        <is>
          <t>Contract Performance</t>
        </is>
      </c>
      <c r="F2135" s="199" t="n">
        <v>12</v>
      </c>
      <c r="G2135" s="199" t="n">
        <v>710</v>
      </c>
      <c r="H2135" s="199" t="inlineStr">
        <is>
          <t>Risk Assessment / HAZOP / FMECA</t>
        </is>
      </c>
    </row>
    <row r="2136">
      <c r="A2136" s="208" t="inlineStr">
        <is>
          <t>RTM-640</t>
        </is>
      </c>
      <c r="B2136" s="223" t="inlineStr">
        <is>
          <t>L2 Detailed Design</t>
        </is>
      </c>
      <c r="C2136" s="208" t="n">
        <v>3</v>
      </c>
      <c r="D2136" s="208" t="inlineStr">
        <is>
          <t>T3 Contextual</t>
        </is>
      </c>
      <c r="E2136" s="208" t="inlineStr">
        <is>
          <t>Contract Performance</t>
        </is>
      </c>
      <c r="F2136" s="208" t="n">
        <v>12</v>
      </c>
      <c r="G2136" s="208" t="n">
        <v>710</v>
      </c>
      <c r="H2136" s="208" t="inlineStr">
        <is>
          <t>Risk Assessment / HAZOP / FMECA</t>
        </is>
      </c>
    </row>
    <row r="2137">
      <c r="A2137" s="199" t="inlineStr">
        <is>
          <t>RTM-640</t>
        </is>
      </c>
      <c r="B2137" s="224" t="inlineStr">
        <is>
          <t>L3 Procurement &amp; Manufacturing / FAT</t>
        </is>
      </c>
      <c r="C2137" s="199" t="n">
        <v>4</v>
      </c>
      <c r="D2137" s="199" t="inlineStr">
        <is>
          <t>T3 Contextual</t>
        </is>
      </c>
      <c r="E2137" s="199" t="inlineStr">
        <is>
          <t>Contract Performance</t>
        </is>
      </c>
      <c r="F2137" s="199" t="n">
        <v>12</v>
      </c>
      <c r="G2137" s="199" t="n">
        <v>710</v>
      </c>
      <c r="H2137" s="199" t="inlineStr">
        <is>
          <t>Risk Assessment / HAZOP / FMECA</t>
        </is>
      </c>
    </row>
    <row r="2138">
      <c r="A2138" s="208" t="inlineStr">
        <is>
          <t>RTM-640</t>
        </is>
      </c>
      <c r="B2138" s="220" t="inlineStr">
        <is>
          <t>L4 Installation</t>
        </is>
      </c>
      <c r="C2138" s="208" t="n">
        <v>6</v>
      </c>
      <c r="D2138" s="208" t="inlineStr">
        <is>
          <t>T3 Contextual</t>
        </is>
      </c>
      <c r="E2138" s="208" t="inlineStr">
        <is>
          <t>Contract Performance</t>
        </is>
      </c>
      <c r="F2138" s="208" t="n">
        <v>12</v>
      </c>
      <c r="G2138" s="208" t="n">
        <v>710</v>
      </c>
      <c r="H2138" s="208" t="inlineStr">
        <is>
          <t>Risk Assessment / HAZOP / FMECA</t>
        </is>
      </c>
    </row>
    <row r="2139">
      <c r="A2139" s="199" t="inlineStr">
        <is>
          <t>RTM-640</t>
        </is>
      </c>
      <c r="B2139" s="225" t="inlineStr">
        <is>
          <t>L5 Standalone Commissioning</t>
        </is>
      </c>
      <c r="C2139" s="199" t="n">
        <v>7</v>
      </c>
      <c r="D2139" s="199" t="inlineStr">
        <is>
          <t>T3 Contextual</t>
        </is>
      </c>
      <c r="E2139" s="199" t="inlineStr">
        <is>
          <t>Contract Performance</t>
        </is>
      </c>
      <c r="F2139" s="199" t="n">
        <v>12</v>
      </c>
      <c r="G2139" s="199" t="n">
        <v>710</v>
      </c>
      <c r="H2139" s="199" t="inlineStr">
        <is>
          <t>Risk Assessment / HAZOP / FMECA</t>
        </is>
      </c>
    </row>
    <row r="2140">
      <c r="A2140" s="208" t="inlineStr">
        <is>
          <t>RTM-640</t>
        </is>
      </c>
      <c r="B2140" s="226" t="inlineStr">
        <is>
          <t>L6 Site Acceptance Testing</t>
        </is>
      </c>
      <c r="C2140" s="208" t="n">
        <v>8</v>
      </c>
      <c r="D2140" s="208" t="inlineStr">
        <is>
          <t>T3 Contextual</t>
        </is>
      </c>
      <c r="E2140" s="208" t="inlineStr">
        <is>
          <t>Contract Performance</t>
        </is>
      </c>
      <c r="F2140" s="208" t="n">
        <v>12</v>
      </c>
      <c r="G2140" s="208" t="n">
        <v>710</v>
      </c>
      <c r="H2140" s="208" t="inlineStr">
        <is>
          <t>Risk Assessment / HAZOP / FMECA</t>
        </is>
      </c>
    </row>
    <row r="2141">
      <c r="A2141" s="199" t="inlineStr">
        <is>
          <t>RTM-641</t>
        </is>
      </c>
      <c r="B2141" s="221" t="inlineStr">
        <is>
          <t>L0 Tender / Offer</t>
        </is>
      </c>
      <c r="C2141" s="199" t="n">
        <v>1</v>
      </c>
      <c r="D2141" s="199" t="inlineStr">
        <is>
          <t>T3 Contextual</t>
        </is>
      </c>
      <c r="E2141" s="199" t="inlineStr">
        <is>
          <t>Contract Performance</t>
        </is>
      </c>
      <c r="F2141" s="199" t="n">
        <v>12</v>
      </c>
      <c r="G2141" s="199" t="n">
        <v>711</v>
      </c>
      <c r="H2141" s="199" t="inlineStr">
        <is>
          <t>No separate deliverable explicitly named</t>
        </is>
      </c>
    </row>
    <row r="2142">
      <c r="A2142" s="208" t="inlineStr">
        <is>
          <t>RTM-641</t>
        </is>
      </c>
      <c r="B2142" s="222" t="inlineStr">
        <is>
          <t>L1 Conceptual Design</t>
        </is>
      </c>
      <c r="C2142" s="208" t="n">
        <v>2</v>
      </c>
      <c r="D2142" s="208" t="inlineStr">
        <is>
          <t>T3 Contextual</t>
        </is>
      </c>
      <c r="E2142" s="208" t="inlineStr">
        <is>
          <t>Contract Performance</t>
        </is>
      </c>
      <c r="F2142" s="208" t="n">
        <v>12</v>
      </c>
      <c r="G2142" s="208" t="n">
        <v>711</v>
      </c>
      <c r="H2142" s="208" t="inlineStr">
        <is>
          <t>No separate deliverable explicitly named</t>
        </is>
      </c>
    </row>
    <row r="2143">
      <c r="A2143" s="199" t="inlineStr">
        <is>
          <t>RTM-641</t>
        </is>
      </c>
      <c r="B2143" s="223" t="inlineStr">
        <is>
          <t>L2 Detailed Design</t>
        </is>
      </c>
      <c r="C2143" s="199" t="n">
        <v>3</v>
      </c>
      <c r="D2143" s="199" t="inlineStr">
        <is>
          <t>T3 Contextual</t>
        </is>
      </c>
      <c r="E2143" s="199" t="inlineStr">
        <is>
          <t>Contract Performance</t>
        </is>
      </c>
      <c r="F2143" s="199" t="n">
        <v>12</v>
      </c>
      <c r="G2143" s="199" t="n">
        <v>711</v>
      </c>
      <c r="H2143" s="199" t="inlineStr">
        <is>
          <t>No separate deliverable explicitly named</t>
        </is>
      </c>
    </row>
    <row r="2144">
      <c r="A2144" s="208" t="inlineStr">
        <is>
          <t>RTM-641</t>
        </is>
      </c>
      <c r="B2144" s="224" t="inlineStr">
        <is>
          <t>L3 Procurement &amp; Manufacturing / FAT</t>
        </is>
      </c>
      <c r="C2144" s="208" t="n">
        <v>4</v>
      </c>
      <c r="D2144" s="208" t="inlineStr">
        <is>
          <t>T3 Contextual</t>
        </is>
      </c>
      <c r="E2144" s="208" t="inlineStr">
        <is>
          <t>Contract Performance</t>
        </is>
      </c>
      <c r="F2144" s="208" t="n">
        <v>12</v>
      </c>
      <c r="G2144" s="208" t="n">
        <v>711</v>
      </c>
      <c r="H2144" s="208" t="inlineStr">
        <is>
          <t>No separate deliverable explicitly named</t>
        </is>
      </c>
    </row>
    <row r="2145">
      <c r="A2145" s="199" t="inlineStr">
        <is>
          <t>RTM-641</t>
        </is>
      </c>
      <c r="B2145" s="220" t="inlineStr">
        <is>
          <t>L4 Installation</t>
        </is>
      </c>
      <c r="C2145" s="199" t="n">
        <v>6</v>
      </c>
      <c r="D2145" s="199" t="inlineStr">
        <is>
          <t>T3 Contextual</t>
        </is>
      </c>
      <c r="E2145" s="199" t="inlineStr">
        <is>
          <t>Contract Performance</t>
        </is>
      </c>
      <c r="F2145" s="199" t="n">
        <v>12</v>
      </c>
      <c r="G2145" s="199" t="n">
        <v>711</v>
      </c>
      <c r="H2145" s="199" t="inlineStr">
        <is>
          <t>No separate deliverable explicitly named</t>
        </is>
      </c>
    </row>
    <row r="2146">
      <c r="A2146" s="208" t="inlineStr">
        <is>
          <t>RTM-641</t>
        </is>
      </c>
      <c r="B2146" s="225" t="inlineStr">
        <is>
          <t>L5 Standalone Commissioning</t>
        </is>
      </c>
      <c r="C2146" s="208" t="n">
        <v>7</v>
      </c>
      <c r="D2146" s="208" t="inlineStr">
        <is>
          <t>T3 Contextual</t>
        </is>
      </c>
      <c r="E2146" s="208" t="inlineStr">
        <is>
          <t>Contract Performance</t>
        </is>
      </c>
      <c r="F2146" s="208" t="n">
        <v>12</v>
      </c>
      <c r="G2146" s="208" t="n">
        <v>711</v>
      </c>
      <c r="H2146" s="208" t="inlineStr">
        <is>
          <t>No separate deliverable explicitly named</t>
        </is>
      </c>
    </row>
    <row r="2147">
      <c r="A2147" s="199" t="inlineStr">
        <is>
          <t>RTM-641</t>
        </is>
      </c>
      <c r="B2147" s="226" t="inlineStr">
        <is>
          <t>L6 Site Acceptance Testing</t>
        </is>
      </c>
      <c r="C2147" s="199" t="n">
        <v>8</v>
      </c>
      <c r="D2147" s="199" t="inlineStr">
        <is>
          <t>T3 Contextual</t>
        </is>
      </c>
      <c r="E2147" s="199" t="inlineStr">
        <is>
          <t>Contract Performance</t>
        </is>
      </c>
      <c r="F2147" s="199" t="n">
        <v>12</v>
      </c>
      <c r="G2147" s="199" t="n">
        <v>711</v>
      </c>
      <c r="H2147" s="199" t="inlineStr">
        <is>
          <t>No separate deliverable explicitly named</t>
        </is>
      </c>
    </row>
    <row r="2148">
      <c r="A2148" s="208" t="inlineStr">
        <is>
          <t>RTM-055</t>
        </is>
      </c>
      <c r="B2148" s="222" t="inlineStr">
        <is>
          <t>L1 Conceptual Design</t>
        </is>
      </c>
      <c r="C2148" s="208" t="n">
        <v>2</v>
      </c>
      <c r="D2148" s="208" t="inlineStr">
        <is>
          <t>T3 Contextual</t>
        </is>
      </c>
      <c r="E2148" s="208" t="inlineStr">
        <is>
          <t>Global Design Criteria</t>
        </is>
      </c>
      <c r="F2148" s="208" t="n">
        <v>11</v>
      </c>
      <c r="G2148" s="208" t="n">
        <v>712</v>
      </c>
      <c r="H2148" s="208" t="inlineStr">
        <is>
          <t>No separate deliverable explicitly named</t>
        </is>
      </c>
    </row>
    <row r="2149">
      <c r="A2149" s="199" t="inlineStr">
        <is>
          <t>RTM-055</t>
        </is>
      </c>
      <c r="B2149" s="223" t="inlineStr">
        <is>
          <t>L2 Detailed Design</t>
        </is>
      </c>
      <c r="C2149" s="199" t="n">
        <v>3</v>
      </c>
      <c r="D2149" s="199" t="inlineStr">
        <is>
          <t>T3 Contextual</t>
        </is>
      </c>
      <c r="E2149" s="199" t="inlineStr">
        <is>
          <t>Global Design Criteria</t>
        </is>
      </c>
      <c r="F2149" s="199" t="n">
        <v>11</v>
      </c>
      <c r="G2149" s="199" t="n">
        <v>712</v>
      </c>
      <c r="H2149" s="199" t="inlineStr">
        <is>
          <t>No separate deliverable explicitly named</t>
        </is>
      </c>
    </row>
    <row r="2150">
      <c r="A2150" s="208" t="inlineStr">
        <is>
          <t>RTM-080</t>
        </is>
      </c>
      <c r="B2150" s="222" t="inlineStr">
        <is>
          <t>L1 Conceptual Design</t>
        </is>
      </c>
      <c r="C2150" s="208" t="n">
        <v>2</v>
      </c>
      <c r="D2150" s="208" t="inlineStr">
        <is>
          <t>T3 Contextual</t>
        </is>
      </c>
      <c r="E2150" s="208" t="inlineStr">
        <is>
          <t>Subsystems</t>
        </is>
      </c>
      <c r="F2150" s="208" t="n">
        <v>10.6667</v>
      </c>
      <c r="G2150" s="208" t="n">
        <v>713</v>
      </c>
      <c r="H2150" s="208" t="inlineStr">
        <is>
          <t>No separate deliverable explicitly named</t>
        </is>
      </c>
    </row>
    <row r="2151">
      <c r="A2151" s="199" t="inlineStr">
        <is>
          <t>RTM-080</t>
        </is>
      </c>
      <c r="B2151" s="223" t="inlineStr">
        <is>
          <t>L2 Detailed Design</t>
        </is>
      </c>
      <c r="C2151" s="199" t="n">
        <v>3</v>
      </c>
      <c r="D2151" s="199" t="inlineStr">
        <is>
          <t>T3 Contextual</t>
        </is>
      </c>
      <c r="E2151" s="199" t="inlineStr">
        <is>
          <t>Subsystems</t>
        </is>
      </c>
      <c r="F2151" s="199" t="n">
        <v>10.6667</v>
      </c>
      <c r="G2151" s="199" t="n">
        <v>713</v>
      </c>
      <c r="H2151" s="199" t="inlineStr">
        <is>
          <t>No separate deliverable explicitly named</t>
        </is>
      </c>
    </row>
    <row r="2152">
      <c r="A2152" s="208" t="inlineStr">
        <is>
          <t>RTM-081</t>
        </is>
      </c>
      <c r="B2152" s="222" t="inlineStr">
        <is>
          <t>L1 Conceptual Design</t>
        </is>
      </c>
      <c r="C2152" s="208" t="n">
        <v>2</v>
      </c>
      <c r="D2152" s="208" t="inlineStr">
        <is>
          <t>T3 Contextual</t>
        </is>
      </c>
      <c r="E2152" s="208" t="inlineStr">
        <is>
          <t>Subsystems</t>
        </is>
      </c>
      <c r="F2152" s="208" t="n">
        <v>10.6667</v>
      </c>
      <c r="G2152" s="208" t="n">
        <v>714</v>
      </c>
      <c r="H2152" s="208" t="inlineStr">
        <is>
          <t>No separate deliverable explicitly named</t>
        </is>
      </c>
    </row>
    <row r="2153">
      <c r="A2153" s="199" t="inlineStr">
        <is>
          <t>RTM-081</t>
        </is>
      </c>
      <c r="B2153" s="223" t="inlineStr">
        <is>
          <t>L2 Detailed Design</t>
        </is>
      </c>
      <c r="C2153" s="199" t="n">
        <v>3</v>
      </c>
      <c r="D2153" s="199" t="inlineStr">
        <is>
          <t>T3 Contextual</t>
        </is>
      </c>
      <c r="E2153" s="199" t="inlineStr">
        <is>
          <t>Subsystems</t>
        </is>
      </c>
      <c r="F2153" s="199" t="n">
        <v>10.6667</v>
      </c>
      <c r="G2153" s="199" t="n">
        <v>714</v>
      </c>
      <c r="H2153" s="199" t="inlineStr">
        <is>
          <t>No separate deliverable explicitly named</t>
        </is>
      </c>
    </row>
    <row r="2154">
      <c r="A2154" s="208" t="inlineStr">
        <is>
          <t>RTM-082</t>
        </is>
      </c>
      <c r="B2154" s="222" t="inlineStr">
        <is>
          <t>L1 Conceptual Design</t>
        </is>
      </c>
      <c r="C2154" s="208" t="n">
        <v>2</v>
      </c>
      <c r="D2154" s="208" t="inlineStr">
        <is>
          <t>T3 Contextual</t>
        </is>
      </c>
      <c r="E2154" s="208" t="inlineStr">
        <is>
          <t>Subsystems</t>
        </is>
      </c>
      <c r="F2154" s="208" t="n">
        <v>10.6667</v>
      </c>
      <c r="G2154" s="208" t="n">
        <v>715</v>
      </c>
      <c r="H2154" s="208" t="inlineStr">
        <is>
          <t>No separate deliverable explicitly named</t>
        </is>
      </c>
    </row>
    <row r="2155">
      <c r="A2155" s="199" t="inlineStr">
        <is>
          <t>RTM-082</t>
        </is>
      </c>
      <c r="B2155" s="223" t="inlineStr">
        <is>
          <t>L2 Detailed Design</t>
        </is>
      </c>
      <c r="C2155" s="199" t="n">
        <v>3</v>
      </c>
      <c r="D2155" s="199" t="inlineStr">
        <is>
          <t>T3 Contextual</t>
        </is>
      </c>
      <c r="E2155" s="199" t="inlineStr">
        <is>
          <t>Subsystems</t>
        </is>
      </c>
      <c r="F2155" s="199" t="n">
        <v>10.6667</v>
      </c>
      <c r="G2155" s="199" t="n">
        <v>715</v>
      </c>
      <c r="H2155" s="199" t="inlineStr">
        <is>
          <t>No separate deliverable explicitly named</t>
        </is>
      </c>
    </row>
    <row r="2156">
      <c r="A2156" s="208" t="inlineStr">
        <is>
          <t>RTM-084</t>
        </is>
      </c>
      <c r="B2156" s="222" t="inlineStr">
        <is>
          <t>L1 Conceptual Design</t>
        </is>
      </c>
      <c r="C2156" s="208" t="n">
        <v>2</v>
      </c>
      <c r="D2156" s="208" t="inlineStr">
        <is>
          <t>T3 Contextual</t>
        </is>
      </c>
      <c r="E2156" s="208" t="inlineStr">
        <is>
          <t>Subsystems</t>
        </is>
      </c>
      <c r="F2156" s="208" t="n">
        <v>10.6667</v>
      </c>
      <c r="G2156" s="208" t="n">
        <v>716</v>
      </c>
      <c r="H2156" s="208" t="inlineStr">
        <is>
          <t>No separate deliverable explicitly named</t>
        </is>
      </c>
    </row>
    <row r="2157">
      <c r="A2157" s="199" t="inlineStr">
        <is>
          <t>RTM-084</t>
        </is>
      </c>
      <c r="B2157" s="223" t="inlineStr">
        <is>
          <t>L2 Detailed Design</t>
        </is>
      </c>
      <c r="C2157" s="199" t="n">
        <v>3</v>
      </c>
      <c r="D2157" s="199" t="inlineStr">
        <is>
          <t>T3 Contextual</t>
        </is>
      </c>
      <c r="E2157" s="199" t="inlineStr">
        <is>
          <t>Subsystems</t>
        </is>
      </c>
      <c r="F2157" s="199" t="n">
        <v>10.6667</v>
      </c>
      <c r="G2157" s="199" t="n">
        <v>716</v>
      </c>
      <c r="H2157" s="199" t="inlineStr">
        <is>
          <t>No separate deliverable explicitly named</t>
        </is>
      </c>
    </row>
    <row r="2158">
      <c r="A2158" s="208" t="inlineStr">
        <is>
          <t>RTM-085</t>
        </is>
      </c>
      <c r="B2158" s="222" t="inlineStr">
        <is>
          <t>L1 Conceptual Design</t>
        </is>
      </c>
      <c r="C2158" s="208" t="n">
        <v>2</v>
      </c>
      <c r="D2158" s="208" t="inlineStr">
        <is>
          <t>T3 Contextual</t>
        </is>
      </c>
      <c r="E2158" s="208" t="inlineStr">
        <is>
          <t>Subsystems</t>
        </is>
      </c>
      <c r="F2158" s="208" t="n">
        <v>10.6667</v>
      </c>
      <c r="G2158" s="208" t="n">
        <v>717</v>
      </c>
      <c r="H2158" s="208" t="inlineStr">
        <is>
          <t>No separate deliverable explicitly named</t>
        </is>
      </c>
    </row>
    <row r="2159">
      <c r="A2159" s="199" t="inlineStr">
        <is>
          <t>RTM-085</t>
        </is>
      </c>
      <c r="B2159" s="223" t="inlineStr">
        <is>
          <t>L2 Detailed Design</t>
        </is>
      </c>
      <c r="C2159" s="199" t="n">
        <v>3</v>
      </c>
      <c r="D2159" s="199" t="inlineStr">
        <is>
          <t>T3 Contextual</t>
        </is>
      </c>
      <c r="E2159" s="199" t="inlineStr">
        <is>
          <t>Subsystems</t>
        </is>
      </c>
      <c r="F2159" s="199" t="n">
        <v>10.6667</v>
      </c>
      <c r="G2159" s="199" t="n">
        <v>717</v>
      </c>
      <c r="H2159" s="199" t="inlineStr">
        <is>
          <t>No separate deliverable explicitly named</t>
        </is>
      </c>
    </row>
    <row r="2160">
      <c r="A2160" s="208" t="inlineStr">
        <is>
          <t>RTM-272</t>
        </is>
      </c>
      <c r="B2160" s="222" t="inlineStr">
        <is>
          <t>L1 Conceptual Design</t>
        </is>
      </c>
      <c r="C2160" s="208" t="n">
        <v>2</v>
      </c>
      <c r="D2160" s="208" t="inlineStr">
        <is>
          <t>T3 Contextual</t>
        </is>
      </c>
      <c r="E2160" s="208" t="inlineStr">
        <is>
          <t>Subsystems</t>
        </is>
      </c>
      <c r="F2160" s="208" t="n">
        <v>10.6667</v>
      </c>
      <c r="G2160" s="208" t="n">
        <v>718</v>
      </c>
      <c r="H2160" s="208" t="inlineStr">
        <is>
          <t>No separate deliverable explicitly named</t>
        </is>
      </c>
    </row>
    <row r="2161">
      <c r="A2161" s="199" t="inlineStr">
        <is>
          <t>RTM-272</t>
        </is>
      </c>
      <c r="B2161" s="223" t="inlineStr">
        <is>
          <t>L2 Detailed Design</t>
        </is>
      </c>
      <c r="C2161" s="199" t="n">
        <v>3</v>
      </c>
      <c r="D2161" s="199" t="inlineStr">
        <is>
          <t>T3 Contextual</t>
        </is>
      </c>
      <c r="E2161" s="199" t="inlineStr">
        <is>
          <t>Subsystems</t>
        </is>
      </c>
      <c r="F2161" s="199" t="n">
        <v>10.6667</v>
      </c>
      <c r="G2161" s="199" t="n">
        <v>718</v>
      </c>
      <c r="H2161" s="199" t="inlineStr">
        <is>
          <t>No separate deliverable explicitly named</t>
        </is>
      </c>
    </row>
    <row r="2162">
      <c r="A2162" s="208" t="inlineStr">
        <is>
          <t>RTM-557</t>
        </is>
      </c>
      <c r="B2162" s="222" t="inlineStr">
        <is>
          <t>L1 Conceptual Design</t>
        </is>
      </c>
      <c r="C2162" s="208" t="n">
        <v>2</v>
      </c>
      <c r="D2162" s="208" t="inlineStr">
        <is>
          <t>T3 Contextual</t>
        </is>
      </c>
      <c r="E2162" s="208" t="inlineStr">
        <is>
          <t>Other Deliverables</t>
        </is>
      </c>
      <c r="F2162" s="208" t="n">
        <v>6.6667</v>
      </c>
      <c r="G2162" s="208" t="n">
        <v>719</v>
      </c>
      <c r="H2162" s="208" t="inlineStr">
        <is>
          <t>No separate deliverable explicitly named</t>
        </is>
      </c>
    </row>
    <row r="2163">
      <c r="A2163" s="199" t="inlineStr">
        <is>
          <t>RTM-557</t>
        </is>
      </c>
      <c r="B2163" s="223" t="inlineStr">
        <is>
          <t>L2 Detailed Design</t>
        </is>
      </c>
      <c r="C2163" s="199" t="n">
        <v>3</v>
      </c>
      <c r="D2163" s="199" t="inlineStr">
        <is>
          <t>T3 Contextual</t>
        </is>
      </c>
      <c r="E2163" s="199" t="inlineStr">
        <is>
          <t>Other Deliverables</t>
        </is>
      </c>
      <c r="F2163" s="199" t="n">
        <v>6.6667</v>
      </c>
      <c r="G2163" s="199" t="n">
        <v>719</v>
      </c>
      <c r="H2163" s="199" t="inlineStr">
        <is>
          <t>No separate deliverable explicitly named</t>
        </is>
      </c>
    </row>
    <row r="2164">
      <c r="A2164" s="208" t="inlineStr">
        <is>
          <t>RTM-558</t>
        </is>
      </c>
      <c r="B2164" s="222" t="inlineStr">
        <is>
          <t>L1 Conceptual Design</t>
        </is>
      </c>
      <c r="C2164" s="208" t="n">
        <v>2</v>
      </c>
      <c r="D2164" s="208" t="inlineStr">
        <is>
          <t>T3 Contextual</t>
        </is>
      </c>
      <c r="E2164" s="208" t="inlineStr">
        <is>
          <t>Other Deliverables</t>
        </is>
      </c>
      <c r="F2164" s="208" t="n">
        <v>6.6667</v>
      </c>
      <c r="G2164" s="208" t="n">
        <v>720</v>
      </c>
      <c r="H2164" s="208" t="inlineStr">
        <is>
          <t>No separate deliverable explicitly named</t>
        </is>
      </c>
    </row>
    <row r="2165">
      <c r="A2165" s="199" t="inlineStr">
        <is>
          <t>RTM-558</t>
        </is>
      </c>
      <c r="B2165" s="223" t="inlineStr">
        <is>
          <t>L2 Detailed Design</t>
        </is>
      </c>
      <c r="C2165" s="199" t="n">
        <v>3</v>
      </c>
      <c r="D2165" s="199" t="inlineStr">
        <is>
          <t>T3 Contextual</t>
        </is>
      </c>
      <c r="E2165" s="199" t="inlineStr">
        <is>
          <t>Other Deliverables</t>
        </is>
      </c>
      <c r="F2165" s="199" t="n">
        <v>6.6667</v>
      </c>
      <c r="G2165" s="199" t="n">
        <v>720</v>
      </c>
      <c r="H2165" s="199" t="inlineStr">
        <is>
          <t>No separate deliverable explicitly named</t>
        </is>
      </c>
    </row>
    <row r="2166">
      <c r="A2166" s="208" t="inlineStr">
        <is>
          <t>RTM-614</t>
        </is>
      </c>
      <c r="B2166" s="221" t="inlineStr">
        <is>
          <t>L0 Tender / Offer</t>
        </is>
      </c>
      <c r="C2166" s="208" t="n">
        <v>1</v>
      </c>
      <c r="D2166" s="208" t="inlineStr">
        <is>
          <t>T3 Contextual</t>
        </is>
      </c>
      <c r="E2166" s="208" t="inlineStr">
        <is>
          <t>Schedule</t>
        </is>
      </c>
      <c r="F2166" s="208" t="n">
        <v>6.3333</v>
      </c>
      <c r="G2166" s="208" t="n">
        <v>721</v>
      </c>
      <c r="H2166" s="208" t="inlineStr">
        <is>
          <t>No separate deliverable explicitly named</t>
        </is>
      </c>
    </row>
    <row r="2167">
      <c r="A2167" s="199" t="inlineStr">
        <is>
          <t>RTM-614</t>
        </is>
      </c>
      <c r="B2167" s="222" t="inlineStr">
        <is>
          <t>L1 Conceptual Design</t>
        </is>
      </c>
      <c r="C2167" s="199" t="n">
        <v>2</v>
      </c>
      <c r="D2167" s="199" t="inlineStr">
        <is>
          <t>T3 Contextual</t>
        </is>
      </c>
      <c r="E2167" s="199" t="inlineStr">
        <is>
          <t>Schedule</t>
        </is>
      </c>
      <c r="F2167" s="199" t="n">
        <v>6.3333</v>
      </c>
      <c r="G2167" s="199" t="n">
        <v>721</v>
      </c>
      <c r="H2167" s="199" t="inlineStr">
        <is>
          <t>No separate deliverable explicitly named</t>
        </is>
      </c>
    </row>
    <row r="2168">
      <c r="A2168" s="208" t="inlineStr">
        <is>
          <t>RTM-614</t>
        </is>
      </c>
      <c r="B2168" s="223" t="inlineStr">
        <is>
          <t>L2 Detailed Design</t>
        </is>
      </c>
      <c r="C2168" s="208" t="n">
        <v>3</v>
      </c>
      <c r="D2168" s="208" t="inlineStr">
        <is>
          <t>T3 Contextual</t>
        </is>
      </c>
      <c r="E2168" s="208" t="inlineStr">
        <is>
          <t>Schedule</t>
        </is>
      </c>
      <c r="F2168" s="208" t="n">
        <v>6.3333</v>
      </c>
      <c r="G2168" s="208" t="n">
        <v>721</v>
      </c>
      <c r="H2168" s="208" t="inlineStr">
        <is>
          <t>No separate deliverable explicitly named</t>
        </is>
      </c>
    </row>
    <row r="2169">
      <c r="A2169" s="199" t="inlineStr">
        <is>
          <t>RTM-614</t>
        </is>
      </c>
      <c r="B2169" s="224" t="inlineStr">
        <is>
          <t>L3 Procurement &amp; Manufacturing / FAT</t>
        </is>
      </c>
      <c r="C2169" s="199" t="n">
        <v>4</v>
      </c>
      <c r="D2169" s="199" t="inlineStr">
        <is>
          <t>T3 Contextual</t>
        </is>
      </c>
      <c r="E2169" s="199" t="inlineStr">
        <is>
          <t>Schedule</t>
        </is>
      </c>
      <c r="F2169" s="199" t="n">
        <v>6.3333</v>
      </c>
      <c r="G2169" s="199" t="n">
        <v>721</v>
      </c>
      <c r="H2169" s="199" t="inlineStr">
        <is>
          <t>No separate deliverable explicitly named</t>
        </is>
      </c>
    </row>
    <row r="2170">
      <c r="A2170" s="208" t="inlineStr">
        <is>
          <t>RTM-614</t>
        </is>
      </c>
      <c r="B2170" s="220" t="inlineStr">
        <is>
          <t>L4 Installation</t>
        </is>
      </c>
      <c r="C2170" s="208" t="n">
        <v>6</v>
      </c>
      <c r="D2170" s="208" t="inlineStr">
        <is>
          <t>T3 Contextual</t>
        </is>
      </c>
      <c r="E2170" s="208" t="inlineStr">
        <is>
          <t>Schedule</t>
        </is>
      </c>
      <c r="F2170" s="208" t="n">
        <v>6.3333</v>
      </c>
      <c r="G2170" s="208" t="n">
        <v>721</v>
      </c>
      <c r="H2170" s="208" t="inlineStr">
        <is>
          <t>No separate deliverable explicitly named</t>
        </is>
      </c>
    </row>
    <row r="2171">
      <c r="A2171" s="199" t="inlineStr">
        <is>
          <t>RTM-614</t>
        </is>
      </c>
      <c r="B2171" s="225" t="inlineStr">
        <is>
          <t>L5 Standalone Commissioning</t>
        </is>
      </c>
      <c r="C2171" s="199" t="n">
        <v>7</v>
      </c>
      <c r="D2171" s="199" t="inlineStr">
        <is>
          <t>T3 Contextual</t>
        </is>
      </c>
      <c r="E2171" s="199" t="inlineStr">
        <is>
          <t>Schedule</t>
        </is>
      </c>
      <c r="F2171" s="199" t="n">
        <v>6.3333</v>
      </c>
      <c r="G2171" s="199" t="n">
        <v>721</v>
      </c>
      <c r="H2171" s="199" t="inlineStr">
        <is>
          <t>No separate deliverable explicitly named</t>
        </is>
      </c>
    </row>
    <row r="2172">
      <c r="A2172" s="208" t="inlineStr">
        <is>
          <t>RTM-614</t>
        </is>
      </c>
      <c r="B2172" s="226" t="inlineStr">
        <is>
          <t>L6 Site Acceptance Testing</t>
        </is>
      </c>
      <c r="C2172" s="208" t="n">
        <v>8</v>
      </c>
      <c r="D2172" s="208" t="inlineStr">
        <is>
          <t>T3 Contextual</t>
        </is>
      </c>
      <c r="E2172" s="208" t="inlineStr">
        <is>
          <t>Schedule</t>
        </is>
      </c>
      <c r="F2172" s="208" t="n">
        <v>6.3333</v>
      </c>
      <c r="G2172" s="208" t="n">
        <v>721</v>
      </c>
      <c r="H2172" s="208" t="inlineStr">
        <is>
          <t>No separate deliverable explicitly named</t>
        </is>
      </c>
    </row>
    <row r="2173">
      <c r="A2173" s="199" t="inlineStr">
        <is>
          <t>RTM-473</t>
        </is>
      </c>
      <c r="B2173" s="224" t="inlineStr">
        <is>
          <t>L3 Procurement &amp; Manufacturing / FAT</t>
        </is>
      </c>
      <c r="C2173" s="199" t="n">
        <v>4</v>
      </c>
      <c r="D2173" s="199" t="inlineStr">
        <is>
          <t>T3 Contextual</t>
        </is>
      </c>
      <c r="E2173" s="199" t="inlineStr">
        <is>
          <t>Transport &amp; Logistics</t>
        </is>
      </c>
      <c r="F2173" s="199" t="n">
        <v>0</v>
      </c>
      <c r="G2173" s="199" t="n">
        <v>722</v>
      </c>
      <c r="H2173" s="199" t="inlineStr">
        <is>
          <t>No separate deliverable explicitly named</t>
        </is>
      </c>
    </row>
    <row r="2174">
      <c r="A2174" s="208" t="inlineStr">
        <is>
          <t>RTM-473</t>
        </is>
      </c>
      <c r="B2174" s="220" t="inlineStr">
        <is>
          <t>L4 Installation</t>
        </is>
      </c>
      <c r="C2174" s="208" t="n">
        <v>6</v>
      </c>
      <c r="D2174" s="208" t="inlineStr">
        <is>
          <t>T3 Contextual</t>
        </is>
      </c>
      <c r="E2174" s="208" t="inlineStr">
        <is>
          <t>Transport &amp; Logistics</t>
        </is>
      </c>
      <c r="F2174" s="208" t="n">
        <v>0</v>
      </c>
      <c r="G2174" s="208" t="n">
        <v>722</v>
      </c>
      <c r="H2174" s="208" t="inlineStr">
        <is>
          <t>No separate deliverable explicitly named</t>
        </is>
      </c>
    </row>
    <row r="2176">
      <c r="A2176" s="73" t="inlineStr">
        <is>
          <t>Phase-count summary (per phase, across all 722 RTMs)</t>
        </is>
      </c>
    </row>
    <row r="2177">
      <c r="A2177" s="204" t="inlineStr">
        <is>
          <t>Phase</t>
        </is>
      </c>
      <c r="B2177" s="204" t="inlineStr">
        <is>
          <t>RTM count</t>
        </is>
      </c>
      <c r="C2177" s="204" t="inlineStr">
        <is>
          <t>Share of 722</t>
        </is>
      </c>
    </row>
    <row r="2178">
      <c r="A2178" s="221" t="inlineStr">
        <is>
          <t>L0 Tender / Offer</t>
        </is>
      </c>
      <c r="B2178" s="199" t="n">
        <v>114</v>
      </c>
      <c r="C2178" s="199" t="inlineStr">
        <is>
          <t>15.8%</t>
        </is>
      </c>
    </row>
    <row r="2179">
      <c r="A2179" s="222" t="inlineStr">
        <is>
          <t>L1 Conceptual Design</t>
        </is>
      </c>
      <c r="B2179" s="199" t="n">
        <v>702</v>
      </c>
      <c r="C2179" s="199" t="inlineStr">
        <is>
          <t>97.2%</t>
        </is>
      </c>
    </row>
    <row r="2180">
      <c r="A2180" s="223" t="inlineStr">
        <is>
          <t>L2 Detailed Design</t>
        </is>
      </c>
      <c r="B2180" s="199" t="n">
        <v>702</v>
      </c>
      <c r="C2180" s="199" t="inlineStr">
        <is>
          <t>97.2%</t>
        </is>
      </c>
    </row>
    <row r="2181">
      <c r="A2181" s="224" t="inlineStr">
        <is>
          <t>L3 Procurement &amp; Manufacturing / FAT</t>
        </is>
      </c>
      <c r="B2181" s="199" t="n">
        <v>127</v>
      </c>
      <c r="C2181" s="199" t="inlineStr">
        <is>
          <t>17.6%</t>
        </is>
      </c>
    </row>
    <row r="2182">
      <c r="A2182" s="229" t="inlineStr">
        <is>
          <t>FAC</t>
        </is>
      </c>
      <c r="B2182" s="199" t="n">
        <v>17</v>
      </c>
      <c r="C2182" s="199" t="inlineStr">
        <is>
          <t>2.4%</t>
        </is>
      </c>
    </row>
    <row r="2183">
      <c r="A2183" s="220" t="inlineStr">
        <is>
          <t>L4 Installation</t>
        </is>
      </c>
      <c r="B2183" s="199" t="n">
        <v>141</v>
      </c>
      <c r="C2183" s="199" t="inlineStr">
        <is>
          <t>19.5%</t>
        </is>
      </c>
    </row>
    <row r="2184">
      <c r="A2184" s="225" t="inlineStr">
        <is>
          <t>L5 Standalone Commissioning</t>
        </is>
      </c>
      <c r="B2184" s="199" t="n">
        <v>115</v>
      </c>
      <c r="C2184" s="199" t="inlineStr">
        <is>
          <t>15.9%</t>
        </is>
      </c>
    </row>
    <row r="2185">
      <c r="A2185" s="226" t="inlineStr">
        <is>
          <t>L6 Site Acceptance Testing</t>
        </is>
      </c>
      <c r="B2185" s="199" t="n">
        <v>201</v>
      </c>
      <c r="C2185" s="199" t="inlineStr">
        <is>
          <t>27.8%</t>
        </is>
      </c>
    </row>
    <row r="2186">
      <c r="A2186" s="227" t="inlineStr">
        <is>
          <t>PAC / Handover</t>
        </is>
      </c>
      <c r="B2186" s="199" t="n">
        <v>30</v>
      </c>
      <c r="C2186" s="199" t="inlineStr">
        <is>
          <t>4.2%</t>
        </is>
      </c>
    </row>
    <row r="2187">
      <c r="A2187" s="228" t="inlineStr">
        <is>
          <t>Warranty</t>
        </is>
      </c>
      <c r="B2187" s="199" t="n">
        <v>20</v>
      </c>
      <c r="C2187" s="199" t="inlineStr">
        <is>
          <t>2.8%</t>
        </is>
      </c>
    </row>
    <row r="2189" ht="46" customHeight="1">
      <c r="A2189" s="201" t="inlineStr">
        <is>
          <t>2169 (RTM, phase) rows exploded from RTM_RANKING's 722 rows; 722 RTMs (100.0%) list more than one applicable phase (these are exactly the multi-phase-deliverable cases GBO flagged -- e.g. a P&amp;ID that applies at Tender, Conceptual, and Detailed Design). This sheet does NOT yet track per-phase evidence/status independently (that would need a Status column per exploded row, filled in by a reviewer) -- flagged as the next step if per-phase closure tracking is wanted, not built silently.</t>
        </is>
      </c>
    </row>
  </sheetData>
  <autoFilter ref="A5:H2174"/>
  <mergeCells count="4">
    <mergeCell ref="A2189:H2189"/>
    <mergeCell ref="A2:H2"/>
    <mergeCell ref="A2176:C2176"/>
    <mergeCell ref="A1:H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41"/>
  <sheetViews>
    <sheetView showGridLines="0" workbookViewId="0">
      <pane ySplit="5" topLeftCell="A6" activePane="bottomLeft" state="frozen"/>
      <selection pane="bottomLeft" activeCell="A1" sqref="A1"/>
    </sheetView>
  </sheetViews>
  <sheetFormatPr baseColWidth="8" defaultRowHeight="15"/>
  <cols>
    <col width="11" customWidth="1" min="1" max="1"/>
    <col width="44" customWidth="1" min="2" max="2"/>
    <col width="16" customWidth="1" min="3" max="3"/>
    <col width="8" customWidth="1" min="4" max="4"/>
    <col width="13" customWidth="1" min="5" max="5"/>
    <col width="40" customWidth="1" min="6" max="6"/>
  </cols>
  <sheetData>
    <row r="1">
      <c r="A1" s="216" t="inlineStr">
        <is>
          <t>Deliverables Dossier — contract Applicable Documentation (AD) groups</t>
        </is>
      </c>
    </row>
    <row r="2" ht="46" customHeight="1">
      <c r="A2" s="217" t="inlineStr">
        <is>
          <t>Real structure from the contract mirror's own "Table 2. Applicable Documentation (AD)" (uploads_v5/QPS_Contract_mirror_DOCX.pdf, p.24) -- 6 top-level document groups, several with sub-items, each with its own SCK CEN reference number. RTM linkage below is computed by scanning every RTM's full text for an AD_## mention -- not fabricated, and most AD items currently have ZERO citing RTMs, which is itself worth knowing (either genuinely no RTM references that document, or a citation exists in wording this scan didn't catch -- flagged honestly rather than papered over).</t>
        </is>
      </c>
    </row>
    <row r="5">
      <c r="A5" s="204" t="inlineStr">
        <is>
          <t>AD ID</t>
        </is>
      </c>
      <c r="B5" s="204" t="inlineStr">
        <is>
          <t>Document name</t>
        </is>
      </c>
      <c r="C5" s="204" t="inlineStr">
        <is>
          <t>Reference</t>
        </is>
      </c>
      <c r="D5" s="204" t="inlineStr">
        <is>
          <t>Group</t>
        </is>
      </c>
      <c r="E5" s="204" t="inlineStr">
        <is>
          <t>Linked RTM count</t>
        </is>
      </c>
      <c r="F5" s="204" t="inlineStr">
        <is>
          <t>Linked RTM IDs</t>
        </is>
      </c>
    </row>
    <row r="6" ht="30" customHeight="1">
      <c r="A6" s="230" t="inlineStr">
        <is>
          <t>AD_01</t>
        </is>
      </c>
      <c r="B6" s="209" t="inlineStr">
        <is>
          <t>Auxiliary Building (ZIP file, including Navigation of Drawings)</t>
        </is>
      </c>
      <c r="C6" s="208" t="inlineStr">
        <is>
          <t>SCKCEN/98684417</t>
        </is>
      </c>
      <c r="D6" s="208" t="inlineStr">
        <is>
          <t>AD_01</t>
        </is>
      </c>
      <c r="E6" s="231" t="n">
        <v>2</v>
      </c>
      <c r="F6" s="208" t="inlineStr">
        <is>
          <t>RTM-384; RTM-388</t>
        </is>
      </c>
    </row>
    <row r="7" ht="18" customHeight="1">
      <c r="A7" s="232" t="inlineStr">
        <is>
          <t>AD_01.01</t>
        </is>
      </c>
      <c r="B7" s="198" t="inlineStr">
        <is>
          <t>MINERVA_Views</t>
        </is>
      </c>
      <c r="C7" s="199" t="inlineStr">
        <is>
          <t>SCKCEN/83474410</t>
        </is>
      </c>
      <c r="D7" s="199" t="inlineStr">
        <is>
          <t>AD_01</t>
        </is>
      </c>
      <c r="E7" s="199" t="n">
        <v>0</v>
      </c>
      <c r="F7" s="199" t="inlineStr">
        <is>
          <t>(none found)</t>
        </is>
      </c>
    </row>
    <row r="8" ht="18" customHeight="1">
      <c r="A8" s="233" t="inlineStr">
        <is>
          <t>AD_01.02</t>
        </is>
      </c>
      <c r="B8" s="209" t="inlineStr">
        <is>
          <t>Masterplan</t>
        </is>
      </c>
      <c r="C8" s="208" t="inlineStr">
        <is>
          <t>SCKCEN/84582975</t>
        </is>
      </c>
      <c r="D8" s="208" t="inlineStr">
        <is>
          <t>AD_01</t>
        </is>
      </c>
      <c r="E8" s="208" t="n">
        <v>0</v>
      </c>
      <c r="F8" s="208" t="inlineStr">
        <is>
          <t>(none found)</t>
        </is>
      </c>
    </row>
    <row r="9" ht="18" customHeight="1">
      <c r="A9" s="232" t="inlineStr">
        <is>
          <t>AD_01.03</t>
        </is>
      </c>
      <c r="B9" s="198" t="inlineStr">
        <is>
          <t>AUB_Fire Escape</t>
        </is>
      </c>
      <c r="C9" s="199" t="inlineStr">
        <is>
          <t>SCKCEN/81503842</t>
        </is>
      </c>
      <c r="D9" s="199" t="inlineStr">
        <is>
          <t>AD_01</t>
        </is>
      </c>
      <c r="E9" s="199" t="n">
        <v>0</v>
      </c>
      <c r="F9" s="199" t="inlineStr">
        <is>
          <t>(none found)</t>
        </is>
      </c>
    </row>
    <row r="10" ht="18" customHeight="1">
      <c r="A10" s="233" t="inlineStr">
        <is>
          <t>AD_01.04</t>
        </is>
      </c>
      <c r="B10" s="209" t="inlineStr">
        <is>
          <t>CCB_Fire Escape</t>
        </is>
      </c>
      <c r="C10" s="208" t="inlineStr">
        <is>
          <t>SCKCEN/81506385</t>
        </is>
      </c>
      <c r="D10" s="208" t="inlineStr">
        <is>
          <t>AD_01</t>
        </is>
      </c>
      <c r="E10" s="208" t="n">
        <v>0</v>
      </c>
      <c r="F10" s="208" t="inlineStr">
        <is>
          <t>(none found)</t>
        </is>
      </c>
    </row>
    <row r="11" ht="18" customHeight="1">
      <c r="A11" s="232" t="inlineStr">
        <is>
          <t>AD_01.05</t>
        </is>
      </c>
      <c r="B11" s="198" t="inlineStr">
        <is>
          <t>AUB_roof</t>
        </is>
      </c>
      <c r="C11" s="199" t="inlineStr">
        <is>
          <t>SCKCEN/81504187</t>
        </is>
      </c>
      <c r="D11" s="199" t="inlineStr">
        <is>
          <t>AD_01</t>
        </is>
      </c>
      <c r="E11" s="199" t="n">
        <v>0</v>
      </c>
      <c r="F11" s="199" t="inlineStr">
        <is>
          <t>(none found)</t>
        </is>
      </c>
    </row>
    <row r="12" ht="18" customHeight="1">
      <c r="A12" s="233" t="inlineStr">
        <is>
          <t>AD_01.06</t>
        </is>
      </c>
      <c r="B12" s="209" t="inlineStr">
        <is>
          <t>CCB Outside Area Layout</t>
        </is>
      </c>
      <c r="C12" s="208" t="inlineStr">
        <is>
          <t>SCKCEN/95807457</t>
        </is>
      </c>
      <c r="D12" s="208" t="inlineStr">
        <is>
          <t>AD_01</t>
        </is>
      </c>
      <c r="E12" s="208" t="n">
        <v>0</v>
      </c>
      <c r="F12" s="208" t="inlineStr">
        <is>
          <t>(none found)</t>
        </is>
      </c>
    </row>
    <row r="13" ht="18" customHeight="1">
      <c r="A13" s="232" t="inlineStr">
        <is>
          <t>AD_01.07</t>
        </is>
      </c>
      <c r="B13" s="198" t="inlineStr">
        <is>
          <t>CCB_Outside_QSN</t>
        </is>
      </c>
      <c r="C13" s="199" t="inlineStr">
        <is>
          <t>SCKCEN/96751034</t>
        </is>
      </c>
      <c r="D13" s="199" t="inlineStr">
        <is>
          <t>AD_01</t>
        </is>
      </c>
      <c r="E13" s="199" t="n">
        <v>0</v>
      </c>
      <c r="F13" s="199" t="inlineStr">
        <is>
          <t>(none found)</t>
        </is>
      </c>
    </row>
    <row r="14" ht="18" customHeight="1">
      <c r="A14" s="233" t="inlineStr">
        <is>
          <t>AD_01.08</t>
        </is>
      </c>
      <c r="B14" s="209" t="inlineStr">
        <is>
          <t>AUB_Instrument Air Main Equipment</t>
        </is>
      </c>
      <c r="C14" s="208" t="inlineStr">
        <is>
          <t>SCKCEN/96975807</t>
        </is>
      </c>
      <c r="D14" s="208" t="inlineStr">
        <is>
          <t>AD_01</t>
        </is>
      </c>
      <c r="E14" s="208" t="n">
        <v>0</v>
      </c>
      <c r="F14" s="208" t="inlineStr">
        <is>
          <t>(none found)</t>
        </is>
      </c>
    </row>
    <row r="15" ht="18" customHeight="1">
      <c r="A15" s="232" t="inlineStr">
        <is>
          <t>AD_01.09</t>
        </is>
      </c>
      <c r="B15" s="198" t="inlineStr">
        <is>
          <t>CCB_Outside - Process Equipment Arrangement Drawing</t>
        </is>
      </c>
      <c r="C15" s="199" t="inlineStr">
        <is>
          <t>SCKCEN/98501764</t>
        </is>
      </c>
      <c r="D15" s="199" t="inlineStr">
        <is>
          <t>AD_01</t>
        </is>
      </c>
      <c r="E15" s="199" t="n">
        <v>0</v>
      </c>
      <c r="F15" s="199" t="inlineStr">
        <is>
          <t>(none found)</t>
        </is>
      </c>
    </row>
    <row r="16" ht="18" customHeight="1">
      <c r="A16" s="233" t="inlineStr">
        <is>
          <t>AD_01.10</t>
        </is>
      </c>
      <c r="B16" s="209" t="inlineStr">
        <is>
          <t>P&amp;ID_PCW (TP2: PS01.PAB12)</t>
        </is>
      </c>
      <c r="C16" s="208" t="inlineStr">
        <is>
          <t>SCKCEN/96708759</t>
        </is>
      </c>
      <c r="D16" s="208" t="inlineStr">
        <is>
          <t>AD_01</t>
        </is>
      </c>
      <c r="E16" s="208" t="n">
        <v>0</v>
      </c>
      <c r="F16" s="208" t="inlineStr">
        <is>
          <t>(none found)</t>
        </is>
      </c>
    </row>
    <row r="17" ht="18" customHeight="1">
      <c r="A17" s="232" t="inlineStr">
        <is>
          <t>AD_01.11</t>
        </is>
      </c>
      <c r="B17" s="198" t="inlineStr">
        <is>
          <t>P&amp;ID Instrument Air (TP2: PS01.QFB10</t>
        </is>
      </c>
      <c r="C17" s="199" t="inlineStr">
        <is>
          <t>SCKCEN/95807457</t>
        </is>
      </c>
      <c r="D17" s="199" t="inlineStr">
        <is>
          <t>AD_01</t>
        </is>
      </c>
      <c r="E17" s="199" t="n">
        <v>0</v>
      </c>
      <c r="F17" s="199" t="inlineStr">
        <is>
          <t>(none found)</t>
        </is>
      </c>
    </row>
    <row r="18" ht="18" customHeight="1">
      <c r="A18" s="233" t="inlineStr">
        <is>
          <t>AD_01.12</t>
        </is>
      </c>
      <c r="B18" s="209" t="inlineStr">
        <is>
          <t>CCB_Liquid Waste - Drain location</t>
        </is>
      </c>
      <c r="C18" s="208" t="inlineStr">
        <is>
          <t>SCKCEN/98459496</t>
        </is>
      </c>
      <c r="D18" s="208" t="inlineStr">
        <is>
          <t>AD_01</t>
        </is>
      </c>
      <c r="E18" s="208" t="n">
        <v>0</v>
      </c>
      <c r="F18" s="208" t="inlineStr">
        <is>
          <t>(none found)</t>
        </is>
      </c>
    </row>
    <row r="19" ht="18" customHeight="1">
      <c r="A19" s="232" t="inlineStr">
        <is>
          <t>AD_01.13</t>
        </is>
      </c>
      <c r="B19" s="198" t="inlineStr">
        <is>
          <t>AUB_Liquid Waste - Drain location</t>
        </is>
      </c>
      <c r="C19" s="199" t="inlineStr">
        <is>
          <t>SCKCEN/98460269</t>
        </is>
      </c>
      <c r="D19" s="199" t="inlineStr">
        <is>
          <t>AD_01</t>
        </is>
      </c>
      <c r="E19" s="199" t="n">
        <v>0</v>
      </c>
      <c r="F19" s="199" t="inlineStr">
        <is>
          <t>(none found)</t>
        </is>
      </c>
    </row>
    <row r="20" ht="18" customHeight="1">
      <c r="A20" s="233" t="inlineStr">
        <is>
          <t>AD_01.14</t>
        </is>
      </c>
      <c r="B20" s="209" t="inlineStr">
        <is>
          <t>Piping Layout - Instrument Air (PS05.QFB10)</t>
        </is>
      </c>
      <c r="C20" s="208" t="inlineStr">
        <is>
          <t>SCKCEN/98503514</t>
        </is>
      </c>
      <c r="D20" s="208" t="inlineStr">
        <is>
          <t>AD_01</t>
        </is>
      </c>
      <c r="E20" s="208" t="n">
        <v>0</v>
      </c>
      <c r="F20" s="208" t="inlineStr">
        <is>
          <t>(none found)</t>
        </is>
      </c>
    </row>
    <row r="21" ht="18" customHeight="1">
      <c r="A21" s="232" t="inlineStr">
        <is>
          <t>AD_01.15</t>
        </is>
      </c>
      <c r="B21" s="198" t="inlineStr">
        <is>
          <t>External Helium Recovery (External User)</t>
        </is>
      </c>
      <c r="C21" s="199" t="inlineStr">
        <is>
          <t>SCKCEN/95761250</t>
        </is>
      </c>
      <c r="D21" s="199" t="inlineStr">
        <is>
          <t>AD_01</t>
        </is>
      </c>
      <c r="E21" s="199" t="n">
        <v>0</v>
      </c>
      <c r="F21" s="199" t="inlineStr">
        <is>
          <t>(none found)</t>
        </is>
      </c>
    </row>
    <row r="22" ht="18" customHeight="1">
      <c r="A22" s="233" t="inlineStr">
        <is>
          <t>AD_01.16</t>
        </is>
      </c>
      <c r="B22" s="209" t="inlineStr">
        <is>
          <t>SUP - PID General Legend Sheet.</t>
        </is>
      </c>
      <c r="C22" s="208" t="inlineStr">
        <is>
          <t>SCKCEN/49451929</t>
        </is>
      </c>
      <c r="D22" s="208" t="inlineStr">
        <is>
          <t>AD_01</t>
        </is>
      </c>
      <c r="E22" s="208" t="n">
        <v>0</v>
      </c>
      <c r="F22" s="208" t="inlineStr">
        <is>
          <t>(none found)</t>
        </is>
      </c>
    </row>
    <row r="23" ht="18" customHeight="1">
      <c r="A23" s="232" t="inlineStr">
        <is>
          <t>AD_01.17</t>
        </is>
      </c>
      <c r="B23" s="198" t="inlineStr">
        <is>
          <t>Instrument Air - Piping Routing and Layout Drawing</t>
        </is>
      </c>
      <c r="C23" s="199" t="inlineStr">
        <is>
          <t>SCKCEN/98504312</t>
        </is>
      </c>
      <c r="D23" s="199" t="inlineStr">
        <is>
          <t>AD_01</t>
        </is>
      </c>
      <c r="E23" s="199" t="n">
        <v>0</v>
      </c>
      <c r="F23" s="199" t="inlineStr">
        <is>
          <t>(none found)</t>
        </is>
      </c>
    </row>
    <row r="24" ht="18" customHeight="1">
      <c r="A24" s="233" t="inlineStr">
        <is>
          <t>AD_01.18</t>
        </is>
      </c>
      <c r="B24" s="209" t="inlineStr">
        <is>
          <t>AUB Floor Loads</t>
        </is>
      </c>
      <c r="C24" s="208" t="inlineStr">
        <is>
          <t>SCKCEN/81816304</t>
        </is>
      </c>
      <c r="D24" s="208" t="inlineStr">
        <is>
          <t>AD_01</t>
        </is>
      </c>
      <c r="E24" s="208" t="n">
        <v>0</v>
      </c>
      <c r="F24" s="208" t="inlineStr">
        <is>
          <t>(none found)</t>
        </is>
      </c>
    </row>
    <row r="25" ht="18" customHeight="1">
      <c r="A25" s="232" t="inlineStr">
        <is>
          <t>AD_01.19</t>
        </is>
      </c>
      <c r="B25" s="198" t="inlineStr">
        <is>
          <t>CCB_Floor Loads</t>
        </is>
      </c>
      <c r="C25" s="199" t="inlineStr">
        <is>
          <t>SCKCEN/81817186</t>
        </is>
      </c>
      <c r="D25" s="199" t="inlineStr">
        <is>
          <t>AD_01</t>
        </is>
      </c>
      <c r="E25" s="199" t="n">
        <v>0</v>
      </c>
      <c r="F25" s="199" t="inlineStr">
        <is>
          <t>(none found)</t>
        </is>
      </c>
    </row>
    <row r="26" ht="30" customHeight="1">
      <c r="A26" s="230" t="inlineStr">
        <is>
          <t>AD_02</t>
        </is>
      </c>
      <c r="B26" s="209" t="inlineStr">
        <is>
          <t>MINERVA Health, Safety and Environmental Plan</t>
        </is>
      </c>
      <c r="C26" s="208" t="inlineStr">
        <is>
          <t>SCKCEN/98225615</t>
        </is>
      </c>
      <c r="D26" s="208" t="inlineStr">
        <is>
          <t>AD_02</t>
        </is>
      </c>
      <c r="E26" s="231" t="n">
        <v>1</v>
      </c>
      <c r="F26" s="208" t="inlineStr">
        <is>
          <t>RTM-696</t>
        </is>
      </c>
    </row>
    <row r="27" ht="30" customHeight="1">
      <c r="A27" s="230" t="inlineStr">
        <is>
          <t>AD_03</t>
        </is>
      </c>
      <c r="B27" s="198" t="inlineStr">
        <is>
          <t>3D MODEL (ZIP file, including viewer software readme)</t>
        </is>
      </c>
      <c r="C27" s="199" t="inlineStr">
        <is>
          <t>SCKCEN/98684416</t>
        </is>
      </c>
      <c r="D27" s="199" t="inlineStr">
        <is>
          <t>AD_03</t>
        </is>
      </c>
      <c r="E27" s="234" t="n">
        <v>1</v>
      </c>
      <c r="F27" s="199" t="inlineStr">
        <is>
          <t>RTM-384</t>
        </is>
      </c>
    </row>
    <row r="28" ht="30" customHeight="1">
      <c r="A28" s="230" t="inlineStr">
        <is>
          <t>AD_04</t>
        </is>
      </c>
      <c r="B28" s="209" t="inlineStr">
        <is>
          <t>General Software and Hardware Requirements for Contractors</t>
        </is>
      </c>
      <c r="C28" s="208" t="inlineStr">
        <is>
          <t>SCKCEN/55310227</t>
        </is>
      </c>
      <c r="D28" s="208" t="inlineStr">
        <is>
          <t>AD_04</t>
        </is>
      </c>
      <c r="E28" s="231" t="n">
        <v>2</v>
      </c>
      <c r="F28" s="208" t="inlineStr">
        <is>
          <t>RTM-304; RTM-337</t>
        </is>
      </c>
    </row>
    <row r="29" ht="30" customHeight="1">
      <c r="A29" s="230" t="inlineStr">
        <is>
          <t>AD_05</t>
        </is>
      </c>
      <c r="B29" s="198" t="inlineStr">
        <is>
          <t>Controls, Interlocks, and IT Documentation (ZIP file)</t>
        </is>
      </c>
      <c r="C29" s="199" t="inlineStr"/>
      <c r="D29" s="199" t="inlineStr">
        <is>
          <t>AD_05</t>
        </is>
      </c>
      <c r="E29" s="234" t="n">
        <v>1</v>
      </c>
      <c r="F29" s="199" t="inlineStr">
        <is>
          <t>RTM-298</t>
        </is>
      </c>
    </row>
    <row r="30" ht="18" customHeight="1">
      <c r="A30" s="233" t="inlineStr">
        <is>
          <t>AD_05.01</t>
        </is>
      </c>
      <c r="B30" s="209" t="inlineStr">
        <is>
          <t>MIT Interface Catalogue</t>
        </is>
      </c>
      <c r="C30" s="208" t="inlineStr">
        <is>
          <t>SCKCEN/55564083</t>
        </is>
      </c>
      <c r="D30" s="208" t="inlineStr">
        <is>
          <t>AD_05</t>
        </is>
      </c>
      <c r="E30" s="231" t="n">
        <v>5</v>
      </c>
      <c r="F30" s="208" t="inlineStr">
        <is>
          <t>RTM-314; RTM-315; RTM-316; RTM-372; RTM-374</t>
        </is>
      </c>
    </row>
    <row r="31" ht="18" customHeight="1">
      <c r="A31" s="232" t="inlineStr">
        <is>
          <t>AD_05.02</t>
        </is>
      </c>
      <c r="B31" s="198" t="inlineStr">
        <is>
          <t>MIS Interface Catalogue</t>
        </is>
      </c>
      <c r="C31" s="199" t="inlineStr">
        <is>
          <t>SCKCEN/48443569</t>
        </is>
      </c>
      <c r="D31" s="199" t="inlineStr">
        <is>
          <t>AD_05</t>
        </is>
      </c>
      <c r="E31" s="199" t="n">
        <v>0</v>
      </c>
      <c r="F31" s="199" t="inlineStr">
        <is>
          <t>(none found)</t>
        </is>
      </c>
    </row>
    <row r="32" ht="18" customHeight="1">
      <c r="A32" s="233" t="inlineStr">
        <is>
          <t>AD_05.03</t>
        </is>
      </c>
      <c r="B32" s="209" t="inlineStr">
        <is>
          <t>MIS Hardwired Slow Interlock Interface</t>
        </is>
      </c>
      <c r="C32" s="208" t="inlineStr">
        <is>
          <t>SCKCEN/48282970</t>
        </is>
      </c>
      <c r="D32" s="208" t="inlineStr">
        <is>
          <t>AD_05</t>
        </is>
      </c>
      <c r="E32" s="231" t="n">
        <v>1</v>
      </c>
      <c r="F32" s="208" t="inlineStr">
        <is>
          <t>RTM-372</t>
        </is>
      </c>
    </row>
    <row r="33" ht="18" customHeight="1">
      <c r="A33" s="232" t="inlineStr">
        <is>
          <t>AD_05.04</t>
        </is>
      </c>
      <c r="B33" s="198" t="inlineStr">
        <is>
          <t>MCS Interface Catalogue</t>
        </is>
      </c>
      <c r="C33" s="199" t="inlineStr">
        <is>
          <t>SCKCEN/48276492</t>
        </is>
      </c>
      <c r="D33" s="199" t="inlineStr">
        <is>
          <t>AD_05</t>
        </is>
      </c>
      <c r="E33" s="234" t="n">
        <v>1</v>
      </c>
      <c r="F33" s="199" t="inlineStr">
        <is>
          <t>RTM-371</t>
        </is>
      </c>
    </row>
    <row r="34" ht="18" customHeight="1">
      <c r="A34" s="233" t="inlineStr">
        <is>
          <t>AD_05.05</t>
        </is>
      </c>
      <c r="B34" s="209" t="inlineStr">
        <is>
          <t>MCS Secondary Interface Catalogue: Profibus DP</t>
        </is>
      </c>
      <c r="C34" s="208" t="inlineStr">
        <is>
          <t>SCKCEN/48483448</t>
        </is>
      </c>
      <c r="D34" s="208" t="inlineStr">
        <is>
          <t>AD_05</t>
        </is>
      </c>
      <c r="E34" s="208" t="n">
        <v>0</v>
      </c>
      <c r="F34" s="208" t="inlineStr">
        <is>
          <t>(none found)</t>
        </is>
      </c>
    </row>
    <row r="35" ht="18" customHeight="1">
      <c r="A35" s="232" t="inlineStr">
        <is>
          <t>AD_05.06</t>
        </is>
      </c>
      <c r="B35" s="198" t="inlineStr">
        <is>
          <t>MCS Slow Control OPC UA Interface</t>
        </is>
      </c>
      <c r="C35" s="199" t="inlineStr">
        <is>
          <t>SCKCEN/56163474</t>
        </is>
      </c>
      <c r="D35" s="199" t="inlineStr">
        <is>
          <t>AD_05</t>
        </is>
      </c>
      <c r="E35" s="199" t="n">
        <v>0</v>
      </c>
      <c r="F35" s="199" t="inlineStr">
        <is>
          <t>(none found)</t>
        </is>
      </c>
    </row>
    <row r="36" ht="18" customHeight="1">
      <c r="A36" s="233" t="inlineStr">
        <is>
          <t>AD_05.07</t>
        </is>
      </c>
      <c r="B36" s="209" t="inlineStr">
        <is>
          <t>MCS Slow Control PROFINET Interface</t>
        </is>
      </c>
      <c r="C36" s="208" t="inlineStr">
        <is>
          <t>SCKCEN/55190851</t>
        </is>
      </c>
      <c r="D36" s="208" t="inlineStr">
        <is>
          <t>AD_05</t>
        </is>
      </c>
      <c r="E36" s="208" t="n">
        <v>0</v>
      </c>
      <c r="F36" s="208" t="inlineStr">
        <is>
          <t>(none found)</t>
        </is>
      </c>
    </row>
    <row r="37" ht="30" customHeight="1">
      <c r="A37" s="230" t="inlineStr">
        <is>
          <t>AD_06</t>
        </is>
      </c>
      <c r="B37" s="198" t="inlineStr">
        <is>
          <t>ATS CAD Models Naming Convention</t>
        </is>
      </c>
      <c r="C37" s="199" t="inlineStr">
        <is>
          <t>SCKCEN/96875096</t>
        </is>
      </c>
      <c r="D37" s="199" t="inlineStr">
        <is>
          <t>AD_06</t>
        </is>
      </c>
      <c r="E37" s="234" t="n">
        <v>1</v>
      </c>
      <c r="F37" s="199" t="inlineStr">
        <is>
          <t>RTM-439</t>
        </is>
      </c>
    </row>
    <row r="38">
      <c r="A38" s="235" t="inlineStr">
        <is>
          <t>AD_07</t>
        </is>
      </c>
      <c r="B38" s="235" t="inlineStr">
        <is>
          <t>QPS Cybersecurity Policy Framework (CPF)</t>
        </is>
      </c>
      <c r="C38" s="236" t="inlineStr">
        <is>
          <t>(project working doc -- no SCKCEN Table 2 reference; contractual anchor stated in the document itself: RTM-322)</t>
        </is>
      </c>
      <c r="D38" s="236" t="inlineStr">
        <is>
          <t>AD_07</t>
        </is>
      </c>
      <c r="E38" s="236" t="n">
        <v>1</v>
      </c>
      <c r="F38" s="236" t="inlineStr">
        <is>
          <t>RTM-322</t>
        </is>
      </c>
    </row>
    <row r="39" ht="46" customHeight="1">
      <c r="A39" s="235" t="inlineStr">
        <is>
          <t>AD_08</t>
        </is>
      </c>
      <c r="B39" s="235" t="inlineStr">
        <is>
          <t>QPLANT Abnormal Scenarios and Line S Interface Clarifications</t>
        </is>
      </c>
      <c r="C39" s="236" t="inlineStr">
        <is>
          <t>(project working doc -- no SCKCEN Table 2 reference)</t>
        </is>
      </c>
      <c r="D39" s="236" t="inlineStr">
        <is>
          <t>AD_08</t>
        </is>
      </c>
      <c r="E39" s="236" t="n">
        <v>4</v>
      </c>
      <c r="F39" s="236" t="inlineStr">
        <is>
          <t>RTM-260; RTM-261; RTM-292; RTM-294</t>
        </is>
      </c>
    </row>
    <row r="41">
      <c r="A41" s="201" t="inlineStr">
        <is>
          <t>34 AD entries total (8 top-level groups + 26 sub-items -- AD_07 and AD_08 added this round, sourced from GBO's Master_Input working folder, not the contract mirror's Table 2). 11 of the 34 have at least one linked RTM: 9 of the original AD_01-06 group via RTM text explicitly citing the AD_## code by number (15 citing-instances, 13 distinct RTMs), plus AD_07 and AD_08 via each document's OWN explicit self-declared RTM anchor (not a text-scan match) -- AD_07-&gt;RTM-322, AD_08-&gt;RTM-260/261/292/294. The rest of the RTM corpus does not cite an AD_## reference directly -- those RTMs' evidence basis is the RTM's own section text, not one of these named document bundles.</t>
        </is>
      </c>
    </row>
  </sheetData>
  <autoFilter ref="A5:F37"/>
  <mergeCells count="3">
    <mergeCell ref="A41:F41"/>
    <mergeCell ref="A2:F2"/>
    <mergeCell ref="A1:F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70"/>
  <sheetViews>
    <sheetView showGridLines="0" workbookViewId="0">
      <pane ySplit="5" topLeftCell="A6" activePane="bottomLeft" state="frozen"/>
      <selection pane="bottomLeft" activeCell="A1" sqref="A1"/>
    </sheetView>
  </sheetViews>
  <sheetFormatPr baseColWidth="8" defaultRowHeight="15"/>
  <cols>
    <col width="10" customWidth="1" min="1" max="1"/>
    <col width="10" customWidth="1" min="2" max="2"/>
    <col width="10" customWidth="1" min="3" max="3"/>
    <col width="20" customWidth="1" min="4" max="4"/>
    <col width="34" customWidth="1" min="5" max="5"/>
    <col width="46" customWidth="1" min="6" max="6"/>
    <col width="46" customWidth="1" min="7" max="7"/>
  </cols>
  <sheetData>
    <row r="1">
      <c r="A1" s="216" t="inlineStr">
        <is>
          <t>Conflict Candidates — heuristic, for human review only</t>
        </is>
      </c>
    </row>
    <row r="2" ht="58" customHeight="1">
      <c r="A2" s="217" t="inlineStr">
        <is>
          <t>HEURISTIC first pass, not a verified conflict list: pairs of RTMs in the exact same contract Section that share &gt;=2 significant words (candidate: same topic) but differ in negation polarity (one contains "shall not"/"prohibited"-type language, the other doesn't). This catches shape-level contradiction candidates only -- it does NOT understand numeric thresholds, units, or actual logical meaning, so most rows here will turn out to be false positives (e.g. two requirements about the same topic that are simply complementary, not contradictory). Treat every row as "worth a human glance", never as a confirmed conflict.</t>
        </is>
      </c>
    </row>
    <row r="5">
      <c r="A5" s="204" t="inlineStr">
        <is>
          <t>Section</t>
        </is>
      </c>
      <c r="B5" s="204" t="inlineStr">
        <is>
          <t>RTM A</t>
        </is>
      </c>
      <c r="C5" s="204" t="inlineStr">
        <is>
          <t>RTM B</t>
        </is>
      </c>
      <c r="D5" s="204" t="inlineStr">
        <is>
          <t>Domain</t>
        </is>
      </c>
      <c r="E5" s="204" t="inlineStr">
        <is>
          <t>Shared vocabulary</t>
        </is>
      </c>
      <c r="F5" s="204" t="inlineStr">
        <is>
          <t>RTM A shall text</t>
        </is>
      </c>
      <c r="G5" s="204" t="inlineStr">
        <is>
          <t>RTM B shall text</t>
        </is>
      </c>
    </row>
    <row r="6" ht="44" customHeight="1">
      <c r="A6" s="208" t="inlineStr">
        <is>
          <t>9</t>
        </is>
      </c>
      <c r="B6" s="208" t="inlineStr">
        <is>
          <t>RTM-687</t>
        </is>
      </c>
      <c r="C6" s="208" t="inlineStr">
        <is>
          <t>RTM-688</t>
        </is>
      </c>
      <c r="D6" s="208" t="inlineStr">
        <is>
          <t>Codes &amp; Standards</t>
        </is>
      </c>
      <c r="E6" s="208" t="inlineStr">
        <is>
          <t>applicable, where</t>
        </is>
      </c>
      <c r="F6" s="209" t="inlineStr">
        <is>
          <t>Compliance with a listed standard shall not be limited to design calculations or certificates but shall, where applicable, be reflected in:</t>
        </is>
      </c>
      <c r="G6" s="209" t="inlineStr">
        <is>
          <t>The Contractor shall organise the applicable codes and standards in a hierarchical manner where management-system standards (e.g. ISO 9001) act as parents to project-level requirem</t>
        </is>
      </c>
    </row>
    <row r="7" ht="44" customHeight="1">
      <c r="A7" s="199" t="inlineStr">
        <is>
          <t>4.6.8</t>
        </is>
      </c>
      <c r="B7" s="199" t="inlineStr">
        <is>
          <t>RTM-346</t>
        </is>
      </c>
      <c r="C7" s="199" t="inlineStr">
        <is>
          <t>RTM-356</t>
        </is>
      </c>
      <c r="D7" s="199" t="inlineStr">
        <is>
          <t>Control &amp; Interlock</t>
        </is>
      </c>
      <c r="E7" s="199" t="inlineStr">
        <is>
          <t>local, operator, station, visualization</t>
        </is>
      </c>
      <c r="F7" s="198" t="inlineStr">
        <is>
          <t>The Contractor shall provide local operator stations (HMI) to support local data visualization, reporting, and maintenance activities for QPS. At minimum, one station shall be inst</t>
        </is>
      </c>
      <c r="G7" s="198" t="inlineStr">
        <is>
          <t>The Operator Station HMI shall not host real-time or safety-critical control functions. It shall be limited to monitoring, visualization, and local interaction.</t>
        </is>
      </c>
    </row>
    <row r="8" ht="44" customHeight="1">
      <c r="A8" s="208" t="inlineStr">
        <is>
          <t>4.6.8</t>
        </is>
      </c>
      <c r="B8" s="208" t="inlineStr">
        <is>
          <t>RTM-346</t>
        </is>
      </c>
      <c r="C8" s="208" t="inlineStr">
        <is>
          <t>RTM-357</t>
        </is>
      </c>
      <c r="D8" s="208" t="inlineStr">
        <is>
          <t>Control &amp; Interlock</t>
        </is>
      </c>
      <c r="E8" s="208" t="inlineStr">
        <is>
          <t>local, operator, station</t>
        </is>
      </c>
      <c r="F8" s="209" t="inlineStr">
        <is>
          <t>The Contractor shall provide local operator stations (HMI) to support local data visualization, reporting, and maintenance activities for QPS. At minimum, one station shall be inst</t>
        </is>
      </c>
      <c r="G8" s="209" t="inlineStr">
        <is>
          <t>The Operator Station HMI shall store operational data (trends, alarms) only for short-term analysis. Local data shall not be backed up and may be overwritten after the configured r</t>
        </is>
      </c>
    </row>
    <row r="9" ht="44" customHeight="1">
      <c r="A9" s="199" t="inlineStr">
        <is>
          <t>4.6.8</t>
        </is>
      </c>
      <c r="B9" s="199" t="inlineStr">
        <is>
          <t>RTM-346</t>
        </is>
      </c>
      <c r="C9" s="199" t="inlineStr">
        <is>
          <t>RTM-360</t>
        </is>
      </c>
      <c r="D9" s="199" t="inlineStr">
        <is>
          <t>Control &amp; Interlock</t>
        </is>
      </c>
      <c r="E9" s="199" t="inlineStr">
        <is>
          <t>operator, station</t>
        </is>
      </c>
      <c r="F9" s="198" t="inlineStr">
        <is>
          <t>The Contractor shall provide local operator stations (HMI) to support local data visualization, reporting, and maintenance activities for QPS. At minimum, one station shall be inst</t>
        </is>
      </c>
      <c r="G9" s="198" t="inlineStr">
        <is>
          <t>The Operator Station HMI shall display and log alarms and events for operator awareness. Alarm acknowledgement shall not be implemented at the Operator Station if no authentication</t>
        </is>
      </c>
    </row>
    <row r="10" ht="44" customHeight="1">
      <c r="A10" s="208" t="inlineStr">
        <is>
          <t>4.6.8</t>
        </is>
      </c>
      <c r="B10" s="208" t="inlineStr">
        <is>
          <t>RTM-348</t>
        </is>
      </c>
      <c r="C10" s="208" t="inlineStr">
        <is>
          <t>RTM-367</t>
        </is>
      </c>
      <c r="D10" s="208" t="inlineStr">
        <is>
          <t>Control &amp; Interlock</t>
        </is>
      </c>
      <c r="E10" s="208" t="inlineStr">
        <is>
          <t>available, during, operation</t>
        </is>
      </c>
      <c r="F10" s="209" t="inlineStr">
        <is>
          <t>During standalone commissioning and SAT, integration with SCK CEN systems (MIT, MCS, MIS) may not be available; therefore, QPS:CIS shall be capable of independent operation until f</t>
        </is>
      </c>
      <c r="G10" s="209" t="inlineStr">
        <is>
          <t>The QPS:SCADA system shall be available for minimal two operator workstations ( equipped with large-format displays (≥24-inch) to support effective visualization during QPS operati</t>
        </is>
      </c>
    </row>
    <row r="11" ht="44" customHeight="1">
      <c r="A11" s="199" t="inlineStr">
        <is>
          <t>4.6.8</t>
        </is>
      </c>
      <c r="B11" s="199" t="inlineStr">
        <is>
          <t>RTM-348</t>
        </is>
      </c>
      <c r="C11" s="199" t="inlineStr">
        <is>
          <t>RTM-349</t>
        </is>
      </c>
      <c r="D11" s="199" t="inlineStr">
        <is>
          <t>Control &amp; Interlock</t>
        </is>
      </c>
      <c r="E11" s="199" t="inlineStr">
        <is>
          <t>integration, therefore</t>
        </is>
      </c>
      <c r="F11" s="198" t="inlineStr">
        <is>
          <t>During standalone commissioning and SAT, integration with SCK CEN systems (MIT, MCS, MIS) may not be available; therefore, QPS:CIS shall be capable of independent operation until f</t>
        </is>
      </c>
      <c r="G11" s="198" t="inlineStr">
        <is>
          <t>The QPS:SCADA solution shall serve as a reference design for a potential future integration in the MINERVA SCADA system. The Contractor shall therefore provide sufficient technical</t>
        </is>
      </c>
    </row>
    <row r="12" ht="44" customHeight="1">
      <c r="A12" s="208" t="inlineStr">
        <is>
          <t>4.6.8</t>
        </is>
      </c>
      <c r="B12" s="208" t="inlineStr">
        <is>
          <t>RTM-363</t>
        </is>
      </c>
      <c r="C12" s="208" t="inlineStr">
        <is>
          <t>RTM-356</t>
        </is>
      </c>
      <c r="D12" s="208" t="inlineStr">
        <is>
          <t>Control &amp; Interlock</t>
        </is>
      </c>
      <c r="E12" s="208" t="inlineStr">
        <is>
          <t>critical, operator, station</t>
        </is>
      </c>
      <c r="F12" s="209" t="inlineStr">
        <is>
          <t>The Operator Station HMI software shall support a default data acquisition period of ≤2 s. For all time-critical data—including turbine data and any Contractor-defined sequence, ev</t>
        </is>
      </c>
      <c r="G12" s="209" t="inlineStr">
        <is>
          <t>The Operator Station HMI shall not host real-time or safety-critical control functions. It shall be limited to monitoring, visualization, and local interaction.</t>
        </is>
      </c>
    </row>
    <row r="13" ht="44" customHeight="1">
      <c r="A13" s="199" t="inlineStr">
        <is>
          <t>4.6.8</t>
        </is>
      </c>
      <c r="B13" s="199" t="inlineStr">
        <is>
          <t>RTM-363</t>
        </is>
      </c>
      <c r="C13" s="199" t="inlineStr">
        <is>
          <t>RTM-357</t>
        </is>
      </c>
      <c r="D13" s="199" t="inlineStr">
        <is>
          <t>Control &amp; Interlock</t>
        </is>
      </c>
      <c r="E13" s="199" t="inlineStr">
        <is>
          <t>analysis, operator, period, station</t>
        </is>
      </c>
      <c r="F13" s="198" t="inlineStr">
        <is>
          <t>The Operator Station HMI software shall support a default data acquisition period of ≤2 s. For all time-critical data—including turbine data and any Contractor-defined sequence, ev</t>
        </is>
      </c>
      <c r="G13" s="198" t="inlineStr">
        <is>
          <t>The Operator Station HMI shall store operational data (trends, alarms) only for short-term analysis. Local data shall not be backed up and may be overwritten after the configured r</t>
        </is>
      </c>
    </row>
    <row r="14" ht="44" customHeight="1">
      <c r="A14" s="208" t="inlineStr">
        <is>
          <t>4.6.8</t>
        </is>
      </c>
      <c r="B14" s="208" t="inlineStr">
        <is>
          <t>RTM-363</t>
        </is>
      </c>
      <c r="C14" s="208" t="inlineStr">
        <is>
          <t>RTM-360</t>
        </is>
      </c>
      <c r="D14" s="208" t="inlineStr">
        <is>
          <t>Control &amp; Interlock</t>
        </is>
      </c>
      <c r="E14" s="208" t="inlineStr">
        <is>
          <t>events, operator, station</t>
        </is>
      </c>
      <c r="F14" s="209" t="inlineStr">
        <is>
          <t>The Operator Station HMI software shall support a default data acquisition period of ≤2 s. For all time-critical data—including turbine data and any Contractor-defined sequence, ev</t>
        </is>
      </c>
      <c r="G14" s="209" t="inlineStr">
        <is>
          <t>The Operator Station HMI shall display and log alarms and events for operator awareness. Alarm acknowledgement shall not be implemented at the Operator Station if no authentication</t>
        </is>
      </c>
    </row>
    <row r="15" ht="44" customHeight="1">
      <c r="A15" s="199" t="inlineStr">
        <is>
          <t>4.6.8</t>
        </is>
      </c>
      <c r="B15" s="199" t="inlineStr">
        <is>
          <t>RTM-356</t>
        </is>
      </c>
      <c r="C15" s="199" t="inlineStr">
        <is>
          <t>RTM-359</t>
        </is>
      </c>
      <c r="D15" s="199" t="inlineStr">
        <is>
          <t>Control &amp; Interlock</t>
        </is>
      </c>
      <c r="E15" s="199" t="inlineStr">
        <is>
          <t>monitoring, operator, station</t>
        </is>
      </c>
      <c r="F15" s="198" t="inlineStr">
        <is>
          <t>The Operator Station HMI shall not host real-time or safety-critical control functions. It shall be limited to monitoring, visualization, and local interaction.</t>
        </is>
      </c>
      <c r="G15" s="198" t="inlineStr">
        <is>
          <t>The Operator Station HMI shall include graphical process views for monitoring equipment states and process flows.</t>
        </is>
      </c>
    </row>
    <row r="16" ht="44" customHeight="1">
      <c r="A16" s="208" t="inlineStr">
        <is>
          <t>4.6.8</t>
        </is>
      </c>
      <c r="B16" s="208" t="inlineStr">
        <is>
          <t>RTM-356</t>
        </is>
      </c>
      <c r="C16" s="208" t="inlineStr">
        <is>
          <t>RTM-367</t>
        </is>
      </c>
      <c r="D16" s="208" t="inlineStr">
        <is>
          <t>Control &amp; Interlock</t>
        </is>
      </c>
      <c r="E16" s="208" t="inlineStr">
        <is>
          <t>operator, visualization</t>
        </is>
      </c>
      <c r="F16" s="209" t="inlineStr">
        <is>
          <t>The Operator Station HMI shall not host real-time or safety-critical control functions. It shall be limited to monitoring, visualization, and local interaction.</t>
        </is>
      </c>
      <c r="G16" s="209" t="inlineStr">
        <is>
          <t>The QPS:SCADA system shall be available for minimal two operator workstations ( equipped with large-format displays (≥24-inch) to support effective visualization during QPS operati</t>
        </is>
      </c>
    </row>
    <row r="17" ht="44" customHeight="1">
      <c r="A17" s="199" t="inlineStr">
        <is>
          <t>4.6.8</t>
        </is>
      </c>
      <c r="B17" s="199" t="inlineStr">
        <is>
          <t>RTM-356</t>
        </is>
      </c>
      <c r="C17" s="199" t="inlineStr">
        <is>
          <t>RTM-354</t>
        </is>
      </c>
      <c r="D17" s="199" t="inlineStr">
        <is>
          <t>Control &amp; Interlock</t>
        </is>
      </c>
      <c r="E17" s="199" t="inlineStr">
        <is>
          <t>control, local</t>
        </is>
      </c>
      <c r="F17" s="198" t="inlineStr">
        <is>
          <t>The Operator Station HMI shall not host real-time or safety-critical control functions. It shall be limited to monitoring, visualization, and local interaction.</t>
        </is>
      </c>
      <c r="G17" s="198" t="inlineStr">
        <is>
          <t>Where local control is provided, the HMI shall implement a three-state control selection mechanism: Local – Free – Remote.</t>
        </is>
      </c>
    </row>
    <row r="18" ht="44" customHeight="1">
      <c r="A18" s="208" t="inlineStr">
        <is>
          <t>4.6.8</t>
        </is>
      </c>
      <c r="B18" s="208" t="inlineStr">
        <is>
          <t>RTM-356</t>
        </is>
      </c>
      <c r="C18" s="208" t="inlineStr">
        <is>
          <t>RTM-358</t>
        </is>
      </c>
      <c r="D18" s="208" t="inlineStr">
        <is>
          <t>Control &amp; Interlock</t>
        </is>
      </c>
      <c r="E18" s="208" t="inlineStr">
        <is>
          <t>operator, station</t>
        </is>
      </c>
      <c r="F18" s="209" t="inlineStr">
        <is>
          <t>The Operator Station HMI shall not host real-time or safety-critical control functions. It shall be limited to monitoring, visualization, and local interaction.</t>
        </is>
      </c>
      <c r="G18" s="209" t="inlineStr">
        <is>
          <t>The Operator Station HMI shall provide real-time and short-term historical trend plotting of key process variables.</t>
        </is>
      </c>
    </row>
    <row r="19" ht="44" customHeight="1">
      <c r="A19" s="199" t="inlineStr">
        <is>
          <t>4.6.8</t>
        </is>
      </c>
      <c r="B19" s="199" t="inlineStr">
        <is>
          <t>RTM-357</t>
        </is>
      </c>
      <c r="C19" s="199" t="inlineStr">
        <is>
          <t>RTM-359</t>
        </is>
      </c>
      <c r="D19" s="199" t="inlineStr">
        <is>
          <t>Control &amp; Interlock</t>
        </is>
      </c>
      <c r="E19" s="199" t="inlineStr">
        <is>
          <t>operator, station</t>
        </is>
      </c>
      <c r="F19" s="198" t="inlineStr">
        <is>
          <t>The Operator Station HMI shall store operational data (trends, alarms) only for short-term analysis. Local data shall not be backed up and may be overwritten after the configured r</t>
        </is>
      </c>
      <c r="G19" s="198" t="inlineStr">
        <is>
          <t>The Operator Station HMI shall include graphical process views for monitoring equipment states and process flows.</t>
        </is>
      </c>
    </row>
    <row r="20" ht="44" customHeight="1">
      <c r="A20" s="208" t="inlineStr">
        <is>
          <t>4.6.8</t>
        </is>
      </c>
      <c r="B20" s="208" t="inlineStr">
        <is>
          <t>RTM-357</t>
        </is>
      </c>
      <c r="C20" s="208" t="inlineStr">
        <is>
          <t>RTM-358</t>
        </is>
      </c>
      <c r="D20" s="208" t="inlineStr">
        <is>
          <t>Control &amp; Interlock</t>
        </is>
      </c>
      <c r="E20" s="208" t="inlineStr">
        <is>
          <t>operator, short, station</t>
        </is>
      </c>
      <c r="F20" s="209" t="inlineStr">
        <is>
          <t>The Operator Station HMI shall store operational data (trends, alarms) only for short-term analysis. Local data shall not be backed up and may be overwritten after the configured r</t>
        </is>
      </c>
      <c r="G20" s="209" t="inlineStr">
        <is>
          <t>The Operator Station HMI shall provide real-time and short-term historical trend plotting of key process variables.</t>
        </is>
      </c>
    </row>
    <row r="21" ht="44" customHeight="1">
      <c r="A21" s="199" t="inlineStr">
        <is>
          <t>4.6.8</t>
        </is>
      </c>
      <c r="B21" s="199" t="inlineStr">
        <is>
          <t>RTM-359</t>
        </is>
      </c>
      <c r="C21" s="199" t="inlineStr">
        <is>
          <t>RTM-360</t>
        </is>
      </c>
      <c r="D21" s="199" t="inlineStr">
        <is>
          <t>Control &amp; Interlock</t>
        </is>
      </c>
      <c r="E21" s="199" t="inlineStr">
        <is>
          <t>operator, station</t>
        </is>
      </c>
      <c r="F21" s="198" t="inlineStr">
        <is>
          <t>The Operator Station HMI shall include graphical process views for monitoring equipment states and process flows.</t>
        </is>
      </c>
      <c r="G21" s="198" t="inlineStr">
        <is>
          <t>The Operator Station HMI shall display and log alarms and events for operator awareness. Alarm acknowledgement shall not be implemented at the Operator Station if no authentication</t>
        </is>
      </c>
    </row>
    <row r="22" ht="44" customHeight="1">
      <c r="A22" s="208" t="inlineStr">
        <is>
          <t>4.6.8</t>
        </is>
      </c>
      <c r="B22" s="208" t="inlineStr">
        <is>
          <t>RTM-360</t>
        </is>
      </c>
      <c r="C22" s="208" t="inlineStr">
        <is>
          <t>RTM-358</t>
        </is>
      </c>
      <c r="D22" s="208" t="inlineStr">
        <is>
          <t>Control &amp; Interlock</t>
        </is>
      </c>
      <c r="E22" s="208" t="inlineStr">
        <is>
          <t>operator, station</t>
        </is>
      </c>
      <c r="F22" s="209" t="inlineStr">
        <is>
          <t>The Operator Station HMI shall display and log alarms and events for operator awareness. Alarm acknowledgement shall not be implemented at the Operator Station if no authentication</t>
        </is>
      </c>
      <c r="G22" s="209" t="inlineStr">
        <is>
          <t>The Operator Station HMI shall provide real-time and short-term historical trend plotting of key process variables.</t>
        </is>
      </c>
    </row>
    <row r="23" ht="44" customHeight="1">
      <c r="A23" s="199" t="inlineStr">
        <is>
          <t>4.2.4</t>
        </is>
      </c>
      <c r="B23" s="199" t="inlineStr">
        <is>
          <t>RTM-043</t>
        </is>
      </c>
      <c r="C23" s="199" t="inlineStr">
        <is>
          <t>RTM-042</t>
        </is>
      </c>
      <c r="D23" s="199" t="inlineStr">
        <is>
          <t>Process &amp; Functional</t>
        </is>
      </c>
      <c r="E23" s="199" t="inlineStr">
        <is>
          <t>capacity, cooling, design, operational</t>
        </is>
      </c>
      <c r="F23" s="198" t="inlineStr">
        <is>
          <t>The QPS design shall not include additional installed refrigeration or liquefaction capacity beyond that required to meet RTM-040 (Design Cooling Capacity) solely for the purpose o</t>
        </is>
      </c>
      <c r="G23" s="198" t="inlineStr">
        <is>
          <t>The QPS shall be capable of continuous operation at the specified Design Cooling Capacity, while meeting the stability requirements defined in the operational conditions.</t>
        </is>
      </c>
    </row>
    <row r="24" ht="44" customHeight="1">
      <c r="A24" s="208" t="inlineStr">
        <is>
          <t>4.2.4</t>
        </is>
      </c>
      <c r="B24" s="208" t="inlineStr">
        <is>
          <t>RTM-043</t>
        </is>
      </c>
      <c r="C24" s="208" t="inlineStr">
        <is>
          <t>RTM-041</t>
        </is>
      </c>
      <c r="D24" s="208" t="inlineStr">
        <is>
          <t>Process &amp; Functional</t>
        </is>
      </c>
      <c r="E24" s="208" t="inlineStr">
        <is>
          <t>capacity, cooling, design, operational</t>
        </is>
      </c>
      <c r="F24" s="209" t="inlineStr">
        <is>
          <t>The QPS design shall not include additional installed refrigeration or liquefaction capacity beyond that required to meet RTM-040 (Design Cooling Capacity) solely for the purpose o</t>
        </is>
      </c>
      <c r="G24" s="209" t="inlineStr">
        <is>
          <t>The Design Cooling Capacity in Table 8 shall apply at the Design Flow Conditions specified in Table 9 for the corresponding operational scenario and configuration.</t>
        </is>
      </c>
    </row>
    <row r="25" ht="44" customHeight="1">
      <c r="A25" s="199" t="inlineStr">
        <is>
          <t>4.2.4</t>
        </is>
      </c>
      <c r="B25" s="199" t="inlineStr">
        <is>
          <t>RTM-043</t>
        </is>
      </c>
      <c r="C25" s="199" t="inlineStr">
        <is>
          <t>RTM-040</t>
        </is>
      </c>
      <c r="D25" s="199" t="inlineStr">
        <is>
          <t>Process &amp; Functional</t>
        </is>
      </c>
      <c r="E25" s="199" t="inlineStr">
        <is>
          <t>capacity, cooling, design</t>
        </is>
      </c>
      <c r="F25" s="198" t="inlineStr">
        <is>
          <t>The QPS design shall not include additional installed refrigeration or liquefaction capacity beyond that required to meet RTM-040 (Design Cooling Capacity) solely for the purpose o</t>
        </is>
      </c>
      <c r="G25" s="198" t="inlineStr">
        <is>
          <t>The QPS shall comply with the Design Cooling Capacity specified in Table 8 in accordance with the Cryogenic User Circuitry Model. To this end, the QPS shall:</t>
        </is>
      </c>
    </row>
    <row r="26" ht="44" customHeight="1">
      <c r="A26" s="208" t="inlineStr">
        <is>
          <t>4.7.4.3.1</t>
        </is>
      </c>
      <c r="B26" s="208" t="inlineStr">
        <is>
          <t>RTM-420</t>
        </is>
      </c>
      <c r="C26" s="208" t="inlineStr">
        <is>
          <t>RTM-423</t>
        </is>
      </c>
      <c r="D26" s="208" t="inlineStr">
        <is>
          <t>Buildings &amp; Utilities</t>
        </is>
      </c>
      <c r="E26" s="208" t="inlineStr">
        <is>
          <t>exchanger, recovery</t>
        </is>
      </c>
      <c r="F26" s="209" t="inlineStr">
        <is>
          <t>The Heat-Recovery Heat Exchanger shall be sized to:</t>
        </is>
      </c>
      <c r="G26" s="209" t="inlineStr">
        <is>
          <t>The QPS operation shall not be adversely affected by the operation of the Heat-Recovery Heat Exchanger.</t>
        </is>
      </c>
    </row>
    <row r="27" ht="44" customHeight="1">
      <c r="A27" s="199" t="inlineStr">
        <is>
          <t>4.7.4.3.1</t>
        </is>
      </c>
      <c r="B27" s="199" t="inlineStr">
        <is>
          <t>RTM-421</t>
        </is>
      </c>
      <c r="C27" s="199" t="inlineStr">
        <is>
          <t>RTM-423</t>
        </is>
      </c>
      <c r="D27" s="199" t="inlineStr">
        <is>
          <t>Buildings &amp; Utilities</t>
        </is>
      </c>
      <c r="E27" s="199" t="inlineStr">
        <is>
          <t>exchanger, recovery</t>
        </is>
      </c>
      <c r="F27" s="198" t="inlineStr">
        <is>
          <t>The water flow through the Heat-Recovery Heat Exchanger shall be regulated by SCK CEN.</t>
        </is>
      </c>
      <c r="G27" s="198" t="inlineStr">
        <is>
          <t>The QPS operation shall not be adversely affected by the operation of the Heat-Recovery Heat Exchanger.</t>
        </is>
      </c>
    </row>
    <row r="28" ht="44" customHeight="1">
      <c r="A28" s="208" t="inlineStr">
        <is>
          <t>4.7.4.3.1</t>
        </is>
      </c>
      <c r="B28" s="208" t="inlineStr">
        <is>
          <t>RTM-422</t>
        </is>
      </c>
      <c r="C28" s="208" t="inlineStr">
        <is>
          <t>RTM-423</t>
        </is>
      </c>
      <c r="D28" s="208" t="inlineStr">
        <is>
          <t>Buildings &amp; Utilities</t>
        </is>
      </c>
      <c r="E28" s="208" t="inlineStr">
        <is>
          <t>exchanger, recovery</t>
        </is>
      </c>
      <c r="F28" s="209" t="inlineStr">
        <is>
          <t>The Contractor shall provide the capability to bypass the Heat-Recovery Heat Exchanger.</t>
        </is>
      </c>
      <c r="G28" s="209" t="inlineStr">
        <is>
          <t>The QPS operation shall not be adversely affected by the operation of the Heat-Recovery Heat Exchanger.</t>
        </is>
      </c>
    </row>
    <row r="29" ht="44" customHeight="1">
      <c r="A29" s="199" t="inlineStr">
        <is>
          <t>4.6.9</t>
        </is>
      </c>
      <c r="B29" s="199" t="inlineStr">
        <is>
          <t>RTM-370</t>
        </is>
      </c>
      <c r="C29" s="199" t="inlineStr">
        <is>
          <t>RTM-369</t>
        </is>
      </c>
      <c r="D29" s="199" t="inlineStr">
        <is>
          <t>Control &amp; Interlock</t>
        </is>
      </c>
      <c r="E29" s="199" t="inlineStr">
        <is>
          <t>contractor, modifications, warranty</t>
        </is>
      </c>
      <c r="F29" s="198" t="inlineStr">
        <is>
          <t>Minor modifications performed by or on behalf of SCK CEN shall not void the warranty unless the Contractor demonstrates a causal relationship between the modification and the claim</t>
        </is>
      </c>
      <c r="G29" s="198" t="inlineStr">
        <is>
          <t>The Contractor shall define all warranty limitations related to post-acceptance software modifications.</t>
        </is>
      </c>
    </row>
    <row r="30" ht="44" customHeight="1">
      <c r="A30" s="208" t="inlineStr">
        <is>
          <t>10.3</t>
        </is>
      </c>
      <c r="B30" s="208" t="inlineStr">
        <is>
          <t>RTM-714</t>
        </is>
      </c>
      <c r="C30" s="208" t="inlineStr">
        <is>
          <t>RTM-713</t>
        </is>
      </c>
      <c r="D30" s="208" t="inlineStr">
        <is>
          <t>Acceptance &amp; Warranty</t>
        </is>
      </c>
      <c r="E30" s="208" t="inlineStr">
        <is>
          <t>contractor, warranty</t>
        </is>
      </c>
      <c r="F30" s="209" t="inlineStr">
        <is>
          <t>The Contractor’s warranty obligation shall not apply:</t>
        </is>
      </c>
      <c r="G30" s="209" t="inlineStr">
        <is>
          <t>In case the warranty work needs to be performed at SCK CEN, the Contractor shall consider and comply with SCK CEN’s instructions relating to working hours, access, ..., without bei</t>
        </is>
      </c>
    </row>
    <row r="31" ht="44" customHeight="1">
      <c r="A31" s="199" t="inlineStr">
        <is>
          <t>10.3</t>
        </is>
      </c>
      <c r="B31" s="199" t="inlineStr">
        <is>
          <t>RTM-714</t>
        </is>
      </c>
      <c r="C31" s="199" t="inlineStr">
        <is>
          <t>RTM-718</t>
        </is>
      </c>
      <c r="D31" s="199" t="inlineStr">
        <is>
          <t>Acceptance &amp; Warranty</t>
        </is>
      </c>
      <c r="E31" s="199" t="inlineStr">
        <is>
          <t>contractor, warranty</t>
        </is>
      </c>
      <c r="F31" s="198" t="inlineStr">
        <is>
          <t>The Contractor’s warranty obligation shall not apply:</t>
        </is>
      </c>
      <c r="G31" s="198" t="inlineStr">
        <is>
          <t>If the Contractor fails to fulfil its obligations under the warranty, so that final acceptance cannot take place at the scheduled time, the warranty period shall be automatically e</t>
        </is>
      </c>
    </row>
    <row r="32" ht="44" customHeight="1">
      <c r="A32" s="208" t="inlineStr">
        <is>
          <t>10.3</t>
        </is>
      </c>
      <c r="B32" s="208" t="inlineStr">
        <is>
          <t>RTM-714</t>
        </is>
      </c>
      <c r="C32" s="208" t="inlineStr">
        <is>
          <t>RTM-712</t>
        </is>
      </c>
      <c r="D32" s="208" t="inlineStr">
        <is>
          <t>Acceptance &amp; Warranty</t>
        </is>
      </c>
      <c r="E32" s="208" t="inlineStr">
        <is>
          <t>contractor, warranty</t>
        </is>
      </c>
      <c r="F32" s="209" t="inlineStr">
        <is>
          <t>The Contractor’s warranty obligation shall not apply:</t>
        </is>
      </c>
      <c r="G32" s="209" t="inlineStr">
        <is>
          <t>The Contractor’s methods of solving a warranty issue shall always need to be approved in advance by SCK CEN. SCK CEN reserves the right, at its sole discretion, to not allow for re</t>
        </is>
      </c>
    </row>
    <row r="33" ht="44" customHeight="1">
      <c r="A33" s="199" t="inlineStr">
        <is>
          <t>10.3</t>
        </is>
      </c>
      <c r="B33" s="199" t="inlineStr">
        <is>
          <t>RTM-714</t>
        </is>
      </c>
      <c r="C33" s="199" t="inlineStr">
        <is>
          <t>RTM-715</t>
        </is>
      </c>
      <c r="D33" s="199" t="inlineStr">
        <is>
          <t>Acceptance &amp; Warranty</t>
        </is>
      </c>
      <c r="E33" s="199" t="inlineStr">
        <is>
          <t>contractor, warranty</t>
        </is>
      </c>
      <c r="F33" s="198" t="inlineStr">
        <is>
          <t>The Contractor’s warranty obligation shall not apply:</t>
        </is>
      </c>
      <c r="G33" s="198" t="inlineStr">
        <is>
          <t xml:space="preserve">During the warranty period, the Contractor shall execute repairs and/or replacements without undue delay at the Contractor’s risk and expense. SCK CEN may request warranty service </t>
        </is>
      </c>
    </row>
    <row r="34" ht="44" customHeight="1">
      <c r="A34" s="208" t="inlineStr">
        <is>
          <t>10.3</t>
        </is>
      </c>
      <c r="B34" s="208" t="inlineStr">
        <is>
          <t>RTM-714</t>
        </is>
      </c>
      <c r="C34" s="208" t="inlineStr">
        <is>
          <t>RTM-722</t>
        </is>
      </c>
      <c r="D34" s="208" t="inlineStr">
        <is>
          <t>Acceptance &amp; Warranty</t>
        </is>
      </c>
      <c r="E34" s="208" t="inlineStr">
        <is>
          <t>apply, warranty</t>
        </is>
      </c>
      <c r="F34" s="209" t="inlineStr">
        <is>
          <t>The Contractor’s warranty obligation shall not apply:</t>
        </is>
      </c>
      <c r="G34" s="209" t="inlineStr">
        <is>
          <t>The warranty stipulations regarding warranty shall apply mutatis mutandis to any spare parts supplied under header of this contract.</t>
        </is>
      </c>
    </row>
    <row r="35" ht="44" customHeight="1">
      <c r="A35" s="199" t="inlineStr">
        <is>
          <t>10.3</t>
        </is>
      </c>
      <c r="B35" s="199" t="inlineStr">
        <is>
          <t>RTM-714</t>
        </is>
      </c>
      <c r="C35" s="199" t="inlineStr">
        <is>
          <t>RTM-719</t>
        </is>
      </c>
      <c r="D35" s="199" t="inlineStr">
        <is>
          <t>Acceptance &amp; Warranty</t>
        </is>
      </c>
      <c r="E35" s="199" t="inlineStr">
        <is>
          <t>contractor, warranty</t>
        </is>
      </c>
      <c r="F35" s="198" t="inlineStr">
        <is>
          <t>The Contractor’s warranty obligation shall not apply:</t>
        </is>
      </c>
      <c r="G35" s="198" t="inlineStr">
        <is>
          <t>The Contractor shall keep a register of all interventions that the Contractor performs during the warranty period which can be always consulted by SCK CEN. If SCK CEN can demonstra</t>
        </is>
      </c>
    </row>
    <row r="36" ht="44" customHeight="1">
      <c r="A36" s="208" t="inlineStr">
        <is>
          <t>10.3</t>
        </is>
      </c>
      <c r="B36" s="208" t="inlineStr">
        <is>
          <t>RTM-714</t>
        </is>
      </c>
      <c r="C36" s="208" t="inlineStr">
        <is>
          <t>RTM-711</t>
        </is>
      </c>
      <c r="D36" s="208" t="inlineStr">
        <is>
          <t>Acceptance &amp; Warranty</t>
        </is>
      </c>
      <c r="E36" s="208" t="inlineStr">
        <is>
          <t>contractor, warranty</t>
        </is>
      </c>
      <c r="F36" s="209" t="inlineStr">
        <is>
          <t>The Contractor’s warranty obligation shall not apply:</t>
        </is>
      </c>
      <c r="G36" s="209" t="inlineStr">
        <is>
          <t>During the warranty period, the Contractor shall at its own risk and expense remedy any outstanding issues, as well as any shortcomings and defects that were not visible during the</t>
        </is>
      </c>
    </row>
    <row r="37" ht="44" customHeight="1">
      <c r="A37" s="199" t="inlineStr">
        <is>
          <t>10.3</t>
        </is>
      </c>
      <c r="B37" s="199" t="inlineStr">
        <is>
          <t>RTM-714</t>
        </is>
      </c>
      <c r="C37" s="199" t="inlineStr">
        <is>
          <t>RTM-717</t>
        </is>
      </c>
      <c r="D37" s="199" t="inlineStr">
        <is>
          <t>Acceptance &amp; Warranty</t>
        </is>
      </c>
      <c r="E37" s="199" t="inlineStr">
        <is>
          <t>contractor, warranty</t>
        </is>
      </c>
      <c r="F37" s="198" t="inlineStr">
        <is>
          <t>The Contractor’s warranty obligation shall not apply:</t>
        </is>
      </c>
      <c r="G37" s="198" t="inlineStr">
        <is>
          <t>Notwithstanding the foregoing, the warranty period is suspended for the duration between formal notice by SCK CEN to the Contractor on the defect and resolving of said defect by th</t>
        </is>
      </c>
    </row>
    <row r="38" ht="44" customHeight="1">
      <c r="A38" s="208" t="inlineStr">
        <is>
          <t>4.8.5</t>
        </is>
      </c>
      <c r="B38" s="208" t="inlineStr">
        <is>
          <t>RTM-470</t>
        </is>
      </c>
      <c r="C38" s="208" t="inlineStr">
        <is>
          <t>RTM-468</t>
        </is>
      </c>
      <c r="D38" s="208" t="inlineStr">
        <is>
          <t>Design &amp; Fabrication</t>
        </is>
      </c>
      <c r="E38" s="208" t="inlineStr">
        <is>
          <t>contractor, frequency</t>
        </is>
      </c>
      <c r="F38" s="209" t="inlineStr">
        <is>
          <t>The Contractor shall ensure that all VFD-driven motors operate within the allowable continuous frequency range defined by IEC 60034 (Rotating Electrical Machines). Nominal VFD oper</t>
        </is>
      </c>
      <c r="G38" s="209" t="inlineStr">
        <is>
          <t>The Contractor shall install harmonic filtering devices on all major variable frequency drives (VFDs) (e.g., LP and HP compressors), and the requirements of IEC 61800-3 for industr</t>
        </is>
      </c>
    </row>
    <row r="39" ht="44" customHeight="1">
      <c r="A39" s="199" t="inlineStr">
        <is>
          <t>4.8.5</t>
        </is>
      </c>
      <c r="B39" s="199" t="inlineStr">
        <is>
          <t>RTM-470</t>
        </is>
      </c>
      <c r="C39" s="199" t="inlineStr">
        <is>
          <t>RTM-469</t>
        </is>
      </c>
      <c r="D39" s="199" t="inlineStr">
        <is>
          <t>Design &amp; Fabrication</t>
        </is>
      </c>
      <c r="E39" s="199" t="inlineStr">
        <is>
          <t>contractor, ensure</t>
        </is>
      </c>
      <c r="F39" s="198" t="inlineStr">
        <is>
          <t>The Contractor shall ensure that all VFD-driven motors operate within the allowable continuous frequency range defined by IEC 60034 (Rotating Electrical Machines). Nominal VFD oper</t>
        </is>
      </c>
      <c r="G39" s="198" t="inlineStr">
        <is>
          <t xml:space="preserve">The Contractor shall ensure that emission and immunity limits are met through appropriate use of input line filters, output dv/dt filters (where applicable), and proper shielding, </t>
        </is>
      </c>
    </row>
    <row r="40" ht="44" customHeight="1">
      <c r="A40" s="208" t="inlineStr">
        <is>
          <t>4.4.4.2.3</t>
        </is>
      </c>
      <c r="B40" s="208" t="inlineStr">
        <is>
          <t>RTM-216</t>
        </is>
      </c>
      <c r="C40" s="208" t="inlineStr">
        <is>
          <t>RTM-215</t>
        </is>
      </c>
      <c r="D40" s="208" t="inlineStr">
        <is>
          <t>Subsystems</t>
        </is>
      </c>
      <c r="E40" s="208" t="inlineStr">
        <is>
          <t>cartridge, replacement, turbine</t>
        </is>
      </c>
      <c r="F40" s="209" t="inlineStr">
        <is>
          <t>The replacement of one turbine cartridge shall not exceed 3 hours under normal maintenance conditions.</t>
        </is>
      </c>
      <c r="G40" s="209" t="inlineStr">
        <is>
          <t>The design shall allow in-situ replacement of each turbine cartridge without warming up the main heat exchanger blocks. To this end, the design shall include, at minimum:</t>
        </is>
      </c>
    </row>
    <row r="41" ht="44" customHeight="1">
      <c r="A41" s="199" t="inlineStr">
        <is>
          <t>4.6.10.3</t>
        </is>
      </c>
      <c r="B41" s="199" t="inlineStr">
        <is>
          <t>RTM-381</t>
        </is>
      </c>
      <c r="C41" s="199" t="inlineStr">
        <is>
          <t>RTM-382</t>
        </is>
      </c>
      <c r="D41" s="199" t="inlineStr">
        <is>
          <t>Control &amp; Interlock</t>
        </is>
      </c>
      <c r="E41" s="199" t="inlineStr">
        <is>
          <t>control, naming</t>
        </is>
      </c>
      <c r="F41" s="198" t="inlineStr">
        <is>
          <t>The system naming and tagging structure shall be frozen at Concept Design (L1) and shall not be modified without formal configuration control approval.</t>
        </is>
      </c>
      <c r="G41" s="198" t="inlineStr">
        <is>
          <t>The control architecture shall implement QPS:CIS as the parent control layer with subordinate subsystem and skid-level CIS integration, with naming consistent to the project namesp</t>
        </is>
      </c>
    </row>
    <row r="42" ht="44" customHeight="1">
      <c r="A42" s="208" t="inlineStr">
        <is>
          <t>4.6.7</t>
        </is>
      </c>
      <c r="B42" s="208" t="inlineStr">
        <is>
          <t>RTM-339</t>
        </is>
      </c>
      <c r="C42" s="208" t="inlineStr">
        <is>
          <t>RTM-336</t>
        </is>
      </c>
      <c r="D42" s="208" t="inlineStr">
        <is>
          <t>Control &amp; Interlock</t>
        </is>
      </c>
      <c r="E42" s="208" t="inlineStr">
        <is>
          <t>contractor, system</t>
        </is>
      </c>
      <c r="F42" s="209" t="inlineStr">
        <is>
          <t>The Contractor shall provide the following as part of Control System Dossier:</t>
        </is>
      </c>
      <c r="G42" s="209" t="inlineStr">
        <is>
          <t>The Contractor shall not rely on undisclosed, inaccessible, or in-house proprietary tools that prevent reasonable modification, maintenance, or restoration of the delivered system.</t>
        </is>
      </c>
    </row>
    <row r="43" ht="44" customHeight="1">
      <c r="A43" s="199" t="inlineStr">
        <is>
          <t>4.6.7</t>
        </is>
      </c>
      <c r="B43" s="199" t="inlineStr">
        <is>
          <t>RTM-338</t>
        </is>
      </c>
      <c r="C43" s="199" t="inlineStr">
        <is>
          <t>RTM-344</t>
        </is>
      </c>
      <c r="D43" s="199" t="inlineStr">
        <is>
          <t>Control &amp; Interlock</t>
        </is>
      </c>
      <c r="E43" s="199" t="inlineStr">
        <is>
          <t>configuration, delivered</t>
        </is>
      </c>
      <c r="F43" s="198" t="inlineStr">
        <is>
          <t>Excluded components shall not prevent operation, monitoring, integration, or modification of the overall QPS:CIS and may be delivered in compiled or parameterized form only if thei</t>
        </is>
      </c>
      <c r="G43" s="198" t="inlineStr">
        <is>
          <t>Configuration files and parameter sets shall be provided with version identification, configuration records, and change history sufficient to establish traceability of the delivere</t>
        </is>
      </c>
    </row>
    <row r="44" ht="44" customHeight="1">
      <c r="A44" s="208" t="inlineStr">
        <is>
          <t>4.6.7</t>
        </is>
      </c>
      <c r="B44" s="208" t="inlineStr">
        <is>
          <t>RTM-338</t>
        </is>
      </c>
      <c r="C44" s="208" t="inlineStr">
        <is>
          <t>RTM-337</t>
        </is>
      </c>
      <c r="D44" s="208" t="inlineStr">
        <is>
          <t>Control &amp; Interlock</t>
        </is>
      </c>
      <c r="E44" s="208" t="inlineStr">
        <is>
          <t>components, excluded, remain</t>
        </is>
      </c>
      <c r="F44" s="209" t="inlineStr">
        <is>
          <t>Excluded components shall not prevent operation, monitoring, integration, or modification of the overall QPS:CIS and may be delivered in compiled or parameterized form only if thei</t>
        </is>
      </c>
      <c r="G44" s="209" t="inlineStr">
        <is>
          <t>The Contractor may exclude from editable source-code delivery software components containing proprietary intellectual property, including software related to turboexpander control,</t>
        </is>
      </c>
    </row>
    <row r="45" ht="44" customHeight="1">
      <c r="A45" s="199" t="inlineStr">
        <is>
          <t>4.6.7</t>
        </is>
      </c>
      <c r="B45" s="199" t="inlineStr">
        <is>
          <t>RTM-338</t>
        </is>
      </c>
      <c r="C45" s="199" t="inlineStr">
        <is>
          <t>RTM-345</t>
        </is>
      </c>
      <c r="D45" s="199" t="inlineStr">
        <is>
          <t>Control &amp; Interlock</t>
        </is>
      </c>
      <c r="E45" s="199" t="inlineStr">
        <is>
          <t>configuration, qplant</t>
        </is>
      </c>
      <c r="F45" s="198" t="inlineStr">
        <is>
          <t>Excluded components shall not prevent operation, monitoring, integration, or modification of the overall QPS:CIS and may be delivered in compiled or parameterized form only if thei</t>
        </is>
      </c>
      <c r="G45" s="198" t="inlineStr">
        <is>
          <t xml:space="preserve">The Contractor shall provide a complete and final listing of all operational setpoints, control-loop tuning parameters, and mode-dependent configuration values used to achieve the </t>
        </is>
      </c>
    </row>
    <row r="46" ht="44" customHeight="1">
      <c r="A46" s="208" t="inlineStr">
        <is>
          <t>4.6.7</t>
        </is>
      </c>
      <c r="B46" s="208" t="inlineStr">
        <is>
          <t>RTM-336</t>
        </is>
      </c>
      <c r="C46" s="208" t="inlineStr">
        <is>
          <t>RTM-334</t>
        </is>
      </c>
      <c r="D46" s="208" t="inlineStr">
        <is>
          <t>Control &amp; Interlock</t>
        </is>
      </c>
      <c r="E46" s="208" t="inlineStr">
        <is>
          <t>contractor, delivered, tools</t>
        </is>
      </c>
      <c r="F46" s="209" t="inlineStr">
        <is>
          <t>The Contractor shall not rely on undisclosed, inaccessible, or in-house proprietary tools that prevent reasonable modification, maintenance, or restoration of the delivered system.</t>
        </is>
      </c>
      <c r="G46" s="209" t="inlineStr">
        <is>
          <t>The Contractor shall provide a list of all development tools, environments, and version compatibility requirements necessary to edit, build, deploy, and restore the delivered contr</t>
        </is>
      </c>
    </row>
    <row r="47" ht="44" customHeight="1">
      <c r="A47" s="199" t="inlineStr">
        <is>
          <t>4.6.7</t>
        </is>
      </c>
      <c r="B47" s="199" t="inlineStr">
        <is>
          <t>RTM-336</t>
        </is>
      </c>
      <c r="C47" s="199" t="inlineStr">
        <is>
          <t>RTM-335</t>
        </is>
      </c>
      <c r="D47" s="199" t="inlineStr">
        <is>
          <t>Control &amp; Interlock</t>
        </is>
      </c>
      <c r="E47" s="199" t="inlineStr">
        <is>
          <t>contractor, modification</t>
        </is>
      </c>
      <c r="F47" s="198" t="inlineStr">
        <is>
          <t>The Contractor shall not rely on undisclosed, inaccessible, or in-house proprietary tools that prevent reasonable modification, maintenance, or restoration of the delivered system.</t>
        </is>
      </c>
      <c r="G47" s="198" t="inlineStr">
        <is>
          <t>The Contractor shall identify all third-party or vendor software licenses required for modification or deployment of the control software.</t>
        </is>
      </c>
    </row>
    <row r="48" ht="44" customHeight="1">
      <c r="A48" s="208" t="inlineStr">
        <is>
          <t>4.6.7</t>
        </is>
      </c>
      <c r="B48" s="208" t="inlineStr">
        <is>
          <t>RTM-336</t>
        </is>
      </c>
      <c r="C48" s="208" t="inlineStr">
        <is>
          <t>RTM-337</t>
        </is>
      </c>
      <c r="D48" s="208" t="inlineStr">
        <is>
          <t>Control &amp; Interlock</t>
        </is>
      </c>
      <c r="E48" s="208" t="inlineStr">
        <is>
          <t>contractor, proprietary</t>
        </is>
      </c>
      <c r="F48" s="209" t="inlineStr">
        <is>
          <t>The Contractor shall not rely on undisclosed, inaccessible, or in-house proprietary tools that prevent reasonable modification, maintenance, or restoration of the delivered system.</t>
        </is>
      </c>
      <c r="G48" s="209" t="inlineStr">
        <is>
          <t>The Contractor may exclude from editable source-code delivery software components containing proprietary intellectual property, including software related to turboexpander control,</t>
        </is>
      </c>
    </row>
    <row r="49" ht="44" customHeight="1">
      <c r="A49" s="199" t="inlineStr">
        <is>
          <t>4.4.3.1</t>
        </is>
      </c>
      <c r="B49" s="199" t="inlineStr">
        <is>
          <t>RTM-147</t>
        </is>
      </c>
      <c r="C49" s="199" t="inlineStr">
        <is>
          <t>RTM-141</t>
        </is>
      </c>
      <c r="D49" s="199" t="inlineStr">
        <is>
          <t>Subsystems</t>
        </is>
      </c>
      <c r="E49" s="199" t="inlineStr">
        <is>
          <t>compressor, pressure</t>
        </is>
      </c>
      <c r="F49" s="198" t="inlineStr">
        <is>
          <t>The sound pressure level of each compressor shall not exceed 80 dB at 1 m while in any steady-state operating condition.</t>
        </is>
      </c>
      <c r="G49" s="198" t="inlineStr">
        <is>
          <t>The Warm Compressor Station (WCS) shall provide helium compression across at least three pressure levels: VLP, LP and HP.</t>
        </is>
      </c>
    </row>
    <row r="50" ht="44" customHeight="1">
      <c r="A50" s="208" t="inlineStr">
        <is>
          <t>8.1.7</t>
        </is>
      </c>
      <c r="B50" s="208" t="inlineStr">
        <is>
          <t>RTM-679</t>
        </is>
      </c>
      <c r="C50" s="208" t="inlineStr">
        <is>
          <t>RTM-677</t>
        </is>
      </c>
      <c r="D50" s="208" t="inlineStr">
        <is>
          <t>Quality Assurance &amp; Control</t>
        </is>
      </c>
      <c r="E50" s="208" t="inlineStr">
        <is>
          <t>arising, contractor</t>
        </is>
      </c>
      <c r="F50" s="209" t="inlineStr">
        <is>
          <t>Neither the implementation of the procedure on Non-Conformity management, nor the approval by SCK CEN of a Non-Conformity Report, shall waive or reduce the Contractor’s responsibil</t>
        </is>
      </c>
      <c r="G50" s="209" t="inlineStr">
        <is>
          <t>Performing the root cause analysis and implementing any preventive/corrective actions arising therefrom, shall not give rise to any additional compensation for the Contractor.</t>
        </is>
      </c>
    </row>
    <row r="51" ht="44" customHeight="1">
      <c r="A51" s="199" t="inlineStr">
        <is>
          <t>8.1.7</t>
        </is>
      </c>
      <c r="B51" s="199" t="inlineStr">
        <is>
          <t>RTM-679</t>
        </is>
      </c>
      <c r="C51" s="199" t="inlineStr">
        <is>
          <t>RTM-668</t>
        </is>
      </c>
      <c r="D51" s="199" t="inlineStr">
        <is>
          <t>Quality Assurance &amp; Control</t>
        </is>
      </c>
      <c r="E51" s="199" t="inlineStr">
        <is>
          <t>conformity, contract, contractor</t>
        </is>
      </c>
      <c r="F51" s="198" t="inlineStr">
        <is>
          <t>Neither the implementation of the procedure on Non-Conformity management, nor the approval by SCK CEN of a Non-Conformity Report, shall waive or reduce the Contractor’s responsibil</t>
        </is>
      </c>
      <c r="G51" s="198" t="inlineStr">
        <is>
          <t>In case of a Non-Conformity, the Contractor may not ship, or shall recall at its own risk and expense, the impacted supply. Any steps of the Contract execution, which are (potentia</t>
        </is>
      </c>
    </row>
    <row r="52" ht="44" customHeight="1">
      <c r="A52" s="208" t="inlineStr">
        <is>
          <t>8.1.7</t>
        </is>
      </c>
      <c r="B52" s="208" t="inlineStr">
        <is>
          <t>RTM-679</t>
        </is>
      </c>
      <c r="C52" s="208" t="inlineStr">
        <is>
          <t>RTM-669</t>
        </is>
      </c>
      <c r="D52" s="208" t="inlineStr">
        <is>
          <t>Quality Assurance &amp; Control</t>
        </is>
      </c>
      <c r="E52" s="208" t="inlineStr">
        <is>
          <t>conformity, contractor, report</t>
        </is>
      </c>
      <c r="F52" s="209" t="inlineStr">
        <is>
          <t>Neither the implementation of the procedure on Non-Conformity management, nor the approval by SCK CEN of a Non-Conformity Report, shall waive or reduce the Contractor’s responsibil</t>
        </is>
      </c>
      <c r="G52" s="209" t="inlineStr">
        <is>
          <t>The Contractor shall notify SCK CEN in writing of any such Non-Conformities by means of a Non-Conformity Report (NCR). An NCR shall be submitted to SCK CEN as soon as reasonably po</t>
        </is>
      </c>
    </row>
    <row r="53" ht="44" customHeight="1">
      <c r="A53" s="199" t="inlineStr">
        <is>
          <t>8.1.7</t>
        </is>
      </c>
      <c r="B53" s="199" t="inlineStr">
        <is>
          <t>RTM-679</t>
        </is>
      </c>
      <c r="C53" s="199" t="inlineStr">
        <is>
          <t>RTM-673</t>
        </is>
      </c>
      <c r="D53" s="199" t="inlineStr">
        <is>
          <t>Quality Assurance &amp; Control</t>
        </is>
      </c>
      <c r="E53" s="199" t="inlineStr">
        <is>
          <t>conformity, contractor, costs</t>
        </is>
      </c>
      <c r="F53" s="198" t="inlineStr">
        <is>
          <t>Neither the implementation of the procedure on Non-Conformity management, nor the approval by SCK CEN of a Non-Conformity Report, shall waive or reduce the Contractor’s responsibil</t>
        </is>
      </c>
      <c r="G53" s="198" t="inlineStr">
        <is>
          <t>The Contractor shall perform all necessary actions to correct the Non-Conformity (in accordance with the SCK CEN approved NCR) at its own risk and expense. Said necessary actions s</t>
        </is>
      </c>
    </row>
    <row r="54" ht="44" customHeight="1">
      <c r="A54" s="208" t="inlineStr">
        <is>
          <t>8.1.7</t>
        </is>
      </c>
      <c r="B54" s="208" t="inlineStr">
        <is>
          <t>RTM-677</t>
        </is>
      </c>
      <c r="C54" s="208" t="inlineStr">
        <is>
          <t>RTM-674</t>
        </is>
      </c>
      <c r="D54" s="208" t="inlineStr">
        <is>
          <t>Quality Assurance &amp; Control</t>
        </is>
      </c>
      <c r="E54" s="208" t="inlineStr">
        <is>
          <t>actions, contractor</t>
        </is>
      </c>
      <c r="F54" s="209" t="inlineStr">
        <is>
          <t>Performing the root cause analysis and implementing any preventive/corrective actions arising therefrom, shall not give rise to any additional compensation for the Contractor.</t>
        </is>
      </c>
      <c r="G54" s="209" t="inlineStr">
        <is>
          <t>The Contractor shall keep SCK CEN duly informed about the progress of the implementation of the actions identified in the NCR and, if applicable, shall provide a revised schedule i</t>
        </is>
      </c>
    </row>
    <row r="55" ht="44" customHeight="1">
      <c r="A55" s="199" t="inlineStr">
        <is>
          <t>8.1.7</t>
        </is>
      </c>
      <c r="B55" s="199" t="inlineStr">
        <is>
          <t>RTM-677</t>
        </is>
      </c>
      <c r="C55" s="199" t="inlineStr">
        <is>
          <t>RTM-675</t>
        </is>
      </c>
      <c r="D55" s="199" t="inlineStr">
        <is>
          <t>Quality Assurance &amp; Control</t>
        </is>
      </c>
      <c r="E55" s="199" t="inlineStr">
        <is>
          <t>analysis, cause, contractor</t>
        </is>
      </c>
      <c r="F55" s="198" t="inlineStr">
        <is>
          <t>Performing the root cause analysis and implementing any preventive/corrective actions arising therefrom, shall not give rise to any additional compensation for the Contractor.</t>
        </is>
      </c>
      <c r="G55" s="198" t="inlineStr">
        <is>
          <t>At the specific request of SCK CEN, to avoid repetition of possible recurring Non-Conformities during the execution of the Contract, or when imposed by the Contractor's quality man</t>
        </is>
      </c>
    </row>
    <row r="56" ht="44" customHeight="1">
      <c r="A56" s="208" t="inlineStr">
        <is>
          <t>8.1.7</t>
        </is>
      </c>
      <c r="B56" s="208" t="inlineStr">
        <is>
          <t>RTM-677</t>
        </is>
      </c>
      <c r="C56" s="208" t="inlineStr">
        <is>
          <t>RTM-676</t>
        </is>
      </c>
      <c r="D56" s="208" t="inlineStr">
        <is>
          <t>Quality Assurance &amp; Control</t>
        </is>
      </c>
      <c r="E56" s="208" t="inlineStr">
        <is>
          <t>actions, contractor</t>
        </is>
      </c>
      <c r="F56" s="209" t="inlineStr">
        <is>
          <t>Performing the root cause analysis and implementing any preventive/corrective actions arising therefrom, shall not give rise to any additional compensation for the Contractor.</t>
        </is>
      </c>
      <c r="G56" s="209" t="inlineStr">
        <is>
          <t>For actions taking more than 1 month, the Contractor shall provide a regular status report describing the result of implementation according to the due dates in the action plan.</t>
        </is>
      </c>
    </row>
    <row r="57" ht="44" customHeight="1">
      <c r="A57" s="199" t="inlineStr">
        <is>
          <t>8.1.7</t>
        </is>
      </c>
      <c r="B57" s="199" t="inlineStr">
        <is>
          <t>RTM-666</t>
        </is>
      </c>
      <c r="C57" s="199" t="inlineStr">
        <is>
          <t>RTM-669</t>
        </is>
      </c>
      <c r="D57" s="199" t="inlineStr">
        <is>
          <t>Quality Assurance &amp; Control</t>
        </is>
      </c>
      <c r="E57" s="199" t="inlineStr">
        <is>
          <t>conformities, writing</t>
        </is>
      </c>
      <c r="F57" s="198" t="inlineStr">
        <is>
          <t>Deviations from the specifications defined in the Contract, that were not explicitly authorized by SCK CEN in advance in writing, shall be treated as Non-Conformities.</t>
        </is>
      </c>
      <c r="G57" s="198" t="inlineStr">
        <is>
          <t>The Contractor shall notify SCK CEN in writing of any such Non-Conformities by means of a Non-Conformity Report (NCR). An NCR shall be submitted to SCK CEN as soon as reasonably po</t>
        </is>
      </c>
    </row>
    <row r="58" ht="44" customHeight="1">
      <c r="A58" s="208" t="inlineStr">
        <is>
          <t>8.1.7</t>
        </is>
      </c>
      <c r="B58" s="208" t="inlineStr">
        <is>
          <t>RTM-667</t>
        </is>
      </c>
      <c r="C58" s="208" t="inlineStr">
        <is>
          <t>RTM-668</t>
        </is>
      </c>
      <c r="D58" s="208" t="inlineStr">
        <is>
          <t>Quality Assurance &amp; Control</t>
        </is>
      </c>
      <c r="E58" s="208" t="inlineStr">
        <is>
          <t>contract, contractor</t>
        </is>
      </c>
      <c r="F58" s="209" t="inlineStr">
        <is>
          <t>The Contractor shall have a process in place for managing Non-Conformities that arise during the performance of the Contract, including receiving and processing notifications of No</t>
        </is>
      </c>
      <c r="G58" s="209" t="inlineStr">
        <is>
          <t>In case of a Non-Conformity, the Contractor may not ship, or shall recall at its own risk and expense, the impacted supply. Any steps of the Contract execution, which are (potentia</t>
        </is>
      </c>
    </row>
    <row r="59" ht="44" customHeight="1">
      <c r="A59" s="199" t="inlineStr">
        <is>
          <t>8.1.7</t>
        </is>
      </c>
      <c r="B59" s="199" t="inlineStr">
        <is>
          <t>RTM-667</t>
        </is>
      </c>
      <c r="C59" s="199" t="inlineStr">
        <is>
          <t>RTM-669</t>
        </is>
      </c>
      <c r="D59" s="199" t="inlineStr">
        <is>
          <t>Quality Assurance &amp; Control</t>
        </is>
      </c>
      <c r="E59" s="199" t="inlineStr">
        <is>
          <t>conformities, contractor</t>
        </is>
      </c>
      <c r="F59" s="198" t="inlineStr">
        <is>
          <t>The Contractor shall have a process in place for managing Non-Conformities that arise during the performance of the Contract, including receiving and processing notifications of No</t>
        </is>
      </c>
      <c r="G59" s="198" t="inlineStr">
        <is>
          <t>The Contractor shall notify SCK CEN in writing of any such Non-Conformities by means of a Non-Conformity Report (NCR). An NCR shall be submitted to SCK CEN as soon as reasonably po</t>
        </is>
      </c>
    </row>
    <row r="60" ht="44" customHeight="1">
      <c r="A60" s="208" t="inlineStr">
        <is>
          <t>8.1.7</t>
        </is>
      </c>
      <c r="B60" s="208" t="inlineStr">
        <is>
          <t>RTM-668</t>
        </is>
      </c>
      <c r="C60" s="208" t="inlineStr">
        <is>
          <t>RTM-675</t>
        </is>
      </c>
      <c r="D60" s="208" t="inlineStr">
        <is>
          <t>Quality Assurance &amp; Control</t>
        </is>
      </c>
      <c r="E60" s="208" t="inlineStr">
        <is>
          <t>conformity, contract, contractor, execution</t>
        </is>
      </c>
      <c r="F60" s="209" t="inlineStr">
        <is>
          <t>In case of a Non-Conformity, the Contractor may not ship, or shall recall at its own risk and expense, the impacted supply. Any steps of the Contract execution, which are (potentia</t>
        </is>
      </c>
      <c r="G60" s="209" t="inlineStr">
        <is>
          <t>At the specific request of SCK CEN, to avoid repetition of possible recurring Non-Conformities during the execution of the Contract, or when imposed by the Contractor's quality man</t>
        </is>
      </c>
    </row>
    <row r="61" ht="44" customHeight="1">
      <c r="A61" s="199" t="inlineStr">
        <is>
          <t>8.1.7</t>
        </is>
      </c>
      <c r="B61" s="199" t="inlineStr">
        <is>
          <t>RTM-669</t>
        </is>
      </c>
      <c r="C61" s="199" t="inlineStr">
        <is>
          <t>RTM-672</t>
        </is>
      </c>
      <c r="D61" s="199" t="inlineStr">
        <is>
          <t>Quality Assurance &amp; Control</t>
        </is>
      </c>
      <c r="E61" s="199" t="inlineStr">
        <is>
          <t>contractor, submitted</t>
        </is>
      </c>
      <c r="F61" s="198" t="inlineStr">
        <is>
          <t>The Contractor shall notify SCK CEN in writing of any such Non-Conformities by means of a Non-Conformity Report (NCR). An NCR shall be submitted to SCK CEN as soon as reasonably po</t>
        </is>
      </c>
      <c r="G61" s="198" t="inlineStr">
        <is>
          <t>Each NCR shall be submitted to SCK CEN for approval. SCK CEN shall be entitled to reject the solution(s) proposed by the Contractor in case SCK CEN deems the solution not useable g</t>
        </is>
      </c>
    </row>
    <row r="62" ht="44" customHeight="1">
      <c r="A62" s="208" t="inlineStr">
        <is>
          <t>8.1.7</t>
        </is>
      </c>
      <c r="B62" s="208" t="inlineStr">
        <is>
          <t>RTM-669</t>
        </is>
      </c>
      <c r="C62" s="208" t="inlineStr">
        <is>
          <t>RTM-674</t>
        </is>
      </c>
      <c r="D62" s="208" t="inlineStr">
        <is>
          <t>Quality Assurance &amp; Control</t>
        </is>
      </c>
      <c r="E62" s="208" t="inlineStr">
        <is>
          <t>contractor, identified</t>
        </is>
      </c>
      <c r="F62" s="209" t="inlineStr">
        <is>
          <t>The Contractor shall notify SCK CEN in writing of any such Non-Conformities by means of a Non-Conformity Report (NCR). An NCR shall be submitted to SCK CEN as soon as reasonably po</t>
        </is>
      </c>
      <c r="G62" s="209" t="inlineStr">
        <is>
          <t>The Contractor shall keep SCK CEN duly informed about the progress of the implementation of the actions identified in the NCR and, if applicable, shall provide a revised schedule i</t>
        </is>
      </c>
    </row>
    <row r="63" ht="44" customHeight="1">
      <c r="A63" s="199" t="inlineStr">
        <is>
          <t>8.1.7</t>
        </is>
      </c>
      <c r="B63" s="199" t="inlineStr">
        <is>
          <t>RTM-669</t>
        </is>
      </c>
      <c r="C63" s="199" t="inlineStr">
        <is>
          <t>RTM-675</t>
        </is>
      </c>
      <c r="D63" s="199" t="inlineStr">
        <is>
          <t>Quality Assurance &amp; Control</t>
        </is>
      </c>
      <c r="E63" s="199" t="inlineStr">
        <is>
          <t>conformities, conformity, contractor, possible</t>
        </is>
      </c>
      <c r="F63" s="198" t="inlineStr">
        <is>
          <t>The Contractor shall notify SCK CEN in writing of any such Non-Conformities by means of a Non-Conformity Report (NCR). An NCR shall be submitted to SCK CEN as soon as reasonably po</t>
        </is>
      </c>
      <c r="G63" s="198" t="inlineStr">
        <is>
          <t>At the specific request of SCK CEN, to avoid repetition of possible recurring Non-Conformities during the execution of the Contract, or when imposed by the Contractor's quality man</t>
        </is>
      </c>
    </row>
    <row r="64" ht="44" customHeight="1">
      <c r="A64" s="208" t="inlineStr">
        <is>
          <t>8.1.7</t>
        </is>
      </c>
      <c r="B64" s="208" t="inlineStr">
        <is>
          <t>RTM-669</t>
        </is>
      </c>
      <c r="C64" s="208" t="inlineStr">
        <is>
          <t>RTM-676</t>
        </is>
      </c>
      <c r="D64" s="208" t="inlineStr">
        <is>
          <t>Quality Assurance &amp; Control</t>
        </is>
      </c>
      <c r="E64" s="208" t="inlineStr">
        <is>
          <t>contractor, report</t>
        </is>
      </c>
      <c r="F64" s="209" t="inlineStr">
        <is>
          <t>The Contractor shall notify SCK CEN in writing of any such Non-Conformities by means of a Non-Conformity Report (NCR). An NCR shall be submitted to SCK CEN as soon as reasonably po</t>
        </is>
      </c>
      <c r="G64" s="209" t="inlineStr">
        <is>
          <t>For actions taking more than 1 month, the Contractor shall provide a regular status report describing the result of implementation according to the due dates in the action plan.</t>
        </is>
      </c>
    </row>
    <row r="65" ht="44" customHeight="1">
      <c r="A65" s="199" t="inlineStr">
        <is>
          <t>8.1.7</t>
        </is>
      </c>
      <c r="B65" s="199" t="inlineStr">
        <is>
          <t>RTM-669</t>
        </is>
      </c>
      <c r="C65" s="199" t="inlineStr">
        <is>
          <t>RTM-678</t>
        </is>
      </c>
      <c r="D65" s="199" t="inlineStr">
        <is>
          <t>Quality Assurance &amp; Control</t>
        </is>
      </c>
      <c r="E65" s="199" t="inlineStr">
        <is>
          <t>conformities, contractor, identified</t>
        </is>
      </c>
      <c r="F65" s="198" t="inlineStr">
        <is>
          <t>The Contractor shall notify SCK CEN in writing of any such Non-Conformities by means of a Non-Conformity Report (NCR). An NCR shall be submitted to SCK CEN as soon as reasonably po</t>
        </is>
      </c>
      <c r="G65" s="198" t="inlineStr">
        <is>
          <t>Any Non-Conformities identified and reported by SCK CEN to the Contractor, as well as any other complaints received by the Contractor from SCK CEN, shall be treated as Non-Conformi</t>
        </is>
      </c>
    </row>
    <row r="66" ht="44" customHeight="1">
      <c r="A66" s="208" t="inlineStr">
        <is>
          <t>8.1.7</t>
        </is>
      </c>
      <c r="B66" s="208" t="inlineStr">
        <is>
          <t>RTM-673</t>
        </is>
      </c>
      <c r="C66" s="208" t="inlineStr">
        <is>
          <t>RTM-674</t>
        </is>
      </c>
      <c r="D66" s="208" t="inlineStr">
        <is>
          <t>Quality Assurance &amp; Control</t>
        </is>
      </c>
      <c r="E66" s="208" t="inlineStr">
        <is>
          <t>actions, contractor</t>
        </is>
      </c>
      <c r="F66" s="209" t="inlineStr">
        <is>
          <t>The Contractor shall perform all necessary actions to correct the Non-Conformity (in accordance with the SCK CEN approved NCR) at its own risk and expense. Said necessary actions s</t>
        </is>
      </c>
      <c r="G66" s="209" t="inlineStr">
        <is>
          <t>The Contractor shall keep SCK CEN duly informed about the progress of the implementation of the actions identified in the NCR and, if applicable, shall provide a revised schedule i</t>
        </is>
      </c>
    </row>
    <row r="67" ht="44" customHeight="1">
      <c r="A67" s="199" t="inlineStr">
        <is>
          <t>8.1.7</t>
        </is>
      </c>
      <c r="B67" s="199" t="inlineStr">
        <is>
          <t>RTM-673</t>
        </is>
      </c>
      <c r="C67" s="199" t="inlineStr">
        <is>
          <t>RTM-675</t>
        </is>
      </c>
      <c r="D67" s="199" t="inlineStr">
        <is>
          <t>Quality Assurance &amp; Control</t>
        </is>
      </c>
      <c r="E67" s="199" t="inlineStr">
        <is>
          <t>conformity, contractor</t>
        </is>
      </c>
      <c r="F67" s="198" t="inlineStr">
        <is>
          <t>The Contractor shall perform all necessary actions to correct the Non-Conformity (in accordance with the SCK CEN approved NCR) at its own risk and expense. Said necessary actions s</t>
        </is>
      </c>
      <c r="G67" s="198" t="inlineStr">
        <is>
          <t>At the specific request of SCK CEN, to avoid repetition of possible recurring Non-Conformities during the execution of the Contract, or when imposed by the Contractor's quality man</t>
        </is>
      </c>
    </row>
    <row r="68" ht="44" customHeight="1">
      <c r="A68" s="208" t="inlineStr">
        <is>
          <t>8.1.7</t>
        </is>
      </c>
      <c r="B68" s="208" t="inlineStr">
        <is>
          <t>RTM-673</t>
        </is>
      </c>
      <c r="C68" s="208" t="inlineStr">
        <is>
          <t>RTM-676</t>
        </is>
      </c>
      <c r="D68" s="208" t="inlineStr">
        <is>
          <t>Quality Assurance &amp; Control</t>
        </is>
      </c>
      <c r="E68" s="208" t="inlineStr">
        <is>
          <t>actions, contractor</t>
        </is>
      </c>
      <c r="F68" s="209" t="inlineStr">
        <is>
          <t>The Contractor shall perform all necessary actions to correct the Non-Conformity (in accordance with the SCK CEN approved NCR) at its own risk and expense. Said necessary actions s</t>
        </is>
      </c>
      <c r="G68" s="209" t="inlineStr">
        <is>
          <t>For actions taking more than 1 month, the Contractor shall provide a regular status report describing the result of implementation according to the due dates in the action plan.</t>
        </is>
      </c>
    </row>
    <row r="69" ht="44" customHeight="1">
      <c r="A69" s="199" t="inlineStr">
        <is>
          <t>7.1</t>
        </is>
      </c>
      <c r="B69" s="199" t="inlineStr">
        <is>
          <t>RTM-621</t>
        </is>
      </c>
      <c r="C69" s="199" t="inlineStr">
        <is>
          <t>RTM-622</t>
        </is>
      </c>
      <c r="D69" s="199" t="inlineStr">
        <is>
          <t>Contract Performance</t>
        </is>
      </c>
      <c r="E69" s="199" t="inlineStr">
        <is>
          <t>contractor, manager, project</t>
        </is>
      </c>
      <c r="F69" s="198" t="inlineStr">
        <is>
          <t>The Contractor shall assign a member of its staff to be responsible for the follow-up of the Contract (further referred to as “Project Manager”). The Project Manager shall be respo</t>
        </is>
      </c>
      <c r="G69" s="198" t="inlineStr">
        <is>
          <t>The Contractor shall notify SCK CEN in writing in case a different Project Manager is appointed. Replacement of the Project Manager is subject to prior written approval by SCK CEN.</t>
        </is>
      </c>
    </row>
    <row r="70" ht="44" customHeight="1">
      <c r="A70" s="208" t="inlineStr">
        <is>
          <t>7.1</t>
        </is>
      </c>
      <c r="B70" s="208" t="inlineStr">
        <is>
          <t>RTM-622</t>
        </is>
      </c>
      <c r="C70" s="208" t="inlineStr">
        <is>
          <t>RTM-623</t>
        </is>
      </c>
      <c r="D70" s="208" t="inlineStr">
        <is>
          <t>Contract Performance</t>
        </is>
      </c>
      <c r="E70" s="208" t="inlineStr">
        <is>
          <t>contractor, writing</t>
        </is>
      </c>
      <c r="F70" s="209" t="inlineStr">
        <is>
          <t>The Contractor shall notify SCK CEN in writing in case a different Project Manager is appointed. Replacement of the Project Manager is subject to prior written approval by SCK CEN.</t>
        </is>
      </c>
      <c r="G70" s="209" t="inlineStr">
        <is>
          <t>At the conclusion of the Contract, SCK CEN shall designate the Leading Officer for the Contract and inform the Contractor. The Contractor shall be notified of any change in writing</t>
        </is>
      </c>
    </row>
  </sheetData>
  <autoFilter ref="A5:G70"/>
  <mergeCells count="2">
    <mergeCell ref="A2:F2"/>
    <mergeCell ref="A1:F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RECOMPUTE_LOG -- audit trail for recompute_rtm_ranking.py runs (not part of the original v5..v23 build chain)</t>
        </is>
      </c>
    </row>
    <row r="2">
      <c r="A2" t="inlineStr">
        <is>
          <t>Run</t>
        </is>
      </c>
      <c r="B2" t="inlineStr">
        <is>
          <t>Date</t>
        </is>
      </c>
      <c r="C2" t="inlineStr">
        <is>
          <t>Field</t>
        </is>
      </c>
      <c r="D2" t="inlineStr">
        <is>
          <t>RTM ID</t>
        </is>
      </c>
      <c r="E2" t="inlineStr">
        <is>
          <t>Old value</t>
        </is>
      </c>
      <c r="F2" t="inlineStr">
        <is>
          <t>New value</t>
        </is>
      </c>
      <c r="G2" t="inlineStr">
        <is>
          <t>Note / rank+tier side-effects</t>
        </is>
      </c>
    </row>
    <row r="3">
      <c r="A3" t="n">
        <v>1</v>
      </c>
      <c r="B3" t="inlineStr">
        <is>
          <t>2026-08-18</t>
        </is>
      </c>
      <c r="C3" t="inlineStr">
        <is>
          <t>P</t>
        </is>
      </c>
      <c r="D3" t="inlineStr">
        <is>
          <t>RTM-320</t>
        </is>
      </c>
      <c r="E3" t="n">
        <v>0</v>
      </c>
      <c r="F3" t="n">
        <v>1</v>
      </c>
      <c r="G3" t="inlineStr">
        <is>
          <t>RTM-320 (Network Infrastructure, SS4.6.4.4): Performance dimension corrected 0 -&gt; 1. The requirement explicitly states 'All links within the aggregation network ... shall support 1 Gbit/s bandwidth' -- a concrete capacity/throughput figure the Performance dimension (heat loads/capacity/transients) is defined to capture, which the existing score missed. Reliability(3)/Functional(3) unchanged -- both remain well supported by the redundancy-manager, failover, and fault-recovery language. Requested by GBO (system owner) after independent re-read of the full RTM text against the 7-dimension rubric; part of a full re-judgment of all 7 previously-flagged rows (RTM-328/482/603/718/599/018/320) -- see README_ABACUS_IMPORT.md for the other 6, which held up unchanged on review.</t>
        </is>
      </c>
    </row>
    <row r="4">
      <c r="A4" t="n">
        <v>1</v>
      </c>
      <c r="B4" t="inlineStr">
        <is>
          <t>2026-08-18</t>
        </is>
      </c>
      <c r="C4" t="inlineStr">
        <is>
          <t>RANK/TIER side-effects</t>
        </is>
      </c>
      <c r="D4" t="inlineStr">
        <is>
          <t>(all 722 rows recomputed)</t>
        </is>
      </c>
      <c r="G4" t="inlineStr">
        <is>
          <t>RTM-108: rank 132-&gt;133, tier T1 Primary-&gt;T1 Primary; RTM-022: rank 133-&gt;134, tier T1 Primary-&gt;T1 Primary; RTM-024: rank 134-&gt;135, tier T1 Primary-&gt;T1 Primary; RTM-027: rank 135-&gt;136, tier T1 Primary-&gt;T1 Primary; RTM-078: rank 136-&gt;137, tier T1 Primary-&gt;T1 Primary; RTM-209: rank 137-&gt;138, tier T1 Primary-&gt;T1 Primary; RTM-389: rank 138-&gt;139, tier T1 Primary-&gt;T1 Primary; RTM-545: rank 139-&gt;140, tier T1 Primary-&gt;T1 Primary; RTM-433: rank 140-&gt;141, tier T1 Primary-&gt;T1 Primary; RTM-015: rank 141-&gt;142, tier T1 Primary-&gt;T1 Primary; RTM-333: rank 142-&gt;143, tier T1 Primary-&gt;T1 Primary; RTM-109: rank 143-&gt;144, tier T1 Primary-&gt;T1 Primary; RTM-092: rank 144-&gt;145, tier T1 Primary-&gt;T1 Primary; RTM-313: rank 145-&gt;146, tier T1 Primary-&gt;T1 Primary; RTM-042: rank 146-&gt;147, tier T1 Primary-&gt;T1 Primary; RTM-052: rank 147-&gt;148, tier T1 Primary-&gt;T1 Primary; RTM-226: rank 148-&gt;149, tier T1 Primary-&gt;T1 Primary; RTM-484: rank 149-&gt;150, tier T1 Primary-&gt;T1 Primary; RTM-511: rank 150-&gt;151, tier T1 Primary-&gt;T1 Primary; RTM-513: rank 151-&gt;152, tier T1 Primary-&gt;T1 Primary; RTM-036: rank 152-&gt;153, tier T1 Primary-&gt;T1 Primary; RTM-198: rank 153-&gt;154, tier T1 Primary-&gt;T1 Primary; RTM-312: rank 154-&gt;155, tier T1 Primary-&gt;T1 Primary; RTM-322: rank 155-&gt;156, tier T1 Primary-&gt;T1 Primary; RTM-324: rank 156-&gt;157, tier T1 Primary-&gt;T1 Primary; RTM-642: rank 157-&gt;158, tier T1 Primary-&gt;T1 Primary; RTM-660: rank 158-&gt;159, tier T1 Primary-&gt;T1 Primary; RTM-068: rank 159-&gt;160, tier T1 Primary-&gt;T1 Primary; RTM-550: rank 160-&gt;161, tier T1 Primary-&gt;T1 Primary; RTM-578: rank 161-&gt;162, tier T1 Primary-&gt;T1 Primary; RTM-470: rank 162-&gt;163, tier T1 Primary-&gt;T1 Primary; RTM-020: rank 163-&gt;164, tier T1 Primary-&gt;T1 Primary; RTM-021: rank 164-&gt;165, tier T1 Primary-&gt;T1 Primary; RTM-328: rank 165-&gt;166, tier T1 Primary-&gt;T1 Primary; RTM-256: rank 166-&gt;167, tier T1 Primary-&gt;T1 Primary; RTM-432: rank 167-&gt;168, tier T1 Primary-&gt;T1 Primary; RTM-066: rank 168-&gt;169, tier T1 Primary-&gt;T1 Primary; RTM-168: rank 169-&gt;170, tier T1 Primary-&gt;T1 Primary; RTM-174: rank 170-&gt;171, tier T1 Primary-&gt;T1 Primary; RTM-180: rank 171-&gt;172, tier T1 Primary-&gt;T1 Primary; RTM-210: rank 172-&gt;173, tier T1 Primary-&gt;T1 Primary; RTM-216: rank 173-&gt;174, tier T1 Primary-&gt;T1 Primary; RTM-218: rank 174-&gt;175, tier T1 Primary-&gt;T1 Primary; RTM-440: rank 175-&gt;176, tier T1 Primary-&gt;T1 Primary; RTM-465: rank 176-&gt;177, tier T1 Primary-&gt;T1 Primary; RTM-504: rank 177-&gt;178, tier T1 Primary-&gt;T1 Primary; RTM-526: rank 178-&gt;179, tier T1 Primary-&gt;T1 Primary; RTM-527: rank 179-&gt;180, tier T1 Primary-&gt;T1 Primary; RTM-528: rank 180-&gt;181, tier T1 Primary-&gt;T1 Primary; RTM-529: rank 181-&gt;182, tier T1 Primary-&gt;T1 Primary; RTM-534: rank 182-&gt;183, tier T1 Primary-&gt;T1 Primary; RTM-535: rank 183-&gt;184, tier T1 Primary-&gt;T1 Primary; RTM-539: rank 184-&gt;185, tier T1 Primary-&gt;T1 Primary; RTM-540: rank 185-&gt;186, tier T1 Primary-&gt;T1 Primary; RTM-543: rank 186-&gt;187, tier T1 Primary-&gt;T1 Primary; RTM-565: rank 187-&gt;188, tier T1 Primary-&gt;T1 Primary; RTM-346: rank 188-&gt;189, tier T1 Primary-&gt;T1 Primary; RTM-320: rank 189-&gt;132, tier T1 Primary-&gt;T1 Primary; RTM-518: rank 285-&gt;286, tier T2 Secondary-&gt;T2 Secondary; RTM-519: rank 286-&gt;287, tier T2 Secondary-&gt;T2 Secondary; RTM-521: rank 287-&gt;288, tier T2 Secondary-&gt;T2 Secondary; RTM-650: rank 288-&gt;285, tier T2 Secondary-&gt;T2 Secondary; RTM-309: rank 367-&gt;370, tier T2 Secondary-&gt;T2 Secondary; RTM-348: rank 368-&gt;371, tier T2 Secondary-&gt;T2 Secondary; RTM-368: rank 369-&gt;372, tier T2 Secondary-&gt;T2 Secondary; RTM-383: rank 370-&gt;373, tier T2 Secondary-&gt;T2 Secondary; RTM-412: rank 371-&gt;367, tier T2 Secondary-&gt;T2 Secondary; RTM-430: rank 372-&gt;368, tier T2 Secondary-&gt;T2 Secondary; RTM-435: rank 373-&gt;369, tier T2 Secondary-&gt;T2 Secondary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Bonthuys Gerkotze</dc:creator>
  <dcterms:created xmlns:dcterms="http://purl.org/dc/terms/" xmlns:xsi="http://www.w3.org/2001/XMLSchema-instance" xsi:type="dcterms:W3CDTF">2026-08-13T13:55:33Z</dcterms:created>
  <dcterms:modified xmlns:dcterms="http://purl.org/dc/terms/" xmlns:xsi="http://www.w3.org/2001/XMLSchema-instance" xsi:type="dcterms:W3CDTF">2026-08-18T14:43:54Z</dcterms:modified>
  <cp:lastModifiedBy>Bonthuys Gerkotze</cp:lastModifiedBy>
</cp:coreProperties>
</file>